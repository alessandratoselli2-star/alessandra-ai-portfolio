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i" sheetId="1" state="visible" r:id="rId3"/>
    <sheet name="Base_ODL" sheetId="2" state="visible" r:id="rId4"/>
    <sheet name="Anagrafica_Impianti" sheetId="3" state="visible" r:id="rId5"/>
    <sheet name="KPI1_Guasti_Totali" sheetId="4" state="visible" r:id="rId6"/>
    <sheet name="KPI2_Perc_Impianti_Guasto" sheetId="5" state="visible" r:id="rId7"/>
    <sheet name="KPI3_Riepilogo_Recidivita" sheetId="6" state="visible" r:id="rId8"/>
  </sheets>
  <definedNames>
    <definedName function="false" hidden="true" localSheetId="1" name="_xlnm._FilterDatabase" vbProcedure="false">Base_ODL!$A$1:$N$4077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<sst xmlns="http://schemas.openxmlformats.org/spreadsheetml/2006/main" count="28595" uniqueCount="5906">
  <si>
    <t xml:space="preserve">Soglia recidivita' (n. minimo interventi)</t>
  </si>
  <si>
    <t xml:space="preserve">Modifica il valore in B1 per ricalcolare automaticamente tutto il report.</t>
  </si>
  <si>
    <t xml:space="preserve">ID_ODL</t>
  </si>
  <si>
    <t xml:space="preserve">EDIFICIO</t>
  </si>
  <si>
    <t xml:space="preserve">IMPIANTO</t>
  </si>
  <si>
    <t xml:space="preserve">TIPO_GUASTO</t>
  </si>
  <si>
    <t xml:space="preserve">DATA_CREAZIONE</t>
  </si>
  <si>
    <t xml:space="preserve">STATUS</t>
  </si>
  <si>
    <t xml:space="preserve">TECNICO</t>
  </si>
  <si>
    <t xml:space="preserve">FORNITORE</t>
  </si>
  <si>
    <t xml:space="preserve">Anno</t>
  </si>
  <si>
    <t xml:space="preserve">Mese</t>
  </si>
  <si>
    <t xml:space="preserve">N_Interventi_Impianto_Anno</t>
  </si>
  <si>
    <t xml:space="preserve">Primo_Occorrenza</t>
  </si>
  <si>
    <t xml:space="preserve">Recidivo_Flag</t>
  </si>
  <si>
    <t xml:space="preserve">Primo_E_Recidivo</t>
  </si>
  <si>
    <t xml:space="preserve">ODL101393</t>
  </si>
  <si>
    <t xml:space="preserve">CAMPUS TORINO OVEST</t>
  </si>
  <si>
    <t xml:space="preserve">IMP-CT3-010</t>
  </si>
  <si>
    <t xml:space="preserve">Elettrico</t>
  </si>
  <si>
    <t xml:space="preserve">Chiuso</t>
  </si>
  <si>
    <t xml:space="preserve">Gallo</t>
  </si>
  <si>
    <t xml:space="preserve">ImpiantiPro SpA</t>
  </si>
  <si>
    <t xml:space="preserve">ODL100524</t>
  </si>
  <si>
    <t xml:space="preserve">CAMPUS TORINO EST</t>
  </si>
  <si>
    <t xml:space="preserve">IMP-CT2-206</t>
  </si>
  <si>
    <t xml:space="preserve">Idraulico</t>
  </si>
  <si>
    <t xml:space="preserve">In corso</t>
  </si>
  <si>
    <t xml:space="preserve">Colombo</t>
  </si>
  <si>
    <t xml:space="preserve">FM Solutions</t>
  </si>
  <si>
    <t xml:space="preserve">ODL103137</t>
  </si>
  <si>
    <t xml:space="preserve">STABILIMENTO VERONA</t>
  </si>
  <si>
    <t xml:space="preserve">IMP-SV8-172</t>
  </si>
  <si>
    <t xml:space="preserve">Antincendio</t>
  </si>
  <si>
    <t xml:space="preserve">Sospeso</t>
  </si>
  <si>
    <t xml:space="preserve">Romano</t>
  </si>
  <si>
    <t xml:space="preserve">ODL101678</t>
  </si>
  <si>
    <t xml:space="preserve">IMP-SV8-154</t>
  </si>
  <si>
    <t xml:space="preserve">Building Automation</t>
  </si>
  <si>
    <t xml:space="preserve">Ferrari</t>
  </si>
  <si>
    <t xml:space="preserve">ODL100080</t>
  </si>
  <si>
    <t xml:space="preserve">TORRE SUD MILANO</t>
  </si>
  <si>
    <t xml:space="preserve">IMP-TS1-011</t>
  </si>
  <si>
    <t xml:space="preserve">Conti</t>
  </si>
  <si>
    <t xml:space="preserve">Manutenzioni Italia Srl</t>
  </si>
  <si>
    <t xml:space="preserve">ODL102169</t>
  </si>
  <si>
    <t xml:space="preserve">HUB LOGISTICO BOLOGNA</t>
  </si>
  <si>
    <t xml:space="preserve">IMP-HL4-026</t>
  </si>
  <si>
    <t xml:space="preserve">TecnoService Srl</t>
  </si>
  <si>
    <t xml:space="preserve">ODL102311</t>
  </si>
  <si>
    <t xml:space="preserve">TORRE NORD MILANO</t>
  </si>
  <si>
    <t xml:space="preserve">IMP-TN0-288</t>
  </si>
  <si>
    <t xml:space="preserve">ODL102947</t>
  </si>
  <si>
    <t xml:space="preserve">IMP-SV8-004</t>
  </si>
  <si>
    <t xml:space="preserve">Sicurezza accessi</t>
  </si>
  <si>
    <t xml:space="preserve">Verdi</t>
  </si>
  <si>
    <t xml:space="preserve">ODL100352</t>
  </si>
  <si>
    <t xml:space="preserve">SEDE BRESCIA</t>
  </si>
  <si>
    <t xml:space="preserve">IMP-SB5-080</t>
  </si>
  <si>
    <t xml:space="preserve">ODL102998</t>
  </si>
  <si>
    <t xml:space="preserve">IMP-CT3-111</t>
  </si>
  <si>
    <t xml:space="preserve">ODL102940</t>
  </si>
  <si>
    <t xml:space="preserve">IMP-CT3-007</t>
  </si>
  <si>
    <t xml:space="preserve">Climatizzazione</t>
  </si>
  <si>
    <t xml:space="preserve">ODL103958</t>
  </si>
  <si>
    <t xml:space="preserve">IMP-HL4-004</t>
  </si>
  <si>
    <t xml:space="preserve">Ascensori</t>
  </si>
  <si>
    <t xml:space="preserve">ODL100833</t>
  </si>
  <si>
    <t xml:space="preserve">CENTRO DIREZIONALE ROMA</t>
  </si>
  <si>
    <t xml:space="preserve">IMP-CD7-185</t>
  </si>
  <si>
    <t xml:space="preserve">ODL103245</t>
  </si>
  <si>
    <t xml:space="preserve">IMP-CT3-016</t>
  </si>
  <si>
    <t xml:space="preserve">Rossi</t>
  </si>
  <si>
    <t xml:space="preserve">ODL100463</t>
  </si>
  <si>
    <t xml:space="preserve">IMP-SB5-069</t>
  </si>
  <si>
    <t xml:space="preserve">ODL101737</t>
  </si>
  <si>
    <t xml:space="preserve">IMP-SV8-151</t>
  </si>
  <si>
    <t xml:space="preserve">Illuminazione</t>
  </si>
  <si>
    <t xml:space="preserve">ODL101822</t>
  </si>
  <si>
    <t xml:space="preserve">FILIALE FIRENZE</t>
  </si>
  <si>
    <t xml:space="preserve">IMP-FF9-065</t>
  </si>
  <si>
    <t xml:space="preserve">ODL101018</t>
  </si>
  <si>
    <t xml:space="preserve">IMP-CT2-007</t>
  </si>
  <si>
    <t xml:space="preserve">ODL100811</t>
  </si>
  <si>
    <t xml:space="preserve">IMP-TN0-144</t>
  </si>
  <si>
    <t xml:space="preserve">ODL102875</t>
  </si>
  <si>
    <t xml:space="preserve">IMP-FF9-091</t>
  </si>
  <si>
    <t xml:space="preserve">ODL101071</t>
  </si>
  <si>
    <t xml:space="preserve">IMP-TN0-137</t>
  </si>
  <si>
    <t xml:space="preserve">Bianchi</t>
  </si>
  <si>
    <t xml:space="preserve">ODL100260</t>
  </si>
  <si>
    <t xml:space="preserve">IMP-CT3-043</t>
  </si>
  <si>
    <t xml:space="preserve">ODL100203</t>
  </si>
  <si>
    <t xml:space="preserve">IMP-HL4-002</t>
  </si>
  <si>
    <t xml:space="preserve">ODL103856</t>
  </si>
  <si>
    <t xml:space="preserve">IMP-CT3-003</t>
  </si>
  <si>
    <t xml:space="preserve">ODL100434</t>
  </si>
  <si>
    <t xml:space="preserve">IMP-SB5-125</t>
  </si>
  <si>
    <t xml:space="preserve">ODL100689</t>
  </si>
  <si>
    <t xml:space="preserve">IMP-FF9-102</t>
  </si>
  <si>
    <t xml:space="preserve">ODL101747</t>
  </si>
  <si>
    <t xml:space="preserve">IMP-SB5-121</t>
  </si>
  <si>
    <t xml:space="preserve">ODL100960</t>
  </si>
  <si>
    <t xml:space="preserve">IMP-CD7-053</t>
  </si>
  <si>
    <t xml:space="preserve">Non specificato</t>
  </si>
  <si>
    <t xml:space="preserve">ODL102626</t>
  </si>
  <si>
    <t xml:space="preserve">IMP-CD7-006</t>
  </si>
  <si>
    <t xml:space="preserve">ODL103679</t>
  </si>
  <si>
    <t xml:space="preserve">IMP-SV8-002</t>
  </si>
  <si>
    <t xml:space="preserve">ODL100194</t>
  </si>
  <si>
    <t xml:space="preserve">IMP-CT3-029</t>
  </si>
  <si>
    <t xml:space="preserve">ODL103710</t>
  </si>
  <si>
    <t xml:space="preserve">IMP-SV8-088</t>
  </si>
  <si>
    <t xml:space="preserve">ODL104191</t>
  </si>
  <si>
    <t xml:space="preserve">IMP-FF9-010</t>
  </si>
  <si>
    <t xml:space="preserve">ODL100269</t>
  </si>
  <si>
    <t xml:space="preserve">IMP-FF9-003</t>
  </si>
  <si>
    <t xml:space="preserve">ODL102720</t>
  </si>
  <si>
    <t xml:space="preserve">IMP-SV8-093</t>
  </si>
  <si>
    <t xml:space="preserve">ODL100481</t>
  </si>
  <si>
    <t xml:space="preserve">IMP-HL4-336</t>
  </si>
  <si>
    <t xml:space="preserve">ODL103281</t>
  </si>
  <si>
    <t xml:space="preserve">IMP-TN0-186</t>
  </si>
  <si>
    <t xml:space="preserve">ODL103077</t>
  </si>
  <si>
    <t xml:space="preserve">POLO PADOVA</t>
  </si>
  <si>
    <t xml:space="preserve">IMP-PP6-001</t>
  </si>
  <si>
    <t xml:space="preserve">ODL100410</t>
  </si>
  <si>
    <t xml:space="preserve">IMP-CT2-066</t>
  </si>
  <si>
    <t xml:space="preserve">ODL103502</t>
  </si>
  <si>
    <t xml:space="preserve">IMP-PP6-130</t>
  </si>
  <si>
    <t xml:space="preserve">ODL103417</t>
  </si>
  <si>
    <t xml:space="preserve">IMP-CT2-106</t>
  </si>
  <si>
    <t xml:space="preserve">ODL103099</t>
  </si>
  <si>
    <t xml:space="preserve">IMP-SB5-126</t>
  </si>
  <si>
    <t xml:space="preserve">ODL102228</t>
  </si>
  <si>
    <t xml:space="preserve">IMP-SV8-118</t>
  </si>
  <si>
    <t xml:space="preserve">ODL102079</t>
  </si>
  <si>
    <t xml:space="preserve">IMP-FF9-062</t>
  </si>
  <si>
    <t xml:space="preserve">ODL100182</t>
  </si>
  <si>
    <t xml:space="preserve">IMP-CD7-311</t>
  </si>
  <si>
    <t xml:space="preserve">ODL102123</t>
  </si>
  <si>
    <t xml:space="preserve">IMP-CT2-197</t>
  </si>
  <si>
    <t xml:space="preserve">ODL100415</t>
  </si>
  <si>
    <t xml:space="preserve">IMP-SV8-133</t>
  </si>
  <si>
    <t xml:space="preserve">ODL103004</t>
  </si>
  <si>
    <t xml:space="preserve">IMP-CT3-105</t>
  </si>
  <si>
    <t xml:space="preserve">ODL102112</t>
  </si>
  <si>
    <t xml:space="preserve">IMP-SB5-007</t>
  </si>
  <si>
    <t xml:space="preserve">ODL101225</t>
  </si>
  <si>
    <t xml:space="preserve">IMP-FF9-005</t>
  </si>
  <si>
    <t xml:space="preserve">ODL101565</t>
  </si>
  <si>
    <t xml:space="preserve">IMP-HL4-270</t>
  </si>
  <si>
    <t xml:space="preserve">ODL100946</t>
  </si>
  <si>
    <t xml:space="preserve">IMP-PP6-089</t>
  </si>
  <si>
    <t xml:space="preserve">ODL102843</t>
  </si>
  <si>
    <t xml:space="preserve">IMP-HL4-142</t>
  </si>
  <si>
    <t xml:space="preserve">ODL101718</t>
  </si>
  <si>
    <t xml:space="preserve">IMP-SV8-148</t>
  </si>
  <si>
    <t xml:space="preserve">ODL101917</t>
  </si>
  <si>
    <t xml:space="preserve">IMP-CT2-198</t>
  </si>
  <si>
    <t xml:space="preserve">ODL103680</t>
  </si>
  <si>
    <t xml:space="preserve">ODL100083</t>
  </si>
  <si>
    <t xml:space="preserve">IMP-TS1-060</t>
  </si>
  <si>
    <t xml:space="preserve">ODL103644</t>
  </si>
  <si>
    <t xml:space="preserve">IMP-CT3-152</t>
  </si>
  <si>
    <t xml:space="preserve">ODL104072</t>
  </si>
  <si>
    <t xml:space="preserve">IMP-CD7-178</t>
  </si>
  <si>
    <t xml:space="preserve">ODL100519</t>
  </si>
  <si>
    <t xml:space="preserve">IMP-SV8-145</t>
  </si>
  <si>
    <t xml:space="preserve">ODL102812</t>
  </si>
  <si>
    <t xml:space="preserve">IMP-TS1-017</t>
  </si>
  <si>
    <t xml:space="preserve">ODL102384</t>
  </si>
  <si>
    <t xml:space="preserve">IMP-TN0-221</t>
  </si>
  <si>
    <t xml:space="preserve">ODL101247</t>
  </si>
  <si>
    <t xml:space="preserve">IMP-HL4-353</t>
  </si>
  <si>
    <t xml:space="preserve">ODL101163</t>
  </si>
  <si>
    <t xml:space="preserve">IMP-CT3-148</t>
  </si>
  <si>
    <t xml:space="preserve">ODL102815</t>
  </si>
  <si>
    <t xml:space="preserve">IMP-SB5-105</t>
  </si>
  <si>
    <t xml:space="preserve">ODL101454</t>
  </si>
  <si>
    <t xml:space="preserve">IMP-SB5-009</t>
  </si>
  <si>
    <t xml:space="preserve">ODL102923</t>
  </si>
  <si>
    <t xml:space="preserve">IMP-FF9-008</t>
  </si>
  <si>
    <t xml:space="preserve">ODL103279</t>
  </si>
  <si>
    <t xml:space="preserve">IMP-TS1-240</t>
  </si>
  <si>
    <t xml:space="preserve">ODL103726</t>
  </si>
  <si>
    <t xml:space="preserve">IMP-TN0-233</t>
  </si>
  <si>
    <t xml:space="preserve">ODL102243</t>
  </si>
  <si>
    <t xml:space="preserve">IMP-TS1-204</t>
  </si>
  <si>
    <t xml:space="preserve">ODL101261</t>
  </si>
  <si>
    <t xml:space="preserve">IMP-FF9-047</t>
  </si>
  <si>
    <t xml:space="preserve">ODL101171</t>
  </si>
  <si>
    <t xml:space="preserve">IMP-CT3-125</t>
  </si>
  <si>
    <t xml:space="preserve">ODL103695</t>
  </si>
  <si>
    <t xml:space="preserve">IMP-HL4-126</t>
  </si>
  <si>
    <t xml:space="preserve">ODL101094</t>
  </si>
  <si>
    <t xml:space="preserve">IMP-PP6-008</t>
  </si>
  <si>
    <t xml:space="preserve">ODL102060</t>
  </si>
  <si>
    <t xml:space="preserve">IMP-SV8-058</t>
  </si>
  <si>
    <t xml:space="preserve">ODL102508</t>
  </si>
  <si>
    <t xml:space="preserve">IMP-SB5-073</t>
  </si>
  <si>
    <t xml:space="preserve">ODL101317</t>
  </si>
  <si>
    <t xml:space="preserve">IMP-TN0-166</t>
  </si>
  <si>
    <t xml:space="preserve">ODL103898</t>
  </si>
  <si>
    <t xml:space="preserve">IMP-CT2-006</t>
  </si>
  <si>
    <t xml:space="preserve">ODL103344</t>
  </si>
  <si>
    <t xml:space="preserve">IMP-TN0-136</t>
  </si>
  <si>
    <t xml:space="preserve">ODL101427</t>
  </si>
  <si>
    <t xml:space="preserve">IMP-CT3-002</t>
  </si>
  <si>
    <t xml:space="preserve">ODL100989</t>
  </si>
  <si>
    <t xml:space="preserve">IMP-SB5-022</t>
  </si>
  <si>
    <t xml:space="preserve">ODL102853</t>
  </si>
  <si>
    <t xml:space="preserve">IMP-HL4-167</t>
  </si>
  <si>
    <t xml:space="preserve">ODL100852</t>
  </si>
  <si>
    <t xml:space="preserve">IMP-SV8-006</t>
  </si>
  <si>
    <t xml:space="preserve">ODL101517</t>
  </si>
  <si>
    <t xml:space="preserve">IMP-SB5-002</t>
  </si>
  <si>
    <t xml:space="preserve">ODL102489</t>
  </si>
  <si>
    <t xml:space="preserve">IMP-TS1-014</t>
  </si>
  <si>
    <t xml:space="preserve">ODL102687</t>
  </si>
  <si>
    <t xml:space="preserve">IMP-CD7-251</t>
  </si>
  <si>
    <t xml:space="preserve">ODL100587</t>
  </si>
  <si>
    <t xml:space="preserve">ODL102320</t>
  </si>
  <si>
    <t xml:space="preserve">IMP-TS1-058</t>
  </si>
  <si>
    <t xml:space="preserve">ODL100232</t>
  </si>
  <si>
    <t xml:space="preserve">IMP-SB5-057</t>
  </si>
  <si>
    <t xml:space="preserve">ODL101853</t>
  </si>
  <si>
    <t xml:space="preserve">IMP-FF9-076</t>
  </si>
  <si>
    <t xml:space="preserve">ODL101942</t>
  </si>
  <si>
    <t xml:space="preserve">IMP-CT2-080</t>
  </si>
  <si>
    <t xml:space="preserve">ODL101093</t>
  </si>
  <si>
    <t xml:space="preserve">IMP-CT3-004</t>
  </si>
  <si>
    <t xml:space="preserve">ODL100641</t>
  </si>
  <si>
    <t xml:space="preserve">IMP-SV8-101</t>
  </si>
  <si>
    <t xml:space="preserve">ODL100407</t>
  </si>
  <si>
    <t xml:space="preserve">IMP-PP6-081</t>
  </si>
  <si>
    <t xml:space="preserve">ODL102793</t>
  </si>
  <si>
    <t xml:space="preserve">IMP-HL4-322</t>
  </si>
  <si>
    <t xml:space="preserve">ODL101805</t>
  </si>
  <si>
    <t xml:space="preserve">IMP-CT2-145</t>
  </si>
  <si>
    <t xml:space="preserve">ODL102217</t>
  </si>
  <si>
    <t xml:space="preserve">IMP-TN0-024</t>
  </si>
  <si>
    <t xml:space="preserve">ODL100557</t>
  </si>
  <si>
    <t xml:space="preserve">IMP-CD7-005</t>
  </si>
  <si>
    <t xml:space="preserve">ODL100953</t>
  </si>
  <si>
    <t xml:space="preserve">ODL104111</t>
  </si>
  <si>
    <t xml:space="preserve">IMP-SB5-035</t>
  </si>
  <si>
    <t xml:space="preserve">ODL101121</t>
  </si>
  <si>
    <t xml:space="preserve">IMP-SV8-194</t>
  </si>
  <si>
    <t xml:space="preserve">ODL100585</t>
  </si>
  <si>
    <t xml:space="preserve">IMP-FF9-042</t>
  </si>
  <si>
    <t xml:space="preserve">ODL102070</t>
  </si>
  <si>
    <t xml:space="preserve">IMP-HL4-100</t>
  </si>
  <si>
    <t xml:space="preserve">ODL103028</t>
  </si>
  <si>
    <t xml:space="preserve">IMP-CT2-178</t>
  </si>
  <si>
    <t xml:space="preserve">ODL102032</t>
  </si>
  <si>
    <t xml:space="preserve">IMP-TS1-165</t>
  </si>
  <si>
    <t xml:space="preserve">ODL100558</t>
  </si>
  <si>
    <t xml:space="preserve">IMP-FF9-068</t>
  </si>
  <si>
    <t xml:space="preserve">ODL103716</t>
  </si>
  <si>
    <t xml:space="preserve">ODL103714</t>
  </si>
  <si>
    <t xml:space="preserve">IMP-TN0-246</t>
  </si>
  <si>
    <t xml:space="preserve">ODL103369</t>
  </si>
  <si>
    <t xml:space="preserve">IMP-SB5-059</t>
  </si>
  <si>
    <t xml:space="preserve">ODL101238</t>
  </si>
  <si>
    <t xml:space="preserve">IMP-HL4-247</t>
  </si>
  <si>
    <t xml:space="preserve">ODL100868</t>
  </si>
  <si>
    <t xml:space="preserve">IMP-CD7-018</t>
  </si>
  <si>
    <t xml:space="preserve">ODL103294</t>
  </si>
  <si>
    <t xml:space="preserve">IMP-PP6-058</t>
  </si>
  <si>
    <t xml:space="preserve">ODL100898</t>
  </si>
  <si>
    <t xml:space="preserve">IMP-CT2-003</t>
  </si>
  <si>
    <t xml:space="preserve">ODL101474</t>
  </si>
  <si>
    <t xml:space="preserve">IMP-HL4-137</t>
  </si>
  <si>
    <t xml:space="preserve">ODL101694</t>
  </si>
  <si>
    <t xml:space="preserve">IMP-TN0-227</t>
  </si>
  <si>
    <t xml:space="preserve">ODL102449</t>
  </si>
  <si>
    <t xml:space="preserve">ODL103609</t>
  </si>
  <si>
    <t xml:space="preserve">ODL100488</t>
  </si>
  <si>
    <t xml:space="preserve">IMP-SV8-157</t>
  </si>
  <si>
    <t xml:space="preserve">ODL103347</t>
  </si>
  <si>
    <t xml:space="preserve">ODL103387</t>
  </si>
  <si>
    <t xml:space="preserve">IMP-TS1-106</t>
  </si>
  <si>
    <t xml:space="preserve">ODL101241</t>
  </si>
  <si>
    <t xml:space="preserve">IMP-HL4-325</t>
  </si>
  <si>
    <t xml:space="preserve">ODL100387</t>
  </si>
  <si>
    <t xml:space="preserve">IMP-TS1-031</t>
  </si>
  <si>
    <t xml:space="preserve">ODL102019</t>
  </si>
  <si>
    <t xml:space="preserve">IMP-SB5-003</t>
  </si>
  <si>
    <t xml:space="preserve">ODL102796</t>
  </si>
  <si>
    <t xml:space="preserve">IMP-PP6-035</t>
  </si>
  <si>
    <t xml:space="preserve">ODL101560</t>
  </si>
  <si>
    <t xml:space="preserve">IMP-PP6-111</t>
  </si>
  <si>
    <t xml:space="preserve">ODL101095</t>
  </si>
  <si>
    <t xml:space="preserve">ODL101447</t>
  </si>
  <si>
    <t xml:space="preserve">IMP-CT2-016</t>
  </si>
  <si>
    <t xml:space="preserve">ODL102364</t>
  </si>
  <si>
    <t xml:space="preserve">IMP-SB5-071</t>
  </si>
  <si>
    <t xml:space="preserve">ODL104180</t>
  </si>
  <si>
    <t xml:space="preserve">IMP-FF9-055</t>
  </si>
  <si>
    <t xml:space="preserve">ODL104022</t>
  </si>
  <si>
    <t xml:space="preserve">IMP-PP6-127</t>
  </si>
  <si>
    <t xml:space="preserve">ODL104193</t>
  </si>
  <si>
    <t xml:space="preserve">IMP-PP6-129</t>
  </si>
  <si>
    <t xml:space="preserve">ODL102007</t>
  </si>
  <si>
    <t xml:space="preserve">IMP-HL4-153</t>
  </si>
  <si>
    <t xml:space="preserve">ODL101508</t>
  </si>
  <si>
    <t xml:space="preserve">IMP-HL4-262</t>
  </si>
  <si>
    <t xml:space="preserve">ODL100631</t>
  </si>
  <si>
    <t xml:space="preserve">ODL103748</t>
  </si>
  <si>
    <t xml:space="preserve">IMP-TN0-072</t>
  </si>
  <si>
    <t xml:space="preserve">ODL100047</t>
  </si>
  <si>
    <t xml:space="preserve">IMP-TN0-063</t>
  </si>
  <si>
    <t xml:space="preserve">ODL104083</t>
  </si>
  <si>
    <t xml:space="preserve">IMP-FF9-064</t>
  </si>
  <si>
    <t xml:space="preserve">ODL100478</t>
  </si>
  <si>
    <t xml:space="preserve">ODL104065</t>
  </si>
  <si>
    <t xml:space="preserve">IMP-CT2-023</t>
  </si>
  <si>
    <t xml:space="preserve">ODL100781</t>
  </si>
  <si>
    <t xml:space="preserve">IMP-TN0-064</t>
  </si>
  <si>
    <t xml:space="preserve">ODL104110</t>
  </si>
  <si>
    <t xml:space="preserve">IMP-CD7-011</t>
  </si>
  <si>
    <t xml:space="preserve">ODL101114</t>
  </si>
  <si>
    <t xml:space="preserve">IMP-FF9-086</t>
  </si>
  <si>
    <t xml:space="preserve">ODL101973</t>
  </si>
  <si>
    <t xml:space="preserve">IMP-CT2-005</t>
  </si>
  <si>
    <t xml:space="preserve">ODL103655</t>
  </si>
  <si>
    <t xml:space="preserve">IMP-FF9-034</t>
  </si>
  <si>
    <t xml:space="preserve">ODL101600</t>
  </si>
  <si>
    <t xml:space="preserve">IMP-SB5-068</t>
  </si>
  <si>
    <t xml:space="preserve">ODL100191</t>
  </si>
  <si>
    <t xml:space="preserve">IMP-FF9-079</t>
  </si>
  <si>
    <t xml:space="preserve">ODL104008</t>
  </si>
  <si>
    <t xml:space="preserve">IMP-CD7-075</t>
  </si>
  <si>
    <t xml:space="preserve">ODL101857</t>
  </si>
  <si>
    <t xml:space="preserve">IMP-TS1-256</t>
  </si>
  <si>
    <t xml:space="preserve">ODL104142</t>
  </si>
  <si>
    <t xml:space="preserve">IMP-TN0-143</t>
  </si>
  <si>
    <t xml:space="preserve">ODL102782</t>
  </si>
  <si>
    <t xml:space="preserve">IMP-TS1-184</t>
  </si>
  <si>
    <t xml:space="preserve">ODL103335</t>
  </si>
  <si>
    <t xml:space="preserve">IMP-SV8-129</t>
  </si>
  <si>
    <t xml:space="preserve">ODL101811</t>
  </si>
  <si>
    <t xml:space="preserve">IMP-TS1-006</t>
  </si>
  <si>
    <t xml:space="preserve">ODL102586</t>
  </si>
  <si>
    <t xml:space="preserve">IMP-CT2-099</t>
  </si>
  <si>
    <t xml:space="preserve">ODL102455</t>
  </si>
  <si>
    <t xml:space="preserve">ODL102492</t>
  </si>
  <si>
    <t xml:space="preserve">IMP-HL4-194</t>
  </si>
  <si>
    <t xml:space="preserve">ODL101495</t>
  </si>
  <si>
    <t xml:space="preserve">IMP-FF9-092</t>
  </si>
  <si>
    <t xml:space="preserve">ODL103017</t>
  </si>
  <si>
    <t xml:space="preserve">IMP-FF9-081</t>
  </si>
  <si>
    <t xml:space="preserve">ODL102216</t>
  </si>
  <si>
    <t xml:space="preserve">IMP-SV8-017</t>
  </si>
  <si>
    <t xml:space="preserve">ODL103870</t>
  </si>
  <si>
    <t xml:space="preserve">IMP-SB5-041</t>
  </si>
  <si>
    <t xml:space="preserve">ODL100553</t>
  </si>
  <si>
    <t xml:space="preserve">IMP-FF9-106</t>
  </si>
  <si>
    <t xml:space="preserve">ODL101243</t>
  </si>
  <si>
    <t xml:space="preserve">IMP-SB5-067</t>
  </si>
  <si>
    <t xml:space="preserve">ODL102894</t>
  </si>
  <si>
    <t xml:space="preserve">IMP-TN0-159</t>
  </si>
  <si>
    <t xml:space="preserve">ODL103860</t>
  </si>
  <si>
    <t xml:space="preserve">IMP-CT3-139</t>
  </si>
  <si>
    <t xml:space="preserve">ODL101331</t>
  </si>
  <si>
    <t xml:space="preserve">IMP-CD7-340</t>
  </si>
  <si>
    <t xml:space="preserve">ODL100512</t>
  </si>
  <si>
    <t xml:space="preserve">IMP-PP6-156</t>
  </si>
  <si>
    <t xml:space="preserve">ODL101201</t>
  </si>
  <si>
    <t xml:space="preserve">IMP-HL4-219</t>
  </si>
  <si>
    <t xml:space="preserve">ODL100773</t>
  </si>
  <si>
    <t xml:space="preserve">IMP-CT3-106</t>
  </si>
  <si>
    <t xml:space="preserve">ODL100484</t>
  </si>
  <si>
    <t xml:space="preserve">IMP-SB5-023</t>
  </si>
  <si>
    <t xml:space="preserve">ODL102498</t>
  </si>
  <si>
    <t xml:space="preserve">IMP-TS1-208</t>
  </si>
  <si>
    <t xml:space="preserve">ODL100872</t>
  </si>
  <si>
    <t xml:space="preserve">IMP-PP6-028</t>
  </si>
  <si>
    <t xml:space="preserve">ODL102233</t>
  </si>
  <si>
    <t xml:space="preserve">ODL102813</t>
  </si>
  <si>
    <t xml:space="preserve">IMP-HL4-257</t>
  </si>
  <si>
    <t xml:space="preserve">ODL100973</t>
  </si>
  <si>
    <t xml:space="preserve">IMP-CT2-179</t>
  </si>
  <si>
    <t xml:space="preserve">ODL103612</t>
  </si>
  <si>
    <t xml:space="preserve">ODL103850</t>
  </si>
  <si>
    <t xml:space="preserve">IMP-CT2-102</t>
  </si>
  <si>
    <t xml:space="preserve">ODL101854</t>
  </si>
  <si>
    <t xml:space="preserve">ODL103437</t>
  </si>
  <si>
    <t xml:space="preserve">IMP-PP6-086</t>
  </si>
  <si>
    <t xml:space="preserve">ODL103445</t>
  </si>
  <si>
    <t xml:space="preserve">IMP-HL4-043</t>
  </si>
  <si>
    <t xml:space="preserve">ODL102469</t>
  </si>
  <si>
    <t xml:space="preserve">IMP-PP6-077</t>
  </si>
  <si>
    <t xml:space="preserve">ODL100923</t>
  </si>
  <si>
    <t xml:space="preserve">IMP-SB5-014</t>
  </si>
  <si>
    <t xml:space="preserve">ODL103491</t>
  </si>
  <si>
    <t xml:space="preserve">IMP-CT2-008</t>
  </si>
  <si>
    <t xml:space="preserve">ODL100686</t>
  </si>
  <si>
    <t xml:space="preserve">IMP-CT3-110</t>
  </si>
  <si>
    <t xml:space="preserve">ODL101098</t>
  </si>
  <si>
    <t xml:space="preserve">IMP-FF9-073</t>
  </si>
  <si>
    <t xml:space="preserve">ODL103018</t>
  </si>
  <si>
    <t xml:space="preserve">IMP-CT3-073</t>
  </si>
  <si>
    <t xml:space="preserve">ODL101275</t>
  </si>
  <si>
    <t xml:space="preserve">ODL100994</t>
  </si>
  <si>
    <t xml:space="preserve">IMP-CT3-128</t>
  </si>
  <si>
    <t xml:space="preserve">ODL102823</t>
  </si>
  <si>
    <t xml:space="preserve">IMP-TS1-242</t>
  </si>
  <si>
    <t xml:space="preserve">ODL102712</t>
  </si>
  <si>
    <t xml:space="preserve">IMP-PP6-007</t>
  </si>
  <si>
    <t xml:space="preserve">ODL104131</t>
  </si>
  <si>
    <t xml:space="preserve">IMP-CT2-123</t>
  </si>
  <si>
    <t xml:space="preserve">ODL100981</t>
  </si>
  <si>
    <t xml:space="preserve">ODL101679</t>
  </si>
  <si>
    <t xml:space="preserve">IMP-SV8-099</t>
  </si>
  <si>
    <t xml:space="preserve">ODL100102</t>
  </si>
  <si>
    <t xml:space="preserve">IMP-FF9-082</t>
  </si>
  <si>
    <t xml:space="preserve">ODL101992</t>
  </si>
  <si>
    <t xml:space="preserve">IMP-SB5-004</t>
  </si>
  <si>
    <t xml:space="preserve">ODL104082</t>
  </si>
  <si>
    <t xml:space="preserve">IMP-TS1-172</t>
  </si>
  <si>
    <t xml:space="preserve">ODL101817</t>
  </si>
  <si>
    <t xml:space="preserve">IMP-HL4-075</t>
  </si>
  <si>
    <t xml:space="preserve">ODL101921</t>
  </si>
  <si>
    <t xml:space="preserve">IMP-SB5-032</t>
  </si>
  <si>
    <t xml:space="preserve">ODL100177</t>
  </si>
  <si>
    <t xml:space="preserve">IMP-TS1-085</t>
  </si>
  <si>
    <t xml:space="preserve">ODL104067</t>
  </si>
  <si>
    <t xml:space="preserve">IMP-CD7-342</t>
  </si>
  <si>
    <t xml:space="preserve">ODL103991</t>
  </si>
  <si>
    <t xml:space="preserve">ODL101219</t>
  </si>
  <si>
    <t xml:space="preserve">IMP-CD7-127</t>
  </si>
  <si>
    <t xml:space="preserve">ODL100934</t>
  </si>
  <si>
    <t xml:space="preserve">IMP-SV8-167</t>
  </si>
  <si>
    <t xml:space="preserve">ODL101563</t>
  </si>
  <si>
    <t xml:space="preserve">IMP-SB5-092</t>
  </si>
  <si>
    <t xml:space="preserve">ODL101224</t>
  </si>
  <si>
    <t xml:space="preserve">IMP-CD7-002</t>
  </si>
  <si>
    <t xml:space="preserve">ODL102069</t>
  </si>
  <si>
    <t xml:space="preserve">IMP-SV8-153</t>
  </si>
  <si>
    <t xml:space="preserve">ODL100903</t>
  </si>
  <si>
    <t xml:space="preserve">IMP-SB5-008</t>
  </si>
  <si>
    <t xml:space="preserve">ODL102960</t>
  </si>
  <si>
    <t xml:space="preserve">IMP-CT2-143</t>
  </si>
  <si>
    <t xml:space="preserve">ODL102050</t>
  </si>
  <si>
    <t xml:space="preserve">ODL102575</t>
  </si>
  <si>
    <t xml:space="preserve">IMP-CT2-116</t>
  </si>
  <si>
    <t xml:space="preserve">ODL102780</t>
  </si>
  <si>
    <t xml:space="preserve">ODL101841</t>
  </si>
  <si>
    <t xml:space="preserve">IMP-CD7-326</t>
  </si>
  <si>
    <t xml:space="preserve">ODL103443</t>
  </si>
  <si>
    <t xml:space="preserve">IMP-CT3-085</t>
  </si>
  <si>
    <t xml:space="preserve">ODL101622</t>
  </si>
  <si>
    <t xml:space="preserve">IMP-HL4-231</t>
  </si>
  <si>
    <t xml:space="preserve">ODL102180</t>
  </si>
  <si>
    <t xml:space="preserve">IMP-TS1-008</t>
  </si>
  <si>
    <t xml:space="preserve">ODL101619</t>
  </si>
  <si>
    <t xml:space="preserve">IMP-CT3-005</t>
  </si>
  <si>
    <t xml:space="preserve">ODL101653</t>
  </si>
  <si>
    <t xml:space="preserve">IMP-CT2-185</t>
  </si>
  <si>
    <t xml:space="preserve">ODL101459</t>
  </si>
  <si>
    <t xml:space="preserve">ODL103544</t>
  </si>
  <si>
    <t xml:space="preserve">IMP-FF9-074</t>
  </si>
  <si>
    <t xml:space="preserve">ODL102427</t>
  </si>
  <si>
    <t xml:space="preserve">IMP-SB5-116</t>
  </si>
  <si>
    <t xml:space="preserve">ODL100343</t>
  </si>
  <si>
    <t xml:space="preserve">IMP-CD7-047</t>
  </si>
  <si>
    <t xml:space="preserve">ODL101359</t>
  </si>
  <si>
    <t xml:space="preserve">IMP-CT3-056</t>
  </si>
  <si>
    <t xml:space="preserve">ODL103223</t>
  </si>
  <si>
    <t xml:space="preserve">IMP-FF9-089</t>
  </si>
  <si>
    <t xml:space="preserve">ODL101078</t>
  </si>
  <si>
    <t xml:space="preserve">IMP-TS1-234</t>
  </si>
  <si>
    <t xml:space="preserve">ODL101804</t>
  </si>
  <si>
    <t xml:space="preserve">IMP-SV8-001</t>
  </si>
  <si>
    <t xml:space="preserve">ODL100290</t>
  </si>
  <si>
    <t xml:space="preserve">ODL100835</t>
  </si>
  <si>
    <t xml:space="preserve">IMP-CT2-029</t>
  </si>
  <si>
    <t xml:space="preserve">ODL103873</t>
  </si>
  <si>
    <t xml:space="preserve">ODL100996</t>
  </si>
  <si>
    <t xml:space="preserve">IMP-CT3-008</t>
  </si>
  <si>
    <t xml:space="preserve">ODL100925</t>
  </si>
  <si>
    <t xml:space="preserve">IMP-PP6-114</t>
  </si>
  <si>
    <t xml:space="preserve">ODL100943</t>
  </si>
  <si>
    <t xml:space="preserve">IMP-TS1-161</t>
  </si>
  <si>
    <t xml:space="preserve">ODL102231</t>
  </si>
  <si>
    <t xml:space="preserve">IMP-CT3-141</t>
  </si>
  <si>
    <t xml:space="preserve">ODL102236</t>
  </si>
  <si>
    <t xml:space="preserve">IMP-TN0-305</t>
  </si>
  <si>
    <t xml:space="preserve">ODL104068</t>
  </si>
  <si>
    <t xml:space="preserve">IMP-TN0-123</t>
  </si>
  <si>
    <t xml:space="preserve">ODL103800</t>
  </si>
  <si>
    <t xml:space="preserve">IMP-TS1-007</t>
  </si>
  <si>
    <t xml:space="preserve">ODL102142</t>
  </si>
  <si>
    <t xml:space="preserve">IMP-HL4-331</t>
  </si>
  <si>
    <t xml:space="preserve">ODL102505</t>
  </si>
  <si>
    <t xml:space="preserve">IMP-FF9-023</t>
  </si>
  <si>
    <t xml:space="preserve">ODL100060</t>
  </si>
  <si>
    <t xml:space="preserve">IMP-TS1-062</t>
  </si>
  <si>
    <t xml:space="preserve">ODL100112</t>
  </si>
  <si>
    <t xml:space="preserve">IMP-SB5-053</t>
  </si>
  <si>
    <t xml:space="preserve">ODL102087</t>
  </si>
  <si>
    <t xml:space="preserve">IMP-TS1-179</t>
  </si>
  <si>
    <t xml:space="preserve">ODL101008</t>
  </si>
  <si>
    <t xml:space="preserve">IMP-TN0-204</t>
  </si>
  <si>
    <t xml:space="preserve">ODL103306</t>
  </si>
  <si>
    <t xml:space="preserve">IMP-SB5-037</t>
  </si>
  <si>
    <t xml:space="preserve">ODL101068</t>
  </si>
  <si>
    <t xml:space="preserve">IMP-CD7-303</t>
  </si>
  <si>
    <t xml:space="preserve">ODL104047</t>
  </si>
  <si>
    <t xml:space="preserve">IMP-SB5-011</t>
  </si>
  <si>
    <t xml:space="preserve">ODL100270</t>
  </si>
  <si>
    <t xml:space="preserve">IMP-SV8-036</t>
  </si>
  <si>
    <t xml:space="preserve">ODL102916</t>
  </si>
  <si>
    <t xml:space="preserve">IMP-CD7-090</t>
  </si>
  <si>
    <t xml:space="preserve">ODL100170</t>
  </si>
  <si>
    <t xml:space="preserve">IMP-TN0-266</t>
  </si>
  <si>
    <t xml:space="preserve">ODL103449</t>
  </si>
  <si>
    <t xml:space="preserve">IMP-SB5-091</t>
  </si>
  <si>
    <t xml:space="preserve">ODL104106</t>
  </si>
  <si>
    <t xml:space="preserve">IMP-CT3-041</t>
  </si>
  <si>
    <t xml:space="preserve">ODL102798</t>
  </si>
  <si>
    <t xml:space="preserve">IMP-FF9-058</t>
  </si>
  <si>
    <t xml:space="preserve">ODL100063</t>
  </si>
  <si>
    <t xml:space="preserve">IMP-CT3-072</t>
  </si>
  <si>
    <t xml:space="preserve">ODL103642</t>
  </si>
  <si>
    <t xml:space="preserve">IMP-SB5-082</t>
  </si>
  <si>
    <t xml:space="preserve">ODL101293</t>
  </si>
  <si>
    <t xml:space="preserve">IMP-FF9-093</t>
  </si>
  <si>
    <t xml:space="preserve">ODL100613</t>
  </si>
  <si>
    <t xml:space="preserve">IMP-CT3-114</t>
  </si>
  <si>
    <t xml:space="preserve">ODL101964</t>
  </si>
  <si>
    <t xml:space="preserve">IMP-TN0-007</t>
  </si>
  <si>
    <t xml:space="preserve">ODL100297</t>
  </si>
  <si>
    <t xml:space="preserve">IMP-PP6-138</t>
  </si>
  <si>
    <t xml:space="preserve">ODL101212</t>
  </si>
  <si>
    <t xml:space="preserve">IMP-CD7-332</t>
  </si>
  <si>
    <t xml:space="preserve">ODL103026</t>
  </si>
  <si>
    <t xml:space="preserve">IMP-SV8-071</t>
  </si>
  <si>
    <t xml:space="preserve">ODL100683</t>
  </si>
  <si>
    <t xml:space="preserve">IMP-FF9-014</t>
  </si>
  <si>
    <t xml:space="preserve">ODL103735</t>
  </si>
  <si>
    <t xml:space="preserve">ODL101405</t>
  </si>
  <si>
    <t xml:space="preserve">IMP-CD7-173</t>
  </si>
  <si>
    <t xml:space="preserve">ODL100212</t>
  </si>
  <si>
    <t xml:space="preserve">IMP-CT3-021</t>
  </si>
  <si>
    <t xml:space="preserve">ODL102709</t>
  </si>
  <si>
    <t xml:space="preserve">IMP-PP6-087</t>
  </si>
  <si>
    <t xml:space="preserve">ODL103146</t>
  </si>
  <si>
    <t xml:space="preserve">IMP-CD7-214</t>
  </si>
  <si>
    <t xml:space="preserve">ODL102433</t>
  </si>
  <si>
    <t xml:space="preserve">IMP-CT3-160</t>
  </si>
  <si>
    <t xml:space="preserve">ODL101371</t>
  </si>
  <si>
    <t xml:space="preserve">IMP-PP6-088</t>
  </si>
  <si>
    <t xml:space="preserve">ODL100949</t>
  </si>
  <si>
    <t xml:space="preserve">IMP-CT3-146</t>
  </si>
  <si>
    <t xml:space="preserve">ODL102074</t>
  </si>
  <si>
    <t xml:space="preserve">IMP-SV8-214</t>
  </si>
  <si>
    <t xml:space="preserve">ODL100263</t>
  </si>
  <si>
    <t xml:space="preserve">IMP-SB5-124</t>
  </si>
  <si>
    <t xml:space="preserve">ODL100159</t>
  </si>
  <si>
    <t xml:space="preserve">ODL103747</t>
  </si>
  <si>
    <t xml:space="preserve">IMP-CD7-004</t>
  </si>
  <si>
    <t xml:space="preserve">ODL100796</t>
  </si>
  <si>
    <t xml:space="preserve">ODL102511</t>
  </si>
  <si>
    <t xml:space="preserve">IMP-CT2-060</t>
  </si>
  <si>
    <t xml:space="preserve">ODL101818</t>
  </si>
  <si>
    <t xml:space="preserve">IMP-HL4-214</t>
  </si>
  <si>
    <t xml:space="preserve">ODL103145</t>
  </si>
  <si>
    <t xml:space="preserve">IMP-FF9-084</t>
  </si>
  <si>
    <t xml:space="preserve">ODL104148</t>
  </si>
  <si>
    <t xml:space="preserve">IMP-CT3-159</t>
  </si>
  <si>
    <t xml:space="preserve">ODL102464</t>
  </si>
  <si>
    <t xml:space="preserve">IMP-SV8-072</t>
  </si>
  <si>
    <t xml:space="preserve">ODL102779</t>
  </si>
  <si>
    <t xml:space="preserve">IMP-HL4-313</t>
  </si>
  <si>
    <t xml:space="preserve">ODL104170</t>
  </si>
  <si>
    <t xml:space="preserve">ODL103923</t>
  </si>
  <si>
    <t xml:space="preserve">ODL101135</t>
  </si>
  <si>
    <t xml:space="preserve">IMP-PP6-137</t>
  </si>
  <si>
    <t xml:space="preserve">ODL103494</t>
  </si>
  <si>
    <t xml:space="preserve">ODL100697</t>
  </si>
  <si>
    <t xml:space="preserve">IMP-SB5-001</t>
  </si>
  <si>
    <t xml:space="preserve">ODL101768</t>
  </si>
  <si>
    <t xml:space="preserve">IMP-FF9-044</t>
  </si>
  <si>
    <t xml:space="preserve">ODL101476</t>
  </si>
  <si>
    <t xml:space="preserve">ODL101146</t>
  </si>
  <si>
    <t xml:space="preserve">ODL101913</t>
  </si>
  <si>
    <t xml:space="preserve">IMP-CT3-025</t>
  </si>
  <si>
    <t xml:space="preserve">ODL103866</t>
  </si>
  <si>
    <t xml:space="preserve">ODL101934</t>
  </si>
  <si>
    <t xml:space="preserve">IMP-FF9-028</t>
  </si>
  <si>
    <t xml:space="preserve">ODL104113</t>
  </si>
  <si>
    <t xml:space="preserve">IMP-CT2-093</t>
  </si>
  <si>
    <t xml:space="preserve">ODL101539</t>
  </si>
  <si>
    <t xml:space="preserve">IMP-HL4-251</t>
  </si>
  <si>
    <t xml:space="preserve">ODL103830</t>
  </si>
  <si>
    <t xml:space="preserve">IMP-TS1-002</t>
  </si>
  <si>
    <t xml:space="preserve">ODL102669</t>
  </si>
  <si>
    <t xml:space="preserve">IMP-SV8-018</t>
  </si>
  <si>
    <t xml:space="preserve">ODL103904</t>
  </si>
  <si>
    <t xml:space="preserve">IMP-TS1-025</t>
  </si>
  <si>
    <t xml:space="preserve">ODL102411</t>
  </si>
  <si>
    <t xml:space="preserve">IMP-TS1-243</t>
  </si>
  <si>
    <t xml:space="preserve">ODL102488</t>
  </si>
  <si>
    <t xml:space="preserve">IMP-FF9-075</t>
  </si>
  <si>
    <t xml:space="preserve">ODL100662</t>
  </si>
  <si>
    <t xml:space="preserve">IMP-SV8-082</t>
  </si>
  <si>
    <t xml:space="preserve">ODL101966</t>
  </si>
  <si>
    <t xml:space="preserve">IMP-FF9-085</t>
  </si>
  <si>
    <t xml:space="preserve">ODL101445</t>
  </si>
  <si>
    <t xml:space="preserve">ODL100424</t>
  </si>
  <si>
    <t xml:space="preserve">IMP-SV8-057</t>
  </si>
  <si>
    <t xml:space="preserve">ODL103956</t>
  </si>
  <si>
    <t xml:space="preserve">IMP-SV8-222</t>
  </si>
  <si>
    <t xml:space="preserve">ODL100304</t>
  </si>
  <si>
    <t xml:space="preserve">IMP-CT2-010</t>
  </si>
  <si>
    <t xml:space="preserve">ODL100175</t>
  </si>
  <si>
    <t xml:space="preserve">IMP-PP6-135</t>
  </si>
  <si>
    <t xml:space="preserve">ODL102852</t>
  </si>
  <si>
    <t xml:space="preserve">IMP-PP6-005</t>
  </si>
  <si>
    <t xml:space="preserve">ODL103164</t>
  </si>
  <si>
    <t xml:space="preserve">IMP-TS1-001</t>
  </si>
  <si>
    <t xml:space="preserve">ODL103874</t>
  </si>
  <si>
    <t xml:space="preserve">IMP-HL4-087</t>
  </si>
  <si>
    <t xml:space="preserve">ODL101289</t>
  </si>
  <si>
    <t xml:space="preserve">IMP-TN0-261</t>
  </si>
  <si>
    <t xml:space="preserve">ODL100570</t>
  </si>
  <si>
    <t xml:space="preserve">ODL102614</t>
  </si>
  <si>
    <t xml:space="preserve">IMP-SV8-177</t>
  </si>
  <si>
    <t xml:space="preserve">ODL103207</t>
  </si>
  <si>
    <t xml:space="preserve">IMP-SV8-121</t>
  </si>
  <si>
    <t xml:space="preserve">ODL103468</t>
  </si>
  <si>
    <t xml:space="preserve">IMP-CD7-187</t>
  </si>
  <si>
    <t xml:space="preserve">ODL101417</t>
  </si>
  <si>
    <t xml:space="preserve">IMP-CT2-174</t>
  </si>
  <si>
    <t xml:space="preserve">ODL100476</t>
  </si>
  <si>
    <t xml:space="preserve">IMP-SV8-115</t>
  </si>
  <si>
    <t xml:space="preserve">ODL102909</t>
  </si>
  <si>
    <t xml:space="preserve">IMP-SV8-097</t>
  </si>
  <si>
    <t xml:space="preserve">ODL102768</t>
  </si>
  <si>
    <t xml:space="preserve">ODL100324</t>
  </si>
  <si>
    <t xml:space="preserve">IMP-PP6-082</t>
  </si>
  <si>
    <t xml:space="preserve">ODL103289</t>
  </si>
  <si>
    <t xml:space="preserve">IMP-TN0-018</t>
  </si>
  <si>
    <t xml:space="preserve">ODL101946</t>
  </si>
  <si>
    <t xml:space="preserve">IMP-PP6-173</t>
  </si>
  <si>
    <t xml:space="preserve">ODL102565</t>
  </si>
  <si>
    <t xml:space="preserve">IMP-SB5-083</t>
  </si>
  <si>
    <t xml:space="preserve">ODL102713</t>
  </si>
  <si>
    <t xml:space="preserve">IMP-FF9-094</t>
  </si>
  <si>
    <t xml:space="preserve">ODL101547</t>
  </si>
  <si>
    <t xml:space="preserve">IMP-TS1-139</t>
  </si>
  <si>
    <t xml:space="preserve">ODL102836</t>
  </si>
  <si>
    <t xml:space="preserve">IMP-TS1-046</t>
  </si>
  <si>
    <t xml:space="preserve">ODL100891</t>
  </si>
  <si>
    <t xml:space="preserve">IMP-PP6-064</t>
  </si>
  <si>
    <t xml:space="preserve">ODL102385</t>
  </si>
  <si>
    <t xml:space="preserve">IMP-HL4-323</t>
  </si>
  <si>
    <t xml:space="preserve">ODL103334</t>
  </si>
  <si>
    <t xml:space="preserve">ODL103613</t>
  </si>
  <si>
    <t xml:space="preserve">IMP-CD7-225</t>
  </si>
  <si>
    <t xml:space="preserve">ODL100398</t>
  </si>
  <si>
    <t xml:space="preserve">ODL102657</t>
  </si>
  <si>
    <t xml:space="preserve">IMP-SB5-078</t>
  </si>
  <si>
    <t xml:space="preserve">ODL103853</t>
  </si>
  <si>
    <t xml:space="preserve">IMP-CT3-124</t>
  </si>
  <si>
    <t xml:space="preserve">ODL102649</t>
  </si>
  <si>
    <t xml:space="preserve">IMP-CT2-001</t>
  </si>
  <si>
    <t xml:space="preserve">ODL103330</t>
  </si>
  <si>
    <t xml:space="preserve">IMP-CT3-060</t>
  </si>
  <si>
    <t xml:space="preserve">ODL102403</t>
  </si>
  <si>
    <t xml:space="preserve">IMP-FF9-103</t>
  </si>
  <si>
    <t xml:space="preserve">ODL103280</t>
  </si>
  <si>
    <t xml:space="preserve">IMP-TS1-005</t>
  </si>
  <si>
    <t xml:space="preserve">ODL104190</t>
  </si>
  <si>
    <t xml:space="preserve">IMP-PP6-164</t>
  </si>
  <si>
    <t xml:space="preserve">ODL100386</t>
  </si>
  <si>
    <t xml:space="preserve">IMP-CT2-117</t>
  </si>
  <si>
    <t xml:space="preserve">ODL100967</t>
  </si>
  <si>
    <t xml:space="preserve">IMP-CT2-031</t>
  </si>
  <si>
    <t xml:space="preserve">ODL101618</t>
  </si>
  <si>
    <t xml:space="preserve">IMP-PP6-063</t>
  </si>
  <si>
    <t xml:space="preserve">ODL102946</t>
  </si>
  <si>
    <t xml:space="preserve">IMP-TS1-267</t>
  </si>
  <si>
    <t xml:space="preserve">ODL101392</t>
  </si>
  <si>
    <t xml:space="preserve">IMP-HL4-056</t>
  </si>
  <si>
    <t xml:space="preserve">ODL100220</t>
  </si>
  <si>
    <t xml:space="preserve">IMP-SV8-064</t>
  </si>
  <si>
    <t xml:space="preserve">ODL103760</t>
  </si>
  <si>
    <t xml:space="preserve">IMP-HL4-069</t>
  </si>
  <si>
    <t xml:space="preserve">ODL103052</t>
  </si>
  <si>
    <t xml:space="preserve">IMP-CD7-109</t>
  </si>
  <si>
    <t xml:space="preserve">ODL100155</t>
  </si>
  <si>
    <t xml:space="preserve">ODL102274</t>
  </si>
  <si>
    <t xml:space="preserve">IMP-TN0-258</t>
  </si>
  <si>
    <t xml:space="preserve">ODL102063</t>
  </si>
  <si>
    <t xml:space="preserve">IMP-HL4-319</t>
  </si>
  <si>
    <t xml:space="preserve">ODL102732</t>
  </si>
  <si>
    <t xml:space="preserve">IMP-CD7-112</t>
  </si>
  <si>
    <t xml:space="preserve">ODL103015</t>
  </si>
  <si>
    <t xml:space="preserve">IMP-SB5-040</t>
  </si>
  <si>
    <t xml:space="preserve">ODL103068</t>
  </si>
  <si>
    <t xml:space="preserve">IMP-SB5-036</t>
  </si>
  <si>
    <t xml:space="preserve">ODL104161</t>
  </si>
  <si>
    <t xml:space="preserve">IMP-SB5-112</t>
  </si>
  <si>
    <t xml:space="preserve">ODL100709</t>
  </si>
  <si>
    <t xml:space="preserve">IMP-HL4-083</t>
  </si>
  <si>
    <t xml:space="preserve">ODL101450</t>
  </si>
  <si>
    <t xml:space="preserve">IMP-PP6-003</t>
  </si>
  <si>
    <t xml:space="preserve">ODL103659</t>
  </si>
  <si>
    <t xml:space="preserve">IMP-SV8-003</t>
  </si>
  <si>
    <t xml:space="preserve">ODL102521</t>
  </si>
  <si>
    <t xml:space="preserve">IMP-TS1-255</t>
  </si>
  <si>
    <t xml:space="preserve">ODL101514</t>
  </si>
  <si>
    <t xml:space="preserve">IMP-FF9-019</t>
  </si>
  <si>
    <t xml:space="preserve">ODL103839</t>
  </si>
  <si>
    <t xml:space="preserve">IMP-HL4-021</t>
  </si>
  <si>
    <t xml:space="preserve">ODL100732</t>
  </si>
  <si>
    <t xml:space="preserve">ODL100914</t>
  </si>
  <si>
    <t xml:space="preserve">IMP-CT2-152</t>
  </si>
  <si>
    <t xml:space="preserve">ODL100584</t>
  </si>
  <si>
    <t xml:space="preserve">IMP-FF9-072</t>
  </si>
  <si>
    <t xml:space="preserve">ODL100542</t>
  </si>
  <si>
    <t xml:space="preserve">IMP-CD7-208</t>
  </si>
  <si>
    <t xml:space="preserve">ODL103530</t>
  </si>
  <si>
    <t xml:space="preserve">IMP-FF9-053</t>
  </si>
  <si>
    <t xml:space="preserve">ODL103424</t>
  </si>
  <si>
    <t xml:space="preserve">ODL101162</t>
  </si>
  <si>
    <t xml:space="preserve">IMP-CD7-007</t>
  </si>
  <si>
    <t xml:space="preserve">ODL102062</t>
  </si>
  <si>
    <t xml:space="preserve">IMP-CD7-001</t>
  </si>
  <si>
    <t xml:space="preserve">ODL103453</t>
  </si>
  <si>
    <t xml:space="preserve">IMP-HL4-355</t>
  </si>
  <si>
    <t xml:space="preserve">ODL103403</t>
  </si>
  <si>
    <t xml:space="preserve">IMP-FF9-097</t>
  </si>
  <si>
    <t xml:space="preserve">ODL100010</t>
  </si>
  <si>
    <t xml:space="preserve">IMP-CT2-194</t>
  </si>
  <si>
    <t xml:space="preserve">ODL102158</t>
  </si>
  <si>
    <t xml:space="preserve">ODL100809</t>
  </si>
  <si>
    <t xml:space="preserve">ODL101515</t>
  </si>
  <si>
    <t xml:space="preserve">IMP-TS1-131</t>
  </si>
  <si>
    <t xml:space="preserve">ODL101950</t>
  </si>
  <si>
    <t xml:space="preserve">IMP-FF9-048</t>
  </si>
  <si>
    <t xml:space="preserve">ODL104141</t>
  </si>
  <si>
    <t xml:space="preserve">ODL100396</t>
  </si>
  <si>
    <t xml:space="preserve">ODL101504</t>
  </si>
  <si>
    <t xml:space="preserve">ODL101081</t>
  </si>
  <si>
    <t xml:space="preserve">ODL100074</t>
  </si>
  <si>
    <t xml:space="preserve">ODL103712</t>
  </si>
  <si>
    <t xml:space="preserve">IMP-CD7-142</t>
  </si>
  <si>
    <t xml:space="preserve">ODL100197</t>
  </si>
  <si>
    <t xml:space="preserve">IMP-CT3-058</t>
  </si>
  <si>
    <t xml:space="preserve">ODL100830</t>
  </si>
  <si>
    <t xml:space="preserve">IMP-PP6-117</t>
  </si>
  <si>
    <t xml:space="preserve">ODL104035</t>
  </si>
  <si>
    <t xml:space="preserve">ODL103814</t>
  </si>
  <si>
    <t xml:space="preserve">IMP-PP6-070</t>
  </si>
  <si>
    <t xml:space="preserve">ODL103949</t>
  </si>
  <si>
    <t xml:space="preserve">IMP-HL4-177</t>
  </si>
  <si>
    <t xml:space="preserve">ODL102648</t>
  </si>
  <si>
    <t xml:space="preserve">ODL100307</t>
  </si>
  <si>
    <t xml:space="preserve">ODL100446</t>
  </si>
  <si>
    <t xml:space="preserve">IMP-SV8-012</t>
  </si>
  <si>
    <t xml:space="preserve">ODL103010</t>
  </si>
  <si>
    <t xml:space="preserve">IMP-PP6-107</t>
  </si>
  <si>
    <t xml:space="preserve">ODL102955</t>
  </si>
  <si>
    <t xml:space="preserve">IMP-CT2-181</t>
  </si>
  <si>
    <t xml:space="preserve">ODL103159</t>
  </si>
  <si>
    <t xml:space="preserve">IMP-CT2-068</t>
  </si>
  <si>
    <t xml:space="preserve">ODL101030</t>
  </si>
  <si>
    <t xml:space="preserve">IMP-HL4-064</t>
  </si>
  <si>
    <t xml:space="preserve">ODL103044</t>
  </si>
  <si>
    <t xml:space="preserve">IMP-HL4-085</t>
  </si>
  <si>
    <t xml:space="preserve">ODL100592</t>
  </si>
  <si>
    <t xml:space="preserve">IMP-TS1-213</t>
  </si>
  <si>
    <t xml:space="preserve">ODL103174</t>
  </si>
  <si>
    <t xml:space="preserve">IMP-SV8-005</t>
  </si>
  <si>
    <t xml:space="preserve">ODL102375</t>
  </si>
  <si>
    <t xml:space="preserve">IMP-TS1-149</t>
  </si>
  <si>
    <t xml:space="preserve">ODL101442</t>
  </si>
  <si>
    <t xml:space="preserve">IMP-SB5-033</t>
  </si>
  <si>
    <t xml:space="preserve">ODL104012</t>
  </si>
  <si>
    <t xml:space="preserve">IMP-SV8-104</t>
  </si>
  <si>
    <t xml:space="preserve">ODL102078</t>
  </si>
  <si>
    <t xml:space="preserve">IMP-HL4-393</t>
  </si>
  <si>
    <t xml:space="preserve">ODL101579</t>
  </si>
  <si>
    <t xml:space="preserve">ODL102289</t>
  </si>
  <si>
    <t xml:space="preserve">IMP-CT2-026</t>
  </si>
  <si>
    <t xml:space="preserve">ODL100846</t>
  </si>
  <si>
    <t xml:space="preserve">IMP-CT3-006</t>
  </si>
  <si>
    <t xml:space="preserve">ODL101472</t>
  </si>
  <si>
    <t xml:space="preserve">IMP-HL4-246</t>
  </si>
  <si>
    <t xml:space="preserve">ODL103981</t>
  </si>
  <si>
    <t xml:space="preserve">IMP-CT2-084</t>
  </si>
  <si>
    <t xml:space="preserve">ODL102882</t>
  </si>
  <si>
    <t xml:space="preserve">ODL101232</t>
  </si>
  <si>
    <t xml:space="preserve">IMP-CT2-112</t>
  </si>
  <si>
    <t xml:space="preserve">ODL101697</t>
  </si>
  <si>
    <t xml:space="preserve">ODL102463</t>
  </si>
  <si>
    <t xml:space="preserve">ODL103943</t>
  </si>
  <si>
    <t xml:space="preserve">ODL101334</t>
  </si>
  <si>
    <t xml:space="preserve">ODL102355</t>
  </si>
  <si>
    <t xml:space="preserve">IMP-TN0-295</t>
  </si>
  <si>
    <t xml:space="preserve">ODL100863</t>
  </si>
  <si>
    <t xml:space="preserve">IMP-PP6-095</t>
  </si>
  <si>
    <t xml:space="preserve">ODL103243</t>
  </si>
  <si>
    <t xml:space="preserve">IMP-TN0-294</t>
  </si>
  <si>
    <t xml:space="preserve">ODL100500</t>
  </si>
  <si>
    <t xml:space="preserve">IMP-PP6-065</t>
  </si>
  <si>
    <t xml:space="preserve">ODL100569</t>
  </si>
  <si>
    <t xml:space="preserve">ODL103153</t>
  </si>
  <si>
    <t xml:space="preserve">ODL102460</t>
  </si>
  <si>
    <t xml:space="preserve">IMP-SV8-112</t>
  </si>
  <si>
    <t xml:space="preserve">ODL100529</t>
  </si>
  <si>
    <t xml:space="preserve">IMP-HL4-338</t>
  </si>
  <si>
    <t xml:space="preserve">ODL101448</t>
  </si>
  <si>
    <t xml:space="preserve">ODL100456</t>
  </si>
  <si>
    <t xml:space="preserve">IMP-TN0-001</t>
  </si>
  <si>
    <t xml:space="preserve">ODL100279</t>
  </si>
  <si>
    <t xml:space="preserve">ODL102503</t>
  </si>
  <si>
    <t xml:space="preserve">ODL103994</t>
  </si>
  <si>
    <t xml:space="preserve">IMP-HL4-397</t>
  </si>
  <si>
    <t xml:space="preserve">ODL101774</t>
  </si>
  <si>
    <t xml:space="preserve">ODL101281</t>
  </si>
  <si>
    <t xml:space="preserve">ODL104002</t>
  </si>
  <si>
    <t xml:space="preserve">ODL103434</t>
  </si>
  <si>
    <t xml:space="preserve">IMP-CD7-104</t>
  </si>
  <si>
    <t xml:space="preserve">ODL100877</t>
  </si>
  <si>
    <t xml:space="preserve">IMP-FF9-040</t>
  </si>
  <si>
    <t xml:space="preserve">ODL102512</t>
  </si>
  <si>
    <t xml:space="preserve">IMP-SB5-017</t>
  </si>
  <si>
    <t xml:space="preserve">ODL102762</t>
  </si>
  <si>
    <t xml:space="preserve">IMP-CT2-142</t>
  </si>
  <si>
    <t xml:space="preserve">ODL102013</t>
  </si>
  <si>
    <t xml:space="preserve">IMP-HL4-155</t>
  </si>
  <si>
    <t xml:space="preserve">ODL101398</t>
  </si>
  <si>
    <t xml:space="preserve">IMP-FF9-021</t>
  </si>
  <si>
    <t xml:space="preserve">ODL102891</t>
  </si>
  <si>
    <t xml:space="preserve">IMP-CD7-181</t>
  </si>
  <si>
    <t xml:space="preserve">ODL103505</t>
  </si>
  <si>
    <t xml:space="preserve">IMP-TS1-163</t>
  </si>
  <si>
    <t xml:space="preserve">ODL103646</t>
  </si>
  <si>
    <t xml:space="preserve">IMP-CT3-076</t>
  </si>
  <si>
    <t xml:space="preserve">ODL103286</t>
  </si>
  <si>
    <t xml:space="preserve">IMP-FF9-059</t>
  </si>
  <si>
    <t xml:space="preserve">ODL102201</t>
  </si>
  <si>
    <t xml:space="preserve">ODL102421</t>
  </si>
  <si>
    <t xml:space="preserve">IMP-CD7-252</t>
  </si>
  <si>
    <t xml:space="preserve">ODL102428</t>
  </si>
  <si>
    <t xml:space="preserve">ODL102340</t>
  </si>
  <si>
    <t xml:space="preserve">IMP-CD7-299</t>
  </si>
  <si>
    <t xml:space="preserve">ODL103499</t>
  </si>
  <si>
    <t xml:space="preserve">ODL104128</t>
  </si>
  <si>
    <t xml:space="preserve">IMP-HL4-119</t>
  </si>
  <si>
    <t xml:space="preserve">ODL101019</t>
  </si>
  <si>
    <t xml:space="preserve">IMP-TS1-239</t>
  </si>
  <si>
    <t xml:space="preserve">ODL102286</t>
  </si>
  <si>
    <t xml:space="preserve">ODL102848</t>
  </si>
  <si>
    <t xml:space="preserve">IMP-TN0-262</t>
  </si>
  <si>
    <t xml:space="preserve">ODL101552</t>
  </si>
  <si>
    <t xml:space="preserve">IMP-PP6-054</t>
  </si>
  <si>
    <t xml:space="preserve">ODL101597</t>
  </si>
  <si>
    <t xml:space="preserve">IMP-TS1-041</t>
  </si>
  <si>
    <t xml:space="preserve">ODL102226</t>
  </si>
  <si>
    <t xml:space="preserve">IMP-PP6-167</t>
  </si>
  <si>
    <t xml:space="preserve">ODL104033</t>
  </si>
  <si>
    <t xml:space="preserve">IMP-CD7-188</t>
  </si>
  <si>
    <t xml:space="preserve">ODL101290</t>
  </si>
  <si>
    <t xml:space="preserve">IMP-CD7-276</t>
  </si>
  <si>
    <t xml:space="preserve">ODL103408</t>
  </si>
  <si>
    <t xml:space="preserve">ODL100995</t>
  </si>
  <si>
    <t xml:space="preserve">ODL101750</t>
  </si>
  <si>
    <t xml:space="preserve">ODL101457</t>
  </si>
  <si>
    <t xml:space="preserve">IMP-CT2-209</t>
  </si>
  <si>
    <t xml:space="preserve">ODL104112</t>
  </si>
  <si>
    <t xml:space="preserve">ODL102530</t>
  </si>
  <si>
    <t xml:space="preserve">ODL103170</t>
  </si>
  <si>
    <t xml:space="preserve">ODL102107</t>
  </si>
  <si>
    <t xml:space="preserve">IMP-CT2-049</t>
  </si>
  <si>
    <t xml:space="preserve">ODL101592</t>
  </si>
  <si>
    <t xml:space="preserve">ODL102086</t>
  </si>
  <si>
    <t xml:space="preserve">IMP-FF9-013</t>
  </si>
  <si>
    <t xml:space="preserve">ODL102298</t>
  </si>
  <si>
    <t xml:space="preserve">IMP-HL4-005</t>
  </si>
  <si>
    <t xml:space="preserve">ODL103821</t>
  </si>
  <si>
    <t xml:space="preserve">ODL101707</t>
  </si>
  <si>
    <t xml:space="preserve">ODL103373</t>
  </si>
  <si>
    <t xml:space="preserve">IMP-SV8-056</t>
  </si>
  <si>
    <t xml:space="preserve">ODL102577</t>
  </si>
  <si>
    <t xml:space="preserve">IMP-TN0-310</t>
  </si>
  <si>
    <t xml:space="preserve">ODL101816</t>
  </si>
  <si>
    <t xml:space="preserve">IMP-TN0-285</t>
  </si>
  <si>
    <t xml:space="preserve">ODL100057</t>
  </si>
  <si>
    <t xml:space="preserve">ODL100498</t>
  </si>
  <si>
    <t xml:space="preserve">ODL103520</t>
  </si>
  <si>
    <t xml:space="preserve">IMP-CT3-095</t>
  </si>
  <si>
    <t xml:space="preserve">ODL103706</t>
  </si>
  <si>
    <t xml:space="preserve">IMP-SV8-090</t>
  </si>
  <si>
    <t xml:space="preserve">ODL101057</t>
  </si>
  <si>
    <t xml:space="preserve">IMP-PP6-051</t>
  </si>
  <si>
    <t xml:space="preserve">ODL103553</t>
  </si>
  <si>
    <t xml:space="preserve">IMP-CT3-096</t>
  </si>
  <si>
    <t xml:space="preserve">ODL101500</t>
  </si>
  <si>
    <t xml:space="preserve">IMP-SV8-038</t>
  </si>
  <si>
    <t xml:space="preserve">ODL103176</t>
  </si>
  <si>
    <t xml:space="preserve">IMP-CT2-063</t>
  </si>
  <si>
    <t xml:space="preserve">ODL101897</t>
  </si>
  <si>
    <t xml:space="preserve">IMP-FF9-006</t>
  </si>
  <si>
    <t xml:space="preserve">ODL103152</t>
  </si>
  <si>
    <t xml:space="preserve">IMP-SB5-120</t>
  </si>
  <si>
    <t xml:space="preserve">ODL103092</t>
  </si>
  <si>
    <t xml:space="preserve">ODL101043</t>
  </si>
  <si>
    <t xml:space="preserve">ODL101533</t>
  </si>
  <si>
    <t xml:space="preserve">IMP-CT3-001</t>
  </si>
  <si>
    <t xml:space="preserve">ODL100093</t>
  </si>
  <si>
    <t xml:space="preserve">IMP-PP6-040</t>
  </si>
  <si>
    <t xml:space="preserve">ODL103392</t>
  </si>
  <si>
    <t xml:space="preserve">IMP-HL4-061</t>
  </si>
  <si>
    <t xml:space="preserve">ODL100150</t>
  </si>
  <si>
    <t xml:space="preserve">IMP-FF9-037</t>
  </si>
  <si>
    <t xml:space="preserve">ODL103356</t>
  </si>
  <si>
    <t xml:space="preserve">ODL100375</t>
  </si>
  <si>
    <t xml:space="preserve">ODL101553</t>
  </si>
  <si>
    <t xml:space="preserve">ODL101938</t>
  </si>
  <si>
    <t xml:space="preserve">IMP-HL4-226</t>
  </si>
  <si>
    <t xml:space="preserve">ODL103990</t>
  </si>
  <si>
    <t xml:space="preserve">ODL100117</t>
  </si>
  <si>
    <t xml:space="preserve">IMP-PP6-126</t>
  </si>
  <si>
    <t xml:space="preserve">ODL100193</t>
  </si>
  <si>
    <t xml:space="preserve">IMP-FF9-007</t>
  </si>
  <si>
    <t xml:space="preserve">ODL100318</t>
  </si>
  <si>
    <t xml:space="preserve">IMP-TN0-114</t>
  </si>
  <si>
    <t xml:space="preserve">ODL102680</t>
  </si>
  <si>
    <t xml:space="preserve">ODL101932</t>
  </si>
  <si>
    <t xml:space="preserve">IMP-CD7-204</t>
  </si>
  <si>
    <t xml:space="preserve">ODL100395</t>
  </si>
  <si>
    <t xml:space="preserve">ODL101732</t>
  </si>
  <si>
    <t xml:space="preserve">IMP-PP6-012</t>
  </si>
  <si>
    <t xml:space="preserve">ODL100359</t>
  </si>
  <si>
    <t xml:space="preserve">ODL103758</t>
  </si>
  <si>
    <t xml:space="preserve">IMP-TN0-008</t>
  </si>
  <si>
    <t xml:space="preserve">ODL102459</t>
  </si>
  <si>
    <t xml:space="preserve">IMP-CT3-151</t>
  </si>
  <si>
    <t xml:space="preserve">ODL102042</t>
  </si>
  <si>
    <t xml:space="preserve">ODL102603</t>
  </si>
  <si>
    <t xml:space="preserve">ODL101091</t>
  </si>
  <si>
    <t xml:space="preserve">IMP-PP6-075</t>
  </si>
  <si>
    <t xml:space="preserve">ODL102591</t>
  </si>
  <si>
    <t xml:space="preserve">IMP-PP6-175</t>
  </si>
  <si>
    <t xml:space="preserve">ODL102963</t>
  </si>
  <si>
    <t xml:space="preserve">IMP-TN0-002</t>
  </si>
  <si>
    <t xml:space="preserve">ODL101778</t>
  </si>
  <si>
    <t xml:space="preserve">IMP-TN0-006</t>
  </si>
  <si>
    <t xml:space="preserve">ODL101462</t>
  </si>
  <si>
    <t xml:space="preserve">IMP-HL4-199</t>
  </si>
  <si>
    <t xml:space="preserve">ODL100050</t>
  </si>
  <si>
    <t xml:space="preserve">IMP-HL4-277</t>
  </si>
  <si>
    <t xml:space="preserve">ODL102819</t>
  </si>
  <si>
    <t xml:space="preserve">IMP-CT2-085</t>
  </si>
  <si>
    <t xml:space="preserve">ODL101701</t>
  </si>
  <si>
    <t xml:space="preserve">IMP-HL4-003</t>
  </si>
  <si>
    <t xml:space="preserve">ODL100608</t>
  </si>
  <si>
    <t xml:space="preserve">IMP-SB5-065</t>
  </si>
  <si>
    <t xml:space="preserve">ODL101924</t>
  </si>
  <si>
    <t xml:space="preserve">IMP-SB5-056</t>
  </si>
  <si>
    <t xml:space="preserve">ODL100782</t>
  </si>
  <si>
    <t xml:space="preserve">IMP-HL4-367</t>
  </si>
  <si>
    <t xml:space="preserve">ODL103869</t>
  </si>
  <si>
    <t xml:space="preserve">ODL101233</t>
  </si>
  <si>
    <t xml:space="preserve">IMP-CD7-242</t>
  </si>
  <si>
    <t xml:space="preserve">ODL103806</t>
  </si>
  <si>
    <t xml:space="preserve">ODL100715</t>
  </si>
  <si>
    <t xml:space="preserve">IMP-CT2-071</t>
  </si>
  <si>
    <t xml:space="preserve">ODL100936</t>
  </si>
  <si>
    <t xml:space="preserve">ODL102196</t>
  </si>
  <si>
    <t xml:space="preserve">IMP-SV8-206</t>
  </si>
  <si>
    <t xml:space="preserve">ODL101315</t>
  </si>
  <si>
    <t xml:space="preserve">IMP-CD7-234</t>
  </si>
  <si>
    <t xml:space="preserve">ODL102012</t>
  </si>
  <si>
    <t xml:space="preserve">ODL101168</t>
  </si>
  <si>
    <t xml:space="preserve">IMP-TS1-114</t>
  </si>
  <si>
    <t xml:space="preserve">ODL101231</t>
  </si>
  <si>
    <t xml:space="preserve">ODL101251</t>
  </si>
  <si>
    <t xml:space="preserve">IMP-CT3-071</t>
  </si>
  <si>
    <t xml:space="preserve">ODL104084</t>
  </si>
  <si>
    <t xml:space="preserve">ODL102817</t>
  </si>
  <si>
    <t xml:space="preserve">IMP-HL4-215</t>
  </si>
  <si>
    <t xml:space="preserve">ODL102689</t>
  </si>
  <si>
    <t xml:space="preserve">ODL101436</t>
  </si>
  <si>
    <t xml:space="preserve">IMP-CT2-108</t>
  </si>
  <si>
    <t xml:space="preserve">ODL103427</t>
  </si>
  <si>
    <t xml:space="preserve">IMP-TN0-108</t>
  </si>
  <si>
    <t xml:space="preserve">ODL103128</t>
  </si>
  <si>
    <t xml:space="preserve">IMP-TN0-210</t>
  </si>
  <si>
    <t xml:space="preserve">ODL102685</t>
  </si>
  <si>
    <t xml:space="preserve">IMP-HL4-185</t>
  </si>
  <si>
    <t xml:space="preserve">ODL104039</t>
  </si>
  <si>
    <t xml:space="preserve">IMP-TS1-229</t>
  </si>
  <si>
    <t xml:space="preserve">ODL101641</t>
  </si>
  <si>
    <t xml:space="preserve">IMP-CD7-040</t>
  </si>
  <si>
    <t xml:space="preserve">ODL102949</t>
  </si>
  <si>
    <t xml:space="preserve">IMP-CT3-034</t>
  </si>
  <si>
    <t xml:space="preserve">ODL102535</t>
  </si>
  <si>
    <t xml:space="preserve">ODL101716</t>
  </si>
  <si>
    <t xml:space="preserve">IMP-CT2-103</t>
  </si>
  <si>
    <t xml:space="preserve">ODL102774</t>
  </si>
  <si>
    <t xml:space="preserve">IMP-HL4-373</t>
  </si>
  <si>
    <t xml:space="preserve">ODL103861</t>
  </si>
  <si>
    <t xml:space="preserve">IMP-PP6-106</t>
  </si>
  <si>
    <t xml:space="preserve">ODL103360</t>
  </si>
  <si>
    <t xml:space="preserve">IMP-CD7-323</t>
  </si>
  <si>
    <t xml:space="preserve">ODL100081</t>
  </si>
  <si>
    <t xml:space="preserve">IMP-HL4-224</t>
  </si>
  <si>
    <t xml:space="preserve">ODL101598</t>
  </si>
  <si>
    <t xml:space="preserve">IMP-SV8-230</t>
  </si>
  <si>
    <t xml:space="preserve">ODL102241</t>
  </si>
  <si>
    <t xml:space="preserve">IMP-HL4-207</t>
  </si>
  <si>
    <t xml:space="preserve">ODL103185</t>
  </si>
  <si>
    <t xml:space="preserve">IMP-CT2-047</t>
  </si>
  <si>
    <t xml:space="preserve">ODL101485</t>
  </si>
  <si>
    <t xml:space="preserve">ODL103915</t>
  </si>
  <si>
    <t xml:space="preserve">IMP-TN0-274</t>
  </si>
  <si>
    <t xml:space="preserve">ODL102567</t>
  </si>
  <si>
    <t xml:space="preserve">IMP-HL4-267</t>
  </si>
  <si>
    <t xml:space="preserve">ODL100225</t>
  </si>
  <si>
    <t xml:space="preserve">IMP-SV8-105</t>
  </si>
  <si>
    <t xml:space="preserve">ODL102957</t>
  </si>
  <si>
    <t xml:space="preserve">ODL103161</t>
  </si>
  <si>
    <t xml:space="preserve">ODL103404</t>
  </si>
  <si>
    <t xml:space="preserve">ODL101124</t>
  </si>
  <si>
    <t xml:space="preserve">IMP-TN0-101</t>
  </si>
  <si>
    <t xml:space="preserve">ODL103472</t>
  </si>
  <si>
    <t xml:space="preserve">IMP-SB5-087</t>
  </si>
  <si>
    <t xml:space="preserve">ODL103463</t>
  </si>
  <si>
    <t xml:space="preserve">IMP-SV8-170</t>
  </si>
  <si>
    <t xml:space="preserve">ODL100485</t>
  </si>
  <si>
    <t xml:space="preserve">IMP-TN0-070</t>
  </si>
  <si>
    <t xml:space="preserve">ODL102767</t>
  </si>
  <si>
    <t xml:space="preserve">IMP-PP6-002</t>
  </si>
  <si>
    <t xml:space="preserve">ODL102644</t>
  </si>
  <si>
    <t xml:space="preserve">IMP-TN0-069</t>
  </si>
  <si>
    <t xml:space="preserve">ODL102545</t>
  </si>
  <si>
    <t xml:space="preserve">IMP-SB5-045</t>
  </si>
  <si>
    <t xml:space="preserve">ODL100810</t>
  </si>
  <si>
    <t xml:space="preserve">IMP-PP6-100</t>
  </si>
  <si>
    <t xml:space="preserve">ODL103906</t>
  </si>
  <si>
    <t xml:space="preserve">IMP-SV8-186</t>
  </si>
  <si>
    <t xml:space="preserve">ODL101159</t>
  </si>
  <si>
    <t xml:space="preserve">IMP-TS1-230</t>
  </si>
  <si>
    <t xml:space="preserve">ODL103650</t>
  </si>
  <si>
    <t xml:space="preserve">IMP-FF9-105</t>
  </si>
  <si>
    <t xml:space="preserve">ODL100384</t>
  </si>
  <si>
    <t xml:space="preserve">IMP-SB5-110</t>
  </si>
  <si>
    <t xml:space="preserve">ODL103213</t>
  </si>
  <si>
    <t xml:space="preserve">IMP-CT2-177</t>
  </si>
  <si>
    <t xml:space="preserve">ODL103011</t>
  </si>
  <si>
    <t xml:space="preserve">IMP-TS1-221</t>
  </si>
  <si>
    <t xml:space="preserve">ODL100596</t>
  </si>
  <si>
    <t xml:space="preserve">IMP-CD7-343</t>
  </si>
  <si>
    <t xml:space="preserve">ODL101335</t>
  </si>
  <si>
    <t xml:space="preserve">IMP-SV8-136</t>
  </si>
  <si>
    <t xml:space="preserve">ODL101863</t>
  </si>
  <si>
    <t xml:space="preserve">IMP-SB5-081</t>
  </si>
  <si>
    <t xml:space="preserve">ODL102035</t>
  </si>
  <si>
    <t xml:space="preserve">IMP-TN0-194</t>
  </si>
  <si>
    <t xml:space="preserve">ODL101602</t>
  </si>
  <si>
    <t xml:space="preserve">IMP-CD7-221</t>
  </si>
  <si>
    <t xml:space="preserve">ODL101115</t>
  </si>
  <si>
    <t xml:space="preserve">ODL102581</t>
  </si>
  <si>
    <t xml:space="preserve">IMP-CT3-012</t>
  </si>
  <si>
    <t xml:space="preserve">ODL101129</t>
  </si>
  <si>
    <t xml:space="preserve">IMP-FF9-016</t>
  </si>
  <si>
    <t xml:space="preserve">ODL101819</t>
  </si>
  <si>
    <t xml:space="preserve">IMP-HL4-386</t>
  </si>
  <si>
    <t xml:space="preserve">ODL103559</t>
  </si>
  <si>
    <t xml:space="preserve">IMP-SV8-026</t>
  </si>
  <si>
    <t xml:space="preserve">ODL102313</t>
  </si>
  <si>
    <t xml:space="preserve">IMP-CT3-149</t>
  </si>
  <si>
    <t xml:space="preserve">ODL102432</t>
  </si>
  <si>
    <t xml:space="preserve">ODL100313</t>
  </si>
  <si>
    <t xml:space="preserve">ODL101337</t>
  </si>
  <si>
    <t xml:space="preserve">IMP-SV8-120</t>
  </si>
  <si>
    <t xml:space="preserve">ODL100408</t>
  </si>
  <si>
    <t xml:space="preserve">ODL101808</t>
  </si>
  <si>
    <t xml:space="preserve">ODL101847</t>
  </si>
  <si>
    <t xml:space="preserve">ODL102110</t>
  </si>
  <si>
    <t xml:space="preserve">IMP-PP6-021</t>
  </si>
  <si>
    <t xml:space="preserve">ODL103762</t>
  </si>
  <si>
    <t xml:space="preserve">IMP-CD7-026</t>
  </si>
  <si>
    <t xml:space="preserve">ODL103854</t>
  </si>
  <si>
    <t xml:space="preserve">ODL101222</t>
  </si>
  <si>
    <t xml:space="preserve">IMP-CT2-150</t>
  </si>
  <si>
    <t xml:space="preserve">ODL103993</t>
  </si>
  <si>
    <t xml:space="preserve">ODL103569</t>
  </si>
  <si>
    <t xml:space="preserve">IMP-FF9-043</t>
  </si>
  <si>
    <t xml:space="preserve">ODL102959</t>
  </si>
  <si>
    <t xml:space="preserve">IMP-SV8-075</t>
  </si>
  <si>
    <t xml:space="preserve">ODL101657</t>
  </si>
  <si>
    <t xml:space="preserve">ODL103375</t>
  </si>
  <si>
    <t xml:space="preserve">ODL102430</t>
  </si>
  <si>
    <t xml:space="preserve">ODL101972</t>
  </si>
  <si>
    <t xml:space="preserve">IMP-CT3-068</t>
  </si>
  <si>
    <t xml:space="preserve">ODL102899</t>
  </si>
  <si>
    <t xml:space="preserve">ODL101196</t>
  </si>
  <si>
    <t xml:space="preserve">IMP-SV8-076</t>
  </si>
  <si>
    <t xml:space="preserve">ODL102937</t>
  </si>
  <si>
    <t xml:space="preserve">IMP-TS1-210</t>
  </si>
  <si>
    <t xml:space="preserve">ODL101086</t>
  </si>
  <si>
    <t xml:space="preserve">IMP-FF9-036</t>
  </si>
  <si>
    <t xml:space="preserve">ODL100999</t>
  </si>
  <si>
    <t xml:space="preserve">IMP-TN0-041</t>
  </si>
  <si>
    <t xml:space="preserve">ODL103033</t>
  </si>
  <si>
    <t xml:space="preserve">ODL100578</t>
  </si>
  <si>
    <t xml:space="preserve">IMP-CD7-330</t>
  </si>
  <si>
    <t xml:space="preserve">ODL100350</t>
  </si>
  <si>
    <t xml:space="preserve">IMP-HL4-293</t>
  </si>
  <si>
    <t xml:space="preserve">ODL102025</t>
  </si>
  <si>
    <t xml:space="preserve">ODL102616</t>
  </si>
  <si>
    <t xml:space="preserve">ODL101343</t>
  </si>
  <si>
    <t xml:space="preserve">IMP-TS1-087</t>
  </si>
  <si>
    <t xml:space="preserve">ODL102299</t>
  </si>
  <si>
    <t xml:space="preserve">IMP-SV8-110</t>
  </si>
  <si>
    <t xml:space="preserve">ODL103579</t>
  </si>
  <si>
    <t xml:space="preserve">ODL103212</t>
  </si>
  <si>
    <t xml:space="preserve">IMP-SV8-068</t>
  </si>
  <si>
    <t xml:space="preserve">ODL103106</t>
  </si>
  <si>
    <t xml:space="preserve">ODL103461</t>
  </si>
  <si>
    <t xml:space="preserve">IMP-TN0-131</t>
  </si>
  <si>
    <t xml:space="preserve">ODL100136</t>
  </si>
  <si>
    <t xml:space="preserve">ODL100620</t>
  </si>
  <si>
    <t xml:space="preserve">ODL102185</t>
  </si>
  <si>
    <t xml:space="preserve">IMP-TN0-171</t>
  </si>
  <si>
    <t xml:space="preserve">ODL101727</t>
  </si>
  <si>
    <t xml:space="preserve">IMP-PP6-084</t>
  </si>
  <si>
    <t xml:space="preserve">ODL100274</t>
  </si>
  <si>
    <t xml:space="preserve">IMP-CT2-191</t>
  </si>
  <si>
    <t xml:space="preserve">ODL100465</t>
  </si>
  <si>
    <t xml:space="preserve">ODL100468</t>
  </si>
  <si>
    <t xml:space="preserve">IMP-TN0-195</t>
  </si>
  <si>
    <t xml:space="preserve">ODL100288</t>
  </si>
  <si>
    <t xml:space="preserve">IMP-TN0-062</t>
  </si>
  <si>
    <t xml:space="preserve">ODL100825</t>
  </si>
  <si>
    <t xml:space="preserve">IMP-FF9-004</t>
  </si>
  <si>
    <t xml:space="preserve">ODL101714</t>
  </si>
  <si>
    <t xml:space="preserve">IMP-CT2-087</t>
  </si>
  <si>
    <t xml:space="preserve">ODL103136</t>
  </si>
  <si>
    <t xml:space="preserve">IMP-CT2-004</t>
  </si>
  <si>
    <t xml:space="preserve">ODL102052</t>
  </si>
  <si>
    <t xml:space="preserve">IMP-PP6-157</t>
  </si>
  <si>
    <t xml:space="preserve">ODL103894</t>
  </si>
  <si>
    <t xml:space="preserve">ODL102641</t>
  </si>
  <si>
    <t xml:space="preserve">IMP-CD7-094</t>
  </si>
  <si>
    <t xml:space="preserve">ODL103600</t>
  </si>
  <si>
    <t xml:space="preserve">ODL100133</t>
  </si>
  <si>
    <t xml:space="preserve">IMP-PP6-044</t>
  </si>
  <si>
    <t xml:space="preserve">ODL102029</t>
  </si>
  <si>
    <t xml:space="preserve">IMP-TN0-116</t>
  </si>
  <si>
    <t xml:space="preserve">ODL104149</t>
  </si>
  <si>
    <t xml:space="preserve">IMP-CD7-013</t>
  </si>
  <si>
    <t xml:space="preserve">ODL103115</t>
  </si>
  <si>
    <t xml:space="preserve">IMP-TS1-004</t>
  </si>
  <si>
    <t xml:space="preserve">ODL100492</t>
  </si>
  <si>
    <t xml:space="preserve">IMP-TN0-003</t>
  </si>
  <si>
    <t xml:space="preserve">ODL104040</t>
  </si>
  <si>
    <t xml:space="preserve">ODL102210</t>
  </si>
  <si>
    <t xml:space="preserve">IMP-CT2-076</t>
  </si>
  <si>
    <t xml:space="preserve">ODL102806</t>
  </si>
  <si>
    <t xml:space="preserve">IMP-CD7-206</t>
  </si>
  <si>
    <t xml:space="preserve">ODL102804</t>
  </si>
  <si>
    <t xml:space="preserve">IMP-TN0-293</t>
  </si>
  <si>
    <t xml:space="preserve">ODL103287</t>
  </si>
  <si>
    <t xml:space="preserve">ODL101608</t>
  </si>
  <si>
    <t xml:space="preserve">ODL102658</t>
  </si>
  <si>
    <t xml:space="preserve">ODL103323</t>
  </si>
  <si>
    <t xml:space="preserve">IMP-FF9-054</t>
  </si>
  <si>
    <t xml:space="preserve">ODL101880</t>
  </si>
  <si>
    <t xml:space="preserve">IMP-CD7-287</t>
  </si>
  <si>
    <t xml:space="preserve">ODL103177</t>
  </si>
  <si>
    <t xml:space="preserve">IMP-TS1-266</t>
  </si>
  <si>
    <t xml:space="preserve">ODL102131</t>
  </si>
  <si>
    <t xml:space="preserve">IMP-CD7-101</t>
  </si>
  <si>
    <t xml:space="preserve">ODL101682</t>
  </si>
  <si>
    <t xml:space="preserve">ODL101672</t>
  </si>
  <si>
    <t xml:space="preserve">ODL103683</t>
  </si>
  <si>
    <t xml:space="preserve">IMP-HL4-294</t>
  </si>
  <si>
    <t xml:space="preserve">ODL100693</t>
  </si>
  <si>
    <t xml:space="preserve">IMP-CD7-176</t>
  </si>
  <si>
    <t xml:space="preserve">ODL101664</t>
  </si>
  <si>
    <t xml:space="preserve">IMP-TN0-110</t>
  </si>
  <si>
    <t xml:space="preserve">ODL102009</t>
  </si>
  <si>
    <t xml:space="preserve">IMP-CT2-035</t>
  </si>
  <si>
    <t xml:space="preserve">ODL100101</t>
  </si>
  <si>
    <t xml:space="preserve">IMP-HL4-352</t>
  </si>
  <si>
    <t xml:space="preserve">ODL100142</t>
  </si>
  <si>
    <t xml:space="preserve">IMP-CT3-113</t>
  </si>
  <si>
    <t xml:space="preserve">ODL103654</t>
  </si>
  <si>
    <t xml:space="preserve">IMP-CT3-015</t>
  </si>
  <si>
    <t xml:space="preserve">ODL102756</t>
  </si>
  <si>
    <t xml:space="preserve">ODL100669</t>
  </si>
  <si>
    <t xml:space="preserve">IMP-CD7-126</t>
  </si>
  <si>
    <t xml:space="preserve">ODL100650</t>
  </si>
  <si>
    <t xml:space="preserve">IMP-TS1-092</t>
  </si>
  <si>
    <t xml:space="preserve">ODL103849</t>
  </si>
  <si>
    <t xml:space="preserve">IMP-CT2-193</t>
  </si>
  <si>
    <t xml:space="preserve">ODL103899</t>
  </si>
  <si>
    <t xml:space="preserve">IMP-CD7-016</t>
  </si>
  <si>
    <t xml:space="preserve">ODL101420</t>
  </si>
  <si>
    <t xml:space="preserve">IMP-CD7-140</t>
  </si>
  <si>
    <t xml:space="preserve">ODL100793</t>
  </si>
  <si>
    <t xml:space="preserve">IMP-TS1-013</t>
  </si>
  <si>
    <t xml:space="preserve">ODL100025</t>
  </si>
  <si>
    <t xml:space="preserve">ODL103896</t>
  </si>
  <si>
    <t xml:space="preserve">ODL101113</t>
  </si>
  <si>
    <t xml:space="preserve">IMP-HL4-147</t>
  </si>
  <si>
    <t xml:space="preserve">ODL103789</t>
  </si>
  <si>
    <t xml:space="preserve">ODL102335</t>
  </si>
  <si>
    <t xml:space="preserve">IMP-TN0-140</t>
  </si>
  <si>
    <t xml:space="preserve">ODL100579</t>
  </si>
  <si>
    <t xml:space="preserve">IMP-SB5-085</t>
  </si>
  <si>
    <t xml:space="preserve">ODL103700</t>
  </si>
  <si>
    <t xml:space="preserve">IMP-TS1-245</t>
  </si>
  <si>
    <t xml:space="preserve">ODL104016</t>
  </si>
  <si>
    <t xml:space="preserve">IMP-HL4-106</t>
  </si>
  <si>
    <t xml:space="preserve">ODL102008</t>
  </si>
  <si>
    <t xml:space="preserve">ODL100567</t>
  </si>
  <si>
    <t xml:space="preserve">ODL102438</t>
  </si>
  <si>
    <t xml:space="preserve">IMP-HL4-008</t>
  </si>
  <si>
    <t xml:space="preserve">ODL102773</t>
  </si>
  <si>
    <t xml:space="preserve">IMP-SB5-098</t>
  </si>
  <si>
    <t xml:space="preserve">ODL102672</t>
  </si>
  <si>
    <t xml:space="preserve">IMP-CD7-329</t>
  </si>
  <si>
    <t xml:space="preserve">ODL100181</t>
  </si>
  <si>
    <t xml:space="preserve">ODL103005</t>
  </si>
  <si>
    <t xml:space="preserve">IMP-PP6-090</t>
  </si>
  <si>
    <t xml:space="preserve">ODL104123</t>
  </si>
  <si>
    <t xml:space="preserve">IMP-CT3-038</t>
  </si>
  <si>
    <t xml:space="preserve">ODL103784</t>
  </si>
  <si>
    <t xml:space="preserve">ODL101856</t>
  </si>
  <si>
    <t xml:space="preserve">ODL103519</t>
  </si>
  <si>
    <t xml:space="preserve">IMP-TS1-098</t>
  </si>
  <si>
    <t xml:space="preserve">ODL101761</t>
  </si>
  <si>
    <t xml:space="preserve">IMP-PP6-006</t>
  </si>
  <si>
    <t xml:space="preserve">ODL103466</t>
  </si>
  <si>
    <t xml:space="preserve">IMP-CD7-170</t>
  </si>
  <si>
    <t xml:space="preserve">ODL102632</t>
  </si>
  <si>
    <t xml:space="preserve">IMP-SB5-016</t>
  </si>
  <si>
    <t xml:space="preserve">ODL101411</t>
  </si>
  <si>
    <t xml:space="preserve">ODL101301</t>
  </si>
  <si>
    <t xml:space="preserve">IMP-TN0-035</t>
  </si>
  <si>
    <t xml:space="preserve">ODL101680</t>
  </si>
  <si>
    <t xml:space="preserve">ODL101580</t>
  </si>
  <si>
    <t xml:space="preserve">IMP-TS1-214</t>
  </si>
  <si>
    <t xml:space="preserve">ODL103384</t>
  </si>
  <si>
    <t xml:space="preserve">IMP-HL4-007</t>
  </si>
  <si>
    <t xml:space="preserve">ODL103101</t>
  </si>
  <si>
    <t xml:space="preserve">IMP-TS1-100</t>
  </si>
  <si>
    <t xml:space="preserve">ODL101039</t>
  </si>
  <si>
    <t xml:space="preserve">ODL100658</t>
  </si>
  <si>
    <t xml:space="preserve">IMP-CD7-008</t>
  </si>
  <si>
    <t xml:space="preserve">ODL103601</t>
  </si>
  <si>
    <t xml:space="preserve">ODL103194</t>
  </si>
  <si>
    <t xml:space="preserve">IMP-HL4-181</t>
  </si>
  <si>
    <t xml:space="preserve">ODL102279</t>
  </si>
  <si>
    <t xml:space="preserve">IMP-TS1-084</t>
  </si>
  <si>
    <t xml:space="preserve">ODL102568</t>
  </si>
  <si>
    <t xml:space="preserve">IMP-SB5-060</t>
  </si>
  <si>
    <t xml:space="preserve">ODL103576</t>
  </si>
  <si>
    <t xml:space="preserve">ODL103914</t>
  </si>
  <si>
    <t xml:space="preserve">IMP-TS1-016</t>
  </si>
  <si>
    <t xml:space="preserve">ODL102232</t>
  </si>
  <si>
    <t xml:space="preserve">IMP-CT3-130</t>
  </si>
  <si>
    <t xml:space="preserve">ODL102222</t>
  </si>
  <si>
    <t xml:space="preserve">IMP-CT2-196</t>
  </si>
  <si>
    <t xml:space="preserve">ODL104017</t>
  </si>
  <si>
    <t xml:space="preserve">IMP-TS1-246</t>
  </si>
  <si>
    <t xml:space="preserve">ODL103805</t>
  </si>
  <si>
    <t xml:space="preserve">ODL101885</t>
  </si>
  <si>
    <t xml:space="preserve">IMP-PP6-004</t>
  </si>
  <si>
    <t xml:space="preserve">ODL100947</t>
  </si>
  <si>
    <t xml:space="preserve">IMP-TS1-264</t>
  </si>
  <si>
    <t xml:space="preserve">ODL103509</t>
  </si>
  <si>
    <t xml:space="preserve">IMP-PP6-102</t>
  </si>
  <si>
    <t xml:space="preserve">ODL102296</t>
  </si>
  <si>
    <t xml:space="preserve">IMP-CT2-011</t>
  </si>
  <si>
    <t xml:space="preserve">ODL100222</t>
  </si>
  <si>
    <t xml:space="preserve">ODL101556</t>
  </si>
  <si>
    <t xml:space="preserve">ODL102116</t>
  </si>
  <si>
    <t xml:space="preserve">ODL103160</t>
  </si>
  <si>
    <t xml:space="preserve">ODL102076</t>
  </si>
  <si>
    <t xml:space="preserve">ODL100287</t>
  </si>
  <si>
    <t xml:space="preserve">ODL103039</t>
  </si>
  <si>
    <t xml:space="preserve">IMP-CD7-028</t>
  </si>
  <si>
    <t xml:space="preserve">ODL102361</t>
  </si>
  <si>
    <t xml:space="preserve">IMP-HL4-038</t>
  </si>
  <si>
    <t xml:space="preserve">ODL103114</t>
  </si>
  <si>
    <t xml:space="preserve">IMP-CD7-037</t>
  </si>
  <si>
    <t xml:space="preserve">ODL102618</t>
  </si>
  <si>
    <t xml:space="preserve">IMP-SB5-122</t>
  </si>
  <si>
    <t xml:space="preserve">ODL103283</t>
  </si>
  <si>
    <t xml:space="preserve">ODL102771</t>
  </si>
  <si>
    <t xml:space="preserve">IMP-CT2-039</t>
  </si>
  <si>
    <t xml:space="preserve">ODL103971</t>
  </si>
  <si>
    <t xml:space="preserve">IMP-CT2-002</t>
  </si>
  <si>
    <t xml:space="preserve">ODL103473</t>
  </si>
  <si>
    <t xml:space="preserve">IMP-SV8-096</t>
  </si>
  <si>
    <t xml:space="preserve">ODL102600</t>
  </si>
  <si>
    <t xml:space="preserve">IMP-TS1-003</t>
  </si>
  <si>
    <t xml:space="preserve">ODL103533</t>
  </si>
  <si>
    <t xml:space="preserve">ODL102080</t>
  </si>
  <si>
    <t xml:space="preserve">IMP-PP6-009</t>
  </si>
  <si>
    <t xml:space="preserve">ODL102422</t>
  </si>
  <si>
    <t xml:space="preserve">IMP-SV8-124</t>
  </si>
  <si>
    <t xml:space="preserve">ODL103882</t>
  </si>
  <si>
    <t xml:space="preserve">IMP-PP6-018</t>
  </si>
  <si>
    <t xml:space="preserve">ODL101013</t>
  </si>
  <si>
    <t xml:space="preserve">ODL100489</t>
  </si>
  <si>
    <t xml:space="preserve">ODL103768</t>
  </si>
  <si>
    <t xml:space="preserve">ODL102590</t>
  </si>
  <si>
    <t xml:space="preserve">ODL101040</t>
  </si>
  <si>
    <t xml:space="preserve">IMP-HL4-166</t>
  </si>
  <si>
    <t xml:space="preserve">ODL101194</t>
  </si>
  <si>
    <t xml:space="preserve">ODL100137</t>
  </si>
  <si>
    <t xml:space="preserve">IMP-CD7-297</t>
  </si>
  <si>
    <t xml:space="preserve">ODL102059</t>
  </si>
  <si>
    <t xml:space="preserve">ODL103244</t>
  </si>
  <si>
    <t xml:space="preserve">ODL100636</t>
  </si>
  <si>
    <t xml:space="preserve">ODL102546</t>
  </si>
  <si>
    <t xml:space="preserve">ODL100642</t>
  </si>
  <si>
    <t xml:space="preserve">IMP-PP6-092</t>
  </si>
  <si>
    <t xml:space="preserve">ODL102319</t>
  </si>
  <si>
    <t xml:space="preserve">IMP-HL4-263</t>
  </si>
  <si>
    <t xml:space="preserve">ODL100453</t>
  </si>
  <si>
    <t xml:space="preserve">ODL102249</t>
  </si>
  <si>
    <t xml:space="preserve">IMP-CT2-195</t>
  </si>
  <si>
    <t xml:space="preserve">ODL100005</t>
  </si>
  <si>
    <t xml:space="preserve">ODL103255</t>
  </si>
  <si>
    <t xml:space="preserve">IMP-SB5-114</t>
  </si>
  <si>
    <t xml:space="preserve">ODL100804</t>
  </si>
  <si>
    <t xml:space="preserve">IMP-TN0-318</t>
  </si>
  <si>
    <t xml:space="preserve">ODL100576</t>
  </si>
  <si>
    <t xml:space="preserve">IMP-CD7-055</t>
  </si>
  <si>
    <t xml:space="preserve">ODL103926</t>
  </si>
  <si>
    <t xml:space="preserve">IMP-PP6-060</t>
  </si>
  <si>
    <t xml:space="preserve">ODL103511</t>
  </si>
  <si>
    <t xml:space="preserve">IMP-PP6-014</t>
  </si>
  <si>
    <t xml:space="preserve">ODL103537</t>
  </si>
  <si>
    <t xml:space="preserve">ODL100612</t>
  </si>
  <si>
    <t xml:space="preserve">IMP-TS1-103</t>
  </si>
  <si>
    <t xml:space="preserve">ODL100687</t>
  </si>
  <si>
    <t xml:space="preserve">IMP-TN0-054</t>
  </si>
  <si>
    <t xml:space="preserve">ODL101955</t>
  </si>
  <si>
    <t xml:space="preserve">IMP-CD7-183</t>
  </si>
  <si>
    <t xml:space="preserve">ODL102182</t>
  </si>
  <si>
    <t xml:space="preserve">IMP-CT2-161</t>
  </si>
  <si>
    <t xml:space="preserve">ODL103046</t>
  </si>
  <si>
    <t xml:space="preserve">ODL101355</t>
  </si>
  <si>
    <t xml:space="preserve">ODL102353</t>
  </si>
  <si>
    <t xml:space="preserve">IMP-HL4-364</t>
  </si>
  <si>
    <t xml:space="preserve">ODL102922</t>
  </si>
  <si>
    <t xml:space="preserve">ODL100971</t>
  </si>
  <si>
    <t xml:space="preserve">ODL102134</t>
  </si>
  <si>
    <t xml:space="preserve">ODL100011</t>
  </si>
  <si>
    <t xml:space="preserve">IMP-PP6-120</t>
  </si>
  <si>
    <t xml:space="preserve">ODL102583</t>
  </si>
  <si>
    <t xml:space="preserve">IMP-FF9-001</t>
  </si>
  <si>
    <t xml:space="preserve">ODL102227</t>
  </si>
  <si>
    <t xml:space="preserve">IMP-CD7-117</t>
  </si>
  <si>
    <t xml:space="preserve">ODL100957</t>
  </si>
  <si>
    <t xml:space="preserve">IMP-TS1-065</t>
  </si>
  <si>
    <t xml:space="preserve">ODL101285</t>
  </si>
  <si>
    <t xml:space="preserve">ODL104048</t>
  </si>
  <si>
    <t xml:space="preserve">IMP-SB5-029</t>
  </si>
  <si>
    <t xml:space="preserve">ODL102118</t>
  </si>
  <si>
    <t xml:space="preserve">IMP-CT3-036</t>
  </si>
  <si>
    <t xml:space="preserve">ODL101137</t>
  </si>
  <si>
    <t xml:space="preserve">ODL103664</t>
  </si>
  <si>
    <t xml:space="preserve">ODL102145</t>
  </si>
  <si>
    <t xml:space="preserve">ODL103423</t>
  </si>
  <si>
    <t xml:space="preserve">IMP-HL4-124</t>
  </si>
  <si>
    <t xml:space="preserve">ODL102386</t>
  </si>
  <si>
    <t xml:space="preserve">ODL101338</t>
  </si>
  <si>
    <t xml:space="preserve">ODL102625</t>
  </si>
  <si>
    <t xml:space="preserve">IMP-TS1-198</t>
  </si>
  <si>
    <t xml:space="preserve">ODL104009</t>
  </si>
  <si>
    <t xml:space="preserve">ODL101555</t>
  </si>
  <si>
    <t xml:space="preserve">IMP-FF9-029</t>
  </si>
  <si>
    <t xml:space="preserve">ODL102639</t>
  </si>
  <si>
    <t xml:space="preserve">IMP-PP6-105</t>
  </si>
  <si>
    <t xml:space="preserve">ODL102146</t>
  </si>
  <si>
    <t xml:space="preserve">ODL101528</t>
  </si>
  <si>
    <t xml:space="preserve">IMP-TS1-012</t>
  </si>
  <si>
    <t xml:space="preserve">ODL102827</t>
  </si>
  <si>
    <t xml:space="preserve">ODL102722</t>
  </si>
  <si>
    <t xml:space="preserve">ODL103354</t>
  </si>
  <si>
    <t xml:space="preserve">IMP-FF9-033</t>
  </si>
  <si>
    <t xml:space="preserve">ODL100945</t>
  </si>
  <si>
    <t xml:space="preserve">IMP-CD7-347</t>
  </si>
  <si>
    <t xml:space="preserve">ODL100271</t>
  </si>
  <si>
    <t xml:space="preserve">ODL100531</t>
  </si>
  <si>
    <t xml:space="preserve">IMP-TN0-157</t>
  </si>
  <si>
    <t xml:space="preserve">ODL101985</t>
  </si>
  <si>
    <t xml:space="preserve">IMP-TS1-248</t>
  </si>
  <si>
    <t xml:space="preserve">ODL100495</t>
  </si>
  <si>
    <t xml:space="preserve">IMP-TN0-267</t>
  </si>
  <si>
    <t xml:space="preserve">ODL102799</t>
  </si>
  <si>
    <t xml:space="preserve">IMP-PP6-122</t>
  </si>
  <si>
    <t xml:space="preserve">ODL101291</t>
  </si>
  <si>
    <t xml:space="preserve">ODL100896</t>
  </si>
  <si>
    <t xml:space="preserve">IMP-CT2-025</t>
  </si>
  <si>
    <t xml:space="preserve">ODL100729</t>
  </si>
  <si>
    <t xml:space="preserve">ODL100438</t>
  </si>
  <si>
    <t xml:space="preserve">ODL100707</t>
  </si>
  <si>
    <t xml:space="preserve">IMP-CT3-120</t>
  </si>
  <si>
    <t xml:space="preserve">ODL103141</t>
  </si>
  <si>
    <t xml:space="preserve">IMP-FF9-088</t>
  </si>
  <si>
    <t xml:space="preserve">ODL101383</t>
  </si>
  <si>
    <t xml:space="preserve">ODL102965</t>
  </si>
  <si>
    <t xml:space="preserve">ODL100087</t>
  </si>
  <si>
    <t xml:space="preserve">ODL100808</t>
  </si>
  <si>
    <t xml:space="preserve">IMP-CT2-156</t>
  </si>
  <si>
    <t xml:space="preserve">ODL103909</t>
  </si>
  <si>
    <t xml:space="preserve">IMP-TS1-168</t>
  </si>
  <si>
    <t xml:space="preserve">ODL100085</t>
  </si>
  <si>
    <t xml:space="preserve">IMP-HL4-249</t>
  </si>
  <si>
    <t xml:space="preserve">ODL102083</t>
  </si>
  <si>
    <t xml:space="preserve">IMP-CT2-089</t>
  </si>
  <si>
    <t xml:space="preserve">ODL104049</t>
  </si>
  <si>
    <t xml:space="preserve">ODL101629</t>
  </si>
  <si>
    <t xml:space="preserve">IMP-TS1-109</t>
  </si>
  <si>
    <t xml:space="preserve">ODL103138</t>
  </si>
  <si>
    <t xml:space="preserve">IMP-TN0-109</t>
  </si>
  <si>
    <t xml:space="preserve">ODL101051</t>
  </si>
  <si>
    <t xml:space="preserve">ODL103082</t>
  </si>
  <si>
    <t xml:space="preserve">ODL103624</t>
  </si>
  <si>
    <t xml:space="preserve">IMP-TN0-005</t>
  </si>
  <si>
    <t xml:space="preserve">ODL100276</t>
  </si>
  <si>
    <t xml:space="preserve">IMP-TS1-127</t>
  </si>
  <si>
    <t xml:space="preserve">ODL103692</t>
  </si>
  <si>
    <t xml:space="preserve">ODL102556</t>
  </si>
  <si>
    <t xml:space="preserve">ODL101956</t>
  </si>
  <si>
    <t xml:space="preserve">IMP-TS1-144</t>
  </si>
  <si>
    <t xml:space="preserve">ODL104037</t>
  </si>
  <si>
    <t xml:space="preserve">ODL101236</t>
  </si>
  <si>
    <t xml:space="preserve">ODL101677</t>
  </si>
  <si>
    <t xml:space="preserve">IMP-CD7-085</t>
  </si>
  <si>
    <t xml:space="preserve">ODL101551</t>
  </si>
  <si>
    <t xml:space="preserve">ODL101381</t>
  </si>
  <si>
    <t xml:space="preserve">IMP-CT2-075</t>
  </si>
  <si>
    <t xml:space="preserve">ODL100015</t>
  </si>
  <si>
    <t xml:space="preserve">ODL100756</t>
  </si>
  <si>
    <t xml:space="preserve">ODL102157</t>
  </si>
  <si>
    <t xml:space="preserve">ODL102785</t>
  </si>
  <si>
    <t xml:space="preserve">ODL104038</t>
  </si>
  <si>
    <t xml:space="preserve">ODL103717</t>
  </si>
  <si>
    <t xml:space="preserve">ODL101919</t>
  </si>
  <si>
    <t xml:space="preserve">IMP-CD7-003</t>
  </si>
  <si>
    <t xml:space="preserve">ODL103065</t>
  </si>
  <si>
    <t xml:space="preserve">ODL102978</t>
  </si>
  <si>
    <t xml:space="preserve">ODL103019</t>
  </si>
  <si>
    <t xml:space="preserve">IMP-FF9-041</t>
  </si>
  <si>
    <t xml:space="preserve">ODL102647</t>
  </si>
  <si>
    <t xml:space="preserve">IMP-HL4-080</t>
  </si>
  <si>
    <t xml:space="preserve">ODL103996</t>
  </si>
  <si>
    <t xml:space="preserve">IMP-PP6-134</t>
  </si>
  <si>
    <t xml:space="preserve">ODL102293</t>
  </si>
  <si>
    <t xml:space="preserve">ODL101016</t>
  </si>
  <si>
    <t xml:space="preserve">ODL103933</t>
  </si>
  <si>
    <t xml:space="preserve">IMP-TN0-314</t>
  </si>
  <si>
    <t xml:space="preserve">ODL100526</t>
  </si>
  <si>
    <t xml:space="preserve">IMP-TN0-057</t>
  </si>
  <si>
    <t xml:space="preserve">ODL102483</t>
  </si>
  <si>
    <t xml:space="preserve">IMP-CT2-057</t>
  </si>
  <si>
    <t xml:space="preserve">ODL102473</t>
  </si>
  <si>
    <t xml:space="preserve">IMP-CT3-097</t>
  </si>
  <si>
    <t xml:space="preserve">ODL103479</t>
  </si>
  <si>
    <t xml:space="preserve">IMP-CT2-009</t>
  </si>
  <si>
    <t xml:space="preserve">ODL100549</t>
  </si>
  <si>
    <t xml:space="preserve">ODL103863</t>
  </si>
  <si>
    <t xml:space="preserve">IMP-HL4-057</t>
  </si>
  <si>
    <t xml:space="preserve">ODL101118</t>
  </si>
  <si>
    <t xml:space="preserve">IMP-CT3-065</t>
  </si>
  <si>
    <t xml:space="preserve">ODL102728</t>
  </si>
  <si>
    <t xml:space="preserve">IMP-SV8-037</t>
  </si>
  <si>
    <t xml:space="preserve">ODL104154</t>
  </si>
  <si>
    <t xml:space="preserve">IMP-SV8-008</t>
  </si>
  <si>
    <t xml:space="preserve">ODL101971</t>
  </si>
  <si>
    <t xml:space="preserve">IMP-TS1-223</t>
  </si>
  <si>
    <t xml:space="preserve">ODL100929</t>
  </si>
  <si>
    <t xml:space="preserve">IMP-TN0-161</t>
  </si>
  <si>
    <t xml:space="preserve">ODL102708</t>
  </si>
  <si>
    <t xml:space="preserve">ODL103050</t>
  </si>
  <si>
    <t xml:space="preserve">IMP-HL4-183</t>
  </si>
  <si>
    <t xml:space="preserve">ODL101787</t>
  </si>
  <si>
    <t xml:space="preserve">ODL103350</t>
  </si>
  <si>
    <t xml:space="preserve">ODL103235</t>
  </si>
  <si>
    <t xml:space="preserve">IMP-PP6-041</t>
  </si>
  <si>
    <t xml:space="preserve">ODL102915</t>
  </si>
  <si>
    <t xml:space="preserve">ODL100103</t>
  </si>
  <si>
    <t xml:space="preserve">IMP-HL4-297</t>
  </si>
  <si>
    <t xml:space="preserve">ODL103147</t>
  </si>
  <si>
    <t xml:space="preserve">ODL103390</t>
  </si>
  <si>
    <t xml:space="preserve">IMP-PP6-033</t>
  </si>
  <si>
    <t xml:space="preserve">ODL103172</t>
  </si>
  <si>
    <t xml:space="preserve">ODL103919</t>
  </si>
  <si>
    <t xml:space="preserve">ODL102259</t>
  </si>
  <si>
    <t xml:space="preserve">IMP-CT3-064</t>
  </si>
  <si>
    <t xml:space="preserve">ODL103162</t>
  </si>
  <si>
    <t xml:space="preserve">ODL102676</t>
  </si>
  <si>
    <t xml:space="preserve">IMP-CT3-067</t>
  </si>
  <si>
    <t xml:space="preserve">ODL103446</t>
  </si>
  <si>
    <t xml:space="preserve">IMP-HL4-006</t>
  </si>
  <si>
    <t xml:space="preserve">ODL102936</t>
  </si>
  <si>
    <t xml:space="preserve">IMP-SV8-107</t>
  </si>
  <si>
    <t xml:space="preserve">ODL100351</t>
  </si>
  <si>
    <t xml:space="preserve">IMP-TN0-170</t>
  </si>
  <si>
    <t xml:space="preserve">ODL101815</t>
  </si>
  <si>
    <t xml:space="preserve">ODL104196</t>
  </si>
  <si>
    <t xml:space="preserve">IMP-HL4-081</t>
  </si>
  <si>
    <t xml:space="preserve">ODL102356</t>
  </si>
  <si>
    <t xml:space="preserve">IMP-FF9-025</t>
  </si>
  <si>
    <t xml:space="preserve">ODL101893</t>
  </si>
  <si>
    <t xml:space="preserve">IMP-SV8-014</t>
  </si>
  <si>
    <t xml:space="preserve">ODL104079</t>
  </si>
  <si>
    <t xml:space="preserve">ODL103503</t>
  </si>
  <si>
    <t xml:space="preserve">ODL101213</t>
  </si>
  <si>
    <t xml:space="preserve">ODL102345</t>
  </si>
  <si>
    <t xml:space="preserve">IMP-CT2-192</t>
  </si>
  <si>
    <t xml:space="preserve">ODL102136</t>
  </si>
  <si>
    <t xml:space="preserve">ODL100652</t>
  </si>
  <si>
    <t xml:space="preserve">IMP-SB5-006</t>
  </si>
  <si>
    <t xml:space="preserve">ODL101650</t>
  </si>
  <si>
    <t xml:space="preserve">IMP-CT2-172</t>
  </si>
  <si>
    <t xml:space="preserve">ODL103560</t>
  </si>
  <si>
    <t xml:space="preserve">ODL104108</t>
  </si>
  <si>
    <t xml:space="preserve">IMP-TS1-197</t>
  </si>
  <si>
    <t xml:space="preserve">ODL100543</t>
  </si>
  <si>
    <t xml:space="preserve">IMP-CD7-022</t>
  </si>
  <si>
    <t xml:space="preserve">ODL102104</t>
  </si>
  <si>
    <t xml:space="preserve">IMP-HL4-200</t>
  </si>
  <si>
    <t xml:space="preserve">ODL104024</t>
  </si>
  <si>
    <t xml:space="preserve">IMP-TN0-152</t>
  </si>
  <si>
    <t xml:space="preserve">ODL100705</t>
  </si>
  <si>
    <t xml:space="preserve">IMP-PP6-020</t>
  </si>
  <si>
    <t xml:space="preserve">ODL103703</t>
  </si>
  <si>
    <t xml:space="preserve">IMP-PP6-176</t>
  </si>
  <si>
    <t xml:space="preserve">ODL103460</t>
  </si>
  <si>
    <t xml:space="preserve">ODL101088</t>
  </si>
  <si>
    <t xml:space="preserve">IMP-SV8-171</t>
  </si>
  <si>
    <t xml:space="preserve">ODL104010</t>
  </si>
  <si>
    <t xml:space="preserve">ODL103143</t>
  </si>
  <si>
    <t xml:space="preserve">ODL100563</t>
  </si>
  <si>
    <t xml:space="preserve">IMP-TS1-203</t>
  </si>
  <si>
    <t xml:space="preserve">ODL102098</t>
  </si>
  <si>
    <t xml:space="preserve">ODL102938</t>
  </si>
  <si>
    <t xml:space="preserve">IMP-CD7-021</t>
  </si>
  <si>
    <t xml:space="preserve">ODL101960</t>
  </si>
  <si>
    <t xml:space="preserve">IMP-TN0-183</t>
  </si>
  <si>
    <t xml:space="preserve">ODL104031</t>
  </si>
  <si>
    <t xml:space="preserve">IMP-CD7-166</t>
  </si>
  <si>
    <t xml:space="preserve">ODL103240</t>
  </si>
  <si>
    <t xml:space="preserve">ODL101591</t>
  </si>
  <si>
    <t xml:space="preserve">ODL100791</t>
  </si>
  <si>
    <t xml:space="preserve">ODL103566</t>
  </si>
  <si>
    <t xml:space="preserve">IMP-TS1-044</t>
  </si>
  <si>
    <t xml:space="preserve">ODL104005</t>
  </si>
  <si>
    <t xml:space="preserve">IMP-CD7-320</t>
  </si>
  <si>
    <t xml:space="preserve">ODL102878</t>
  </si>
  <si>
    <t xml:space="preserve">IMP-TS1-057</t>
  </si>
  <si>
    <t xml:space="preserve">ODL100754</t>
  </si>
  <si>
    <t xml:space="preserve">ODL101287</t>
  </si>
  <si>
    <t xml:space="preserve">IMP-HL4-139</t>
  </si>
  <si>
    <t xml:space="preserve">ODL100487</t>
  </si>
  <si>
    <t xml:space="preserve">IMP-PP6-166</t>
  </si>
  <si>
    <t xml:space="preserve">ODL101681</t>
  </si>
  <si>
    <t xml:space="preserve">ODL100712</t>
  </si>
  <si>
    <t xml:space="preserve">ODL104104</t>
  </si>
  <si>
    <t xml:space="preserve">ODL102744</t>
  </si>
  <si>
    <t xml:space="preserve">ODL102352</t>
  </si>
  <si>
    <t xml:space="preserve">IMP-SV8-123</t>
  </si>
  <si>
    <t xml:space="preserve">ODL103229</t>
  </si>
  <si>
    <t xml:space="preserve">IMP-CT2-082</t>
  </si>
  <si>
    <t xml:space="preserve">ODL102570</t>
  </si>
  <si>
    <t xml:space="preserve">ODL101507</t>
  </si>
  <si>
    <t xml:space="preserve">IMP-CT2-095</t>
  </si>
  <si>
    <t xml:space="preserve">ODL103129</t>
  </si>
  <si>
    <t xml:space="preserve">ODL100041</t>
  </si>
  <si>
    <t xml:space="preserve">ODL100198</t>
  </si>
  <si>
    <t xml:space="preserve">IMP-CD7-141</t>
  </si>
  <si>
    <t xml:space="preserve">ODL104055</t>
  </si>
  <si>
    <t xml:space="preserve">IMP-TN0-320</t>
  </si>
  <si>
    <t xml:space="preserve">ODL100266</t>
  </si>
  <si>
    <t xml:space="preserve">ODL101689</t>
  </si>
  <si>
    <t xml:space="preserve">IMP-TN0-245</t>
  </si>
  <si>
    <t xml:space="preserve">ODL102308</t>
  </si>
  <si>
    <t xml:space="preserve">IMP-SV8-130</t>
  </si>
  <si>
    <t xml:space="preserve">ODL102519</t>
  </si>
  <si>
    <t xml:space="preserve">ODL101193</t>
  </si>
  <si>
    <t xml:space="preserve">ODL102754</t>
  </si>
  <si>
    <t xml:space="preserve">IMP-HL4-371</t>
  </si>
  <si>
    <t xml:space="preserve">ODL101099</t>
  </si>
  <si>
    <t xml:space="preserve">IMP-SV8-127</t>
  </si>
  <si>
    <t xml:space="preserve">ODL100615</t>
  </si>
  <si>
    <t xml:space="preserve">IMP-SV8-126</t>
  </si>
  <si>
    <t xml:space="preserve">ODL103378</t>
  </si>
  <si>
    <t xml:space="preserve">ODL101795</t>
  </si>
  <si>
    <t xml:space="preserve">ODL100622</t>
  </si>
  <si>
    <t xml:space="preserve">IMP-CT2-121</t>
  </si>
  <si>
    <t xml:space="preserve">ODL102015</t>
  </si>
  <si>
    <t xml:space="preserve">IMP-CT2-134</t>
  </si>
  <si>
    <t xml:space="preserve">ODL102747</t>
  </si>
  <si>
    <t xml:space="preserve">ODL102825</t>
  </si>
  <si>
    <t xml:space="preserve">IMP-CT3-079</t>
  </si>
  <si>
    <t xml:space="preserve">ODL100941</t>
  </si>
  <si>
    <t xml:space="preserve">IMP-SV8-033</t>
  </si>
  <si>
    <t xml:space="preserve">ODL103859</t>
  </si>
  <si>
    <t xml:space="preserve">ODL103527</t>
  </si>
  <si>
    <t xml:space="preserve">IMP-CD7-132</t>
  </si>
  <si>
    <t xml:space="preserve">ODL101259</t>
  </si>
  <si>
    <t xml:space="preserve">ODL100219</t>
  </si>
  <si>
    <t xml:space="preserve">IMP-SV8-187</t>
  </si>
  <si>
    <t xml:space="preserve">ODL103736</t>
  </si>
  <si>
    <t xml:space="preserve">IMP-CT2-058</t>
  </si>
  <si>
    <t xml:space="preserve">ODL103139</t>
  </si>
  <si>
    <t xml:space="preserve">ODL103086</t>
  </si>
  <si>
    <t xml:space="preserve">ODL102088</t>
  </si>
  <si>
    <t xml:space="preserve">ODL100092</t>
  </si>
  <si>
    <t xml:space="preserve">ODL100853</t>
  </si>
  <si>
    <t xml:space="preserve">IMP-PP6-017</t>
  </si>
  <si>
    <t xml:space="preserve">ODL101097</t>
  </si>
  <si>
    <t xml:space="preserve">ODL103592</t>
  </si>
  <si>
    <t xml:space="preserve">ODL103916</t>
  </si>
  <si>
    <t xml:space="preserve">IMP-CT3-026</t>
  </si>
  <si>
    <t xml:space="preserve">ODL103396</t>
  </si>
  <si>
    <t xml:space="preserve">IMP-CD7-226</t>
  </si>
  <si>
    <t xml:space="preserve">ODL101451</t>
  </si>
  <si>
    <t xml:space="preserve">IMP-TS1-076</t>
  </si>
  <si>
    <t xml:space="preserve">ODL101723</t>
  </si>
  <si>
    <t xml:space="preserve">IMP-CT3-137</t>
  </si>
  <si>
    <t xml:space="preserve">ODL101302</t>
  </si>
  <si>
    <t xml:space="preserve">IMP-CT2-118</t>
  </si>
  <si>
    <t xml:space="preserve">ODL102408</t>
  </si>
  <si>
    <t xml:space="preserve">IMP-CD7-105</t>
  </si>
  <si>
    <t xml:space="preserve">ODL103934</t>
  </si>
  <si>
    <t xml:space="preserve">ODL100775</t>
  </si>
  <si>
    <t xml:space="preserve">IMP-TN0-078</t>
  </si>
  <si>
    <t xml:space="preserve">ODL100056</t>
  </si>
  <si>
    <t xml:space="preserve">IMP-CD7-027</t>
  </si>
  <si>
    <t xml:space="preserve">ODL102629</t>
  </si>
  <si>
    <t xml:space="preserve">IMP-TS1-247</t>
  </si>
  <si>
    <t xml:space="preserve">ODL101266</t>
  </si>
  <si>
    <t xml:space="preserve">IMP-CT2-062</t>
  </si>
  <si>
    <t xml:space="preserve">ODL102203</t>
  </si>
  <si>
    <t xml:space="preserve">ODL102302</t>
  </si>
  <si>
    <t xml:space="preserve">ODL102073</t>
  </si>
  <si>
    <t xml:space="preserve">IMP-TN0-235</t>
  </si>
  <si>
    <t xml:space="preserve">ODL102906</t>
  </si>
  <si>
    <t xml:space="preserve">IMP-TS1-125</t>
  </si>
  <si>
    <t xml:space="preserve">ODL101859</t>
  </si>
  <si>
    <t xml:space="preserve">ODL101240</t>
  </si>
  <si>
    <t xml:space="preserve">IMP-CT2-176</t>
  </si>
  <si>
    <t xml:space="preserve">ODL103305</t>
  </si>
  <si>
    <t xml:space="preserve">IMP-CD7-338</t>
  </si>
  <si>
    <t xml:space="preserve">ODL101169</t>
  </si>
  <si>
    <t xml:space="preserve">IMP-SV8-181</t>
  </si>
  <si>
    <t xml:space="preserve">ODL101112</t>
  </si>
  <si>
    <t xml:space="preserve">ODL103952</t>
  </si>
  <si>
    <t xml:space="preserve">ODL101250</t>
  </si>
  <si>
    <t xml:space="preserve">ODL100218</t>
  </si>
  <si>
    <t xml:space="preserve">IMP-PP6-170</t>
  </si>
  <si>
    <t xml:space="preserve">ODL100298</t>
  </si>
  <si>
    <t xml:space="preserve">IMP-SV8-163</t>
  </si>
  <si>
    <t xml:space="preserve">ODL100321</t>
  </si>
  <si>
    <t xml:space="preserve">ODL102814</t>
  </si>
  <si>
    <t xml:space="preserve">ODL101208</t>
  </si>
  <si>
    <t xml:space="preserve">ODL101209</t>
  </si>
  <si>
    <t xml:space="preserve">ODL101034</t>
  </si>
  <si>
    <t xml:space="preserve">ODL100840</t>
  </si>
  <si>
    <t xml:space="preserve">IMP-SV8-166</t>
  </si>
  <si>
    <t xml:space="preserve">ODL104185</t>
  </si>
  <si>
    <t xml:space="preserve">ODL100428</t>
  </si>
  <si>
    <t xml:space="preserve">ODL101700</t>
  </si>
  <si>
    <t xml:space="preserve">IMP-CD7-177</t>
  </si>
  <si>
    <t xml:space="preserve">ODL103953</t>
  </si>
  <si>
    <t xml:space="preserve">IMP-HL4-093</t>
  </si>
  <si>
    <t xml:space="preserve">ODL100173</t>
  </si>
  <si>
    <t xml:space="preserve">ODL102638</t>
  </si>
  <si>
    <t xml:space="preserve">IMP-TS1-219</t>
  </si>
  <si>
    <t xml:space="preserve">ODL102939</t>
  </si>
  <si>
    <t xml:space="preserve">IMP-CT3-048</t>
  </si>
  <si>
    <t xml:space="preserve">ODL102190</t>
  </si>
  <si>
    <t xml:space="preserve">ODL103395</t>
  </si>
  <si>
    <t xml:space="preserve">IMP-CT2-138</t>
  </si>
  <si>
    <t xml:space="preserve">ODL103304</t>
  </si>
  <si>
    <t xml:space="preserve">ODL103025</t>
  </si>
  <si>
    <t xml:space="preserve">IMP-TS1-023</t>
  </si>
  <si>
    <t xml:space="preserve">ODL100296</t>
  </si>
  <si>
    <t xml:space="preserve">IMP-TN0-031</t>
  </si>
  <si>
    <t xml:space="preserve">ODL102808</t>
  </si>
  <si>
    <t xml:space="preserve">IMP-PP6-158</t>
  </si>
  <si>
    <t xml:space="preserve">ODL102832</t>
  </si>
  <si>
    <t xml:space="preserve">IMP-CT2-159</t>
  </si>
  <si>
    <t xml:space="preserve">ODL102996</t>
  </si>
  <si>
    <t xml:space="preserve">IMP-TS1-241</t>
  </si>
  <si>
    <t xml:space="preserve">ODL102360</t>
  </si>
  <si>
    <t xml:space="preserve">IMP-CD7-337</t>
  </si>
  <si>
    <t xml:space="preserve">ODL102407</t>
  </si>
  <si>
    <t xml:space="preserve">ODL103903</t>
  </si>
  <si>
    <t xml:space="preserve">IMP-CT3-088</t>
  </si>
  <si>
    <t xml:space="preserve">ODL100040</t>
  </si>
  <si>
    <t xml:space="preserve">IMP-SB5-030</t>
  </si>
  <si>
    <t xml:space="preserve">ODL100545</t>
  </si>
  <si>
    <t xml:space="preserve">IMP-CT2-014</t>
  </si>
  <si>
    <t xml:space="preserve">ODL102520</t>
  </si>
  <si>
    <t xml:space="preserve">IMP-TS1-257</t>
  </si>
  <si>
    <t xml:space="preserve">ODL103883</t>
  </si>
  <si>
    <t xml:space="preserve">ODL100908</t>
  </si>
  <si>
    <t xml:space="preserve">IMP-CT2-030</t>
  </si>
  <si>
    <t xml:space="preserve">ODL102569</t>
  </si>
  <si>
    <t xml:space="preserve">IMP-SB5-024</t>
  </si>
  <si>
    <t xml:space="preserve">ODL102258</t>
  </si>
  <si>
    <t xml:space="preserve">ODL102970</t>
  </si>
  <si>
    <t xml:space="preserve">IMP-HL4-176</t>
  </si>
  <si>
    <t xml:space="preserve">ODL100168</t>
  </si>
  <si>
    <t xml:space="preserve">IMP-CT2-166</t>
  </si>
  <si>
    <t xml:space="preserve">ODL103426</t>
  </si>
  <si>
    <t xml:space="preserve">IMP-CT2-064</t>
  </si>
  <si>
    <t xml:space="preserve">ODL100878</t>
  </si>
  <si>
    <t xml:space="preserve">IMP-CT2-052</t>
  </si>
  <si>
    <t xml:space="preserve">ODL101024</t>
  </si>
  <si>
    <t xml:space="preserve">IMP-HL4-048</t>
  </si>
  <si>
    <t xml:space="preserve">ODL101136</t>
  </si>
  <si>
    <t xml:space="preserve">IMP-HL4-111</t>
  </si>
  <si>
    <t xml:space="preserve">ODL103643</t>
  </si>
  <si>
    <t xml:space="preserve">ODL103685</t>
  </si>
  <si>
    <t xml:space="preserve">ODL100340</t>
  </si>
  <si>
    <t xml:space="preserve">IMP-PP6-139</t>
  </si>
  <si>
    <t xml:space="preserve">ODL103254</t>
  </si>
  <si>
    <t xml:space="preserve">IMP-HL4-252</t>
  </si>
  <si>
    <t xml:space="preserve">ODL102930</t>
  </si>
  <si>
    <t xml:space="preserve">IMP-HL4-274</t>
  </si>
  <si>
    <t xml:space="preserve">ODL102321</t>
  </si>
  <si>
    <t xml:space="preserve">IMP-TS1-027</t>
  </si>
  <si>
    <t xml:space="preserve">ODL101660</t>
  </si>
  <si>
    <t xml:space="preserve">ODL103504</t>
  </si>
  <si>
    <t xml:space="preserve">ODL103295</t>
  </si>
  <si>
    <t xml:space="preserve">IMP-CT2-114</t>
  </si>
  <si>
    <t xml:space="preserve">ODL103596</t>
  </si>
  <si>
    <t xml:space="preserve">IMP-HL4-107</t>
  </si>
  <si>
    <t xml:space="preserve">ODL100156</t>
  </si>
  <si>
    <t xml:space="preserve">IMP-HL4-025</t>
  </si>
  <si>
    <t xml:space="preserve">ODL103182</t>
  </si>
  <si>
    <t xml:space="preserve">IMP-TS1-145</t>
  </si>
  <si>
    <t xml:space="preserve">ODL100876</t>
  </si>
  <si>
    <t xml:space="preserve">IMP-TN0-230</t>
  </si>
  <si>
    <t xml:space="preserve">ODL102419</t>
  </si>
  <si>
    <t xml:space="preserve">ODL101886</t>
  </si>
  <si>
    <t xml:space="preserve">IMP-HL4-073</t>
  </si>
  <si>
    <t xml:space="preserve">ODL102810</t>
  </si>
  <si>
    <t xml:space="preserve">IMP-TN0-096</t>
  </si>
  <si>
    <t xml:space="preserve">ODL101669</t>
  </si>
  <si>
    <t xml:space="preserve">ODL102446</t>
  </si>
  <si>
    <t xml:space="preserve">IMP-CD7-150</t>
  </si>
  <si>
    <t xml:space="preserve">ODL100000</t>
  </si>
  <si>
    <t xml:space="preserve">IMP-TS1-126</t>
  </si>
  <si>
    <t xml:space="preserve">ODL101719</t>
  </si>
  <si>
    <t xml:space="preserve">IMP-SV8-192</t>
  </si>
  <si>
    <t xml:space="preserve">ODL103887</t>
  </si>
  <si>
    <t xml:space="preserve">IMP-SV8-225</t>
  </si>
  <si>
    <t xml:space="preserve">ODL103543</t>
  </si>
  <si>
    <t xml:space="preserve">ODL103524</t>
  </si>
  <si>
    <t xml:space="preserve">IMP-SV8-155</t>
  </si>
  <si>
    <t xml:space="preserve">ODL101630</t>
  </si>
  <si>
    <t xml:space="preserve">IMP-SV8-174</t>
  </si>
  <si>
    <t xml:space="preserve">ODL102072</t>
  </si>
  <si>
    <t xml:space="preserve">ODL101963</t>
  </si>
  <si>
    <t xml:space="preserve">IMP-FF9-099</t>
  </si>
  <si>
    <t xml:space="preserve">ODL102690</t>
  </si>
  <si>
    <t xml:space="preserve">ODL103210</t>
  </si>
  <si>
    <t xml:space="preserve">ODL102184</t>
  </si>
  <si>
    <t xml:space="preserve">IMP-TN0-091</t>
  </si>
  <si>
    <t xml:space="preserve">ODL100739</t>
  </si>
  <si>
    <t xml:space="preserve">IMP-CT2-131</t>
  </si>
  <si>
    <t xml:space="preserve">ODL100208</t>
  </si>
  <si>
    <t xml:space="preserve">ODL101263</t>
  </si>
  <si>
    <t xml:space="preserve">IMP-TN0-238</t>
  </si>
  <si>
    <t xml:space="preserve">ODL100166</t>
  </si>
  <si>
    <t xml:space="preserve">ODL100638</t>
  </si>
  <si>
    <t xml:space="preserve">IMP-FF9-071</t>
  </si>
  <si>
    <t xml:space="preserve">ODL100206</t>
  </si>
  <si>
    <t xml:space="preserve">ODL102431</t>
  </si>
  <si>
    <t xml:space="preserve">IMP-HL4-302</t>
  </si>
  <si>
    <t xml:space="preserve">ODL100413</t>
  </si>
  <si>
    <t xml:space="preserve">ODL102188</t>
  </si>
  <si>
    <t xml:space="preserve">IMP-PP6-179</t>
  </si>
  <si>
    <t xml:space="preserve">ODL102989</t>
  </si>
  <si>
    <t xml:space="preserve">IMP-SB5-054</t>
  </si>
  <si>
    <t xml:space="preserve">ODL103791</t>
  </si>
  <si>
    <t xml:space="preserve">ODL100746</t>
  </si>
  <si>
    <t xml:space="preserve">ODL102423</t>
  </si>
  <si>
    <t xml:space="preserve">ODL101360</t>
  </si>
  <si>
    <t xml:space="preserve">IMP-PP6-146</t>
  </si>
  <si>
    <t xml:space="preserve">ODL102716</t>
  </si>
  <si>
    <t xml:space="preserve">IMP-SV8-102</t>
  </si>
  <si>
    <t xml:space="preserve">ODL102304</t>
  </si>
  <si>
    <t xml:space="preserve">IMP-SV8-179</t>
  </si>
  <si>
    <t xml:space="preserve">ODL101362</t>
  </si>
  <si>
    <t xml:space="preserve">ODL103475</t>
  </si>
  <si>
    <t xml:space="preserve">ODL103072</t>
  </si>
  <si>
    <t xml:space="preserve">ODL104058</t>
  </si>
  <si>
    <t xml:space="preserve">IMP-HL4-212</t>
  </si>
  <si>
    <t xml:space="preserve">ODL101952</t>
  </si>
  <si>
    <t xml:space="preserve">ODL100088</t>
  </si>
  <si>
    <t xml:space="preserve">IMP-CT3-035</t>
  </si>
  <si>
    <t xml:space="preserve">ODL101409</t>
  </si>
  <si>
    <t xml:space="preserve">ODL102770</t>
  </si>
  <si>
    <t xml:space="preserve">IMP-TS1-034</t>
  </si>
  <si>
    <t xml:space="preserve">ODL100228</t>
  </si>
  <si>
    <t xml:space="preserve">IMP-PP6-011</t>
  </si>
  <si>
    <t xml:space="preserve">ODL102215</t>
  </si>
  <si>
    <t xml:space="preserve">IMP-CT2-180</t>
  </si>
  <si>
    <t xml:space="preserve">ODL100595</t>
  </si>
  <si>
    <t xml:space="preserve">IMP-SV8-200</t>
  </si>
  <si>
    <t xml:space="preserve">ODL103436</t>
  </si>
  <si>
    <t xml:space="preserve">IMP-TN0-177</t>
  </si>
  <si>
    <t xml:space="preserve">ODL102283</t>
  </si>
  <si>
    <t xml:space="preserve">IMP-TS1-190</t>
  </si>
  <si>
    <t xml:space="preserve">ODL102903</t>
  </si>
  <si>
    <t xml:space="preserve">IMP-CT3-049</t>
  </si>
  <si>
    <t xml:space="preserve">ODL101961</t>
  </si>
  <si>
    <t xml:space="preserve">IMP-SB5-012</t>
  </si>
  <si>
    <t xml:space="preserve">ODL101933</t>
  </si>
  <si>
    <t xml:space="preserve">IMP-TN0-307</t>
  </si>
  <si>
    <t xml:space="preserve">ODL101029</t>
  </si>
  <si>
    <t xml:space="preserve">ODL102739</t>
  </si>
  <si>
    <t xml:space="preserve">ODL103124</t>
  </si>
  <si>
    <t xml:space="preserve">IMP-CD7-283</t>
  </si>
  <si>
    <t xml:space="preserve">ODL102726</t>
  </si>
  <si>
    <t xml:space="preserve">IMP-HL4-187</t>
  </si>
  <si>
    <t xml:space="preserve">ODL100401</t>
  </si>
  <si>
    <t xml:space="preserve">IMP-PP6-116</t>
  </si>
  <si>
    <t xml:space="preserve">ODL100243</t>
  </si>
  <si>
    <t xml:space="preserve">ODL101546</t>
  </si>
  <si>
    <t xml:space="preserve">ODL100890</t>
  </si>
  <si>
    <t xml:space="preserve">IMP-CT3-066</t>
  </si>
  <si>
    <t xml:space="preserve">ODL101026</t>
  </si>
  <si>
    <t xml:space="preserve">IMP-TN0-306</t>
  </si>
  <si>
    <t xml:space="preserve">ODL100205</t>
  </si>
  <si>
    <t xml:space="preserve">IMP-HL4-172</t>
  </si>
  <si>
    <t xml:space="preserve">ODL103179</t>
  </si>
  <si>
    <t xml:space="preserve">ODL102097</t>
  </si>
  <si>
    <t xml:space="preserve">IMP-SV8-045</t>
  </si>
  <si>
    <t xml:space="preserve">ODL100800</t>
  </si>
  <si>
    <t xml:space="preserve">IMP-CT3-061</t>
  </si>
  <si>
    <t xml:space="preserve">ODL104199</t>
  </si>
  <si>
    <t xml:space="preserve">IMP-SV8-061</t>
  </si>
  <si>
    <t xml:space="preserve">ODL100148</t>
  </si>
  <si>
    <t xml:space="preserve">ODL102214</t>
  </si>
  <si>
    <t xml:space="preserve">ODL102643</t>
  </si>
  <si>
    <t xml:space="preserve">ODL102049</t>
  </si>
  <si>
    <t xml:space="preserve">ODL101875</t>
  </si>
  <si>
    <t xml:space="preserve">IMP-TS1-075</t>
  </si>
  <si>
    <t xml:space="preserve">ODL101318</t>
  </si>
  <si>
    <t xml:space="preserve">ODL101120</t>
  </si>
  <si>
    <t xml:space="preserve">ODL103328</t>
  </si>
  <si>
    <t xml:space="preserve">ODL102354</t>
  </si>
  <si>
    <t xml:space="preserve">ODL101891</t>
  </si>
  <si>
    <t xml:space="preserve">IMP-SV8-007</t>
  </si>
  <si>
    <t xml:space="preserve">ODL103817</t>
  </si>
  <si>
    <t xml:space="preserve">ODL103970</t>
  </si>
  <si>
    <t xml:space="preserve">ODL100494</t>
  </si>
  <si>
    <t xml:space="preserve">ODL100982</t>
  </si>
  <si>
    <t xml:space="preserve">ODL103974</t>
  </si>
  <si>
    <t xml:space="preserve">IMP-TS1-091</t>
  </si>
  <si>
    <t xml:space="preserve">ODL103864</t>
  </si>
  <si>
    <t xml:space="preserve">IMP-CT2-147</t>
  </si>
  <si>
    <t xml:space="preserve">ODL104118</t>
  </si>
  <si>
    <t xml:space="preserve">IMP-TS1-026</t>
  </si>
  <si>
    <t xml:space="preserve">ODL103913</t>
  </si>
  <si>
    <t xml:space="preserve">IMP-CT3-094</t>
  </si>
  <si>
    <t xml:space="preserve">ODL100431</t>
  </si>
  <si>
    <t xml:space="preserve">ODL103574</t>
  </si>
  <si>
    <t xml:space="preserve">IMP-HL4-001</t>
  </si>
  <si>
    <t xml:space="preserve">ODL102120</t>
  </si>
  <si>
    <t xml:space="preserve">IMP-TS1-150</t>
  </si>
  <si>
    <t xml:space="preserve">ODL103142</t>
  </si>
  <si>
    <t xml:space="preserve">ODL100452</t>
  </si>
  <si>
    <t xml:space="preserve">IMP-CT3-042</t>
  </si>
  <si>
    <t xml:space="preserve">ODL103638</t>
  </si>
  <si>
    <t xml:space="preserve">ODL100216</t>
  </si>
  <si>
    <t xml:space="preserve">ODL100344</t>
  </si>
  <si>
    <t xml:space="preserve">IMP-CD7-239</t>
  </si>
  <si>
    <t xml:space="preserve">ODL101256</t>
  </si>
  <si>
    <t xml:space="preserve">ODL100497</t>
  </si>
  <si>
    <t xml:space="preserve">ODL101493</t>
  </si>
  <si>
    <t xml:space="preserve">ODL100961</t>
  </si>
  <si>
    <t xml:space="preserve">IMP-TS1-141</t>
  </si>
  <si>
    <t xml:space="preserve">ODL100254</t>
  </si>
  <si>
    <t xml:space="preserve">ODL101432</t>
  </si>
  <si>
    <t xml:space="preserve">ODL103429</t>
  </si>
  <si>
    <t xml:space="preserve">IMP-SV8-116</t>
  </si>
  <si>
    <t xml:space="preserve">ODL102163</t>
  </si>
  <si>
    <t xml:space="preserve">IMP-CT2-126</t>
  </si>
  <si>
    <t xml:space="preserve">ODL100190</t>
  </si>
  <si>
    <t xml:space="preserve">ODL100834</t>
  </si>
  <si>
    <t xml:space="preserve">IMP-HL4-284</t>
  </si>
  <si>
    <t xml:space="preserve">ODL103813</t>
  </si>
  <si>
    <t xml:space="preserve">IMP-SB5-061</t>
  </si>
  <si>
    <t xml:space="preserve">ODL101929</t>
  </si>
  <si>
    <t xml:space="preserve">IMP-CT3-039</t>
  </si>
  <si>
    <t xml:space="preserve">ODL100774</t>
  </si>
  <si>
    <t xml:space="preserve">IMP-CD7-265</t>
  </si>
  <si>
    <t xml:space="preserve">ODL102135</t>
  </si>
  <si>
    <t xml:space="preserve">IMP-CT3-108</t>
  </si>
  <si>
    <t xml:space="preserve">ODL101825</t>
  </si>
  <si>
    <t xml:space="preserve">IMP-PP6-059</t>
  </si>
  <si>
    <t xml:space="preserve">ODL101562</t>
  </si>
  <si>
    <t xml:space="preserve">ODL102119</t>
  </si>
  <si>
    <t xml:space="preserve">ODL103605</t>
  </si>
  <si>
    <t xml:space="preserve">ODL100272</t>
  </si>
  <si>
    <t xml:space="preserve">IMP-CT3-144</t>
  </si>
  <si>
    <t xml:space="preserve">ODL103040</t>
  </si>
  <si>
    <t xml:space="preserve">IMP-HL4-315</t>
  </si>
  <si>
    <t xml:space="preserve">ODL102324</t>
  </si>
  <si>
    <t xml:space="preserve">IMP-PP6-154</t>
  </si>
  <si>
    <t xml:space="preserve">ODL101644</t>
  </si>
  <si>
    <t xml:space="preserve">ODL100717</t>
  </si>
  <si>
    <t xml:space="preserve">ODL102668</t>
  </si>
  <si>
    <t xml:space="preserve">ODL100633</t>
  </si>
  <si>
    <t xml:space="preserve">IMP-TN0-037</t>
  </si>
  <si>
    <t xml:space="preserve">ODL103827</t>
  </si>
  <si>
    <t xml:space="preserve">IMP-PP6-152</t>
  </si>
  <si>
    <t xml:space="preserve">ODL100022</t>
  </si>
  <si>
    <t xml:space="preserve">ODL100403</t>
  </si>
  <si>
    <t xml:space="preserve">ODL100905</t>
  </si>
  <si>
    <t xml:space="preserve">IMP-TN0-165</t>
  </si>
  <si>
    <t xml:space="preserve">ODL103837</t>
  </si>
  <si>
    <t xml:space="preserve">IMP-CT3-126</t>
  </si>
  <si>
    <t xml:space="preserve">ODL103608</t>
  </si>
  <si>
    <t xml:space="preserve">IMP-CT3-127</t>
  </si>
  <si>
    <t xml:space="preserve">ODL101189</t>
  </si>
  <si>
    <t xml:space="preserve">ODL100435</t>
  </si>
  <si>
    <t xml:space="preserve">ODL100816</t>
  </si>
  <si>
    <t xml:space="preserve">ODL102242</t>
  </si>
  <si>
    <t xml:space="preserve">IMP-FF9-110</t>
  </si>
  <si>
    <t xml:space="preserve">ODL100499</t>
  </si>
  <si>
    <t xml:space="preserve">IMP-CD7-286</t>
  </si>
  <si>
    <t xml:space="preserve">ODL100916</t>
  </si>
  <si>
    <t xml:space="preserve">ODL100132</t>
  </si>
  <si>
    <t xml:space="preserve">ODL103481</t>
  </si>
  <si>
    <t xml:space="preserve">ODL102234</t>
  </si>
  <si>
    <t xml:space="preserve">ODL102448</t>
  </si>
  <si>
    <t xml:space="preserve">ODL102604</t>
  </si>
  <si>
    <t xml:space="preserve">ODL100723</t>
  </si>
  <si>
    <t xml:space="preserve">ODL102869</t>
  </si>
  <si>
    <t xml:space="preserve">ODL102717</t>
  </si>
  <si>
    <t xml:space="preserve">IMP-PP6-174</t>
  </si>
  <si>
    <t xml:space="preserve">ODL101127</t>
  </si>
  <si>
    <t xml:space="preserve">ODL100701</t>
  </si>
  <si>
    <t xml:space="preserve">IMP-PP6-147</t>
  </si>
  <si>
    <t xml:space="preserve">ODL103247</t>
  </si>
  <si>
    <t xml:space="preserve">ODL101000</t>
  </si>
  <si>
    <t xml:space="preserve">ODL102881</t>
  </si>
  <si>
    <t xml:space="preserve">IMP-HL4-169</t>
  </si>
  <si>
    <t xml:space="preserve">ODL103616</t>
  </si>
  <si>
    <t xml:space="preserve">IMP-CD7-144</t>
  </si>
  <si>
    <t xml:space="preserve">ODL103965</t>
  </si>
  <si>
    <t xml:space="preserve">ODL103719</t>
  </si>
  <si>
    <t xml:space="preserve">ODL100014</t>
  </si>
  <si>
    <t xml:space="preserve">IMP-SB5-079</t>
  </si>
  <si>
    <t xml:space="preserve">ODL100885</t>
  </si>
  <si>
    <t xml:space="preserve">ODL100640</t>
  </si>
  <si>
    <t xml:space="preserve">ODL103927</t>
  </si>
  <si>
    <t xml:space="preserve">IMP-SV8-054</t>
  </si>
  <si>
    <t xml:space="preserve">ODL103120</t>
  </si>
  <si>
    <t xml:space="preserve">ODL100721</t>
  </si>
  <si>
    <t xml:space="preserve">IMP-TS1-134</t>
  </si>
  <si>
    <t xml:space="preserve">ODL100882</t>
  </si>
  <si>
    <t xml:space="preserve">IMP-CT2-141</t>
  </si>
  <si>
    <t xml:space="preserve">ODL103755</t>
  </si>
  <si>
    <t xml:space="preserve">IMP-HL4-072</t>
  </si>
  <si>
    <t xml:space="preserve">ODL102507</t>
  </si>
  <si>
    <t xml:space="preserve">IMP-CT2-097</t>
  </si>
  <si>
    <t xml:space="preserve">ODL100871</t>
  </si>
  <si>
    <t xml:space="preserve">IMP-CT2-107</t>
  </si>
  <si>
    <t xml:space="preserve">ODL100555</t>
  </si>
  <si>
    <t xml:space="preserve">IMP-HL4-359</t>
  </si>
  <si>
    <t xml:space="preserve">ODL103597</t>
  </si>
  <si>
    <t xml:space="preserve">IMP-CD7-345</t>
  </si>
  <si>
    <t xml:space="preserve">ODL101984</t>
  </si>
  <si>
    <t xml:space="preserve">IMP-PP6-104</t>
  </si>
  <si>
    <t xml:space="preserve">ODL104184</t>
  </si>
  <si>
    <t xml:space="preserve">IMP-PP6-023</t>
  </si>
  <si>
    <t xml:space="preserve">ODL102171</t>
  </si>
  <si>
    <t xml:space="preserve">ODL103251</t>
  </si>
  <si>
    <t xml:space="preserve">IMP-HL4-399</t>
  </si>
  <si>
    <t xml:space="preserve">ODL104103</t>
  </si>
  <si>
    <t xml:space="preserve">IMP-TS1-173</t>
  </si>
  <si>
    <t xml:space="preserve">ODL101777</t>
  </si>
  <si>
    <t xml:space="preserve">ODL100548</t>
  </si>
  <si>
    <t xml:space="preserve">IMP-TS1-186</t>
  </si>
  <si>
    <t xml:space="preserve">ODL100511</t>
  </si>
  <si>
    <t xml:space="preserve">ODL101705</t>
  </si>
  <si>
    <t xml:space="preserve">IMP-CT2-189</t>
  </si>
  <si>
    <t xml:space="preserve">ODL103104</t>
  </si>
  <si>
    <t xml:space="preserve">ODL100186</t>
  </si>
  <si>
    <t xml:space="preserve">IMP-CT3-013</t>
  </si>
  <si>
    <t xml:space="preserve">ODL102636</t>
  </si>
  <si>
    <t xml:space="preserve">ODL103649</t>
  </si>
  <si>
    <t xml:space="preserve">IMP-HL4-380</t>
  </si>
  <si>
    <t xml:space="preserve">ODL104098</t>
  </si>
  <si>
    <t xml:space="preserve">ODL100737</t>
  </si>
  <si>
    <t xml:space="preserve">IMP-CT2-042</t>
  </si>
  <si>
    <t xml:space="preserve">ODL103075</t>
  </si>
  <si>
    <t xml:space="preserve">ODL100157</t>
  </si>
  <si>
    <t xml:space="preserve">IMP-CT2-158</t>
  </si>
  <si>
    <t xml:space="preserve">ODL102834</t>
  </si>
  <si>
    <t xml:space="preserve">ODL103258</t>
  </si>
  <si>
    <t xml:space="preserve">IMP-CT3-023</t>
  </si>
  <si>
    <t xml:space="preserve">ODL102619</t>
  </si>
  <si>
    <t xml:space="preserve">IMP-HL4-032</t>
  </si>
  <si>
    <t xml:space="preserve">ODL102820</t>
  </si>
  <si>
    <t xml:space="preserve">IMP-SV8-025</t>
  </si>
  <si>
    <t xml:space="preserve">ODL101207</t>
  </si>
  <si>
    <t xml:space="preserve">ODL102991</t>
  </si>
  <si>
    <t xml:space="preserve">IMP-CT3-083</t>
  </si>
  <si>
    <t xml:space="preserve">ODL103872</t>
  </si>
  <si>
    <t xml:space="preserve">IMP-TS1-171</t>
  </si>
  <si>
    <t xml:space="preserve">ODL101316</t>
  </si>
  <si>
    <t xml:space="preserve">ODL100738</t>
  </si>
  <si>
    <t xml:space="preserve">IMP-SB5-118</t>
  </si>
  <si>
    <t xml:space="preserve">ODL103217</t>
  </si>
  <si>
    <t xml:space="preserve">ODL103056</t>
  </si>
  <si>
    <t xml:space="preserve">ODL100128</t>
  </si>
  <si>
    <t xml:space="preserve">ODL103206</t>
  </si>
  <si>
    <t xml:space="preserve">ODL100864</t>
  </si>
  <si>
    <t xml:space="preserve">IMP-CT2-012</t>
  </si>
  <si>
    <t xml:space="preserve">ODL103794</t>
  </si>
  <si>
    <t xml:space="preserve">ODL101323</t>
  </si>
  <si>
    <t xml:space="preserve">ODL104156</t>
  </si>
  <si>
    <t xml:space="preserve">ODL102482</t>
  </si>
  <si>
    <t xml:space="preserve">ODL101478</t>
  </si>
  <si>
    <t xml:space="preserve">IMP-SB5-005</t>
  </si>
  <si>
    <t xml:space="preserve">ODL103302</t>
  </si>
  <si>
    <t xml:space="preserve">IMP-CT3-009</t>
  </si>
  <si>
    <t xml:space="preserve">ODL102704</t>
  </si>
  <si>
    <t xml:space="preserve">ODL102330</t>
  </si>
  <si>
    <t xml:space="preserve">ODL102382</t>
  </si>
  <si>
    <t xml:space="preserve">IMP-TN0-012</t>
  </si>
  <si>
    <t xml:space="preserve">ODL100610</t>
  </si>
  <si>
    <t xml:space="preserve">IMP-CD7-328</t>
  </si>
  <si>
    <t xml:space="preserve">ODL100095</t>
  </si>
  <si>
    <t xml:space="preserve">IMP-HL4-223</t>
  </si>
  <si>
    <t xml:space="preserve">ODL101011</t>
  </si>
  <si>
    <t xml:space="preserve">IMP-CT2-187</t>
  </si>
  <si>
    <t xml:space="preserve">ODL103380</t>
  </si>
  <si>
    <t xml:space="preserve">IMP-SV8-077</t>
  </si>
  <si>
    <t xml:space="preserve">ODL103822</t>
  </si>
  <si>
    <t xml:space="preserve">ODL104078</t>
  </si>
  <si>
    <t xml:space="preserve">IMP-CD7-296</t>
  </si>
  <si>
    <t xml:space="preserve">ODL100302</t>
  </si>
  <si>
    <t xml:space="preserve">IMP-CD7-256</t>
  </si>
  <si>
    <t xml:space="preserve">ODL102277</t>
  </si>
  <si>
    <t xml:space="preserve">ODL102204</t>
  </si>
  <si>
    <t xml:space="preserve">ODL103389</t>
  </si>
  <si>
    <t xml:space="preserve">ODL102020</t>
  </si>
  <si>
    <t xml:space="preserve">ODL103627</t>
  </si>
  <si>
    <t xml:space="preserve">IMP-HL4-065</t>
  </si>
  <si>
    <t xml:space="preserve">ODL102099</t>
  </si>
  <si>
    <t xml:space="preserve">IMP-CD7-263</t>
  </si>
  <si>
    <t xml:space="preserve">ODL100051</t>
  </si>
  <si>
    <t xml:space="preserve">ODL103315</t>
  </si>
  <si>
    <t xml:space="preserve">IMP-HL4-213</t>
  </si>
  <si>
    <t xml:space="preserve">ODL102699</t>
  </si>
  <si>
    <t xml:space="preserve">ODL101846</t>
  </si>
  <si>
    <t xml:space="preserve">ODL100445</t>
  </si>
  <si>
    <t xml:space="preserve">IMP-SV8-024</t>
  </si>
  <si>
    <t xml:space="preserve">ODL103271</t>
  </si>
  <si>
    <t xml:space="preserve">IMP-TS1-035</t>
  </si>
  <si>
    <t xml:space="preserve">ODL100826</t>
  </si>
  <si>
    <t xml:space="preserve">IMP-CD7-096</t>
  </si>
  <si>
    <t xml:space="preserve">ODL101265</t>
  </si>
  <si>
    <t xml:space="preserve">ODL103941</t>
  </si>
  <si>
    <t xml:space="preserve">IMP-CD7-305</t>
  </si>
  <si>
    <t xml:space="preserve">ODL103386</t>
  </si>
  <si>
    <t xml:space="preserve">ODL101571</t>
  </si>
  <si>
    <t xml:space="preserve">IMP-PP6-013</t>
  </si>
  <si>
    <t xml:space="preserve">ODL103332</t>
  </si>
  <si>
    <t xml:space="preserve">IMP-SB5-075</t>
  </si>
  <si>
    <t xml:space="preserve">ODL100402</t>
  </si>
  <si>
    <t xml:space="preserve">ODL100799</t>
  </si>
  <si>
    <t xml:space="preserve">IMP-TN0-164</t>
  </si>
  <si>
    <t xml:space="preserve">ODL103788</t>
  </si>
  <si>
    <t xml:space="preserve">ODL103657</t>
  </si>
  <si>
    <t xml:space="preserve">IMP-FF9-046</t>
  </si>
  <si>
    <t xml:space="preserve">ODL104045</t>
  </si>
  <si>
    <t xml:space="preserve">IMP-SV8-169</t>
  </si>
  <si>
    <t xml:space="preserve">ODL100319</t>
  </si>
  <si>
    <t xml:space="preserve">IMP-TN0-228</t>
  </si>
  <si>
    <t xml:space="preserve">ODL100374</t>
  </si>
  <si>
    <t xml:space="preserve">IMP-TS1-157</t>
  </si>
  <si>
    <t xml:space="preserve">ODL100807</t>
  </si>
  <si>
    <t xml:space="preserve">IMP-HL4-140</t>
  </si>
  <si>
    <t xml:space="preserve">ODL104001</t>
  </si>
  <si>
    <t xml:space="preserve">IMP-CT3-116</t>
  </si>
  <si>
    <t xml:space="preserve">ODL102451</t>
  </si>
  <si>
    <t xml:space="preserve">ODL102402</t>
  </si>
  <si>
    <t xml:space="preserve">IMP-TN0-094</t>
  </si>
  <si>
    <t xml:space="preserve">ODL103224</t>
  </si>
  <si>
    <t xml:space="preserve">IMP-TS1-050</t>
  </si>
  <si>
    <t xml:space="preserve">ODL102874</t>
  </si>
  <si>
    <t xml:space="preserve">IMP-CD7-195</t>
  </si>
  <si>
    <t xml:space="preserve">ODL102164</t>
  </si>
  <si>
    <t xml:space="preserve">ODL102667</t>
  </si>
  <si>
    <t xml:space="preserve">IMP-HL4-097</t>
  </si>
  <si>
    <t xml:space="preserve">ODL102892</t>
  </si>
  <si>
    <t xml:space="preserve">ODL102573</t>
  </si>
  <si>
    <t xml:space="preserve">ODL101658</t>
  </si>
  <si>
    <t xml:space="preserve">IMP-TS1-233</t>
  </si>
  <si>
    <t xml:space="preserve">ODL103507</t>
  </si>
  <si>
    <t xml:space="preserve">IMP-SV8-087</t>
  </si>
  <si>
    <t xml:space="preserve">ODL103284</t>
  </si>
  <si>
    <t xml:space="preserve">ODL104133</t>
  </si>
  <si>
    <t xml:space="preserve">ODL103435</t>
  </si>
  <si>
    <t xml:space="preserve">IMP-HL4-165</t>
  </si>
  <si>
    <t xml:space="preserve">ODL103570</t>
  </si>
  <si>
    <t xml:space="preserve">IMP-CD7-031</t>
  </si>
  <si>
    <t xml:space="preserve">ODL102409</t>
  </si>
  <si>
    <t xml:space="preserve">IMP-PP6-123</t>
  </si>
  <si>
    <t xml:space="preserve">ODL101898</t>
  </si>
  <si>
    <t xml:space="preserve">IMP-TN0-190</t>
  </si>
  <si>
    <t xml:space="preserve">ODL102334</t>
  </si>
  <si>
    <t xml:space="preserve">IMP-SB5-109</t>
  </si>
  <si>
    <t xml:space="preserve">ODL102452</t>
  </si>
  <si>
    <t xml:space="preserve">ODL100090</t>
  </si>
  <si>
    <t xml:space="preserve">IMP-SB5-097</t>
  </si>
  <si>
    <t xml:space="preserve">ODL102550</t>
  </si>
  <si>
    <t xml:space="preserve">ODL102805</t>
  </si>
  <si>
    <t xml:space="preserve">ODL101147</t>
  </si>
  <si>
    <t xml:space="preserve">ODL102046</t>
  </si>
  <si>
    <t xml:space="preserve">ODL102211</t>
  </si>
  <si>
    <t xml:space="preserve">ODL103986</t>
  </si>
  <si>
    <t xml:space="preserve">IMP-CT2-132</t>
  </si>
  <si>
    <t xml:space="preserve">ODL100972</t>
  </si>
  <si>
    <t xml:space="preserve">IMP-CD7-288</t>
  </si>
  <si>
    <t xml:space="preserve">ODL100844</t>
  </si>
  <si>
    <t xml:space="preserve">ODL100363</t>
  </si>
  <si>
    <t xml:space="preserve">IMP-CT3-062</t>
  </si>
  <si>
    <t xml:space="preserve">ODL102484</t>
  </si>
  <si>
    <t xml:space="preserve">IMP-SV8-125</t>
  </si>
  <si>
    <t xml:space="preserve">ODL101842</t>
  </si>
  <si>
    <t xml:space="preserve">IMP-TS1-120</t>
  </si>
  <si>
    <t xml:space="preserve">ODL103508</t>
  </si>
  <si>
    <t xml:space="preserve">ODL103320</t>
  </si>
  <si>
    <t xml:space="preserve">IMP-PP6-149</t>
  </si>
  <si>
    <t xml:space="preserve">ODL100475</t>
  </si>
  <si>
    <t xml:space="preserve">ODL102608</t>
  </si>
  <si>
    <t xml:space="preserve">ODL100792</t>
  </si>
  <si>
    <t xml:space="preserve">IMP-FF9-050</t>
  </si>
  <si>
    <t xml:space="preserve">ODL102309</t>
  </si>
  <si>
    <t xml:space="preserve">IMP-CD7-213</t>
  </si>
  <si>
    <t xml:space="preserve">ODL101389</t>
  </si>
  <si>
    <t xml:space="preserve">ODL103444</t>
  </si>
  <si>
    <t xml:space="preserve">ODL102170</t>
  </si>
  <si>
    <t xml:space="preserve">ODL101968</t>
  </si>
  <si>
    <t xml:space="preserve">ODL101506</t>
  </si>
  <si>
    <t xml:space="preserve">ODL103587</t>
  </si>
  <si>
    <t xml:space="preserve">IMP-CD7-120</t>
  </si>
  <si>
    <t xml:space="preserve">ODL100300</t>
  </si>
  <si>
    <t xml:space="preserve">ODL101211</t>
  </si>
  <si>
    <t xml:space="preserve">ODL102694</t>
  </si>
  <si>
    <t xml:space="preserve">IMP-SB5-111</t>
  </si>
  <si>
    <t xml:space="preserve">ODL102329</t>
  </si>
  <si>
    <t xml:space="preserve">IMP-CT3-098</t>
  </si>
  <si>
    <t xml:space="preserve">ODL103653</t>
  </si>
  <si>
    <t xml:space="preserve">ODL100109</t>
  </si>
  <si>
    <t xml:space="preserve">IMP-CD7-277</t>
  </si>
  <si>
    <t xml:space="preserve">ODL100975</t>
  </si>
  <si>
    <t xml:space="preserve">ODL100273</t>
  </si>
  <si>
    <t xml:space="preserve">ODL100223</t>
  </si>
  <si>
    <t xml:space="preserve">ODL101529</t>
  </si>
  <si>
    <t xml:space="preserve">IMP-CD7-224</t>
  </si>
  <si>
    <t xml:space="preserve">ODL102212</t>
  </si>
  <si>
    <t xml:space="preserve">IMP-CD7-227</t>
  </si>
  <si>
    <t xml:space="preserve">ODL102683</t>
  </si>
  <si>
    <t xml:space="preserve">ODL102529</t>
  </si>
  <si>
    <t xml:space="preserve">ODL103358</t>
  </si>
  <si>
    <t xml:space="preserve">IMP-CD7-334</t>
  </si>
  <si>
    <t xml:space="preserve">ODL100373</t>
  </si>
  <si>
    <t xml:space="preserve">ODL102424</t>
  </si>
  <si>
    <t xml:space="preserve">IMP-TN0-264</t>
  </si>
  <si>
    <t xml:space="preserve">ODL100394</t>
  </si>
  <si>
    <t xml:space="preserve">IMP-SB5-058</t>
  </si>
  <si>
    <t xml:space="preserve">ODL102662</t>
  </si>
  <si>
    <t xml:space="preserve">ODL100691</t>
  </si>
  <si>
    <t xml:space="preserve">ODL103490</t>
  </si>
  <si>
    <t xml:space="preserve">IMP-FF9-032</t>
  </si>
  <si>
    <t xml:space="preserve">ODL100235</t>
  </si>
  <si>
    <t xml:space="preserve">ODL102562</t>
  </si>
  <si>
    <t xml:space="preserve">IMP-SV8-074</t>
  </si>
  <si>
    <t xml:space="preserve">ODL102472</t>
  </si>
  <si>
    <t xml:space="preserve">IMP-TN0-046</t>
  </si>
  <si>
    <t xml:space="preserve">ODL103421</t>
  </si>
  <si>
    <t xml:space="preserve">IMP-SB5-100</t>
  </si>
  <si>
    <t xml:space="preserve">ODL104021</t>
  </si>
  <si>
    <t xml:space="preserve">ODL100360</t>
  </si>
  <si>
    <t xml:space="preserve">ODL101060</t>
  </si>
  <si>
    <t xml:space="preserve">IMP-TS1-155</t>
  </si>
  <si>
    <t xml:space="preserve">ODL101725</t>
  </si>
  <si>
    <t xml:space="preserve">IMP-SB5-044</t>
  </si>
  <si>
    <t xml:space="preserve">ODL100178</t>
  </si>
  <si>
    <t xml:space="preserve">IMP-HL4-283</t>
  </si>
  <si>
    <t xml:space="preserve">ODL103793</t>
  </si>
  <si>
    <t xml:space="preserve">ODL100618</t>
  </si>
  <si>
    <t xml:space="preserve">ODL100581</t>
  </si>
  <si>
    <t xml:space="preserve">IMP-TS1-037</t>
  </si>
  <si>
    <t xml:space="preserve">ODL104189</t>
  </si>
  <si>
    <t xml:space="preserve">IMP-PP6-110</t>
  </si>
  <si>
    <t xml:space="preserve">ODL100357</t>
  </si>
  <si>
    <t xml:space="preserve">ODL102877</t>
  </si>
  <si>
    <t xml:space="preserve">IMP-PP6-062</t>
  </si>
  <si>
    <t xml:space="preserve">ODL103950</t>
  </si>
  <si>
    <t xml:space="preserve">ODL100854</t>
  </si>
  <si>
    <t xml:space="preserve">ODL100209</t>
  </si>
  <si>
    <t xml:space="preserve">ODL103400</t>
  </si>
  <si>
    <t xml:space="preserve">ODL102958</t>
  </si>
  <si>
    <t xml:space="preserve">IMP-FF9-022</t>
  </si>
  <si>
    <t xml:space="preserve">ODL100906</t>
  </si>
  <si>
    <t xml:space="preserve">ODL102426</t>
  </si>
  <si>
    <t xml:space="preserve">ODL100794</t>
  </si>
  <si>
    <t xml:space="preserve">ODL103891</t>
  </si>
  <si>
    <t xml:space="preserve">ODL102839</t>
  </si>
  <si>
    <t xml:space="preserve">IMP-FF9-011</t>
  </si>
  <si>
    <t xml:space="preserve">ODL104150</t>
  </si>
  <si>
    <t xml:space="preserve">IMP-CT2-137</t>
  </si>
  <si>
    <t xml:space="preserve">ODL100459</t>
  </si>
  <si>
    <t xml:space="preserve">ODL101789</t>
  </si>
  <si>
    <t xml:space="preserve">ODL100851</t>
  </si>
  <si>
    <t xml:space="preserve">ODL104088</t>
  </si>
  <si>
    <t xml:space="preserve">IMP-HL4-264</t>
  </si>
  <si>
    <t xml:space="preserve">ODL100096</t>
  </si>
  <si>
    <t xml:space="preserve">ODL102103</t>
  </si>
  <si>
    <t xml:space="preserve">ODL102967</t>
  </si>
  <si>
    <t xml:space="preserve">IMP-HL4-159</t>
  </si>
  <si>
    <t xml:space="preserve">ODL101399</t>
  </si>
  <si>
    <t xml:space="preserve">ODL100899</t>
  </si>
  <si>
    <t xml:space="preserve">ODL102102</t>
  </si>
  <si>
    <t xml:space="preserve">IMP-TN0-300</t>
  </si>
  <si>
    <t xml:space="preserve">ODL100440</t>
  </si>
  <si>
    <t xml:space="preserve">ODL100605</t>
  </si>
  <si>
    <t xml:space="preserve">ODL101347</t>
  </si>
  <si>
    <t xml:space="preserve">IMP-CD7-290</t>
  </si>
  <si>
    <t xml:space="preserve">ODL102502</t>
  </si>
  <si>
    <t xml:space="preserve">ODL103548</t>
  </si>
  <si>
    <t xml:space="preserve">IMP-SB5-043</t>
  </si>
  <si>
    <t xml:space="preserve">ODL101372</t>
  </si>
  <si>
    <t xml:space="preserve">ODL102841</t>
  </si>
  <si>
    <t xml:space="preserve">ODL103401</t>
  </si>
  <si>
    <t xml:space="preserve">IMP-CD7-158</t>
  </si>
  <si>
    <t xml:space="preserve">ODL103637</t>
  </si>
  <si>
    <t xml:space="preserve">IMP-TS1-056</t>
  </si>
  <si>
    <t xml:space="preserve">ODL100162</t>
  </si>
  <si>
    <t xml:space="preserve">IMP-HL4-279</t>
  </si>
  <si>
    <t xml:space="preserve">ODL104140</t>
  </si>
  <si>
    <t xml:space="preserve">IMP-CT3-109</t>
  </si>
  <si>
    <t xml:space="preserve">ODL101684</t>
  </si>
  <si>
    <t xml:space="preserve">IMP-SV8-144</t>
  </si>
  <si>
    <t xml:space="preserve">ODL101076</t>
  </si>
  <si>
    <t xml:space="preserve">ODL101521</t>
  </si>
  <si>
    <t xml:space="preserve">ODL100784</t>
  </si>
  <si>
    <t xml:space="preserve">IMP-TN0-244</t>
  </si>
  <si>
    <t xml:space="preserve">ODL102147</t>
  </si>
  <si>
    <t xml:space="preserve">IMP-TN0-316</t>
  </si>
  <si>
    <t xml:space="preserve">ODL100856</t>
  </si>
  <si>
    <t xml:space="preserve">IMP-SB5-101</t>
  </si>
  <si>
    <t xml:space="preserve">ODL104121</t>
  </si>
  <si>
    <t xml:space="preserve">IMP-PP6-115</t>
  </si>
  <si>
    <t xml:space="preserve">ODL103024</t>
  </si>
  <si>
    <t xml:space="preserve">ODL103379</t>
  </si>
  <si>
    <t xml:space="preserve">IMP-CT2-113</t>
  </si>
  <si>
    <t xml:space="preserve">ODL104144</t>
  </si>
  <si>
    <t xml:space="preserve">IMP-CT2-115</t>
  </si>
  <si>
    <t xml:space="preserve">ODL104053</t>
  </si>
  <si>
    <t xml:space="preserve">IMP-PP6-039</t>
  </si>
  <si>
    <t xml:space="preserve">ODL102023</t>
  </si>
  <si>
    <t xml:space="preserve">IMP-SB5-028</t>
  </si>
  <si>
    <t xml:space="preserve">ODL103173</t>
  </si>
  <si>
    <t xml:space="preserve">ODL100536</t>
  </si>
  <si>
    <t xml:space="preserve">IMP-CT2-041</t>
  </si>
  <si>
    <t xml:space="preserve">ODL101182</t>
  </si>
  <si>
    <t xml:space="preserve">ODL103398</t>
  </si>
  <si>
    <t xml:space="preserve">IMP-PP6-140</t>
  </si>
  <si>
    <t xml:space="preserve">ODL101284</t>
  </si>
  <si>
    <t xml:space="preserve">ODL101779</t>
  </si>
  <si>
    <t xml:space="preserve">IMP-PP6-160</t>
  </si>
  <si>
    <t xml:space="preserve">ODL103080</t>
  </si>
  <si>
    <t xml:space="preserve">ODL103060</t>
  </si>
  <si>
    <t xml:space="preserve">ODL101350</t>
  </si>
  <si>
    <t xml:space="preserve">IMP-TS1-015</t>
  </si>
  <si>
    <t xml:space="preserve">ODL103169</t>
  </si>
  <si>
    <t xml:space="preserve">ODL103014</t>
  </si>
  <si>
    <t xml:space="preserve">ODL103127</t>
  </si>
  <si>
    <t xml:space="preserve">IMP-SV8-150</t>
  </si>
  <si>
    <t xml:space="preserve">ODL102018</t>
  </si>
  <si>
    <t xml:space="preserve">ODL103298</t>
  </si>
  <si>
    <t xml:space="preserve">ODL100521</t>
  </si>
  <si>
    <t xml:space="preserve">ODL100123</t>
  </si>
  <si>
    <t xml:space="preserve">IMP-TS1-080</t>
  </si>
  <si>
    <t xml:space="preserve">ODL100308</t>
  </si>
  <si>
    <t xml:space="preserve">IMP-SV8-039</t>
  </si>
  <si>
    <t xml:space="preserve">ODL103184</t>
  </si>
  <si>
    <t xml:space="preserve">IMP-CT2-021</t>
  </si>
  <si>
    <t xml:space="preserve">ODL102931</t>
  </si>
  <si>
    <t xml:space="preserve">IMP-SV8-100</t>
  </si>
  <si>
    <t xml:space="preserve">ODL102197</t>
  </si>
  <si>
    <t xml:space="preserve">ODL102975</t>
  </si>
  <si>
    <t xml:space="preserve">IMP-PP6-178</t>
  </si>
  <si>
    <t xml:space="preserve">ODL103262</t>
  </si>
  <si>
    <t xml:space="preserve">ODL103248</t>
  </si>
  <si>
    <t xml:space="preserve">IMP-HL4-356</t>
  </si>
  <si>
    <t xml:space="preserve">ODL102760</t>
  </si>
  <si>
    <t xml:space="preserve">IMP-TS1-118</t>
  </si>
  <si>
    <t xml:space="preserve">ODL100292</t>
  </si>
  <si>
    <t xml:space="preserve">ODL102316</t>
  </si>
  <si>
    <t xml:space="preserve">ODL103769</t>
  </si>
  <si>
    <t xml:space="preserve">ODL101274</t>
  </si>
  <si>
    <t xml:space="preserve">ODL102346</t>
  </si>
  <si>
    <t xml:space="preserve">ODL104192</t>
  </si>
  <si>
    <t xml:space="preserve">IMP-PP6-155</t>
  </si>
  <si>
    <t xml:space="preserve">ODL102379</t>
  </si>
  <si>
    <t xml:space="preserve">IMP-PP6-085</t>
  </si>
  <si>
    <t xml:space="preserve">ODL103743</t>
  </si>
  <si>
    <t xml:space="preserve">ODL103729</t>
  </si>
  <si>
    <t xml:space="preserve">IMP-TN0-097</t>
  </si>
  <si>
    <t xml:space="preserve">ODL102297</t>
  </si>
  <si>
    <t xml:space="preserve">ODL101573</t>
  </si>
  <si>
    <t xml:space="preserve">IMP-CT2-125</t>
  </si>
  <si>
    <t xml:space="preserve">ODL102661</t>
  </si>
  <si>
    <t xml:space="preserve">ODL103109</t>
  </si>
  <si>
    <t xml:space="preserve">ODL102224</t>
  </si>
  <si>
    <t xml:space="preserve">IMP-HL4-190</t>
  </si>
  <si>
    <t xml:space="preserve">ODL103823</t>
  </si>
  <si>
    <t xml:space="preserve">ODL102656</t>
  </si>
  <si>
    <t xml:space="preserve">IMP-PP6-165</t>
  </si>
  <si>
    <t xml:space="preserve">ODL103912</t>
  </si>
  <si>
    <t xml:space="preserve">ODL101726</t>
  </si>
  <si>
    <t xml:space="preserve">IMP-TS1-259</t>
  </si>
  <si>
    <t xml:space="preserve">ODL100992</t>
  </si>
  <si>
    <t xml:space="preserve">ODL100867</t>
  </si>
  <si>
    <t xml:space="preserve">ODL102705</t>
  </si>
  <si>
    <t xml:space="preserve">ODL101663</t>
  </si>
  <si>
    <t xml:space="preserve">IMP-PP6-180</t>
  </si>
  <si>
    <t xml:space="preserve">ODL102850</t>
  </si>
  <si>
    <t xml:space="preserve">IMP-SV8-138</t>
  </si>
  <si>
    <t xml:space="preserve">ODL102475</t>
  </si>
  <si>
    <t xml:space="preserve">ODL104085</t>
  </si>
  <si>
    <t xml:space="preserve">ODL103383</t>
  </si>
  <si>
    <t xml:space="preserve">IMP-TS1-135</t>
  </si>
  <si>
    <t xml:space="preserve">ODL103745</t>
  </si>
  <si>
    <t xml:space="preserve">IMP-HL4-390</t>
  </si>
  <si>
    <t xml:space="preserve">ODL103840</t>
  </si>
  <si>
    <t xml:space="preserve">IMP-TN0-118</t>
  </si>
  <si>
    <t xml:space="preserve">ODL101339</t>
  </si>
  <si>
    <t xml:space="preserve">ODL101899</t>
  </si>
  <si>
    <t xml:space="preserve">ODL103037</t>
  </si>
  <si>
    <t xml:space="preserve">IMP-CD7-258</t>
  </si>
  <si>
    <t xml:space="preserve">ODL101165</t>
  </si>
  <si>
    <t xml:space="preserve">ODL102162</t>
  </si>
  <si>
    <t xml:space="preserve">ODL100379</t>
  </si>
  <si>
    <t xml:space="preserve">IMP-HL4-340</t>
  </si>
  <si>
    <t xml:space="preserve">ODL100888</t>
  </si>
  <si>
    <t xml:space="preserve">ODL102879</t>
  </si>
  <si>
    <t xml:space="preserve">ODL101109</t>
  </si>
  <si>
    <t xml:space="preserve">IMP-SB5-090</t>
  </si>
  <si>
    <t xml:space="preserve">ODL103027</t>
  </si>
  <si>
    <t xml:space="preserve">ODL103204</t>
  </si>
  <si>
    <t xml:space="preserve">IMP-SV8-113</t>
  </si>
  <si>
    <t xml:space="preserve">ODL101501</t>
  </si>
  <si>
    <t xml:space="preserve">ODL101655</t>
  </si>
  <si>
    <t xml:space="preserve">ODL101273</t>
  </si>
  <si>
    <t xml:space="preserve">ODL100690</t>
  </si>
  <si>
    <t xml:space="preserve">ODL102270</t>
  </si>
  <si>
    <t xml:space="preserve">IMP-SB5-034</t>
  </si>
  <si>
    <t xml:space="preserve">ODL101869</t>
  </si>
  <si>
    <t xml:space="preserve">ODL100443</t>
  </si>
  <si>
    <t xml:space="preserve">ODL100988</t>
  </si>
  <si>
    <t xml:space="preserve">ODL103634</t>
  </si>
  <si>
    <t xml:space="preserve">ODL101421</t>
  </si>
  <si>
    <t xml:space="preserve">ODL103122</t>
  </si>
  <si>
    <t xml:space="preserve">IMP-HL4-334</t>
  </si>
  <si>
    <t xml:space="preserve">ODL101590</t>
  </si>
  <si>
    <t xml:space="preserve">ODL101218</t>
  </si>
  <si>
    <t xml:space="preserve">IMP-TS1-096</t>
  </si>
  <si>
    <t xml:space="preserve">ODL100200</t>
  </si>
  <si>
    <t xml:space="preserve">ODL103042</t>
  </si>
  <si>
    <t xml:space="preserve">IMP-TN0-115</t>
  </si>
  <si>
    <t xml:space="preserve">ODL103982</t>
  </si>
  <si>
    <t xml:space="preserve">ODL101988</t>
  </si>
  <si>
    <t xml:space="preserve">ODL100741</t>
  </si>
  <si>
    <t xml:space="preserve">IMP-FF9-108</t>
  </si>
  <si>
    <t xml:space="preserve">ODL103297</t>
  </si>
  <si>
    <t xml:space="preserve">IMP-PP6-032</t>
  </si>
  <si>
    <t xml:space="preserve">ODL100590</t>
  </si>
  <si>
    <t xml:space="preserve">IMP-SV8-122</t>
  </si>
  <si>
    <t xml:space="preserve">ODL103303</t>
  </si>
  <si>
    <t xml:space="preserve">ODL100346</t>
  </si>
  <si>
    <t xml:space="preserve">ODL101537</t>
  </si>
  <si>
    <t xml:space="preserve">IMP-CT2-034</t>
  </si>
  <si>
    <t xml:space="preserve">ODL100728</t>
  </si>
  <si>
    <t xml:space="preserve">IMP-CT3-069</t>
  </si>
  <si>
    <t xml:space="preserve">ODL101687</t>
  </si>
  <si>
    <t xml:space="preserve">ODL102380</t>
  </si>
  <si>
    <t xml:space="preserve">ODL100827</t>
  </si>
  <si>
    <t xml:space="preserve">IMP-HL4-398</t>
  </si>
  <si>
    <t xml:space="preserve">ODL101349</t>
  </si>
  <si>
    <t xml:space="preserve">ODL101174</t>
  </si>
  <si>
    <t xml:space="preserve">IMP-FF9-038</t>
  </si>
  <si>
    <t xml:space="preserve">ODL101223</t>
  </si>
  <si>
    <t xml:space="preserve">IMP-CT3-129</t>
  </si>
  <si>
    <t xml:space="preserve">ODL103877</t>
  </si>
  <si>
    <t xml:space="preserve">ODL103053</t>
  </si>
  <si>
    <t xml:space="preserve">ODL100450</t>
  </si>
  <si>
    <t xml:space="preserve">ODL102027</t>
  </si>
  <si>
    <t xml:space="preserve">ODL100685</t>
  </si>
  <si>
    <t xml:space="preserve">ODL103260</t>
  </si>
  <si>
    <t xml:space="preserve">IMP-SV8-218</t>
  </si>
  <si>
    <t xml:space="preserve">ODL100192</t>
  </si>
  <si>
    <t xml:space="preserve">ODL101483</t>
  </si>
  <si>
    <t xml:space="preserve">ODL101755</t>
  </si>
  <si>
    <t xml:space="preserve">ODL101199</t>
  </si>
  <si>
    <t xml:space="preserve">ODL101748</t>
  </si>
  <si>
    <t xml:space="preserve">IMP-CD7-186</t>
  </si>
  <si>
    <t xml:space="preserve">ODL101545</t>
  </si>
  <si>
    <t xml:space="preserve">IMP-SB5-099</t>
  </si>
  <si>
    <t xml:space="preserve">ODL101336</t>
  </si>
  <si>
    <t xml:space="preserve">IMP-SV8-109</t>
  </si>
  <si>
    <t xml:space="preserve">ODL103876</t>
  </si>
  <si>
    <t xml:space="preserve">IMP-TN0-155</t>
  </si>
  <si>
    <t xml:space="preserve">ODL103220</t>
  </si>
  <si>
    <t xml:space="preserve">ODL100067</t>
  </si>
  <si>
    <t xml:space="preserve">IMP-SV8-191</t>
  </si>
  <si>
    <t xml:space="preserve">ODL103087</t>
  </si>
  <si>
    <t xml:space="preserve">ODL101872</t>
  </si>
  <si>
    <t xml:space="preserve">ODL102525</t>
  </si>
  <si>
    <t xml:space="preserve">IMP-CT3-154</t>
  </si>
  <si>
    <t xml:space="preserve">ODL101378</t>
  </si>
  <si>
    <t xml:space="preserve">IMP-CD7-200</t>
  </si>
  <si>
    <t xml:space="preserve">ODL103107</t>
  </si>
  <si>
    <t xml:space="preserve">ODL101625</t>
  </si>
  <si>
    <t xml:space="preserve">ODL102863</t>
  </si>
  <si>
    <t xml:space="preserve">IMP-CT3-135</t>
  </si>
  <si>
    <t xml:space="preserve">ODL101640</t>
  </si>
  <si>
    <t xml:space="preserve">ODL100574</t>
  </si>
  <si>
    <t xml:space="preserve">IMP-TN0-053</t>
  </si>
  <si>
    <t xml:space="preserve">ODL101329</t>
  </si>
  <si>
    <t xml:space="preserve">IMP-CD7-322</t>
  </si>
  <si>
    <t xml:space="preserve">ODL100644</t>
  </si>
  <si>
    <t xml:space="preserve">ODL101925</t>
  </si>
  <si>
    <t xml:space="preserve">IMP-SV8-226</t>
  </si>
  <si>
    <t xml:space="preserve">ODL101532</t>
  </si>
  <si>
    <t xml:space="preserve">ODL100893</t>
  </si>
  <si>
    <t xml:space="preserve">ODL103875</t>
  </si>
  <si>
    <t xml:space="preserve">ODL102017</t>
  </si>
  <si>
    <t xml:space="preserve">ODL101348</t>
  </si>
  <si>
    <t xml:space="preserve">IMP-TS1-216</t>
  </si>
  <si>
    <t xml:space="preserve">ODL103893</t>
  </si>
  <si>
    <t xml:space="preserve">IMP-PP6-091</t>
  </si>
  <si>
    <t xml:space="preserve">ODL102454</t>
  </si>
  <si>
    <t xml:space="preserve">ODL103931</t>
  </si>
  <si>
    <t xml:space="preserve">IMP-CT2-182</t>
  </si>
  <si>
    <t xml:space="preserve">ODL100381</t>
  </si>
  <si>
    <t xml:space="preserve">ODL104091</t>
  </si>
  <si>
    <t xml:space="preserve">ODL101487</t>
  </si>
  <si>
    <t xml:space="preserve">IMP-CD7-180</t>
  </si>
  <si>
    <t xml:space="preserve">ODL103409</t>
  </si>
  <si>
    <t xml:space="preserve">IMP-HL4-102</t>
  </si>
  <si>
    <t xml:space="preserve">ODL100469</t>
  </si>
  <si>
    <t xml:space="preserve">IMP-CT3-157</t>
  </si>
  <si>
    <t xml:space="preserve">ODL102495</t>
  </si>
  <si>
    <t xml:space="preserve">ODL101614</t>
  </si>
  <si>
    <t xml:space="preserve">ODL104076</t>
  </si>
  <si>
    <t xml:space="preserve">ODL100603</t>
  </si>
  <si>
    <t xml:space="preserve">IMP-TN0-060</t>
  </si>
  <si>
    <t xml:space="preserve">ODL100706</t>
  </si>
  <si>
    <t xml:space="preserve">ODL103158</t>
  </si>
  <si>
    <t xml:space="preserve">IMP-HL4-296</t>
  </si>
  <si>
    <t xml:space="preserve">ODL103693</t>
  </si>
  <si>
    <t xml:space="preserve">IMP-CT2-088</t>
  </si>
  <si>
    <t xml:space="preserve">ODL102792</t>
  </si>
  <si>
    <t xml:space="preserve">IMP-TN0-168</t>
  </si>
  <si>
    <t xml:space="preserve">ODL102910</t>
  </si>
  <si>
    <t xml:space="preserve">IMP-PP6-128</t>
  </si>
  <si>
    <t xml:space="preserve">ODL101202</t>
  </si>
  <si>
    <t xml:space="preserve">IMP-TS1-111</t>
  </si>
  <si>
    <t xml:space="preserve">ODL102121</t>
  </si>
  <si>
    <t xml:space="preserve">ODL103043</t>
  </si>
  <si>
    <t xml:space="preserve">IMP-CD7-124</t>
  </si>
  <si>
    <t xml:space="preserve">ODL104151</t>
  </si>
  <si>
    <t xml:space="preserve">ODL100879</t>
  </si>
  <si>
    <t xml:space="preserve">IMP-CT2-202</t>
  </si>
  <si>
    <t xml:space="preserve">ODL103944</t>
  </si>
  <si>
    <t xml:space="preserve">IMP-HL4-266</t>
  </si>
  <si>
    <t xml:space="preserve">ODL100282</t>
  </si>
  <si>
    <t xml:space="preserve">IMP-SB5-084</t>
  </si>
  <si>
    <t xml:space="preserve">ODL103482</t>
  </si>
  <si>
    <t xml:space="preserve">ODL100422</t>
  </si>
  <si>
    <t xml:space="preserve">IMP-CT2-204</t>
  </si>
  <si>
    <t xml:space="preserve">ODL100439</t>
  </si>
  <si>
    <t xml:space="preserve">IMP-PP6-030</t>
  </si>
  <si>
    <t xml:space="preserve">ODL101548</t>
  </si>
  <si>
    <t xml:space="preserve">IMP-PP6-118</t>
  </si>
  <si>
    <t xml:space="preserve">ODL103681</t>
  </si>
  <si>
    <t xml:space="preserve">IMP-TS1-148</t>
  </si>
  <si>
    <t xml:space="preserve">ODL102766</t>
  </si>
  <si>
    <t xml:space="preserve">IMP-HL4-154</t>
  </si>
  <si>
    <t xml:space="preserve">ODL103980</t>
  </si>
  <si>
    <t xml:space="preserve">IMP-CT2-101</t>
  </si>
  <si>
    <t xml:space="preserve">ODL104057</t>
  </si>
  <si>
    <t xml:space="preserve">ODL102655</t>
  </si>
  <si>
    <t xml:space="preserve">ODL103218</t>
  </si>
  <si>
    <t xml:space="preserve">ODL102566</t>
  </si>
  <si>
    <t xml:space="preserve">ODL102513</t>
  </si>
  <si>
    <t xml:space="preserve">IMP-FF9-039</t>
  </si>
  <si>
    <t xml:space="preserve">ODL102248</t>
  </si>
  <si>
    <t xml:space="preserve">IMP-HL4-180</t>
  </si>
  <si>
    <t xml:space="preserve">ODL101582</t>
  </si>
  <si>
    <t xml:space="preserve">IMP-SV8-176</t>
  </si>
  <si>
    <t xml:space="preserve">ODL100012</t>
  </si>
  <si>
    <t xml:space="preserve">ODL100734</t>
  </si>
  <si>
    <t xml:space="preserve">ODL100889</t>
  </si>
  <si>
    <t xml:space="preserve">IMP-HL4-037</t>
  </si>
  <si>
    <t xml:space="preserve">ODL103382</t>
  </si>
  <si>
    <t xml:space="preserve">ODL103406</t>
  </si>
  <si>
    <t xml:space="preserve">ODL102845</t>
  </si>
  <si>
    <t xml:space="preserve">IMP-SV8-146</t>
  </si>
  <si>
    <t xml:space="preserve">ODL103117</t>
  </si>
  <si>
    <t xml:space="preserve">IMP-SV8-091</t>
  </si>
  <si>
    <t xml:space="preserve">ODL103032</t>
  </si>
  <si>
    <t xml:space="preserve">IMP-FF9-017</t>
  </si>
  <si>
    <t xml:space="preserve">ODL103790</t>
  </si>
  <si>
    <t xml:space="preserve">IMP-CD7-088</t>
  </si>
  <si>
    <t xml:space="preserve">ODL102168</t>
  </si>
  <si>
    <t xml:space="preserve">IMP-TN0-173</t>
  </si>
  <si>
    <t xml:space="preserve">ODL100939</t>
  </si>
  <si>
    <t xml:space="preserve">ODL100464</t>
  </si>
  <si>
    <t xml:space="preserve">IMP-HL4-128</t>
  </si>
  <si>
    <t xml:space="preserve">ODL103895</t>
  </si>
  <si>
    <t xml:space="preserve">IMP-TN0-158</t>
  </si>
  <si>
    <t xml:space="preserve">ODL103209</t>
  </si>
  <si>
    <t xml:space="preserve">ODL102558</t>
  </si>
  <si>
    <t xml:space="preserve">ODL101370</t>
  </si>
  <si>
    <t xml:space="preserve">ODL102306</t>
  </si>
  <si>
    <t xml:space="preserve">IMP-TN0-226</t>
  </si>
  <si>
    <t xml:space="preserve">ODL101048</t>
  </si>
  <si>
    <t xml:space="preserve">ODL103750</t>
  </si>
  <si>
    <t xml:space="preserve">ODL100812</t>
  </si>
  <si>
    <t xml:space="preserve">ODL100561</t>
  </si>
  <si>
    <t xml:space="preserve">IMP-CD7-107</t>
  </si>
  <si>
    <t xml:space="preserve">ODL102758</t>
  </si>
  <si>
    <t xml:space="preserve">IMP-CT3-121</t>
  </si>
  <si>
    <t xml:space="preserve">ODL101443</t>
  </si>
  <si>
    <t xml:space="preserve">ODL103759</t>
  </si>
  <si>
    <t xml:space="preserve">ODL103067</t>
  </si>
  <si>
    <t xml:space="preserve">ODL102945</t>
  </si>
  <si>
    <t xml:space="preserve">ODL102307</t>
  </si>
  <si>
    <t xml:space="preserve">ODL103041</t>
  </si>
  <si>
    <t xml:space="preserve">IMP-CT3-158</t>
  </si>
  <si>
    <t xml:space="preserve">ODL102113</t>
  </si>
  <si>
    <t xml:space="preserve">ODL101180</t>
  </si>
  <si>
    <t xml:space="preserve">ODL103538</t>
  </si>
  <si>
    <t xml:space="preserve">ODL101107</t>
  </si>
  <si>
    <t xml:space="preserve">IMP-CT2-168</t>
  </si>
  <si>
    <t xml:space="preserve">ODL103603</t>
  </si>
  <si>
    <t xml:space="preserve">IMP-CT3-086</t>
  </si>
  <si>
    <t xml:space="preserve">ODL101557</t>
  </si>
  <si>
    <t xml:space="preserve">ODL100176</t>
  </si>
  <si>
    <t xml:space="preserve">IMP-TS1-265</t>
  </si>
  <si>
    <t xml:space="preserve">ODL100702</t>
  </si>
  <si>
    <t xml:space="preserve">ODL101645</t>
  </si>
  <si>
    <t xml:space="preserve">ODL102884</t>
  </si>
  <si>
    <t xml:space="preserve">IMP-SV8-161</t>
  </si>
  <si>
    <t xml:space="preserve">ODL101368</t>
  </si>
  <si>
    <t xml:space="preserve">IMP-SV8-221</t>
  </si>
  <si>
    <t xml:space="preserve">ODL101206</t>
  </si>
  <si>
    <t xml:space="preserve">ODL101892</t>
  </si>
  <si>
    <t xml:space="preserve">ODL101796</t>
  </si>
  <si>
    <t xml:space="preserve">ODL101578</t>
  </si>
  <si>
    <t xml:space="preserve">ODL100583</t>
  </si>
  <si>
    <t xml:space="preserve">ODL100933</t>
  </si>
  <si>
    <t xml:space="preserve">ODL100979</t>
  </si>
  <si>
    <t xml:space="preserve">ODL102284</t>
  </si>
  <si>
    <t xml:space="preserve">IMP-TS1-196</t>
  </si>
  <si>
    <t xml:space="preserve">ODL101116</t>
  </si>
  <si>
    <t xml:space="preserve">ODL103771</t>
  </si>
  <si>
    <t xml:space="preserve">IMP-SV8-083</t>
  </si>
  <si>
    <t xml:space="preserve">ODL101802</t>
  </si>
  <si>
    <t xml:space="preserve">IMP-SV8-067</t>
  </si>
  <si>
    <t xml:space="preserve">ODL101325</t>
  </si>
  <si>
    <t xml:space="preserve">ODL100883</t>
  </si>
  <si>
    <t xml:space="preserve">ODL101831</t>
  </si>
  <si>
    <t xml:space="preserve">IMP-CT3-156</t>
  </si>
  <si>
    <t xml:space="preserve">ODL100055</t>
  </si>
  <si>
    <t xml:space="preserve">IMP-HL4-233</t>
  </si>
  <si>
    <t xml:space="preserve">ODL104090</t>
  </si>
  <si>
    <t xml:space="preserve">ODL101475</t>
  </si>
  <si>
    <t xml:space="preserve">ODL100154</t>
  </si>
  <si>
    <t xml:space="preserve">IMP-TN0-172</t>
  </si>
  <si>
    <t xml:space="preserve">ODL104135</t>
  </si>
  <si>
    <t xml:space="preserve">IMP-HL4-291</t>
  </si>
  <si>
    <t xml:space="preserve">ODL102898</t>
  </si>
  <si>
    <t xml:space="preserve">IMP-FF9-100</t>
  </si>
  <si>
    <t xml:space="preserve">ODL100527</t>
  </si>
  <si>
    <t xml:space="preserve">IMP-SV8-141</t>
  </si>
  <si>
    <t xml:space="preserve">ODL100751</t>
  </si>
  <si>
    <t xml:space="preserve">ODL100207</t>
  </si>
  <si>
    <t xml:space="preserve">ODL100286</t>
  </si>
  <si>
    <t xml:space="preserve">IMP-TS1-043</t>
  </si>
  <si>
    <t xml:space="preserve">ODL101311</t>
  </si>
  <si>
    <t xml:space="preserve">ODL104004</t>
  </si>
  <si>
    <t xml:space="preserve">IMP-SV8-149</t>
  </si>
  <si>
    <t xml:space="preserve">ODL103489</t>
  </si>
  <si>
    <t xml:space="preserve">ODL100367</t>
  </si>
  <si>
    <t xml:space="preserve">ODL101998</t>
  </si>
  <si>
    <t xml:space="preserve">ODL100477</t>
  </si>
  <si>
    <t xml:space="preserve">IMP-SB5-104</t>
  </si>
  <si>
    <t xml:space="preserve">ODL103673</t>
  </si>
  <si>
    <t xml:space="preserve">ODL103615</t>
  </si>
  <si>
    <t xml:space="preserve">ODL103721</t>
  </si>
  <si>
    <t xml:space="preserve">ODL101286</t>
  </si>
  <si>
    <t xml:space="preserve">IMP-FF9-015</t>
  </si>
  <si>
    <t xml:space="preserve">ODL100758</t>
  </si>
  <si>
    <t xml:space="preserve">IMP-TN0-079</t>
  </si>
  <si>
    <t xml:space="preserve">ODL100616</t>
  </si>
  <si>
    <t xml:space="preserve">IMP-PP6-124</t>
  </si>
  <si>
    <t xml:space="preserve">ODL102011</t>
  </si>
  <si>
    <t xml:space="preserve">ODL103341</t>
  </si>
  <si>
    <t xml:space="preserve">ODL100855</t>
  </si>
  <si>
    <t xml:space="preserve">ODL103514</t>
  </si>
  <si>
    <t xml:space="preserve">ODL102126</t>
  </si>
  <si>
    <t xml:space="preserve">ODL103465</t>
  </si>
  <si>
    <t xml:space="preserve">ODL103016</t>
  </si>
  <si>
    <t xml:space="preserve">IMP-HL4-337</t>
  </si>
  <si>
    <t xml:space="preserve">ODL100052</t>
  </si>
  <si>
    <t xml:space="preserve">IMP-CD7-153</t>
  </si>
  <si>
    <t xml:space="preserve">ODL104187</t>
  </si>
  <si>
    <t xml:space="preserve">IMP-CD7-078</t>
  </si>
  <si>
    <t xml:space="preserve">ODL100071</t>
  </si>
  <si>
    <t xml:space="preserve">ODL100770</t>
  </si>
  <si>
    <t xml:space="preserve">ODL100909</t>
  </si>
  <si>
    <t xml:space="preserve">ODL103399</t>
  </si>
  <si>
    <t xml:space="preserve">ODL101006</t>
  </si>
  <si>
    <t xml:space="preserve">IMP-CT3-028</t>
  </si>
  <si>
    <t xml:space="preserve">ODL101358</t>
  </si>
  <si>
    <t xml:space="preserve">ODL103999</t>
  </si>
  <si>
    <t xml:space="preserve">ODL101062</t>
  </si>
  <si>
    <t xml:space="preserve">ODL101221</t>
  </si>
  <si>
    <t xml:space="preserve">ODL102362</t>
  </si>
  <si>
    <t xml:space="preserve">IMP-TS1-232</t>
  </si>
  <si>
    <t xml:space="preserve">ODL102536</t>
  </si>
  <si>
    <t xml:space="preserve">ODL103753</t>
  </si>
  <si>
    <t xml:space="preserve">IMP-CD7-198</t>
  </si>
  <si>
    <t xml:space="preserve">ODL101914</t>
  </si>
  <si>
    <t xml:space="preserve">ODL100725</t>
  </si>
  <si>
    <t xml:space="preserve">ODL102327</t>
  </si>
  <si>
    <t xml:space="preserve">ODL100380</t>
  </si>
  <si>
    <t xml:space="preserve">ODL101840</t>
  </si>
  <si>
    <t xml:space="preserve">IMP-CT3-123</t>
  </si>
  <si>
    <t xml:space="preserve">ODL101449</t>
  </si>
  <si>
    <t xml:space="preserve">ODL103526</t>
  </si>
  <si>
    <t xml:space="preserve">ODL103667</t>
  </si>
  <si>
    <t xml:space="preserve">ODL100632</t>
  </si>
  <si>
    <t xml:space="preserve">ODL100141</t>
  </si>
  <si>
    <t xml:space="preserve">ODL103236</t>
  </si>
  <si>
    <t xml:space="preserve">ODL101235</t>
  </si>
  <si>
    <t xml:space="preserve">IMP-FF9-045</t>
  </si>
  <si>
    <t xml:space="preserve">ODL102305</t>
  </si>
  <si>
    <t xml:space="preserve">IMP-PP6-010</t>
  </si>
  <si>
    <t xml:space="preserve">ODL101935</t>
  </si>
  <si>
    <t xml:space="preserve">IMP-FF9-020</t>
  </si>
  <si>
    <t xml:space="preserve">ODL100665</t>
  </si>
  <si>
    <t xml:space="preserve">IMP-CT2-135</t>
  </si>
  <si>
    <t xml:space="preserve">ODL103047</t>
  </si>
  <si>
    <t xml:space="preserve">IMP-CD7-228</t>
  </si>
  <si>
    <t xml:space="preserve">ODL103393</t>
  </si>
  <si>
    <t xml:space="preserve">IMP-CD7-255</t>
  </si>
  <si>
    <t xml:space="preserve">ODL103012</t>
  </si>
  <si>
    <t xml:space="preserve">ODL101643</t>
  </si>
  <si>
    <t xml:space="preserve">IMP-SB5-093</t>
  </si>
  <si>
    <t xml:space="preserve">ODL103682</t>
  </si>
  <si>
    <t xml:space="preserve">IMP-TN0-133</t>
  </si>
  <si>
    <t xml:space="preserve">ODL102932</t>
  </si>
  <si>
    <t xml:space="preserve">ODL100035</t>
  </si>
  <si>
    <t xml:space="preserve">ODL102994</t>
  </si>
  <si>
    <t xml:space="preserve">ODL103797</t>
  </si>
  <si>
    <t xml:space="preserve">ODL103301</t>
  </si>
  <si>
    <t xml:space="preserve">IMP-TN0-242</t>
  </si>
  <si>
    <t xml:space="preserve">ODL103792</t>
  </si>
  <si>
    <t xml:space="preserve">ODL103049</t>
  </si>
  <si>
    <t xml:space="preserve">IMP-FF9-107</t>
  </si>
  <si>
    <t xml:space="preserve">ODL100849</t>
  </si>
  <si>
    <t xml:space="preserve">IMP-CT3-054</t>
  </si>
  <si>
    <t xml:space="preserve">ODL100328</t>
  </si>
  <si>
    <t xml:space="preserve">ODL103221</t>
  </si>
  <si>
    <t xml:space="preserve">ODL101588</t>
  </si>
  <si>
    <t xml:space="preserve">ODL103738</t>
  </si>
  <si>
    <t xml:space="preserve">ODL102531</t>
  </si>
  <si>
    <t xml:space="preserve">IMP-HL4-280</t>
  </si>
  <si>
    <t xml:space="preserve">ODL101184</t>
  </si>
  <si>
    <t xml:space="preserve">IMP-TS1-206</t>
  </si>
  <si>
    <t xml:space="preserve">ODL100600</t>
  </si>
  <si>
    <t xml:space="preserve">ODL100043</t>
  </si>
  <si>
    <t xml:space="preserve">ODL103105</t>
  </si>
  <si>
    <t xml:space="preserve">ODL101096</t>
  </si>
  <si>
    <t xml:space="preserve">IMP-FF9-080</t>
  </si>
  <si>
    <t xml:space="preserve">ODL102598</t>
  </si>
  <si>
    <t xml:space="preserve">ODL100246</t>
  </si>
  <si>
    <t xml:space="preserve">IMP-CD7-284</t>
  </si>
  <si>
    <t xml:space="preserve">ODL101424</t>
  </si>
  <si>
    <t xml:space="preserve">ODL102611</t>
  </si>
  <si>
    <t xml:space="preserve">IMP-CT2-207</t>
  </si>
  <si>
    <t xml:space="preserve">ODL102071</t>
  </si>
  <si>
    <t xml:space="preserve">ODL102824</t>
  </si>
  <si>
    <t xml:space="preserve">ODL101785</t>
  </si>
  <si>
    <t xml:space="preserve">IMP-TN0-185</t>
  </si>
  <si>
    <t xml:space="preserve">ODL103774</t>
  </si>
  <si>
    <t xml:space="preserve">ODL100134</t>
  </si>
  <si>
    <t xml:space="preserve">ODL101292</t>
  </si>
  <si>
    <t xml:space="preserve">ODL103960</t>
  </si>
  <si>
    <t xml:space="preserve">ODL103456</t>
  </si>
  <si>
    <t xml:space="preserve">ODL102866</t>
  </si>
  <si>
    <t xml:space="preserve">ODL102167</t>
  </si>
  <si>
    <t xml:space="preserve">ODL104014</t>
  </si>
  <si>
    <t xml:space="preserve">IMP-CD7-077</t>
  </si>
  <si>
    <t xml:space="preserve">ODL101742</t>
  </si>
  <si>
    <t xml:space="preserve">ODL100376</t>
  </si>
  <si>
    <t xml:space="preserve">IMP-TN0-068</t>
  </si>
  <si>
    <t xml:space="preserve">ODL103715</t>
  </si>
  <si>
    <t xml:space="preserve">ODL104023</t>
  </si>
  <si>
    <t xml:space="preserve">ODL103885</t>
  </si>
  <si>
    <t xml:space="preserve">IMP-CT3-107</t>
  </si>
  <si>
    <t xml:space="preserve">ODL101486</t>
  </si>
  <si>
    <t xml:space="preserve">IMP-SB5-077</t>
  </si>
  <si>
    <t xml:space="preserve">ODL100210</t>
  </si>
  <si>
    <t xml:space="preserve">ODL103686</t>
  </si>
  <si>
    <t xml:space="preserve">IMP-TS1-121</t>
  </si>
  <si>
    <t xml:space="preserve">ODL102929</t>
  </si>
  <si>
    <t xml:space="preserve">IMP-SB5-128</t>
  </si>
  <si>
    <t xml:space="preserve">ODL100894</t>
  </si>
  <si>
    <t xml:space="preserve">ODL100865</t>
  </si>
  <si>
    <t xml:space="preserve">ODL102564</t>
  </si>
  <si>
    <t xml:space="preserve">IMP-CT2-170</t>
  </si>
  <si>
    <t xml:space="preserve">ODL102995</t>
  </si>
  <si>
    <t xml:space="preserve">IMP-CT3-089</t>
  </si>
  <si>
    <t xml:space="preserve">ODL103754</t>
  </si>
  <si>
    <t xml:space="preserve">ODL102746</t>
  </si>
  <si>
    <t xml:space="preserve">IMP-SV8-013</t>
  </si>
  <si>
    <t xml:space="preserve">ODL101205</t>
  </si>
  <si>
    <t xml:space="preserve">IMP-CT2-109</t>
  </si>
  <si>
    <t xml:space="preserve">ODL100382</t>
  </si>
  <si>
    <t xml:space="preserve">IMP-TS1-253</t>
  </si>
  <si>
    <t xml:space="preserve">ODL100399</t>
  </si>
  <si>
    <t xml:space="preserve">ODL100847</t>
  </si>
  <si>
    <t xml:space="preserve">IMP-HL4-071</t>
  </si>
  <si>
    <t xml:space="preserve">ODL104155</t>
  </si>
  <si>
    <t xml:space="preserve">ODL102907</t>
  </si>
  <si>
    <t xml:space="preserve">IMP-CT2-054</t>
  </si>
  <si>
    <t xml:space="preserve">ODL101575</t>
  </si>
  <si>
    <t xml:space="preserve">IMP-TN0-257</t>
  </si>
  <si>
    <t xml:space="preserve">ODL100777</t>
  </si>
  <si>
    <t xml:space="preserve">ODL100763</t>
  </si>
  <si>
    <t xml:space="preserve">ODL100670</t>
  </si>
  <si>
    <t xml:space="preserve">ODL100627</t>
  </si>
  <si>
    <t xml:space="preserve">ODL101164</t>
  </si>
  <si>
    <t xml:space="preserve">IMP-HL4-115</t>
  </si>
  <si>
    <t xml:space="preserve">ODL100822</t>
  </si>
  <si>
    <t xml:space="preserve">ODL103441</t>
  </si>
  <si>
    <t xml:space="preserve">ODL103815</t>
  </si>
  <si>
    <t xml:space="preserve">IMP-PP6-177</t>
  </si>
  <si>
    <t xml:space="preserve">ODL100817</t>
  </si>
  <si>
    <t xml:space="preserve">IMP-TN0-042</t>
  </si>
  <si>
    <t xml:space="preserve">ODL101583</t>
  </si>
  <si>
    <t xml:space="preserve">IMP-CT2-067</t>
  </si>
  <si>
    <t xml:space="preserve">ODL102999</t>
  </si>
  <si>
    <t xml:space="preserve">ODL100742</t>
  </si>
  <si>
    <t xml:space="preserve">ODL102870</t>
  </si>
  <si>
    <t xml:space="preserve">IMP-CD7-148</t>
  </si>
  <si>
    <t xml:space="preserve">ODL102039</t>
  </si>
  <si>
    <t xml:space="preserve">ODL104157</t>
  </si>
  <si>
    <t xml:space="preserve">ODL101809</t>
  </si>
  <si>
    <t xml:space="preserve">ODL100753</t>
  </si>
  <si>
    <t xml:space="preserve">ODL103551</t>
  </si>
  <si>
    <t xml:space="preserve">IMP-HL4-164</t>
  </si>
  <si>
    <t xml:space="preserve">ODL102416</t>
  </si>
  <si>
    <t xml:space="preserve">ODL103780</t>
  </si>
  <si>
    <t xml:space="preserve">ODL103357</t>
  </si>
  <si>
    <t xml:space="preserve">ODL101065</t>
  </si>
  <si>
    <t xml:space="preserve">ODL100928</t>
  </si>
  <si>
    <t xml:space="preserve">IMP-TS1-064</t>
  </si>
  <si>
    <t xml:space="preserve">ODL101634</t>
  </si>
  <si>
    <t xml:space="preserve">ODL100316</t>
  </si>
  <si>
    <t xml:space="preserve">ODL100762</t>
  </si>
  <si>
    <t xml:space="preserve">IMP-TS1-178</t>
  </si>
  <si>
    <t xml:space="preserve">ODL100862</t>
  </si>
  <si>
    <t xml:space="preserve">ODL102295</t>
  </si>
  <si>
    <t xml:space="preserve">ODL100368</t>
  </si>
  <si>
    <t xml:space="preserve">ODL103219</t>
  </si>
  <si>
    <t xml:space="preserve">ODL101834</t>
  </si>
  <si>
    <t xml:space="preserve">IMP-TS1-093</t>
  </si>
  <si>
    <t xml:space="preserve">ODL103353</t>
  </si>
  <si>
    <t xml:space="preserve">IMP-PP6-027</t>
  </si>
  <si>
    <t xml:space="preserve">ODL103448</t>
  </si>
  <si>
    <t xml:space="preserve">ODL100285</t>
  </si>
  <si>
    <t xml:space="preserve">IMP-CT2-110</t>
  </si>
  <si>
    <t xml:space="preserve">ODL101429</t>
  </si>
  <si>
    <t xml:space="preserve">IMP-CT2-139</t>
  </si>
  <si>
    <t xml:space="preserve">ODL103208</t>
  </si>
  <si>
    <t xml:space="preserve">IMP-SV8-208</t>
  </si>
  <si>
    <t xml:space="preserve">ODL103878</t>
  </si>
  <si>
    <t xml:space="preserve">ODL100437</t>
  </si>
  <si>
    <t xml:space="preserve">ODL102997</t>
  </si>
  <si>
    <t xml:space="preserve">IMP-TS1-222</t>
  </si>
  <si>
    <t xml:space="preserve">ODL102900</t>
  </si>
  <si>
    <t xml:space="preserve">ODL101794</t>
  </si>
  <si>
    <t xml:space="preserve">ODL102857</t>
  </si>
  <si>
    <t xml:space="preserve">IMP-HL4-314</t>
  </si>
  <si>
    <t xml:space="preserve">ODL101341</t>
  </si>
  <si>
    <t xml:space="preserve">IMP-SV8-198</t>
  </si>
  <si>
    <t xml:space="preserve">ODL101414</t>
  </si>
  <si>
    <t xml:space="preserve">IMP-SV8-180</t>
  </si>
  <si>
    <t xml:space="preserve">ODL103594</t>
  </si>
  <si>
    <t xml:space="preserve">IMP-TS1-132</t>
  </si>
  <si>
    <t xml:space="preserve">ODL100460</t>
  </si>
  <si>
    <t xml:space="preserve">ODL101527</t>
  </si>
  <si>
    <t xml:space="preserve">IMP-SB5-064</t>
  </si>
  <si>
    <t xml:space="preserve">ODL103309</t>
  </si>
  <si>
    <t xml:space="preserve">ODL100031</t>
  </si>
  <si>
    <t xml:space="preserve">ODL104064</t>
  </si>
  <si>
    <t xml:space="preserve">IMP-SV8-156</t>
  </si>
  <si>
    <t xml:space="preserve">ODL101105</t>
  </si>
  <si>
    <t xml:space="preserve">ODL100759</t>
  </si>
  <si>
    <t xml:space="preserve">ODL100421</t>
  </si>
  <si>
    <t xml:space="preserve">IMP-CD7-339</t>
  </si>
  <si>
    <t xml:space="preserve">ODL102250</t>
  </si>
  <si>
    <t xml:space="preserve">IMP-CT3-077</t>
  </si>
  <si>
    <t xml:space="preserve">ODL102002</t>
  </si>
  <si>
    <t xml:space="preserve">ODL100113</t>
  </si>
  <si>
    <t xml:space="preserve">ODL103918</t>
  </si>
  <si>
    <t xml:space="preserve">IMP-HL4-193</t>
  </si>
  <si>
    <t xml:space="preserve">ODL100322</t>
  </si>
  <si>
    <t xml:space="preserve">IMP-CD7-246</t>
  </si>
  <si>
    <t xml:space="preserve">ODL103972</t>
  </si>
  <si>
    <t xml:space="preserve">ODL101568</t>
  </si>
  <si>
    <t xml:space="preserve">IMP-CT3-040</t>
  </si>
  <si>
    <t xml:space="preserve">ODL104132</t>
  </si>
  <si>
    <t xml:space="preserve">IMP-CT3-117</t>
  </si>
  <si>
    <t xml:space="preserve">ODL102194</t>
  </si>
  <si>
    <t xml:space="preserve">ODL100568</t>
  </si>
  <si>
    <t xml:space="preserve">IMP-CD7-232</t>
  </si>
  <si>
    <t xml:space="preserve">ODL101148</t>
  </si>
  <si>
    <t xml:space="preserve">ODL104027</t>
  </si>
  <si>
    <t xml:space="preserve">IMP-SV8-070</t>
  </si>
  <si>
    <t xml:space="preserve">ODL100105</t>
  </si>
  <si>
    <t xml:space="preserve">ODL101873</t>
  </si>
  <si>
    <t xml:space="preserve">ODL103061</t>
  </si>
  <si>
    <t xml:space="preserve">IMP-CD7-119</t>
  </si>
  <si>
    <t xml:space="preserve">ODL101456</t>
  </si>
  <si>
    <t xml:space="preserve">ODL100486</t>
  </si>
  <si>
    <t xml:space="preserve">IMP-TN0-150</t>
  </si>
  <si>
    <t xml:space="preserve">ODL103076</t>
  </si>
  <si>
    <t xml:space="preserve">IMP-SV8-224</t>
  </si>
  <si>
    <t xml:space="preserve">ODL102847</t>
  </si>
  <si>
    <t xml:space="preserve">IMP-PP6-015</t>
  </si>
  <si>
    <t xml:space="preserve">ODL100673</t>
  </si>
  <si>
    <t xml:space="preserve">IMP-TS1-166</t>
  </si>
  <si>
    <t xml:space="preserve">ODL101144</t>
  </si>
  <si>
    <t xml:space="preserve">ODL100338</t>
  </si>
  <si>
    <t xml:space="preserve">IMP-CT2-188</t>
  </si>
  <si>
    <t xml:space="preserve">ODL101945</t>
  </si>
  <si>
    <t xml:space="preserve">ODL100037</t>
  </si>
  <si>
    <t xml:space="preserve">ODL102024</t>
  </si>
  <si>
    <t xml:space="preserve">ODL102859</t>
  </si>
  <si>
    <t xml:space="preserve">ODL103623</t>
  </si>
  <si>
    <t xml:space="preserve">IMP-CD7-270</t>
  </si>
  <si>
    <t xml:space="preserve">ODL100195</t>
  </si>
  <si>
    <t xml:space="preserve">IMP-PP6-121</t>
  </si>
  <si>
    <t xml:space="preserve">ODL101045</t>
  </si>
  <si>
    <t xml:space="preserve">ODL102751</t>
  </si>
  <si>
    <t xml:space="preserve">ODL100771</t>
  </si>
  <si>
    <t xml:space="preserve">ODL101430</t>
  </si>
  <si>
    <t xml:space="preserve">IMP-SB5-042</t>
  </si>
  <si>
    <t xml:space="preserve">ODL102477</t>
  </si>
  <si>
    <t xml:space="preserve">ODL103641</t>
  </si>
  <si>
    <t xml:space="preserve">ODL100645</t>
  </si>
  <si>
    <t xml:space="preserve">IMP-FF9-027</t>
  </si>
  <si>
    <t xml:space="preserve">ODL102292</t>
  </si>
  <si>
    <t xml:space="preserve">IMP-SB5-113</t>
  </si>
  <si>
    <t xml:space="preserve">ODL101050</t>
  </si>
  <si>
    <t xml:space="preserve">ODL101215</t>
  </si>
  <si>
    <t xml:space="preserve">IMP-PP6-172</t>
  </si>
  <si>
    <t xml:space="preserve">ODL102541</t>
  </si>
  <si>
    <t xml:space="preserve">ODL103777</t>
  </si>
  <si>
    <t xml:space="preserve">ODL101083</t>
  </si>
  <si>
    <t xml:space="preserve">IMP-HL4-328</t>
  </si>
  <si>
    <t xml:space="preserve">ODL102737</t>
  </si>
  <si>
    <t xml:space="preserve">ODL100075</t>
  </si>
  <si>
    <t xml:space="preserve">IMP-TS1-039</t>
  </si>
  <si>
    <t xml:space="preserve">ODL101812</t>
  </si>
  <si>
    <t xml:space="preserve">ODL101032</t>
  </si>
  <si>
    <t xml:space="preserve">ODL101044</t>
  </si>
  <si>
    <t xml:space="preserve">ODL100021</t>
  </si>
  <si>
    <t xml:space="preserve">ODL103573</t>
  </si>
  <si>
    <t xml:space="preserve">ODL103795</t>
  </si>
  <si>
    <t xml:space="preserve">IMP-SV8-184</t>
  </si>
  <si>
    <t xml:space="preserve">ODL101036</t>
  </si>
  <si>
    <t xml:space="preserve">IMP-HL4-158</t>
  </si>
  <si>
    <t xml:space="preserve">ODL100699</t>
  </si>
  <si>
    <t xml:space="preserve">IMP-FF9-009</t>
  </si>
  <si>
    <t xml:space="preserve">ODL100634</t>
  </si>
  <si>
    <t xml:space="preserve">ODL104114</t>
  </si>
  <si>
    <t xml:space="preserve">IMP-TN0-076</t>
  </si>
  <si>
    <t xml:space="preserve">ODL101621</t>
  </si>
  <si>
    <t xml:space="preserve">ODL103983</t>
  </si>
  <si>
    <t xml:space="preserve">IMP-FF9-101</t>
  </si>
  <si>
    <t xml:space="preserve">ODL101654</t>
  </si>
  <si>
    <t xml:space="preserve">ODL100562</t>
  </si>
  <si>
    <t xml:space="preserve">IMP-TN0-145</t>
  </si>
  <si>
    <t xml:space="preserve">ODL100018</t>
  </si>
  <si>
    <t xml:space="preserve">ODL100457</t>
  </si>
  <si>
    <t xml:space="preserve">ODL101970</t>
  </si>
  <si>
    <t xml:space="preserve">ODL100704</t>
  </si>
  <si>
    <t xml:space="preserve">ODL100764</t>
  </si>
  <si>
    <t xml:space="preserve">ODL103989</t>
  </si>
  <si>
    <t xml:space="preserve">IMP-CD7-129</t>
  </si>
  <si>
    <t xml:space="preserve">ODL104077</t>
  </si>
  <si>
    <t xml:space="preserve">IMP-TN0-147</t>
  </si>
  <si>
    <t xml:space="preserve">ODL104169</t>
  </si>
  <si>
    <t xml:space="preserve">IMP-CT2-078</t>
  </si>
  <si>
    <t xml:space="preserve">ODL102582</t>
  </si>
  <si>
    <t xml:space="preserve">IMP-TS1-055</t>
  </si>
  <si>
    <t xml:space="preserve">ODL100172</t>
  </si>
  <si>
    <t xml:space="preserve">IMP-TS1-164</t>
  </si>
  <si>
    <t xml:space="preserve">ODL103704</t>
  </si>
  <si>
    <t xml:space="preserve">ODL101438</t>
  </si>
  <si>
    <t xml:space="preserve">ODL101703</t>
  </si>
  <si>
    <t xml:space="preserve">IMP-SV8-119</t>
  </si>
  <si>
    <t xml:space="preserve">ODL102139</t>
  </si>
  <si>
    <t xml:space="preserve">IMP-SB5-020</t>
  </si>
  <si>
    <t xml:space="preserve">ODL101510</t>
  </si>
  <si>
    <t xml:space="preserve">IMP-SB5-049</t>
  </si>
  <si>
    <t xml:space="preserve">ODL104101</t>
  </si>
  <si>
    <t xml:space="preserve">IMP-FF9-078</t>
  </si>
  <si>
    <t xml:space="preserve">ODL101979</t>
  </si>
  <si>
    <t xml:space="preserve">IMP-TS1-244</t>
  </si>
  <si>
    <t xml:space="preserve">ODL102333</t>
  </si>
  <si>
    <t xml:space="preserve">ODL103939</t>
  </si>
  <si>
    <t xml:space="preserve">IMP-CT3-136</t>
  </si>
  <si>
    <t xml:space="preserve">ODL101595</t>
  </si>
  <si>
    <t xml:space="preserve">IMP-TS1-154</t>
  </si>
  <si>
    <t xml:space="preserve">ODL102549</t>
  </si>
  <si>
    <t xml:space="preserve">IMP-SB5-038</t>
  </si>
  <si>
    <t xml:space="preserve">ODL100541</t>
  </si>
  <si>
    <t xml:space="preserve">IMP-CT3-052</t>
  </si>
  <si>
    <t xml:space="preserve">ODL101025</t>
  </si>
  <si>
    <t xml:space="preserve">ODL102678</t>
  </si>
  <si>
    <t xml:space="preserve">ODL103407</t>
  </si>
  <si>
    <t xml:space="preserve">IMP-PP6-034</t>
  </si>
  <si>
    <t xml:space="preserve">ODL100911</t>
  </si>
  <si>
    <t xml:space="preserve">IMP-PP6-098</t>
  </si>
  <si>
    <t xml:space="preserve">ODL100342</t>
  </si>
  <si>
    <t xml:space="preserve">ODL100937</t>
  </si>
  <si>
    <t xml:space="preserve">ODL103586</t>
  </si>
  <si>
    <t xml:space="preserve">IMP-HL4-149</t>
  </si>
  <si>
    <t xml:space="preserve">ODL100111</t>
  </si>
  <si>
    <t xml:space="preserve">ODL102597</t>
  </si>
  <si>
    <t xml:space="preserve">ODL101214</t>
  </si>
  <si>
    <t xml:space="preserve">ODL100886</t>
  </si>
  <si>
    <t xml:space="preserve">ODL100655</t>
  </si>
  <si>
    <t xml:space="preserve">IMP-HL4-317</t>
  </si>
  <si>
    <t xml:space="preserve">ODL101617</t>
  </si>
  <si>
    <t xml:space="preserve">IMP-HL4-129</t>
  </si>
  <si>
    <t xml:space="preserve">ODL100607</t>
  </si>
  <si>
    <t xml:space="preserve">IMP-CT2-173</t>
  </si>
  <si>
    <t xml:space="preserve">ODL104162</t>
  </si>
  <si>
    <t xml:space="preserve">ODL100160</t>
  </si>
  <si>
    <t xml:space="preserve">ODL103545</t>
  </si>
  <si>
    <t xml:space="preserve">IMP-CT3-143</t>
  </si>
  <si>
    <t xml:space="preserve">ODL100515</t>
  </si>
  <si>
    <t xml:space="preserve">IMP-TN0-071</t>
  </si>
  <si>
    <t xml:space="preserve">ODL101167</t>
  </si>
  <si>
    <t xml:space="preserve">ODL100614</t>
  </si>
  <si>
    <t xml:space="preserve">ODL100204</t>
  </si>
  <si>
    <t xml:space="preserve">ODL103639</t>
  </si>
  <si>
    <t xml:space="preserve">ODL100378</t>
  </si>
  <si>
    <t xml:space="preserve">ODL102132</t>
  </si>
  <si>
    <t xml:space="preserve">ODL102585</t>
  </si>
  <si>
    <t xml:space="preserve">ODL101434</t>
  </si>
  <si>
    <t xml:space="preserve">ODL100444</t>
  </si>
  <si>
    <t xml:space="preserve">IMP-TN0-259</t>
  </si>
  <si>
    <t xml:space="preserve">ODL102515</t>
  </si>
  <si>
    <t xml:space="preserve">ODL100406</t>
  </si>
  <si>
    <t xml:space="preserve">IMP-SV8-201</t>
  </si>
  <si>
    <t xml:space="preserve">ODL101058</t>
  </si>
  <si>
    <t xml:space="preserve">ODL101156</t>
  </si>
  <si>
    <t xml:space="preserve">ODL100036</t>
  </si>
  <si>
    <t xml:space="preserve">ODL100127</t>
  </si>
  <si>
    <t xml:space="preserve">ODL101976</t>
  </si>
  <si>
    <t xml:space="preserve">ODL104173</t>
  </si>
  <si>
    <t xml:space="preserve">IMP-CT3-090</t>
  </si>
  <si>
    <t xml:space="preserve">ODL102571</t>
  </si>
  <si>
    <t xml:space="preserve">ODL100171</t>
  </si>
  <si>
    <t xml:space="preserve">IMP-FF9-063</t>
  </si>
  <si>
    <t xml:space="preserve">ODL101312</t>
  </si>
  <si>
    <t xml:space="preserve">ODL102439</t>
  </si>
  <si>
    <t xml:space="preserve">ODL101255</t>
  </si>
  <si>
    <t xml:space="preserve">ODL104139</t>
  </si>
  <si>
    <t xml:space="preserve">IMP-SV8-196</t>
  </si>
  <si>
    <t xml:space="preserve">ODL102047</t>
  </si>
  <si>
    <t xml:space="preserve">IMP-TN0-292</t>
  </si>
  <si>
    <t xml:space="preserve">ODL101425</t>
  </si>
  <si>
    <t xml:space="preserve">IMP-TS1-175</t>
  </si>
  <si>
    <t xml:space="preserve">ODL104096</t>
  </si>
  <si>
    <t xml:space="preserve">ODL102979</t>
  </si>
  <si>
    <t xml:space="preserve">ODL101419</t>
  </si>
  <si>
    <t xml:space="preserve">ODL103781</t>
  </si>
  <si>
    <t xml:space="preserve">ODL102043</t>
  </si>
  <si>
    <t xml:space="preserve">ODL103119</t>
  </si>
  <si>
    <t xml:space="preserve">IMP-TN0-301</t>
  </si>
  <si>
    <t xml:space="preserve">ODL100653</t>
  </si>
  <si>
    <t xml:space="preserve">ODL103702</t>
  </si>
  <si>
    <t xml:space="preserve">ODL100716</t>
  </si>
  <si>
    <t xml:space="preserve">ODL100106</t>
  </si>
  <si>
    <t xml:space="preserve">ODL101007</t>
  </si>
  <si>
    <t xml:space="preserve">ODL101518</t>
  </si>
  <si>
    <t xml:space="preserve">ODL103493</t>
  </si>
  <si>
    <t xml:space="preserve">ODL100917</t>
  </si>
  <si>
    <t xml:space="preserve">ODL103241</t>
  </si>
  <si>
    <t xml:space="preserve">ODL101656</t>
  </si>
  <si>
    <t xml:space="preserve">IMP-SB5-015</t>
  </si>
  <si>
    <t xml:space="preserve">ODL102925</t>
  </si>
  <si>
    <t xml:space="preserve">ODL100776</t>
  </si>
  <si>
    <t xml:space="preserve">IMP-PP6-142</t>
  </si>
  <si>
    <t xml:space="preserve">ODL102108</t>
  </si>
  <si>
    <t xml:space="preserve">ODL101772</t>
  </si>
  <si>
    <t xml:space="preserve">ODL102085</t>
  </si>
  <si>
    <t xml:space="preserve">ODL101977</t>
  </si>
  <si>
    <t xml:space="preserve">ODL102150</t>
  </si>
  <si>
    <t xml:space="preserve">ODL103362</t>
  </si>
  <si>
    <t xml:space="preserve">ODL103372</t>
  </si>
  <si>
    <t xml:space="preserve">ODL100026</t>
  </si>
  <si>
    <t xml:space="preserve">ODL100983</t>
  </si>
  <si>
    <t xml:space="preserve">ODL103829</t>
  </si>
  <si>
    <t xml:space="preserve">ODL101584</t>
  </si>
  <si>
    <t xml:space="preserve">ODL101028</t>
  </si>
  <si>
    <t xml:space="preserve">IMP-CD7-050</t>
  </si>
  <si>
    <t xml:space="preserve">ODL103550</t>
  </si>
  <si>
    <t xml:space="preserve">IMP-SB5-127</t>
  </si>
  <si>
    <t xml:space="preserve">ODL102344</t>
  </si>
  <si>
    <t xml:space="preserve">ODL100245</t>
  </si>
  <si>
    <t xml:space="preserve">ODL103705</t>
  </si>
  <si>
    <t xml:space="preserve">ODL104019</t>
  </si>
  <si>
    <t xml:space="preserve">ODL101079</t>
  </si>
  <si>
    <t xml:space="preserve">IMP-CT2-044</t>
  </si>
  <si>
    <t xml:space="preserve">ODL103985</t>
  </si>
  <si>
    <t xml:space="preserve">IMP-CT3-134</t>
  </si>
  <si>
    <t xml:space="preserve">ODL100221</t>
  </si>
  <si>
    <t xml:space="preserve">ODL102294</t>
  </si>
  <si>
    <t xml:space="preserve">ODL101912</t>
  </si>
  <si>
    <t xml:space="preserve">IMP-HL4-131</t>
  </si>
  <si>
    <t xml:space="preserve">ODL103935</t>
  </si>
  <si>
    <t xml:space="preserve">ODL100606</t>
  </si>
  <si>
    <t xml:space="preserve">ODL100593</t>
  </si>
  <si>
    <t xml:space="preserve">IMP-PP6-109</t>
  </si>
  <si>
    <t xml:space="preserve">ODL101713</t>
  </si>
  <si>
    <t xml:space="preserve">ODL103232</t>
  </si>
  <si>
    <t xml:space="preserve">IMP-CT2-140</t>
  </si>
  <si>
    <t xml:space="preserve">ODL103880</t>
  </si>
  <si>
    <t xml:space="preserve">IMP-HL4-091</t>
  </si>
  <si>
    <t xml:space="preserve">ODL102964</t>
  </si>
  <si>
    <t xml:space="preserve">ODL102404</t>
  </si>
  <si>
    <t xml:space="preserve">IMP-TS1-077</t>
  </si>
  <si>
    <t xml:space="preserve">ODL104134</t>
  </si>
  <si>
    <t xml:space="preserve">ODL100504</t>
  </si>
  <si>
    <t xml:space="preserve">IMP-SV8-142</t>
  </si>
  <si>
    <t xml:space="preserve">ODL100904</t>
  </si>
  <si>
    <t xml:space="preserve">IMP-SV8-193</t>
  </si>
  <si>
    <t xml:space="preserve">ODL101035</t>
  </si>
  <si>
    <t xml:space="preserve">IMP-CD7-331</t>
  </si>
  <si>
    <t xml:space="preserve">ODL100336</t>
  </si>
  <si>
    <t xml:space="preserve">ODL103439</t>
  </si>
  <si>
    <t xml:space="preserve">ODL101054</t>
  </si>
  <si>
    <t xml:space="preserve">ODL101453</t>
  </si>
  <si>
    <t xml:space="preserve">ODL103618</t>
  </si>
  <si>
    <t xml:space="preserve">IMP-FF9-070</t>
  </si>
  <si>
    <t xml:space="preserve">ODL102735</t>
  </si>
  <si>
    <t xml:space="preserve">IMP-TN0-287</t>
  </si>
  <si>
    <t xml:space="preserve">ODL104175</t>
  </si>
  <si>
    <t xml:space="preserve">ODL100663</t>
  </si>
  <si>
    <t xml:space="preserve">ODL102835</t>
  </si>
  <si>
    <t xml:space="preserve">ODL104074</t>
  </si>
  <si>
    <t xml:space="preserve">ODL103199</t>
  </si>
  <si>
    <t xml:space="preserve">ODL101188</t>
  </si>
  <si>
    <t xml:space="preserve">IMP-HL4-260</t>
  </si>
  <si>
    <t xml:space="preserve">ODL101915</t>
  </si>
  <si>
    <t xml:space="preserve">IMP-TS1-228</t>
  </si>
  <si>
    <t xml:space="preserve">ODL101072</t>
  </si>
  <si>
    <t xml:space="preserve">ODL102191</t>
  </si>
  <si>
    <t xml:space="preserve">IMP-SV8-078</t>
  </si>
  <si>
    <t xml:space="preserve">ODL102101</t>
  </si>
  <si>
    <t xml:space="preserve">IMP-HL4-203</t>
  </si>
  <si>
    <t xml:space="preserve">ODL102522</t>
  </si>
  <si>
    <t xml:space="preserve">ODL103165</t>
  </si>
  <si>
    <t xml:space="preserve">IMP-TN0-191</t>
  </si>
  <si>
    <t xml:space="preserve">ODL103071</t>
  </si>
  <si>
    <t xml:space="preserve">ODL100474</t>
  </si>
  <si>
    <t xml:space="preserve">IMP-HL4-286</t>
  </si>
  <si>
    <t xml:space="preserve">ODL101704</t>
  </si>
  <si>
    <t xml:space="preserve">IMP-TN0-048</t>
  </si>
  <si>
    <t xml:space="preserve">ODL103532</t>
  </si>
  <si>
    <t xml:space="preserve">IMP-TN0-302</t>
  </si>
  <si>
    <t xml:space="preserve">ODL102731</t>
  </si>
  <si>
    <t xml:space="preserve">IMP-CT3-074</t>
  </si>
  <si>
    <t xml:space="preserve">ODL103708</t>
  </si>
  <si>
    <t xml:space="preserve">ODL101756</t>
  </si>
  <si>
    <t xml:space="preserve">ODL101770</t>
  </si>
  <si>
    <t xml:space="preserve">ODL103910</t>
  </si>
  <si>
    <t xml:space="preserve">ODL101829</t>
  </si>
  <si>
    <t xml:space="preserve">ODL102553</t>
  </si>
  <si>
    <t xml:space="preserve">ODL101900</t>
  </si>
  <si>
    <t xml:space="preserve">IMP-TN0-026</t>
  </si>
  <si>
    <t xml:space="preserve">ODL101103</t>
  </si>
  <si>
    <t xml:space="preserve">IMP-CT3-140</t>
  </si>
  <si>
    <t xml:space="preserve">ODL102287</t>
  </si>
  <si>
    <t xml:space="preserve">IMP-CD7-217</t>
  </si>
  <si>
    <t xml:space="preserve">ODL100735</t>
  </si>
  <si>
    <t xml:space="preserve">ODL101468</t>
  </si>
  <si>
    <t xml:space="preserve">ODL103724</t>
  </si>
  <si>
    <t xml:space="preserve">ODL102802</t>
  </si>
  <si>
    <t xml:space="preserve">IMP-SB5-130</t>
  </si>
  <si>
    <t xml:space="preserve">ODL100797</t>
  </si>
  <si>
    <t xml:space="preserve">ODL103804</t>
  </si>
  <si>
    <t xml:space="preserve">IMP-HL4-015</t>
  </si>
  <si>
    <t xml:space="preserve">ODL102895</t>
  </si>
  <si>
    <t xml:space="preserve">ODL102738</t>
  </si>
  <si>
    <t xml:space="preserve">ODL101905</t>
  </si>
  <si>
    <t xml:space="preserve">IMP-TS1-049</t>
  </si>
  <si>
    <t xml:space="preserve">ODL100059</t>
  </si>
  <si>
    <t xml:space="preserve">ODL100617</t>
  </si>
  <si>
    <t xml:space="preserve">ODL103300</t>
  </si>
  <si>
    <t xml:space="preserve">ODL103701</t>
  </si>
  <si>
    <t xml:space="preserve">IMP-SV8-135</t>
  </si>
  <si>
    <t xml:space="preserve">ODL103084</t>
  </si>
  <si>
    <t xml:space="preserve">IMP-CD7-201</t>
  </si>
  <si>
    <t xml:space="preserve">ODL101999</t>
  </si>
  <si>
    <t xml:space="preserve">ODL104060</t>
  </si>
  <si>
    <t xml:space="preserve">ODL101402</t>
  </si>
  <si>
    <t xml:space="preserve">ODL100963</t>
  </si>
  <si>
    <t xml:space="preserve">ODL102159</t>
  </si>
  <si>
    <t xml:space="preserve">IMP-CD7-046</t>
  </si>
  <si>
    <t xml:space="preserve">ODL100813</t>
  </si>
  <si>
    <t xml:space="preserve">ODL102650</t>
  </si>
  <si>
    <t xml:space="preserve">IMP-HL4-009</t>
  </si>
  <si>
    <t xml:space="preserve">ODL100970</t>
  </si>
  <si>
    <t xml:space="preserve">IMP-TS1-258</t>
  </si>
  <si>
    <t xml:space="preserve">ODL103930</t>
  </si>
  <si>
    <t xml:space="preserve">ODL101780</t>
  </si>
  <si>
    <t xml:space="preserve">ODL102893</t>
  </si>
  <si>
    <t xml:space="preserve">IMP-TS1-177</t>
  </si>
  <si>
    <t xml:space="preserve">ODL100482</t>
  </si>
  <si>
    <t xml:space="preserve">ODL101299</t>
  </si>
  <si>
    <t xml:space="preserve">IMP-SV8-073</t>
  </si>
  <si>
    <t xml:space="preserve">ODL100461</t>
  </si>
  <si>
    <t xml:space="preserve">ODL101823</t>
  </si>
  <si>
    <t xml:space="preserve">ODL103253</t>
  </si>
  <si>
    <t xml:space="preserve">IMP-PP6-133</t>
  </si>
  <si>
    <t xml:space="preserve">ODL101930</t>
  </si>
  <si>
    <t xml:space="preserve">ODL100510</t>
  </si>
  <si>
    <t xml:space="preserve">IMP-FF9-090</t>
  </si>
  <si>
    <t xml:space="preserve">ODL102954</t>
  </si>
  <si>
    <t xml:space="preserve">IMP-TN0-022</t>
  </si>
  <si>
    <t xml:space="preserve">ODL103955</t>
  </si>
  <si>
    <t xml:space="preserve">ODL101916</t>
  </si>
  <si>
    <t xml:space="preserve">IMP-CD7-289</t>
  </si>
  <si>
    <t xml:space="preserve">ODL100250</t>
  </si>
  <si>
    <t xml:space="preserve">IMP-TN0-044</t>
  </si>
  <si>
    <t xml:space="preserve">ODL100196</t>
  </si>
  <si>
    <t xml:space="preserve">IMP-CD7-089</t>
  </si>
  <si>
    <t xml:space="preserve">ODL103096</t>
  </si>
  <si>
    <t xml:space="preserve">ODL100215</t>
  </si>
  <si>
    <t xml:space="preserve">ODL101270</t>
  </si>
  <si>
    <t xml:space="preserve">ODL101534</t>
  </si>
  <si>
    <t xml:space="preserve">IMP-CT3-051</t>
  </si>
  <si>
    <t xml:space="preserve">ODL102332</t>
  </si>
  <si>
    <t xml:space="preserve">ODL102315</t>
  </si>
  <si>
    <t xml:space="preserve">ODL103081</t>
  </si>
  <si>
    <t xml:space="preserve">IMP-CT3-019</t>
  </si>
  <si>
    <t xml:space="preserve">ODL103007</t>
  </si>
  <si>
    <t xml:space="preserve">IMP-HL4-099</t>
  </si>
  <si>
    <t xml:space="preserve">ODL103130</t>
  </si>
  <si>
    <t xml:space="preserve">ODL102016</t>
  </si>
  <si>
    <t xml:space="preserve">IMP-PP6-056</t>
  </si>
  <si>
    <t xml:space="preserve">ODL102239</t>
  </si>
  <si>
    <t xml:space="preserve">ODL103976</t>
  </si>
  <si>
    <t xml:space="preserve">ODL104168</t>
  </si>
  <si>
    <t xml:space="preserve">ODL101151</t>
  </si>
  <si>
    <t xml:space="preserve">IMP-SV8-069</t>
  </si>
  <si>
    <t xml:space="preserve">ODL100836</t>
  </si>
  <si>
    <t xml:space="preserve">IMP-CT2-205</t>
  </si>
  <si>
    <t xml:space="preserve">ODL100405</t>
  </si>
  <si>
    <t xml:space="preserve">ODL100174</t>
  </si>
  <si>
    <t xml:space="preserve">ODL103696</t>
  </si>
  <si>
    <t xml:space="preserve">IMP-PP6-069</t>
  </si>
  <si>
    <t xml:space="preserve">ODL104179</t>
  </si>
  <si>
    <t xml:space="preserve">ODL100718</t>
  </si>
  <si>
    <t xml:space="preserve">IMP-HL4-186</t>
  </si>
  <si>
    <t xml:space="preserve">ODL101280</t>
  </si>
  <si>
    <t xml:space="preserve">IMP-FF9-002</t>
  </si>
  <si>
    <t xml:space="preserve">ODL102781</t>
  </si>
  <si>
    <t xml:space="preserve">ODL102200</t>
  </si>
  <si>
    <t xml:space="preserve">IMP-TN0-104</t>
  </si>
  <si>
    <t xml:space="preserve">ODL104159</t>
  </si>
  <si>
    <t xml:space="preserve">IMP-SV8-030</t>
  </si>
  <si>
    <t xml:space="preserve">ODL103230</t>
  </si>
  <si>
    <t xml:space="preserve">IMP-TS1-122</t>
  </si>
  <si>
    <t xml:space="preserve">ODL100066</t>
  </si>
  <si>
    <t xml:space="preserve">ODL100383</t>
  </si>
  <si>
    <t xml:space="preserve">ODL103112</t>
  </si>
  <si>
    <t xml:space="preserve">ODL103905</t>
  </si>
  <si>
    <t xml:space="preserve">ODL102775</t>
  </si>
  <si>
    <t xml:space="preserve">IMP-TN0-175</t>
  </si>
  <si>
    <t xml:space="preserve">ODL101642</t>
  </si>
  <si>
    <t xml:space="preserve">IMP-CD7-240</t>
  </si>
  <si>
    <t xml:space="preserve">ODL102574</t>
  </si>
  <si>
    <t xml:space="preserve">ODL102154</t>
  </si>
  <si>
    <t xml:space="preserve">ODL104152</t>
  </si>
  <si>
    <t xml:space="preserve">ODL102399</t>
  </si>
  <si>
    <t xml:space="preserve">IMP-CT2-104</t>
  </si>
  <si>
    <t xml:space="preserve">ODL103359</t>
  </si>
  <si>
    <t xml:space="preserve">IMP-PP6-022</t>
  </si>
  <si>
    <t xml:space="preserve">ODL102378</t>
  </si>
  <si>
    <t xml:space="preserve">IMP-TS1-009</t>
  </si>
  <si>
    <t xml:space="preserve">ODL102198</t>
  </si>
  <si>
    <t xml:space="preserve">IMP-HL4-096</t>
  </si>
  <si>
    <t xml:space="preserve">ODL101342</t>
  </si>
  <si>
    <t xml:space="preserve">IMP-SV8-040</t>
  </si>
  <si>
    <t xml:space="preserve">ODL102183</t>
  </si>
  <si>
    <t xml:space="preserve">IMP-TN0-223</t>
  </si>
  <si>
    <t xml:space="preserve">ODL103567</t>
  </si>
  <si>
    <t xml:space="preserve">IMP-CD7-197</t>
  </si>
  <si>
    <t xml:space="preserve">ODL102917</t>
  </si>
  <si>
    <t xml:space="preserve">ODL102653</t>
  </si>
  <si>
    <t xml:space="preserve">IMP-TN0-004</t>
  </si>
  <si>
    <t xml:space="preserve">ODL104066</t>
  </si>
  <si>
    <t xml:space="preserve">ODL103718</t>
  </si>
  <si>
    <t xml:space="preserve">ODL102601</t>
  </si>
  <si>
    <t xml:space="preserve">ODL100107</t>
  </si>
  <si>
    <t xml:space="preserve">ODL103034</t>
  </si>
  <si>
    <t xml:space="preserve">ODL101423</t>
  </si>
  <si>
    <t xml:space="preserve">IMP-HL4-145</t>
  </si>
  <si>
    <t xml:space="preserve">ODL102987</t>
  </si>
  <si>
    <t xml:space="preserve">ODL102844</t>
  </si>
  <si>
    <t xml:space="preserve">IMP-SV8-032</t>
  </si>
  <si>
    <t xml:space="preserve">ODL101070</t>
  </si>
  <si>
    <t xml:space="preserve">ODL102481</t>
  </si>
  <si>
    <t xml:space="preserve">ODL101351</t>
  </si>
  <si>
    <t xml:space="preserve">ODL102851</t>
  </si>
  <si>
    <t xml:space="preserve">IMP-CT3-131</t>
  </si>
  <si>
    <t xml:space="preserve">ODL101839</t>
  </si>
  <si>
    <t xml:space="preserve">ODL101766</t>
  </si>
  <si>
    <t xml:space="preserve">IMP-TS1-067</t>
  </si>
  <si>
    <t xml:space="preserve">ODL101330</t>
  </si>
  <si>
    <t xml:space="preserve">ODL102115</t>
  </si>
  <si>
    <t xml:space="preserve">ODL100630</t>
  </si>
  <si>
    <t xml:space="preserve">IMP-PP6-050</t>
  </si>
  <si>
    <t xml:space="preserve">ODL100779</t>
  </si>
  <si>
    <t xml:space="preserve">ODL100711</t>
  </si>
  <si>
    <t xml:space="preserve">ODL101958</t>
  </si>
  <si>
    <t xml:space="preserve">ODL103843</t>
  </si>
  <si>
    <t xml:space="preserve">IMP-TN0-067</t>
  </si>
  <si>
    <t xml:space="preserve">ODL100024</t>
  </si>
  <si>
    <t xml:space="preserve">ODL101821</t>
  </si>
  <si>
    <t xml:space="preserve">ODL102237</t>
  </si>
  <si>
    <t xml:space="preserve">ODL100733</t>
  </si>
  <si>
    <t xml:space="preserve">IMP-PP6-144</t>
  </si>
  <si>
    <t xml:space="preserve">ODL102886</t>
  </si>
  <si>
    <t xml:space="preserve">ODL101596</t>
  </si>
  <si>
    <t xml:space="preserve">IMP-CT2-154</t>
  </si>
  <si>
    <t xml:space="preserve">ODL101332</t>
  </si>
  <si>
    <t xml:space="preserve">ODL101587</t>
  </si>
  <si>
    <t xml:space="preserve">IMP-TS1-097</t>
  </si>
  <si>
    <t xml:space="preserve">ODL103549</t>
  </si>
  <si>
    <t xml:space="preserve">ODL100969</t>
  </si>
  <si>
    <t xml:space="preserve">ODL100187</t>
  </si>
  <si>
    <t xml:space="preserve">ODL102213</t>
  </si>
  <si>
    <t xml:space="preserve">ODL101177</t>
  </si>
  <si>
    <t xml:space="preserve">IMP-TN0-134</t>
  </si>
  <si>
    <t xml:space="preserve">ODL101469</t>
  </si>
  <si>
    <t xml:space="preserve">ODL103920</t>
  </si>
  <si>
    <t xml:space="preserve">ODL101253</t>
  </si>
  <si>
    <t xml:space="preserve">ODL101708</t>
  </si>
  <si>
    <t xml:space="preserve">ODL102462</t>
  </si>
  <si>
    <t xml:space="preserve">ODL100790</t>
  </si>
  <si>
    <t xml:space="preserve">ODL101249</t>
  </si>
  <si>
    <t xml:space="preserve">ODL100433</t>
  </si>
  <si>
    <t xml:space="preserve">IMP-FF9-066</t>
  </si>
  <si>
    <t xml:space="preserve">ODL103857</t>
  </si>
  <si>
    <t xml:space="preserve">ODL103203</t>
  </si>
  <si>
    <t xml:space="preserve">IMP-CD7-194</t>
  </si>
  <si>
    <t xml:space="preserve">ODL102133</t>
  </si>
  <si>
    <t xml:space="preserve">IMP-CT3-092</t>
  </si>
  <si>
    <t xml:space="preserve">ODL101385</t>
  </si>
  <si>
    <t xml:space="preserve">ODL103420</t>
  </si>
  <si>
    <t xml:space="preserve">ODL101041</t>
  </si>
  <si>
    <t xml:space="preserve">ODL103963</t>
  </si>
  <si>
    <t xml:space="preserve">ODL101046</t>
  </si>
  <si>
    <t xml:space="preserve">ODL103844</t>
  </si>
  <si>
    <t xml:space="preserve">ODL104163</t>
  </si>
  <si>
    <t xml:space="preserve">IMP-CD7-293</t>
  </si>
  <si>
    <t xml:space="preserve">ODL100256</t>
  </si>
  <si>
    <t xml:space="preserve">ODL102803</t>
  </si>
  <si>
    <t xml:space="preserve">IMP-PP6-047</t>
  </si>
  <si>
    <t xml:space="preserve">ODL100163</t>
  </si>
  <si>
    <t xml:space="preserve">ODL100349</t>
  </si>
  <si>
    <t xml:space="preserve">ODL102377</t>
  </si>
  <si>
    <t xml:space="preserve">ODL101175</t>
  </si>
  <si>
    <t xml:space="preserve">ODL104051</t>
  </si>
  <si>
    <t xml:space="preserve">ODL101150</t>
  </si>
  <si>
    <t xml:space="preserve">IMP-TS1-115</t>
  </si>
  <si>
    <t xml:space="preserve">ODL103374</t>
  </si>
  <si>
    <t xml:space="preserve">IMP-CT2-105</t>
  </si>
  <si>
    <t xml:space="preserve">ODL101246</t>
  </si>
  <si>
    <t xml:space="preserve">IMP-TN0-128</t>
  </si>
  <si>
    <t xml:space="preserve">ODL101141</t>
  </si>
  <si>
    <t xml:space="preserve">ODL102401</t>
  </si>
  <si>
    <t xml:space="preserve">IMP-CT2-061</t>
  </si>
  <si>
    <t xml:space="preserve">ODL101741</t>
  </si>
  <si>
    <t xml:space="preserve">IMP-CD7-325</t>
  </si>
  <si>
    <t xml:space="preserve">ODL102752</t>
  </si>
  <si>
    <t xml:space="preserve">IMP-SV8-162</t>
  </si>
  <si>
    <t xml:space="preserve">ODL100248</t>
  </si>
  <si>
    <t xml:space="preserve">ODL103967</t>
  </si>
  <si>
    <t xml:space="preserve">IMP-CT3-057</t>
  </si>
  <si>
    <t xml:space="preserve">ODL100749</t>
  </si>
  <si>
    <t xml:space="preserve">IMP-HL4-351</t>
  </si>
  <si>
    <t xml:space="preserve">ODL101526</t>
  </si>
  <si>
    <t xml:space="preserve">ODL102983</t>
  </si>
  <si>
    <t xml:space="preserve">ODL102036</t>
  </si>
  <si>
    <t xml:space="preserve">ODL101403</t>
  </si>
  <si>
    <t xml:space="preserve">IMP-HL4-379</t>
  </si>
  <si>
    <t xml:space="preserve">ODL103250</t>
  </si>
  <si>
    <t xml:space="preserve">IMP-HL4-058</t>
  </si>
  <si>
    <t xml:space="preserve">ODL102064</t>
  </si>
  <si>
    <t xml:space="preserve">ODL103402</t>
  </si>
  <si>
    <t xml:space="preserve">ODL100045</t>
  </si>
  <si>
    <t xml:space="preserve">ODL100656</t>
  </si>
  <si>
    <t xml:space="preserve">ODL102551</t>
  </si>
  <si>
    <t xml:space="preserve">IMP-TN0-141</t>
  </si>
  <si>
    <t xml:space="preserve">ODL100179</t>
  </si>
  <si>
    <t xml:space="preserve">IMP-CT2-155</t>
  </si>
  <si>
    <t xml:space="preserve">ODL101797</t>
  </si>
  <si>
    <t xml:space="preserve">IMP-CT3-132</t>
  </si>
  <si>
    <t xml:space="preserve">ODL101688</t>
  </si>
  <si>
    <t xml:space="preserve">IMP-TS1-137</t>
  </si>
  <si>
    <t xml:space="preserve">ODL101064</t>
  </si>
  <si>
    <t xml:space="preserve">ODL100152</t>
  </si>
  <si>
    <t xml:space="preserve">IMP-TS1-231</t>
  </si>
  <si>
    <t xml:space="preserve">ODL100962</t>
  </si>
  <si>
    <t xml:space="preserve">ODL101570</t>
  </si>
  <si>
    <t xml:space="preserve">ODL101191</t>
  </si>
  <si>
    <t xml:space="preserve">IMP-CT2-122</t>
  </si>
  <si>
    <t xml:space="preserve">ODL102444</t>
  </si>
  <si>
    <t xml:space="preserve">IMP-SV8-132</t>
  </si>
  <si>
    <t xml:space="preserve">ODL103707</t>
  </si>
  <si>
    <t xml:space="preserve">ODL104025</t>
  </si>
  <si>
    <t xml:space="preserve">ODL102499</t>
  </si>
  <si>
    <t xml:space="preserve">ODL101540</t>
  </si>
  <si>
    <t xml:space="preserve">IMP-FF9-096</t>
  </si>
  <si>
    <t xml:space="preserve">ODL102376</t>
  </si>
  <si>
    <t xml:space="preserve">ODL102371</t>
  </si>
  <si>
    <t xml:space="preserve">ODL103411</t>
  </si>
  <si>
    <t xml:space="preserve">ODL103009</t>
  </si>
  <si>
    <t xml:space="preserve">IMP-FF9-060</t>
  </si>
  <si>
    <t xml:space="preserve">ODL101982</t>
  </si>
  <si>
    <t xml:space="preserve">ODL100806</t>
  </si>
  <si>
    <t xml:space="preserve">IMP-TS1-072</t>
  </si>
  <si>
    <t xml:space="preserve">ODL101268</t>
  </si>
  <si>
    <t xml:space="preserve">ODL103500</t>
  </si>
  <si>
    <t xml:space="preserve">ODL102673</t>
  </si>
  <si>
    <t xml:space="preserve">IMP-CT2-017</t>
  </si>
  <si>
    <t xml:space="preserve">ODL103584</t>
  </si>
  <si>
    <t xml:space="preserve">ODL100503</t>
  </si>
  <si>
    <t xml:space="preserve">ODL103937</t>
  </si>
  <si>
    <t xml:space="preserve">IMP-TS1-054</t>
  </si>
  <si>
    <t xml:space="preserve">ODL101170</t>
  </si>
  <si>
    <t xml:space="preserve">ODL104174</t>
  </si>
  <si>
    <t xml:space="preserve">ODL104130</t>
  </si>
  <si>
    <t xml:space="preserve">ODL101888</t>
  </si>
  <si>
    <t xml:space="preserve">IMP-CT3-138</t>
  </si>
  <si>
    <t xml:space="preserve">ODL102365</t>
  </si>
  <si>
    <t xml:space="preserve">IMP-TS1-108</t>
  </si>
  <si>
    <t xml:space="preserve">ODL100671</t>
  </si>
  <si>
    <t xml:space="preserve">ODL102540</t>
  </si>
  <si>
    <t xml:space="preserve">ODL100565</t>
  </si>
  <si>
    <t xml:space="preserve">ODL103835</t>
  </si>
  <si>
    <t xml:space="preserve">ODL102961</t>
  </si>
  <si>
    <t xml:space="preserve">IMP-CD7-069</t>
  </si>
  <si>
    <t xml:space="preserve">ODL101440</t>
  </si>
  <si>
    <t xml:space="preserve">ODL101848</t>
  </si>
  <si>
    <t xml:space="preserve">IMP-CT3-059</t>
  </si>
  <si>
    <t xml:space="preserve">ODL101503</t>
  </si>
  <si>
    <t xml:space="preserve">ODL102443</t>
  </si>
  <si>
    <t xml:space="preserve">IMP-HL4-218</t>
  </si>
  <si>
    <t xml:space="preserve">ODL101776</t>
  </si>
  <si>
    <t xml:space="preserve">ODL100042</t>
  </si>
  <si>
    <t xml:space="preserve">ODL100076</t>
  </si>
  <si>
    <t xml:space="preserve">ODL102338</t>
  </si>
  <si>
    <t xml:space="preserve">ODL103151</t>
  </si>
  <si>
    <t xml:space="preserve">IMP-TN0-010</t>
  </si>
  <si>
    <t xml:space="preserve">ODL101512</t>
  </si>
  <si>
    <t xml:space="preserve">IMP-SV8-205</t>
  </si>
  <si>
    <t xml:space="preserve">ODL101388</t>
  </si>
  <si>
    <t xml:space="preserve">IMP-CT2-160</t>
  </si>
  <si>
    <t xml:space="preserve">ODL102081</t>
  </si>
  <si>
    <t xml:space="preserve">IMP-HL4-130</t>
  </si>
  <si>
    <t xml:space="preserve">ODL103975</t>
  </si>
  <si>
    <t xml:space="preserve">ODL103492</t>
  </si>
  <si>
    <t xml:space="preserve">IMP-TS1-252</t>
  </si>
  <si>
    <t xml:space="preserve">ODL101957</t>
  </si>
  <si>
    <t xml:space="preserve">ODL103678</t>
  </si>
  <si>
    <t xml:space="preserve">IMP-TN0-280</t>
  </si>
  <si>
    <t xml:space="preserve">ODL103111</t>
  </si>
  <si>
    <t xml:space="preserve">IMP-HL4-211</t>
  </si>
  <si>
    <t xml:space="preserve">ODL101636</t>
  </si>
  <si>
    <t xml:space="preserve">ODL100682</t>
  </si>
  <si>
    <t xml:space="preserve">ODL102652</t>
  </si>
  <si>
    <t xml:space="preserve">ODL100255</t>
  </si>
  <si>
    <t xml:space="preserve">ODL102753</t>
  </si>
  <si>
    <t xml:space="preserve">IMP-CT2-208</t>
  </si>
  <si>
    <t xml:space="preserve">ODL102759</t>
  </si>
  <si>
    <t xml:space="preserve">IMP-CD7-151</t>
  </si>
  <si>
    <t xml:space="preserve">ODL103884</t>
  </si>
  <si>
    <t xml:space="preserve">ODL103261</t>
  </si>
  <si>
    <t xml:space="preserve">IMP-CT3-070</t>
  </si>
  <si>
    <t xml:space="preserve">ODL100677</t>
  </si>
  <si>
    <t xml:space="preserve">ODL102706</t>
  </si>
  <si>
    <t xml:space="preserve">IMP-HL4-044</t>
  </si>
  <si>
    <t xml:space="preserve">ODL101160</t>
  </si>
  <si>
    <t xml:space="preserve">ODL102791</t>
  </si>
  <si>
    <t xml:space="preserve">IMP-HL4-189</t>
  </si>
  <si>
    <t xml:space="preserve">ODL100400</t>
  </si>
  <si>
    <t xml:space="preserve">IMP-PP6-083</t>
  </si>
  <si>
    <t xml:space="preserve">ODL102809</t>
  </si>
  <si>
    <t xml:space="preserve">ODL103371</t>
  </si>
  <si>
    <t xml:space="preserve">IMP-TS1-249</t>
  </si>
  <si>
    <t xml:space="preserve">ODL103865</t>
  </si>
  <si>
    <t xml:space="preserve">IMP-CT3-022</t>
  </si>
  <si>
    <t xml:space="preserve">ODL101005</t>
  </si>
  <si>
    <t xml:space="preserve">IMP-TN0-218</t>
  </si>
  <si>
    <t xml:space="preserve">ODL102429</t>
  </si>
  <si>
    <t xml:space="preserve">ODL102000</t>
  </si>
  <si>
    <t xml:space="preserve">ODL102290</t>
  </si>
  <si>
    <t xml:space="preserve">ODL103497</t>
  </si>
  <si>
    <t xml:space="preserve">ODL103619</t>
  </si>
  <si>
    <t xml:space="preserve">IMP-HL4-098</t>
  </si>
  <si>
    <t xml:space="preserve">ODL101981</t>
  </si>
  <si>
    <t xml:space="preserve">ODL103167</t>
  </si>
  <si>
    <t xml:space="preserve">IMP-FF9-035</t>
  </si>
  <si>
    <t xml:space="preserve">ODL102339</t>
  </si>
  <si>
    <t xml:space="preserve">ODL103631</t>
  </si>
  <si>
    <t xml:space="preserve">IMP-TN0-117</t>
  </si>
  <si>
    <t xml:space="preserve">ODL101666</t>
  </si>
  <si>
    <t xml:space="preserve">ODL102130</t>
  </si>
  <si>
    <t xml:space="preserve">ODL102621</t>
  </si>
  <si>
    <t xml:space="preserve">ODL102127</t>
  </si>
  <si>
    <t xml:space="preserve">ODL101179</t>
  </si>
  <si>
    <t xml:space="preserve">IMP-PP6-043</t>
  </si>
  <si>
    <t xml:space="preserve">ODL100951</t>
  </si>
  <si>
    <t xml:space="preserve">IMP-SB5-103</t>
  </si>
  <si>
    <t xml:space="preserve">ODL101092</t>
  </si>
  <si>
    <t xml:space="preserve">ODL102022</t>
  </si>
  <si>
    <t xml:space="preserve">ODL101304</t>
  </si>
  <si>
    <t xml:space="preserve">IMP-TN0-017</t>
  </si>
  <si>
    <t xml:space="preserve">ODL103134</t>
  </si>
  <si>
    <t xml:space="preserve">IMP-CD7-082</t>
  </si>
  <si>
    <t xml:space="preserve">ODL102152</t>
  </si>
  <si>
    <t xml:space="preserve">ODL102534</t>
  </si>
  <si>
    <t xml:space="preserve">ODL103285</t>
  </si>
  <si>
    <t xml:space="preserve">ODL101523</t>
  </si>
  <si>
    <t xml:space="preserve">ODL103201</t>
  </si>
  <si>
    <t xml:space="preserve">ODL100412</t>
  </si>
  <si>
    <t xml:space="preserve">IMP-SV8-041</t>
  </si>
  <si>
    <t xml:space="preserve">ODL100236</t>
  </si>
  <si>
    <t xml:space="preserve">IMP-TN0-192</t>
  </si>
  <si>
    <t xml:space="preserve">ODL101620</t>
  </si>
  <si>
    <t xml:space="preserve">ODL102634</t>
  </si>
  <si>
    <t xml:space="preserve">ODL101535</t>
  </si>
  <si>
    <t xml:space="preserve">ODL100311</t>
  </si>
  <si>
    <t xml:space="preserve">ODL103085</t>
  </si>
  <si>
    <t xml:space="preserve">IMP-SB5-119</t>
  </si>
  <si>
    <t xml:space="preserve">ODL104059</t>
  </si>
  <si>
    <t xml:space="preserve">ODL100004</t>
  </si>
  <si>
    <t xml:space="preserve">ODL100935</t>
  </si>
  <si>
    <t xml:space="preserve">ODL103308</t>
  </si>
  <si>
    <t xml:space="preserve">IMP-SV8-053</t>
  </si>
  <si>
    <t xml:space="preserve">ODL103845</t>
  </si>
  <si>
    <t xml:space="preserve">ODL103438</t>
  </si>
  <si>
    <t xml:space="preserve">ODL100842</t>
  </si>
  <si>
    <t xml:space="preserve">ODL101781</t>
  </si>
  <si>
    <t xml:space="preserve">ODL101390</t>
  </si>
  <si>
    <t xml:space="preserve">ODL102849</t>
  </si>
  <si>
    <t xml:space="preserve">ODL102896</t>
  </si>
  <si>
    <t xml:space="preserve">ODL103640</t>
  </si>
  <si>
    <t xml:space="preserve">ODL104050</t>
  </si>
  <si>
    <t xml:space="preserve">IMP-FF9-018</t>
  </si>
  <si>
    <t xml:space="preserve">ODL103074</t>
  </si>
  <si>
    <t xml:space="preserve">ODL101192</t>
  </si>
  <si>
    <t xml:space="preserve">IMP-HL4-078</t>
  </si>
  <si>
    <t xml:space="preserve">ODL101183</t>
  </si>
  <si>
    <t xml:space="preserve">IMP-SV8-011</t>
  </si>
  <si>
    <t xml:space="preserve">ODL101052</t>
  </si>
  <si>
    <t xml:space="preserve">ODL100985</t>
  </si>
  <si>
    <t xml:space="preserve">IMP-CT3-145</t>
  </si>
  <si>
    <t xml:space="preserve">ODL101229</t>
  </si>
  <si>
    <t xml:space="preserve">IMP-PP6-148</t>
  </si>
  <si>
    <t xml:space="preserve">ODL101380</t>
  </si>
  <si>
    <t xml:space="preserve">ODL102255</t>
  </si>
  <si>
    <t xml:space="preserve">ODL101031</t>
  </si>
  <si>
    <t xml:space="preserve">IMP-SV8-046</t>
  </si>
  <si>
    <t xml:space="preserve">ODL100726</t>
  </si>
  <si>
    <t xml:space="preserve">IMP-CD7-087</t>
  </si>
  <si>
    <t xml:space="preserve">ODL103732</t>
  </si>
  <si>
    <t xml:space="preserve">ODL101374</t>
  </si>
  <si>
    <t xml:space="preserve">IMP-SB5-096</t>
  </si>
  <si>
    <t xml:space="preserve">ODL102175</t>
  </si>
  <si>
    <t xml:space="preserve">IMP-SV8-168</t>
  </si>
  <si>
    <t xml:space="preserve">ODL104089</t>
  </si>
  <si>
    <t xml:space="preserve">ODL103740</t>
  </si>
  <si>
    <t xml:space="preserve">ODL101524</t>
  </si>
  <si>
    <t xml:space="preserve">ODL102048</t>
  </si>
  <si>
    <t xml:space="preserve">ODL101577</t>
  </si>
  <si>
    <t xml:space="preserve">IMP-TN0-209</t>
  </si>
  <si>
    <t xml:space="preserve">ODL100534</t>
  </si>
  <si>
    <t xml:space="preserve">IMP-CT3-080</t>
  </si>
  <si>
    <t xml:space="preserve">ODL101686</t>
  </si>
  <si>
    <t xml:space="preserve">ODL102741</t>
  </si>
  <si>
    <t xml:space="preserve">IMP-HL4-320</t>
  </si>
  <si>
    <t xml:space="preserve">ODL100657</t>
  </si>
  <si>
    <t xml:space="preserve">ODL103542</t>
  </si>
  <si>
    <t xml:space="preserve">ODL104097</t>
  </si>
  <si>
    <t xml:space="preserve">IMP-SB5-063</t>
  </si>
  <si>
    <t xml:space="preserve">ODL103746</t>
  </si>
  <si>
    <t xml:space="preserve">IMP-CD7-123</t>
  </si>
  <si>
    <t xml:space="preserve">ODL101648</t>
  </si>
  <si>
    <t xml:space="preserve">IMP-HL4-330</t>
  </si>
  <si>
    <t xml:space="preserve">ODL102956</t>
  </si>
  <si>
    <t xml:space="preserve">IMP-SB5-102</t>
  </si>
  <si>
    <t xml:space="preserve">ODL100619</t>
  </si>
  <si>
    <t xml:space="preserve">IMP-CD7-019</t>
  </si>
  <si>
    <t xml:space="preserve">ODL100514</t>
  </si>
  <si>
    <t xml:space="preserve">ODL102904</t>
  </si>
  <si>
    <t xml:space="preserve">IMP-SV8-139</t>
  </si>
  <si>
    <t xml:space="preserve">ODL103002</t>
  </si>
  <si>
    <t xml:space="preserve">ODL103057</t>
  </si>
  <si>
    <t xml:space="preserve">IMP-CT3-032</t>
  </si>
  <si>
    <t xml:space="preserve">ODL100902</t>
  </si>
  <si>
    <t xml:space="preserve">ODL103484</t>
  </si>
  <si>
    <t xml:space="preserve">ODL101868</t>
  </si>
  <si>
    <t xml:space="preserve">IMP-SV8-108</t>
  </si>
  <si>
    <t xml:space="preserve">ODL102973</t>
  </si>
  <si>
    <t xml:space="preserve">ODL103349</t>
  </si>
  <si>
    <t xml:space="preserve">ODL102789</t>
  </si>
  <si>
    <t xml:space="preserve">ODL101731</t>
  </si>
  <si>
    <t xml:space="preserve">ODL101245</t>
  </si>
  <si>
    <t xml:space="preserve">IMP-SV8-092</t>
  </si>
  <si>
    <t xml:space="preserve">ODL103348</t>
  </si>
  <si>
    <t xml:space="preserve">ODL100184</t>
  </si>
  <si>
    <t xml:space="preserve">ODL103879</t>
  </si>
  <si>
    <t xml:space="preserve">ODL100976</t>
  </si>
  <si>
    <t xml:space="preserve">ODL102006</t>
  </si>
  <si>
    <t xml:space="preserve">ODL103003</t>
  </si>
  <si>
    <t xml:space="preserve">IMP-CD7-257</t>
  </si>
  <si>
    <t xml:space="preserve">ODL102272</t>
  </si>
  <si>
    <t xml:space="preserve">IMP-TN0-196</t>
  </si>
  <si>
    <t xml:space="preserve">ODL104115</t>
  </si>
  <si>
    <t xml:space="preserve">ODL102750</t>
  </si>
  <si>
    <t xml:space="preserve">IMP-PP6-061</t>
  </si>
  <si>
    <t xml:space="preserve">ODL101717</t>
  </si>
  <si>
    <t xml:space="preserve">ODL103669</t>
  </si>
  <si>
    <t xml:space="preserve">IMP-TN0-100</t>
  </si>
  <si>
    <t xml:space="preserve">ODL103211</t>
  </si>
  <si>
    <t xml:space="preserve">ODL103336</t>
  </si>
  <si>
    <t xml:space="preserve">ODL101377</t>
  </si>
  <si>
    <t xml:space="preserve">ODL102238</t>
  </si>
  <si>
    <t xml:space="preserve">ODL103288</t>
  </si>
  <si>
    <t xml:space="preserve">IMP-SV8-188</t>
  </si>
  <si>
    <t xml:space="preserve">ODL101252</t>
  </si>
  <si>
    <t xml:space="preserve">ODL104181</t>
  </si>
  <si>
    <t xml:space="preserve">IMP-FF9-095</t>
  </si>
  <si>
    <t xml:space="preserve">ODL101995</t>
  </si>
  <si>
    <t xml:space="preserve">ODL100780</t>
  </si>
  <si>
    <t xml:space="preserve">IMP-HL4-259</t>
  </si>
  <si>
    <t xml:space="preserve">ODL103318</t>
  </si>
  <si>
    <t xml:space="preserve">IMP-CD7-344</t>
  </si>
  <si>
    <t xml:space="preserve">ODL101490</t>
  </si>
  <si>
    <t xml:space="preserve">IMP-TN0-232</t>
  </si>
  <si>
    <t xml:space="preserve">ODL103900</t>
  </si>
  <si>
    <t xml:space="preserve">ODL101117</t>
  </si>
  <si>
    <t xml:space="preserve">ODL101418</t>
  </si>
  <si>
    <t xml:space="preserve">IMP-TS1-254</t>
  </si>
  <si>
    <t xml:space="preserve">ODL100594</t>
  </si>
  <si>
    <t xml:space="preserve">IMP-SV8-010</t>
  </si>
  <si>
    <t xml:space="preserve">ODL100832</t>
  </si>
  <si>
    <t xml:space="preserve">ODL101239</t>
  </si>
  <si>
    <t xml:space="preserve">IMP-TS1-052</t>
  </si>
  <si>
    <t xml:space="preserve">ODL102067</t>
  </si>
  <si>
    <t xml:space="preserve">IMP-TN0-153</t>
  </si>
  <si>
    <t xml:space="preserve">ODL103187</t>
  </si>
  <si>
    <t xml:space="preserve">ODL101675</t>
  </si>
  <si>
    <t xml:space="preserve">ODL102141</t>
  </si>
  <si>
    <t xml:space="preserve">ODL100264</t>
  </si>
  <si>
    <t xml:space="preserve">IMP-HL4-059</t>
  </si>
  <si>
    <t xml:space="preserve">ODL102637</t>
  </si>
  <si>
    <t xml:space="preserve">ODL104044</t>
  </si>
  <si>
    <t xml:space="preserve">IMP-TN0-056</t>
  </si>
  <si>
    <t xml:space="preserve">ODL103658</t>
  </si>
  <si>
    <t xml:space="preserve">IMP-CD7-056</t>
  </si>
  <si>
    <t xml:space="preserve">ODL103629</t>
  </si>
  <si>
    <t xml:space="preserve">ODL103890</t>
  </si>
  <si>
    <t xml:space="preserve">ODL102776</t>
  </si>
  <si>
    <t xml:space="preserve">ODL101569</t>
  </si>
  <si>
    <t xml:space="preserve">ODL102100</t>
  </si>
  <si>
    <t xml:space="preserve">IMP-HL4-045</t>
  </si>
  <si>
    <t xml:space="preserve">ODL100033</t>
  </si>
  <si>
    <t xml:space="preserve">ODL101257</t>
  </si>
  <si>
    <t xml:space="preserve">ODL101080</t>
  </si>
  <si>
    <t xml:space="preserve">ODL102253</t>
  </si>
  <si>
    <t xml:space="preserve">IMP-TN0-187</t>
  </si>
  <si>
    <t xml:space="preserve">ODL101983</t>
  </si>
  <si>
    <t xml:space="preserve">ODL100202</t>
  </si>
  <si>
    <t xml:space="preserve">ODL102209</t>
  </si>
  <si>
    <t xml:space="preserve">ODL101066</t>
  </si>
  <si>
    <t xml:space="preserve">IMP-CD7-248</t>
  </si>
  <si>
    <t xml:space="preserve">ODL100277</t>
  </si>
  <si>
    <t xml:space="preserve">ODL100919</t>
  </si>
  <si>
    <t xml:space="preserve">ODL100214</t>
  </si>
  <si>
    <t xml:space="preserve">IMP-CT3-024</t>
  </si>
  <si>
    <t xml:space="preserve">ODL103979</t>
  </si>
  <si>
    <t xml:space="preserve">ODL103888</t>
  </si>
  <si>
    <t xml:space="preserve">ODL100356</t>
  </si>
  <si>
    <t xml:space="preserve">ODL100238</t>
  </si>
  <si>
    <t xml:space="preserve">ODL103946</t>
  </si>
  <si>
    <t xml:space="preserve">IMP-CT3-020</t>
  </si>
  <si>
    <t xml:space="preserve">ODL101282</t>
  </si>
  <si>
    <t xml:space="preserve">IMP-CT3-047</t>
  </si>
  <si>
    <t xml:space="preserve">ODL102913</t>
  </si>
  <si>
    <t xml:space="preserve">ODL104197</t>
  </si>
  <si>
    <t xml:space="preserve">ODL100666</t>
  </si>
  <si>
    <t xml:space="preserve">ODL101734</t>
  </si>
  <si>
    <t xml:space="preserve">ODL100769</t>
  </si>
  <si>
    <t xml:space="preserve">IMP-TS1-053</t>
  </si>
  <si>
    <t xml:space="preserve">ODL100815</t>
  </si>
  <si>
    <t xml:space="preserve">IMP-TN0-027</t>
  </si>
  <si>
    <t xml:space="preserve">ODL101554</t>
  </si>
  <si>
    <t xml:space="preserve">IMP-CD7-281</t>
  </si>
  <si>
    <t xml:space="preserve">ODL101965</t>
  </si>
  <si>
    <t xml:space="preserve">ODL101609</t>
  </si>
  <si>
    <t xml:space="preserve">ODL101404</t>
  </si>
  <si>
    <t xml:space="preserve">ODL103783</t>
  </si>
  <si>
    <t xml:space="preserve">ODL103785</t>
  </si>
  <si>
    <t xml:space="preserve">ODL100768</t>
  </si>
  <si>
    <t xml:space="preserve">IMP-SV8-219</t>
  </si>
  <si>
    <t xml:space="preserve">ODL102846</t>
  </si>
  <si>
    <t xml:space="preserve">ODL101133</t>
  </si>
  <si>
    <t xml:space="preserve">IMP-CD7-059</t>
  </si>
  <si>
    <t xml:space="preserve">ODL102450</t>
  </si>
  <si>
    <t xml:space="preserve">ODL101764</t>
  </si>
  <si>
    <t xml:space="preserve">ODL102971</t>
  </si>
  <si>
    <t xml:space="preserve">ODL101735</t>
  </si>
  <si>
    <t xml:space="preserve">ODL103621</t>
  </si>
  <si>
    <t xml:space="preserve">ODL101762</t>
  </si>
  <si>
    <t xml:space="preserve">ODL100327</t>
  </si>
  <si>
    <t xml:space="preserve">ODL101835</t>
  </si>
  <si>
    <t xml:space="preserve">ODL103862</t>
  </si>
  <si>
    <t xml:space="preserve">ODL102745</t>
  </si>
  <si>
    <t xml:space="preserve">IMP-TS1-211</t>
  </si>
  <si>
    <t xml:space="preserve">ODL103058</t>
  </si>
  <si>
    <t xml:space="preserve">ODL102271</t>
  </si>
  <si>
    <t xml:space="preserve">ODL102620</t>
  </si>
  <si>
    <t xml:space="preserve">ODL102723</t>
  </si>
  <si>
    <t xml:space="preserve">ODL100116</t>
  </si>
  <si>
    <t xml:space="preserve">ODL101216</t>
  </si>
  <si>
    <t xml:space="preserve">IMP-TS1-142</t>
  </si>
  <si>
    <t xml:space="preserve">ODL104167</t>
  </si>
  <si>
    <t xml:space="preserve">ODL102336</t>
  </si>
  <si>
    <t xml:space="preserve">IMP-CT3-103</t>
  </si>
  <si>
    <t xml:space="preserve">ODL104136</t>
  </si>
  <si>
    <t xml:space="preserve">ODL103480</t>
  </si>
  <si>
    <t xml:space="preserve">ODL100231</t>
  </si>
  <si>
    <t xml:space="preserve">ODL100795</t>
  </si>
  <si>
    <t xml:space="preserve">ODL100895</t>
  </si>
  <si>
    <t xml:space="preserve">ODL103709</t>
  </si>
  <si>
    <t xml:space="preserve">ODL101181</t>
  </si>
  <si>
    <t xml:space="preserve">IMP-TN0-275</t>
  </si>
  <si>
    <t xml:space="preserve">ODL103364</t>
  </si>
  <si>
    <t xml:space="preserve">ODL102664</t>
  </si>
  <si>
    <t xml:space="preserve">ODL103722</t>
  </si>
  <si>
    <t xml:space="preserve">ODL101413</t>
  </si>
  <si>
    <t xml:space="preserve">ODL103593</t>
  </si>
  <si>
    <t xml:space="preserve">ODL100580</t>
  </si>
  <si>
    <t xml:space="preserve">IMP-TS1-088</t>
  </si>
  <si>
    <t xml:space="preserve">ODL100365</t>
  </si>
  <si>
    <t xml:space="preserve">IMP-CT3-122</t>
  </si>
  <si>
    <t xml:space="preserve">ODL100242</t>
  </si>
  <si>
    <t xml:space="preserve">ODL100079</t>
  </si>
  <si>
    <t xml:space="preserve">IMP-SV8-021</t>
  </si>
  <si>
    <t xml:space="preserve">ODL100358</t>
  </si>
  <si>
    <t xml:space="preserve">IMP-HL4-047</t>
  </si>
  <si>
    <t xml:space="preserve">ODL102496</t>
  </si>
  <si>
    <t xml:space="preserve">IMP-CT3-150</t>
  </si>
  <si>
    <t xml:space="preserve">ODL101309</t>
  </si>
  <si>
    <t xml:space="preserve">IMP-CT3-091</t>
  </si>
  <si>
    <t xml:space="preserve">ODL102514</t>
  </si>
  <si>
    <t xml:space="preserve">ODL101416</t>
  </si>
  <si>
    <t xml:space="preserve">ODL100722</t>
  </si>
  <si>
    <t xml:space="preserve">ODL102397</t>
  </si>
  <si>
    <t xml:space="preserve">IMP-CD7-278</t>
  </si>
  <si>
    <t xml:space="preserve">ODL102528</t>
  </si>
  <si>
    <t xml:space="preserve">ODL100954</t>
  </si>
  <si>
    <t xml:space="preserve">ODL100058</t>
  </si>
  <si>
    <t xml:space="preserve">IMP-HL4-311</t>
  </si>
  <si>
    <t xml:space="preserve">ODL103275</t>
  </si>
  <si>
    <t xml:space="preserve">IMP-TS1-021</t>
  </si>
  <si>
    <t xml:space="preserve">ODL103175</t>
  </si>
  <si>
    <t xml:space="preserve">ODL100931</t>
  </si>
  <si>
    <t xml:space="preserve">IMP-TN0-151</t>
  </si>
  <si>
    <t xml:space="preserve">ODL100436</t>
  </si>
  <si>
    <t xml:space="preserve">IMP-FF9-049</t>
  </si>
  <si>
    <t xml:space="preserve">ODL103196</t>
  </si>
  <si>
    <t xml:space="preserve">ODL102267</t>
  </si>
  <si>
    <t xml:space="preserve">ODL104099</t>
  </si>
  <si>
    <t xml:space="preserve">ODL100990</t>
  </si>
  <si>
    <t xml:space="preserve">ODL103228</t>
  </si>
  <si>
    <t xml:space="preserve">ODL102592</t>
  </si>
  <si>
    <t xml:space="preserve">ODL100672</t>
  </si>
  <si>
    <t xml:space="preserve">ODL103660</t>
  </si>
  <si>
    <t xml:space="preserve">ODL103183</t>
  </si>
  <si>
    <t xml:space="preserve">ODL104054</t>
  </si>
  <si>
    <t xml:space="preserve">IMP-PP6-031</t>
  </si>
  <si>
    <t xml:space="preserve">ODL103766</t>
  </si>
  <si>
    <t xml:space="preserve">IMP-CT3-037</t>
  </si>
  <si>
    <t xml:space="preserve">ODL102980</t>
  </si>
  <si>
    <t xml:space="preserve">IMP-CT2-164</t>
  </si>
  <si>
    <t xml:space="preserve">ODL103391</t>
  </si>
  <si>
    <t xml:space="preserve">ODL104015</t>
  </si>
  <si>
    <t xml:space="preserve">IMP-CD7-249</t>
  </si>
  <si>
    <t xml:space="preserve">ODL100240</t>
  </si>
  <si>
    <t xml:space="preserve">ODL101882</t>
  </si>
  <si>
    <t xml:space="preserve">ODL100892</t>
  </si>
  <si>
    <t xml:space="preserve">IMP-HL4-349</t>
  </si>
  <si>
    <t xml:space="preserve">ODL103471</t>
  </si>
  <si>
    <t xml:space="preserve">ODL102140</t>
  </si>
  <si>
    <t xml:space="preserve">IMP-CT2-120</t>
  </si>
  <si>
    <t xml:space="preserve">ODL101763</t>
  </si>
  <si>
    <t xml:space="preserve">IMP-CD7-262</t>
  </si>
  <si>
    <t xml:space="preserve">ODL101633</t>
  </si>
  <si>
    <t xml:space="preserve">ODL103565</t>
  </si>
  <si>
    <t xml:space="preserve">ODL100122</t>
  </si>
  <si>
    <t xml:space="preserve">ODL101867</t>
  </si>
  <si>
    <t xml:space="preserve">IMP-TS1-138</t>
  </si>
  <si>
    <t xml:space="preserve">ODL102941</t>
  </si>
  <si>
    <t xml:space="preserve">IMP-CT2-199</t>
  </si>
  <si>
    <t xml:space="preserve">ODL100490</t>
  </si>
  <si>
    <t xml:space="preserve">ODL102548</t>
  </si>
  <si>
    <t xml:space="preserve">ODL100571</t>
  </si>
  <si>
    <t xml:space="preserve">IMP-TN0-268</t>
  </si>
  <si>
    <t xml:space="preserve">ODL102434</t>
  </si>
  <si>
    <t xml:space="preserve">IMP-CT2-086</t>
  </si>
  <si>
    <t xml:space="preserve">ODL101498</t>
  </si>
  <si>
    <t xml:space="preserve">ODL103932</t>
  </si>
  <si>
    <t xml:space="preserve">ODL101100</t>
  </si>
  <si>
    <t xml:space="preserve">ODL100429</t>
  </si>
  <si>
    <t xml:space="preserve">IMP-CD7-250</t>
  </si>
  <si>
    <t xml:space="preserve">ODL100341</t>
  </si>
  <si>
    <t xml:space="preserve">ODL100505</t>
  </si>
  <si>
    <t xml:space="preserve">ODL100330</t>
  </si>
  <si>
    <t xml:space="preserve">IMP-SV8-019</t>
  </si>
  <si>
    <t xml:space="preserve">ODL102223</t>
  </si>
  <si>
    <t xml:space="preserve">ODL103131</t>
  </si>
  <si>
    <t xml:space="preserve">IMP-CT3-063</t>
  </si>
  <si>
    <t xml:space="preserve">ODL102701</t>
  </si>
  <si>
    <t xml:space="preserve">ODL103807</t>
  </si>
  <si>
    <t xml:space="preserve">ODL100752</t>
  </si>
  <si>
    <t xml:space="preserve">IMP-TS1-153</t>
  </si>
  <si>
    <t xml:space="preserve">ODL100667</t>
  </si>
  <si>
    <t xml:space="preserve">ODL102370</t>
  </si>
  <si>
    <t xml:space="preserve">ODL102982</t>
  </si>
  <si>
    <t xml:space="preserve">IMP-CT3-011</t>
  </si>
  <si>
    <t xml:space="preserve">ODL100798</t>
  </si>
  <si>
    <t xml:space="preserve">ODL101203</t>
  </si>
  <si>
    <t xml:space="preserve">ODL103506</t>
  </si>
  <si>
    <t xml:space="preserve">ODL103363</t>
  </si>
  <si>
    <t xml:space="preserve">IMP-PP6-162</t>
  </si>
  <si>
    <t xml:space="preserve">ODL101667</t>
  </si>
  <si>
    <t xml:space="preserve">ODL102697</t>
  </si>
  <si>
    <t xml:space="preserve">IMP-PP6-036</t>
  </si>
  <si>
    <t xml:space="preserve">ODL100881</t>
  </si>
  <si>
    <t xml:space="preserve">ODL102220</t>
  </si>
  <si>
    <t xml:space="preserve">ODL102610</t>
  </si>
  <si>
    <t xml:space="preserve">ODL102349</t>
  </si>
  <si>
    <t xml:space="preserve">ODL102193</t>
  </si>
  <si>
    <t xml:space="preserve">ODL103091</t>
  </si>
  <si>
    <t xml:space="preserve">IMP-CT3-017</t>
  </si>
  <si>
    <t xml:space="preserve">ODL100185</t>
  </si>
  <si>
    <t xml:space="preserve">ODL101845</t>
  </si>
  <si>
    <t xml:space="preserve">ODL101607</t>
  </si>
  <si>
    <t xml:space="preserve">IMP-TS1-074</t>
  </si>
  <si>
    <t xml:space="preserve">ODL102935</t>
  </si>
  <si>
    <t xml:space="preserve">IMP-SV8-175</t>
  </si>
  <si>
    <t xml:space="preserve">ODL103267</t>
  </si>
  <si>
    <t xml:space="preserve">ODL104129</t>
  </si>
  <si>
    <t xml:space="preserve">IMP-HL4-350</t>
  </si>
  <si>
    <t xml:space="preserve">ODL102149</t>
  </si>
  <si>
    <t xml:space="preserve">ODL101047</t>
  </si>
  <si>
    <t xml:space="preserve">ODL103501</t>
  </si>
  <si>
    <t xml:space="preserve">IMP-CD7-025</t>
  </si>
  <si>
    <t xml:space="preserve">ODL100472</t>
  </si>
  <si>
    <t xml:space="preserve">ODL102933</t>
  </si>
  <si>
    <t xml:space="preserve">ODL101056</t>
  </si>
  <si>
    <t xml:space="preserve">ODL102044</t>
  </si>
  <si>
    <t xml:space="preserve">IMP-CT2-045</t>
  </si>
  <si>
    <t xml:space="preserve">ODL103433</t>
  </si>
  <si>
    <t xml:space="preserve">IMP-CD7-350</t>
  </si>
  <si>
    <t xml:space="preserve">ODL103186</t>
  </si>
  <si>
    <t xml:space="preserve">IMP-CD7-169</t>
  </si>
  <si>
    <t xml:space="preserve">ODL101322</t>
  </si>
  <si>
    <t xml:space="preserve">ODL102177</t>
  </si>
  <si>
    <t xml:space="preserve">IMP-CT3-050</t>
  </si>
  <si>
    <t xml:space="preserve">ODL103083</t>
  </si>
  <si>
    <t xml:space="preserve">ODL100922</t>
  </si>
  <si>
    <t xml:space="preserve">ODL100694</t>
  </si>
  <si>
    <t xml:space="preserve">IMP-PP6-097</t>
  </si>
  <si>
    <t xml:space="preserve">ODL101002</t>
  </si>
  <si>
    <t xml:space="preserve">IMP-CD7-133</t>
  </si>
  <si>
    <t xml:space="preserve">ODL102486</t>
  </si>
  <si>
    <t xml:space="preserve">ODL100649</t>
  </si>
  <si>
    <t xml:space="preserve">ODL102021</t>
  </si>
  <si>
    <t xml:space="preserve">IMP-CD7-084</t>
  </si>
  <si>
    <t xml:space="preserve">ODL102861</t>
  </si>
  <si>
    <t xml:space="preserve">ODL101806</t>
  </si>
  <si>
    <t xml:space="preserve">IMP-FF9-077</t>
  </si>
  <si>
    <t xml:space="preserve">ODL100442</t>
  </si>
  <si>
    <t xml:space="preserve">IMP-CD7-247</t>
  </si>
  <si>
    <t xml:space="preserve">ODL102777</t>
  </si>
  <si>
    <t xml:space="preserve">IMP-SB5-025</t>
  </si>
  <si>
    <t xml:space="preserve">ODL100224</t>
  </si>
  <si>
    <t xml:space="preserve">ODL102179</t>
  </si>
  <si>
    <t xml:space="preserve">ODL100789</t>
  </si>
  <si>
    <t xml:space="preserve">ODL102969</t>
  </si>
  <si>
    <t xml:space="preserve">ODL103825</t>
  </si>
  <si>
    <t xml:space="preserve">ODL101152</t>
  </si>
  <si>
    <t xml:space="preserve">IMP-CT3-030</t>
  </si>
  <si>
    <t xml:space="preserve">ODL100377</t>
  </si>
  <si>
    <t xml:space="preserve">ODL103578</t>
  </si>
  <si>
    <t xml:space="preserve">ODL100295</t>
  </si>
  <si>
    <t xml:space="preserve">ODL104036</t>
  </si>
  <si>
    <t xml:space="preserve">ODL101698</t>
  </si>
  <si>
    <t xml:space="preserve">ODL100528</t>
  </si>
  <si>
    <t xml:space="preserve">ODL101585</t>
  </si>
  <si>
    <t xml:space="preserve">ODL101410</t>
  </si>
  <si>
    <t xml:space="preserve">ODL103563</t>
  </si>
  <si>
    <t xml:space="preserve">ODL101131</t>
  </si>
  <si>
    <t xml:space="preserve">ODL102391</t>
  </si>
  <si>
    <t xml:space="preserve">IMP-TS1-047</t>
  </si>
  <si>
    <t xml:space="preserve">ODL100119</t>
  </si>
  <si>
    <t xml:space="preserve">ODL100700</t>
  </si>
  <si>
    <t xml:space="preserve">IMP-CD7-291</t>
  </si>
  <si>
    <t xml:space="preserve">ODL103997</t>
  </si>
  <si>
    <t xml:space="preserve">ODL104125</t>
  </si>
  <si>
    <t xml:space="preserve">ODL100850</t>
  </si>
  <si>
    <t xml:space="preserve">IMP-SB5-107</t>
  </si>
  <si>
    <t xml:space="preserve">ODL100648</t>
  </si>
  <si>
    <t xml:space="preserve">ODL101691</t>
  </si>
  <si>
    <t xml:space="preserve">ODL103313</t>
  </si>
  <si>
    <t xml:space="preserve">IMP-CT2-186</t>
  </si>
  <si>
    <t xml:space="preserve">ODL100044</t>
  </si>
  <si>
    <t xml:space="preserve">ODL101308</t>
  </si>
  <si>
    <t xml:space="preserve">ODL101369</t>
  </si>
  <si>
    <t xml:space="preserve">ODL101827</t>
  </si>
  <si>
    <t xml:space="preserve">ODL103731</t>
  </si>
  <si>
    <t xml:space="preserve">IMP-CT2-077</t>
  </si>
  <si>
    <t xml:space="preserve">ODL103094</t>
  </si>
  <si>
    <t xml:space="preserve">ODL102674</t>
  </si>
  <si>
    <t xml:space="preserve">ODL101426</t>
  </si>
  <si>
    <t xml:space="preserve">ODL103329</t>
  </si>
  <si>
    <t xml:space="preserve">IMP-CT3-147</t>
  </si>
  <si>
    <t xml:space="preserve">ODL101463</t>
  </si>
  <si>
    <t xml:space="preserve">IMP-SB5-031</t>
  </si>
  <si>
    <t xml:space="preserve">ODL101161</t>
  </si>
  <si>
    <t xml:space="preserve">IMP-PP6-131</t>
  </si>
  <si>
    <t xml:space="preserve">ODL100802</t>
  </si>
  <si>
    <t xml:space="preserve">IMP-CT3-033</t>
  </si>
  <si>
    <t xml:space="preserve">ODL102702</t>
  </si>
  <si>
    <t xml:space="preserve">IMP-CT3-045</t>
  </si>
  <si>
    <t xml:space="preserve">ODL103834</t>
  </si>
  <si>
    <t xml:space="preserve">ODL103274</t>
  </si>
  <si>
    <t xml:space="preserve">ODL102666</t>
  </si>
  <si>
    <t xml:space="preserve">IMP-SB5-123</t>
  </si>
  <si>
    <t xml:space="preserve">ODL102539</t>
  </si>
  <si>
    <t xml:space="preserve">IMP-CD7-083</t>
  </si>
  <si>
    <t xml:space="preserve">ODL103652</t>
  </si>
  <si>
    <t xml:space="preserve">ODL100611</t>
  </si>
  <si>
    <t xml:space="preserve">ODL100629</t>
  </si>
  <si>
    <t xml:space="preserve">ODL101639</t>
  </si>
  <si>
    <t xml:space="preserve">ODL101277</t>
  </si>
  <si>
    <t xml:space="preserve">ODL100757</t>
  </si>
  <si>
    <t xml:space="preserve">ODL101943</t>
  </si>
  <si>
    <t xml:space="preserve">ODL102114</t>
  </si>
  <si>
    <t xml:space="preserve">ODL100522</t>
  </si>
  <si>
    <t xml:space="preserve">ODL101922</t>
  </si>
  <si>
    <t xml:space="preserve">ODL104087</t>
  </si>
  <si>
    <t xml:space="preserve">IMP-HL4-387</t>
  </si>
  <si>
    <t xml:space="preserve">ODL103852</t>
  </si>
  <si>
    <t xml:space="preserve">ODL102478</t>
  </si>
  <si>
    <t xml:space="preserve">IMP-HL4-358</t>
  </si>
  <si>
    <t xml:space="preserve">ODL102358</t>
  </si>
  <si>
    <t xml:space="preserve">ODL101283</t>
  </si>
  <si>
    <t xml:space="preserve">IMP-FF9-012</t>
  </si>
  <si>
    <t xml:space="preserve">ODL101020</t>
  </si>
  <si>
    <t xml:space="preserve">ODL103126</t>
  </si>
  <si>
    <t xml:space="preserve">ODL100161</t>
  </si>
  <si>
    <t xml:space="preserve">IMP-TS1-235</t>
  </si>
  <si>
    <t xml:space="preserve">ODL103833</t>
  </si>
  <si>
    <t xml:space="preserve">ODL101858</t>
  </si>
  <si>
    <t xml:space="preserve">ODL103925</t>
  </si>
  <si>
    <t xml:space="preserve">ODL101651</t>
  </si>
  <si>
    <t xml:space="preserve">ODL102985</t>
  </si>
  <si>
    <t xml:space="preserve">ODL101740</t>
  </si>
  <si>
    <t xml:space="preserve">ODL101234</t>
  </si>
  <si>
    <t xml:space="preserve">IMP-CT3-100</t>
  </si>
  <si>
    <t xml:space="preserve">ODL100329</t>
  </si>
  <si>
    <t xml:space="preserve">ODL100124</t>
  </si>
  <si>
    <t xml:space="preserve">IMP-HL4-220</t>
  </si>
  <si>
    <t xml:space="preserve">ODL100724</t>
  </si>
  <si>
    <t xml:space="preserve">IMP-CD7-134</t>
  </si>
  <si>
    <t xml:space="preserve">ODL102864</t>
  </si>
  <si>
    <t xml:space="preserve">ODL103581</t>
  </si>
  <si>
    <t xml:space="preserve">ODL103442</t>
  </si>
  <si>
    <t xml:space="preserve">ODL103293</t>
  </si>
  <si>
    <t xml:space="preserve">ODL103966</t>
  </si>
  <si>
    <t xml:space="preserve">ODL103725</t>
  </si>
  <si>
    <t xml:space="preserve">IMP-TN0-254</t>
  </si>
  <si>
    <t xml:space="preserve">ODL103828</t>
  </si>
  <si>
    <t xml:space="preserve">ODL100588</t>
  </si>
  <si>
    <t xml:space="preserve">IMP-HL4-282</t>
  </si>
  <si>
    <t xml:space="preserve">ODL103381</t>
  </si>
  <si>
    <t xml:space="preserve">ODL101400</t>
  </si>
  <si>
    <t xml:space="preserve">ODL103202</t>
  </si>
  <si>
    <t xml:space="preserve">ODL100626</t>
  </si>
  <si>
    <t xml:space="preserve">ODL102389</t>
  </si>
  <si>
    <t xml:space="preserve">ODL104086</t>
  </si>
  <si>
    <t xml:space="preserve">ODL103430</t>
  </si>
  <si>
    <t xml:space="preserve">ODL103632</t>
  </si>
  <si>
    <t xml:space="preserve">IMP-PP6-073</t>
  </si>
  <si>
    <t xml:space="preserve">ODL103259</t>
  </si>
  <si>
    <t xml:space="preserve">ODL101387</t>
  </si>
  <si>
    <t xml:space="preserve">ODL103237</t>
  </si>
  <si>
    <t xml:space="preserve">ODL103689</t>
  </si>
  <si>
    <t xml:space="preserve">ODL100910</t>
  </si>
  <si>
    <t xml:space="preserve">ODL101484</t>
  </si>
  <si>
    <t xml:space="preserve">ODL100761</t>
  </si>
  <si>
    <t xml:space="preserve">ODL102868</t>
  </si>
  <si>
    <t xml:space="preserve">ODL102920</t>
  </si>
  <si>
    <t xml:space="preserve">ODL103377</t>
  </si>
  <si>
    <t xml:space="preserve">ODL103940</t>
  </si>
  <si>
    <t xml:space="preserve">IMP-SB5-048</t>
  </si>
  <si>
    <t xml:space="preserve">ODL103031</t>
  </si>
  <si>
    <t xml:space="preserve">ODL101852</t>
  </si>
  <si>
    <t xml:space="preserve">ODL101767</t>
  </si>
  <si>
    <t xml:space="preserve">ODL103763</t>
  </si>
  <si>
    <t xml:space="preserve">IMP-PP6-080</t>
  </si>
  <si>
    <t xml:space="preserve">ODL102417</t>
  </si>
  <si>
    <t xml:space="preserve">ODL102596</t>
  </si>
  <si>
    <t xml:space="preserve">ODL101125</t>
  </si>
  <si>
    <t xml:space="preserve">ODL102563</t>
  </si>
  <si>
    <t xml:space="preserve">ODL100098</t>
  </si>
  <si>
    <t xml:space="preserve">IMP-CD7-131</t>
  </si>
  <si>
    <t xml:space="preserve">ODL100921</t>
  </si>
  <si>
    <t xml:space="preserve">ODL100364</t>
  </si>
  <si>
    <t xml:space="preserve">IMP-HL4-208</t>
  </si>
  <si>
    <t xml:space="preserve">ODL102560</t>
  </si>
  <si>
    <t xml:space="preserve">IMP-CT2-019</t>
  </si>
  <si>
    <t xml:space="preserve">ODL101696</t>
  </si>
  <si>
    <t xml:space="preserve">IMP-TN0-309</t>
  </si>
  <si>
    <t xml:space="preserve">ODL101793</t>
  </si>
  <si>
    <t xml:space="preserve">IMP-SB5-066</t>
  </si>
  <si>
    <t xml:space="preserve">ODL103376</t>
  </si>
  <si>
    <t xml:space="preserve">ODL101889</t>
  </si>
  <si>
    <t xml:space="preserve">ODL100108</t>
  </si>
  <si>
    <t xml:space="preserve">ODL102880</t>
  </si>
  <si>
    <t xml:space="preserve">IMP-SB5-129</t>
  </si>
  <si>
    <t xml:space="preserve">ODL101049</t>
  </si>
  <si>
    <t xml:space="preserve">ODL101520</t>
  </si>
  <si>
    <t xml:space="preserve">ODL101242</t>
  </si>
  <si>
    <t xml:space="preserve">IMP-TS1-218</t>
  </si>
  <si>
    <t xml:space="preserve">ODL101690</t>
  </si>
  <si>
    <t xml:space="preserve">ODL103140</t>
  </si>
  <si>
    <t xml:space="preserve">ODL100537</t>
  </si>
  <si>
    <t xml:space="preserve">ODL100261</t>
  </si>
  <si>
    <t xml:space="preserve">ODL100566</t>
  </si>
  <si>
    <t xml:space="preserve">IMP-SB5-072</t>
  </si>
  <si>
    <t xml:space="preserve">ODL102068</t>
  </si>
  <si>
    <t xml:space="preserve">IMP-PP6-078</t>
  </si>
  <si>
    <t xml:space="preserve">ODL103832</t>
  </si>
  <si>
    <t xml:space="preserve">IMP-TS1-201</t>
  </si>
  <si>
    <t xml:space="preserve">ODL100371</t>
  </si>
  <si>
    <t xml:space="preserve">ODL101384</t>
  </si>
  <si>
    <t xml:space="preserve">IMP-CT3-014</t>
  </si>
  <si>
    <t xml:space="preserve">ODL102350</t>
  </si>
  <si>
    <t xml:space="preserve">ODL100818</t>
  </si>
  <si>
    <t xml:space="preserve">ODL103699</t>
  </si>
  <si>
    <t xml:space="preserve">ODL101395</t>
  </si>
  <si>
    <t xml:space="preserve">IMP-SV8-197</t>
  </si>
  <si>
    <t xml:space="preserve">ODL102897</t>
  </si>
  <si>
    <t xml:space="preserve">ODL103123</t>
  </si>
  <si>
    <t xml:space="preserve">IMP-CD7-294</t>
  </si>
  <si>
    <t xml:space="preserve">ODL103730</t>
  </si>
  <si>
    <t xml:space="preserve">ODL103727</t>
  </si>
  <si>
    <t xml:space="preserve">IMP-HL4-196</t>
  </si>
  <si>
    <t xml:space="preserve">ODL103487</t>
  </si>
  <si>
    <t xml:space="preserve">ODL103001</t>
  </si>
  <si>
    <t xml:space="preserve">ODL100370</t>
  </si>
  <si>
    <t xml:space="preserve">IMP-SB5-021</t>
  </si>
  <si>
    <t xml:space="preserve">ODL100628</t>
  </si>
  <si>
    <t xml:space="preserve">ODL104100</t>
  </si>
  <si>
    <t xml:space="preserve">ODL100942</t>
  </si>
  <si>
    <t xml:space="preserve">IMP-CD7-182</t>
  </si>
  <si>
    <t xml:space="preserve">ODL103168</t>
  </si>
  <si>
    <t xml:space="preserve">ODL104145</t>
  </si>
  <si>
    <t xml:space="preserve">ODL103189</t>
  </si>
  <si>
    <t xml:space="preserve">IMP-CT2-136</t>
  </si>
  <si>
    <t xml:space="preserve">ODL102862</t>
  </si>
  <si>
    <t xml:space="preserve">IMP-HL4-101</t>
  </si>
  <si>
    <t xml:space="preserve">ODL102858</t>
  </si>
  <si>
    <t xml:space="preserve">ODL101345</t>
  </si>
  <si>
    <t xml:space="preserve">ODL103595</t>
  </si>
  <si>
    <t xml:space="preserve">IMP-FF9-026</t>
  </si>
  <si>
    <t xml:space="preserve">ODL102359</t>
  </si>
  <si>
    <t xml:space="preserve">ODL103756</t>
  </si>
  <si>
    <t xml:space="preserve">IMP-HL4-301</t>
  </si>
  <si>
    <t xml:space="preserve">ODL103847</t>
  </si>
  <si>
    <t xml:space="preserve">ODL102393</t>
  </si>
  <si>
    <t xml:space="preserve">IMP-CD7-193</t>
  </si>
  <si>
    <t xml:space="preserve">ODL103773</t>
  </si>
  <si>
    <t xml:space="preserve">ODL101706</t>
  </si>
  <si>
    <t xml:space="preserve">ODL102651</t>
  </si>
  <si>
    <t xml:space="preserve">ODL103674</t>
  </si>
  <si>
    <t xml:space="preserve">ODL101589</t>
  </si>
  <si>
    <t xml:space="preserve">ODL101297</t>
  </si>
  <si>
    <t xml:space="preserve">ODL100073</t>
  </si>
  <si>
    <t xml:space="preserve">ODL100540</t>
  </si>
  <si>
    <t xml:space="preserve">ODL101826</t>
  </si>
  <si>
    <t xml:space="preserve">ODL102368</t>
  </si>
  <si>
    <t xml:space="preserve">ODL102256</t>
  </si>
  <si>
    <t xml:space="preserve">ODL100069</t>
  </si>
  <si>
    <t xml:space="preserve">IMP-TS1-117</t>
  </si>
  <si>
    <t xml:space="preserve">ODL103635</t>
  </si>
  <si>
    <t xml:space="preserve">IMP-CT3-118</t>
  </si>
  <si>
    <t xml:space="preserve">ODL100755</t>
  </si>
  <si>
    <t xml:space="preserve">ODL102526</t>
  </si>
  <si>
    <t xml:space="preserve">ODL103908</t>
  </si>
  <si>
    <t xml:space="preserve">IMP-TS1-226</t>
  </si>
  <si>
    <t xml:space="preserve">ODL100496</t>
  </si>
  <si>
    <t xml:space="preserve">IMP-CT3-112</t>
  </si>
  <si>
    <t xml:space="preserve">ODL103846</t>
  </si>
  <si>
    <t xml:space="preserve">ODL103021</t>
  </si>
  <si>
    <t xml:space="preserve">ODL101354</t>
  </si>
  <si>
    <t xml:space="preserve">ODL101200</t>
  </si>
  <si>
    <t xml:space="preserve">IMP-TS1-081</t>
  </si>
  <si>
    <t xml:space="preserve">ODL100268</t>
  </si>
  <si>
    <t xml:space="preserve">ODL104028</t>
  </si>
  <si>
    <t xml:space="preserve">IMP-CD7-335</t>
  </si>
  <si>
    <t xml:space="preserve">ODL102943</t>
  </si>
  <si>
    <t xml:space="preserve">ODL101326</t>
  </si>
  <si>
    <t xml:space="preserve">IMP-CT3-078</t>
  </si>
  <si>
    <t xml:space="preserve">ODL100115</t>
  </si>
  <si>
    <t xml:space="preserve">ODL101333</t>
  </si>
  <si>
    <t xml:space="preserve">ODL102219</t>
  </si>
  <si>
    <t xml:space="preserve">ODL100002</t>
  </si>
  <si>
    <t xml:space="preserve">ODL101455</t>
  </si>
  <si>
    <t xml:space="preserve">ODL101911</t>
  </si>
  <si>
    <t xml:space="preserve">ODL101061</t>
  </si>
  <si>
    <t xml:space="preserve">ODL102165</t>
  </si>
  <si>
    <t xml:space="preserve">ODL100668</t>
  </si>
  <si>
    <t xml:space="preserve">ODL102487</t>
  </si>
  <si>
    <t xml:space="preserve">ODL103319</t>
  </si>
  <si>
    <t xml:space="preserve">IMP-CT2-053</t>
  </si>
  <si>
    <t xml:space="preserve">ODL102280</t>
  </si>
  <si>
    <t xml:space="preserve">IMP-TN0-214</t>
  </si>
  <si>
    <t xml:space="preserve">ODL102325</t>
  </si>
  <si>
    <t xml:space="preserve">ODL102094</t>
  </si>
  <si>
    <t xml:space="preserve">IMP-CD7-154</t>
  </si>
  <si>
    <t xml:space="preserve">ODL102106</t>
  </si>
  <si>
    <t xml:space="preserve">ODL103838</t>
  </si>
  <si>
    <t xml:space="preserve">ODL103521</t>
  </si>
  <si>
    <t xml:space="preserve">ODL101356</t>
  </si>
  <si>
    <t xml:space="preserve">ODL101038</t>
  </si>
  <si>
    <t xml:space="preserve">IMP-SV8-165</t>
  </si>
  <si>
    <t xml:space="preserve">ODL101502</t>
  </si>
  <si>
    <t xml:space="preserve">ODL100974</t>
  </si>
  <si>
    <t xml:space="preserve">IMP-CT3-142</t>
  </si>
  <si>
    <t xml:space="preserve">ODL102742</t>
  </si>
  <si>
    <t xml:space="preserve">ODL102572</t>
  </si>
  <si>
    <t xml:space="preserve">ODL101102</t>
  </si>
  <si>
    <t xml:space="preserve">ODL100550</t>
  </si>
  <si>
    <t xml:space="preserve">ODL102730</t>
  </si>
  <si>
    <t xml:space="preserve">IMP-TS1-269</t>
  </si>
  <si>
    <t xml:space="preserve">ODL100427</t>
  </si>
  <si>
    <t xml:space="preserve">ODL100523</t>
  </si>
  <si>
    <t xml:space="preserve">ODL101458</t>
  </si>
  <si>
    <t xml:space="preserve">IMP-TN0-013</t>
  </si>
  <si>
    <t xml:space="preserve">ODL102833</t>
  </si>
  <si>
    <t xml:space="preserve">IMP-CD7-045</t>
  </si>
  <si>
    <t xml:space="preserve">ODL100508</t>
  </si>
  <si>
    <t xml:space="preserve">ODL101603</t>
  </si>
  <si>
    <t xml:space="preserve">ODL101783</t>
  </si>
  <si>
    <t xml:space="preserve">ODL102506</t>
  </si>
  <si>
    <t xml:space="preserve">ODL103125</t>
  </si>
  <si>
    <t xml:space="preserve">IMP-CD7-108</t>
  </si>
  <si>
    <t xml:space="preserve">ODL101572</t>
  </si>
  <si>
    <t xml:space="preserve">ODL100950</t>
  </si>
  <si>
    <t xml:space="preserve">ODL100991</t>
  </si>
  <si>
    <t xml:space="preserve">ODL101353</t>
  </si>
  <si>
    <t xml:space="preserve">ODL103451</t>
  </si>
  <si>
    <t xml:space="preserve">ODL100747</t>
  </si>
  <si>
    <t xml:space="preserve">IMP-PP6-048</t>
  </si>
  <si>
    <t xml:space="preserve">ODL101220</t>
  </si>
  <si>
    <t xml:space="preserve">IMP-PP6-072</t>
  </si>
  <si>
    <t xml:space="preserve">ODL100880</t>
  </si>
  <si>
    <t xml:space="preserve">ODL103238</t>
  </si>
  <si>
    <t xml:space="preserve">IMP-SV8-159</t>
  </si>
  <si>
    <t xml:space="preserve">ODL102312</t>
  </si>
  <si>
    <t xml:space="preserve">IMP-PP6-016</t>
  </si>
  <si>
    <t xml:space="preserve">ODL102788</t>
  </si>
  <si>
    <t xml:space="preserve">ODL103022</t>
  </si>
  <si>
    <t xml:space="preserve">ODL103636</t>
  </si>
  <si>
    <t xml:space="preserve">ODL102480</t>
  </si>
  <si>
    <t xml:space="preserve">IMP-TN0-179</t>
  </si>
  <si>
    <t xml:space="preserve">ODL102729</t>
  </si>
  <si>
    <t xml:space="preserve">IMP-PP6-113</t>
  </si>
  <si>
    <t xml:space="preserve">ODL103959</t>
  </si>
  <si>
    <t xml:space="preserve">IMP-CD7-156</t>
  </si>
  <si>
    <t xml:space="preserve">ODL100874</t>
  </si>
  <si>
    <t xml:space="preserve">ODL103234</t>
  </si>
  <si>
    <t xml:space="preserve">IMP-HL4-287</t>
  </si>
  <si>
    <t xml:space="preserve">ODL103431</t>
  </si>
  <si>
    <t xml:space="preserve">IMP-CT2-201</t>
  </si>
  <si>
    <t xml:space="preserve">ODL101154</t>
  </si>
  <si>
    <t xml:space="preserve">ODL102153</t>
  </si>
  <si>
    <t xml:space="preserve">IMP-HL4-243</t>
  </si>
  <si>
    <t xml:space="preserve">ODL102091</t>
  </si>
  <si>
    <t xml:space="preserve">ODL101876</t>
  </si>
  <si>
    <t xml:space="preserve">ODL102944</t>
  </si>
  <si>
    <t xml:space="preserve">ODL103772</t>
  </si>
  <si>
    <t xml:space="preserve">ODL101366</t>
  </si>
  <si>
    <t xml:space="preserve">IMP-TS1-130</t>
  </si>
  <si>
    <t xml:space="preserve">ODL101759</t>
  </si>
  <si>
    <t xml:space="preserve">ODL101471</t>
  </si>
  <si>
    <t xml:space="preserve">ODL100291</t>
  </si>
  <si>
    <t xml:space="preserve">ODL100539</t>
  </si>
  <si>
    <t xml:space="preserve">IMP-TS1-069</t>
  </si>
  <si>
    <t xml:space="preserve">ODL101298</t>
  </si>
  <si>
    <t xml:space="preserve">IMP-PP6-125</t>
  </si>
  <si>
    <t xml:space="preserve">ODL101782</t>
  </si>
  <si>
    <t xml:space="preserve">ODL100392</t>
  </si>
  <si>
    <t xml:space="preserve">ODL101122</t>
  </si>
  <si>
    <t xml:space="preserve">IMP-TS1-042</t>
  </si>
  <si>
    <t xml:space="preserve">ODL103457</t>
  </si>
  <si>
    <t xml:space="preserve">ODL102579</t>
  </si>
  <si>
    <t xml:space="preserve">IMP-SV8-031</t>
  </si>
  <si>
    <t xml:space="preserve">ODL102718</t>
  </si>
  <si>
    <t xml:space="preserve">ODL101978</t>
  </si>
  <si>
    <t xml:space="preserve">ODL103552</t>
  </si>
  <si>
    <t xml:space="preserve">ODL100278</t>
  </si>
  <si>
    <t xml:space="preserve">ODL100121</t>
  </si>
  <si>
    <t xml:space="preserve">IMP-TS1-191</t>
  </si>
  <si>
    <t xml:space="preserve">ODL102919</t>
  </si>
  <si>
    <t xml:space="preserve">ODL102273</t>
  </si>
  <si>
    <t xml:space="preserve">ODL101140</t>
  </si>
  <si>
    <t xml:space="preserve">IMP-TN0-138</t>
  </si>
  <si>
    <t xml:space="preserve">ODL103190</t>
  </si>
  <si>
    <t xml:space="preserve">ODL102640</t>
  </si>
  <si>
    <t xml:space="preserve">ODL103992</t>
  </si>
  <si>
    <t xml:space="preserve">IMP-TN0-241</t>
  </si>
  <si>
    <t xml:space="preserve">ODL102561</t>
  </si>
  <si>
    <t xml:space="preserve">IMP-HL4-389</t>
  </si>
  <si>
    <t xml:space="preserve">ODL103346</t>
  </si>
  <si>
    <t xml:space="preserve">ODL103178</t>
  </si>
  <si>
    <t xml:space="preserve">ODL101908</t>
  </si>
  <si>
    <t xml:space="preserve">IMP-TS1-225</t>
  </si>
  <si>
    <t xml:space="preserve">ODL101210</t>
  </si>
  <si>
    <t xml:space="preserve">ODL104003</t>
  </si>
  <si>
    <t xml:space="preserve">ODL100331</t>
  </si>
  <si>
    <t xml:space="preserve">ODL102749</t>
  </si>
  <si>
    <t xml:space="preserve">ODL104137</t>
  </si>
  <si>
    <t xml:space="preserve">IMP-PP6-096</t>
  </si>
  <si>
    <t xml:space="preserve">ODL100303</t>
  </si>
  <si>
    <t xml:space="preserve">ODL102593</t>
  </si>
  <si>
    <t xml:space="preserve">IMP-CT2-133</t>
  </si>
  <si>
    <t xml:space="preserve">ODL103242</t>
  </si>
  <si>
    <t xml:space="preserve">ODL103038</t>
  </si>
  <si>
    <t xml:space="preserve">IMP-SB5-070</t>
  </si>
  <si>
    <t xml:space="preserve">ODL101851</t>
  </si>
  <si>
    <t xml:space="preserve">ODL103767</t>
  </si>
  <si>
    <t xml:space="preserve">IMP-CD7-139</t>
  </si>
  <si>
    <t xml:space="preserve">ODL100708</t>
  </si>
  <si>
    <t xml:space="preserve">ODL103539</t>
  </si>
  <si>
    <t xml:space="preserve">ODL102247</t>
  </si>
  <si>
    <t xml:space="preserve">IMP-CD7-285</t>
  </si>
  <si>
    <t xml:space="preserve">ODL100229</t>
  </si>
  <si>
    <t xml:space="preserve">ODL100257</t>
  </si>
  <si>
    <t xml:space="preserve">ODL103079</t>
  </si>
  <si>
    <t xml:space="preserve">ODL100454</t>
  </si>
  <si>
    <t xml:space="preserve">IMP-HL4-312</t>
  </si>
  <si>
    <t xml:space="preserve">ODL101601</t>
  </si>
  <si>
    <t xml:space="preserve">IMP-TN0-065</t>
  </si>
  <si>
    <t xml:space="preserve">ODL103802</t>
  </si>
  <si>
    <t xml:space="preserve">IMP-HL4-127</t>
  </si>
  <si>
    <t xml:space="preserve">ODL103200</t>
  </si>
  <si>
    <t xml:space="preserve">ODL103110</t>
  </si>
  <si>
    <t xml:space="preserve">ODL102396</t>
  </si>
  <si>
    <t xml:space="preserve">ODL101743</t>
  </si>
  <si>
    <t xml:space="preserve">ODL101909</t>
  </si>
  <si>
    <t xml:space="preserve">IMP-CT2-056</t>
  </si>
  <si>
    <t xml:space="preserve">ODL103222</t>
  </si>
  <si>
    <t xml:space="preserve">IMP-FF9-057</t>
  </si>
  <si>
    <t xml:space="preserve">ODL104092</t>
  </si>
  <si>
    <t xml:space="preserve">IMP-HL4-067</t>
  </si>
  <si>
    <t xml:space="preserve">ODL102310</t>
  </si>
  <si>
    <t xml:space="preserve">ODL102181</t>
  </si>
  <si>
    <t xml:space="preserve">ODL100801</t>
  </si>
  <si>
    <t xml:space="preserve">ODL103345</t>
  </si>
  <si>
    <t xml:space="preserve">ODL101158</t>
  </si>
  <si>
    <t xml:space="preserve">ODL103691</t>
  </si>
  <si>
    <t xml:space="preserve">IMP-CT3-031</t>
  </si>
  <si>
    <t xml:space="preserve">ODL104158</t>
  </si>
  <si>
    <t xml:space="preserve">ODL100517</t>
  </si>
  <si>
    <t xml:space="preserve">ODL101801</t>
  </si>
  <si>
    <t xml:space="preserve">ODL102363</t>
  </si>
  <si>
    <t xml:space="preserve">IMP-TN0-243</t>
  </si>
  <si>
    <t xml:space="preserve">ODL100027</t>
  </si>
  <si>
    <t xml:space="preserve">ODL101861</t>
  </si>
  <si>
    <t xml:space="preserve">ODL101173</t>
  </si>
  <si>
    <t xml:space="preserve">IMP-SB5-047</t>
  </si>
  <si>
    <t xml:space="preserve">ODL100315</t>
  </si>
  <si>
    <t xml:space="preserve">IMP-TS1-156</t>
  </si>
  <si>
    <t xml:space="preserve">ODL100604</t>
  </si>
  <si>
    <t xml:space="preserve">ODL104119</t>
  </si>
  <si>
    <t xml:space="preserve">ODL101792</t>
  </si>
  <si>
    <t xml:space="preserve">ODL101536</t>
  </si>
  <si>
    <t xml:space="preserve">ODL102905</t>
  </si>
  <si>
    <t xml:space="preserve">ODL103564</t>
  </si>
  <si>
    <t xml:space="preserve">ODL102414</t>
  </si>
  <si>
    <t xml:space="preserve">ODL102456</t>
  </si>
  <si>
    <t xml:space="preserve">ODL102205</t>
  </si>
  <si>
    <t xml:space="preserve">IMP-TN0-286</t>
  </si>
  <si>
    <t xml:space="preserve">ODL103470</t>
  </si>
  <si>
    <t xml:space="preserve">IMP-CD7-033</t>
  </si>
  <si>
    <t xml:space="preserve">ODL101344</t>
  </si>
  <si>
    <t xml:space="preserve">IMP-FF9-031</t>
  </si>
  <si>
    <t xml:space="preserve">ODL102542</t>
  </si>
  <si>
    <t xml:space="preserve">ODL101752</t>
  </si>
  <si>
    <t xml:space="preserve">IMP-HL4-074</t>
  </si>
  <si>
    <t xml:space="preserve">ODL104116</t>
  </si>
  <si>
    <t xml:space="preserve">ODL100430</t>
  </si>
  <si>
    <t xml:space="preserve">IMP-SV8-227</t>
  </si>
  <si>
    <t xml:space="preserve">ODL103498</t>
  </si>
  <si>
    <t xml:space="preserve">ODL102244</t>
  </si>
  <si>
    <t xml:space="preserve">IMP-CD7-010</t>
  </si>
  <si>
    <t xml:space="preserve">ODL100785</t>
  </si>
  <si>
    <t xml:space="preserve">IMP-HL4-217</t>
  </si>
  <si>
    <t xml:space="preserve">ODL101367</t>
  </si>
  <si>
    <t xml:space="preserve">ODL103568</t>
  </si>
  <si>
    <t xml:space="preserve">IMP-TS1-101</t>
  </si>
  <si>
    <t xml:space="preserve">ODL102040</t>
  </si>
  <si>
    <t xml:space="preserve">ODL101974</t>
  </si>
  <si>
    <t xml:space="preserve">IMP-CT2-091</t>
  </si>
  <si>
    <t xml:space="preserve">ODL100241</t>
  </si>
  <si>
    <t xml:space="preserve">ODL102235</t>
  </si>
  <si>
    <t xml:space="preserve">ODL102790</t>
  </si>
  <si>
    <t xml:space="preserve">ODL100966</t>
  </si>
  <si>
    <t xml:space="preserve">ODL100294</t>
  </si>
  <si>
    <t xml:space="preserve">ODL101975</t>
  </si>
  <si>
    <t xml:space="preserve">ODL103113</t>
  </si>
  <si>
    <t xml:space="preserve">ODL100760</t>
  </si>
  <si>
    <t xml:space="preserve">ODL103321</t>
  </si>
  <si>
    <t xml:space="preserve">ODL100977</t>
  </si>
  <si>
    <t xml:space="preserve">ODL103477</t>
  </si>
  <si>
    <t xml:space="preserve">IMP-TN0-125</t>
  </si>
  <si>
    <t xml:space="preserve">ODL101108</t>
  </si>
  <si>
    <t xml:space="preserve">ODL101724</t>
  </si>
  <si>
    <t xml:space="preserve">ODL100299</t>
  </si>
  <si>
    <t xml:space="preserve">ODL101480</t>
  </si>
  <si>
    <t xml:space="preserve">IMP-PP6-029</t>
  </si>
  <si>
    <t xml:space="preserve">ODL100516</t>
  </si>
  <si>
    <t xml:space="preserve">ODL100646</t>
  </si>
  <si>
    <t xml:space="preserve">IMP-TN0-239</t>
  </si>
  <si>
    <t xml:space="preserve">ODL102269</t>
  </si>
  <si>
    <t xml:space="preserve">IMP-TN0-249</t>
  </si>
  <si>
    <t xml:space="preserve">ODL102516</t>
  </si>
  <si>
    <t xml:space="preserve">ODL101428</t>
  </si>
  <si>
    <t xml:space="preserve">IMP-CD7-304</t>
  </si>
  <si>
    <t xml:space="preserve">ODL100158</t>
  </si>
  <si>
    <t xml:space="preserve">ODL100053</t>
  </si>
  <si>
    <t xml:space="preserve">ODL102951</t>
  </si>
  <si>
    <t xml:space="preserve">ODL103231</t>
  </si>
  <si>
    <t xml:space="preserve">ODL101407</t>
  </si>
  <si>
    <t xml:space="preserve">IMP-HL4-241</t>
  </si>
  <si>
    <t xml:space="preserve">ODL103397</t>
  </si>
  <si>
    <t xml:space="preserve">ODL104182</t>
  </si>
  <si>
    <t xml:space="preserve">IMP-HL4-160</t>
  </si>
  <si>
    <t xml:space="preserve">ODL100462</t>
  </si>
  <si>
    <t xml:space="preserve">IMP-HL4-205</t>
  </si>
  <si>
    <t xml:space="preserve">ODL103215</t>
  </si>
  <si>
    <t xml:space="preserve">ODL101612</t>
  </si>
  <si>
    <t xml:space="preserve">ODL101489</t>
  </si>
  <si>
    <t xml:space="preserve">ODL100778</t>
  </si>
  <si>
    <t xml:space="preserve">IMP-TS1-200</t>
  </si>
  <si>
    <t xml:space="preserve">ODL100388</t>
  </si>
  <si>
    <t xml:space="preserve">IMP-CT2-092</t>
  </si>
  <si>
    <t xml:space="preserve">ODL103181</t>
  </si>
  <si>
    <t xml:space="preserve">ODL103687</t>
  </si>
  <si>
    <t xml:space="preserve">ODL103737</t>
  </si>
  <si>
    <t xml:space="preserve">IMP-TS1-209</t>
  </si>
  <si>
    <t xml:space="preserve">ODL102447</t>
  </si>
  <si>
    <t xml:space="preserve">ODL102547</t>
  </si>
  <si>
    <t xml:space="preserve">ODL101940</t>
  </si>
  <si>
    <t xml:space="preserve">ODL101305</t>
  </si>
  <si>
    <t xml:space="preserve">ODL101674</t>
  </si>
  <si>
    <t xml:space="preserve">IMP-HL4-271</t>
  </si>
  <si>
    <t xml:space="preserve">ODL100325</t>
  </si>
  <si>
    <t xml:space="preserve">IMP-SV8-060</t>
  </si>
  <si>
    <t xml:space="preserve">ODL102410</t>
  </si>
  <si>
    <t xml:space="preserve">ODL100089</t>
  </si>
  <si>
    <t xml:space="preserve">ODL101446</t>
  </si>
  <si>
    <t xml:space="preserve">IMP-SV8-229</t>
  </si>
  <si>
    <t xml:space="preserve">ODL100165</t>
  </si>
  <si>
    <t xml:space="preserve">ODL102291</t>
  </si>
  <si>
    <t xml:space="preserve">IMP-CT3-075</t>
  </si>
  <si>
    <t xml:space="preserve">ODL101738</t>
  </si>
  <si>
    <t xml:space="preserve">IMP-SV8-158</t>
  </si>
  <si>
    <t xml:space="preserve">ODL102300</t>
  </si>
  <si>
    <t xml:space="preserve">ODL102645</t>
  </si>
  <si>
    <t xml:space="preserve">ODL102580</t>
  </si>
  <si>
    <t xml:space="preserve">ODL103325</t>
  </si>
  <si>
    <t xml:space="preserve">ODL103842</t>
  </si>
  <si>
    <t xml:space="preserve">ODL104120</t>
  </si>
  <si>
    <t xml:space="preserve">ODL101111</t>
  </si>
  <si>
    <t xml:space="preserve">ODL102537</t>
  </si>
  <si>
    <t xml:space="preserve">ODL102435</t>
  </si>
  <si>
    <t xml:space="preserve">ODL101828</t>
  </si>
  <si>
    <t xml:space="preserve">IMP-TN0-193</t>
  </si>
  <si>
    <t xml:space="preserve">ODL102051</t>
  </si>
  <si>
    <t xml:space="preserve">IMP-TS1-262</t>
  </si>
  <si>
    <t xml:space="preserve">ODL101230</t>
  </si>
  <si>
    <t xml:space="preserve">ODL101878</t>
  </si>
  <si>
    <t xml:space="preserve">ODL103195</t>
  </si>
  <si>
    <t xml:space="preserve">ODL101610</t>
  </si>
  <si>
    <t xml:space="preserve">IMP-CD7-212</t>
  </si>
  <si>
    <t xml:space="preserve">ODL103103</t>
  </si>
  <si>
    <t xml:space="preserve">ODL102818</t>
  </si>
  <si>
    <t xml:space="preserve">ODL100397</t>
  </si>
  <si>
    <t xml:space="preserve">ODL104176</t>
  </si>
  <si>
    <t xml:space="preserve">ODL100861</t>
  </si>
  <si>
    <t xml:space="preserve">IMP-CT2-111</t>
  </si>
  <si>
    <t xml:space="preserve">ODL101271</t>
  </si>
  <si>
    <t xml:space="preserve">ODL103422</t>
  </si>
  <si>
    <t xml:space="preserve">IMP-SB5-062</t>
  </si>
  <si>
    <t xml:space="preserve">ODL101626</t>
  </si>
  <si>
    <t xml:space="preserve">ODL102714</t>
  </si>
  <si>
    <t xml:space="preserve">ODL101754</t>
  </si>
  <si>
    <t xml:space="preserve">ODL103462</t>
  </si>
  <si>
    <t xml:space="preserve">ODL100927</t>
  </si>
  <si>
    <t xml:space="preserve">IMP-PP6-026</t>
  </si>
  <si>
    <t xml:space="preserve">ODL103458</t>
  </si>
  <si>
    <t xml:space="preserve">ODL102693</t>
  </si>
  <si>
    <t xml:space="preserve">ODL101505</t>
  </si>
  <si>
    <t xml:space="preserve">ODL103961</t>
  </si>
  <si>
    <t xml:space="preserve">ODL100283</t>
  </si>
  <si>
    <t xml:space="preserve">ODL103656</t>
  </si>
  <si>
    <t xml:space="preserve">ODL100710</t>
  </si>
  <si>
    <t xml:space="preserve">ODL100426</t>
  </si>
  <si>
    <t xml:space="preserve">ODL103268</t>
  </si>
  <si>
    <t xml:space="preserve">ODL102587</t>
  </si>
  <si>
    <t xml:space="preserve">IMP-SB5-074</t>
  </si>
  <si>
    <t xml:space="preserve">ODL101467</t>
  </si>
  <si>
    <t xml:space="preserve">ODL103447</t>
  </si>
  <si>
    <t xml:space="preserve">ODL102143</t>
  </si>
  <si>
    <t xml:space="preserve">ODL101244</t>
  </si>
  <si>
    <t xml:space="preserve">IMP-TS1-188</t>
  </si>
  <si>
    <t xml:space="preserve">ODL103089</t>
  </si>
  <si>
    <t xml:space="preserve">IMP-HL4-095</t>
  </si>
  <si>
    <t xml:space="preserve">ODL102918</t>
  </si>
  <si>
    <t xml:space="preserve">IMP-SV8-094</t>
  </si>
  <si>
    <t xml:space="preserve">ODL101683</t>
  </si>
  <si>
    <t xml:space="preserve">IMP-SV8-059</t>
  </si>
  <si>
    <t xml:space="preserve">ODL100530</t>
  </si>
  <si>
    <t xml:space="preserve">ODL101652</t>
  </si>
  <si>
    <t xml:space="preserve">ODL103273</t>
  </si>
  <si>
    <t xml:space="preserve">IMP-PP6-132</t>
  </si>
  <si>
    <t xml:space="preserve">ODL103663</t>
  </si>
  <si>
    <t xml:space="preserve">IMP-CD7-348</t>
  </si>
  <si>
    <t xml:space="preserve">ODL100432</t>
  </si>
  <si>
    <t xml:space="preserve">ODL102787</t>
  </si>
  <si>
    <t xml:space="preserve">IMP-TN0-124</t>
  </si>
  <si>
    <t xml:space="preserve">ODL100873</t>
  </si>
  <si>
    <t xml:space="preserve">ODL101904</t>
  </si>
  <si>
    <t xml:space="preserve">ODL101997</t>
  </si>
  <si>
    <t xml:space="preserve">ODL101069</t>
  </si>
  <si>
    <t xml:space="preserve">ODL103757</t>
  </si>
  <si>
    <t xml:space="preserve">ODL103936</t>
  </si>
  <si>
    <t xml:space="preserve">ODL101712</t>
  </si>
  <si>
    <t xml:space="preserve">IMP-PP6-074</t>
  </si>
  <si>
    <t xml:space="preserve">ODL100560</t>
  </si>
  <si>
    <t xml:space="preserve">IMP-CD7-313</t>
  </si>
  <si>
    <t xml:space="preserve">ODL102442</t>
  </si>
  <si>
    <t xml:space="preserve">IMP-TS1-236</t>
  </si>
  <si>
    <t xml:space="preserve">ODL102471</t>
  </si>
  <si>
    <t xml:space="preserve">ODL102189</t>
  </si>
  <si>
    <t xml:space="preserve">ODL100312</t>
  </si>
  <si>
    <t xml:space="preserve">IMP-CT2-081</t>
  </si>
  <si>
    <t xml:space="preserve">ODL104195</t>
  </si>
  <si>
    <t xml:space="preserve">ODL100654</t>
  </si>
  <si>
    <t xml:space="preserve">IMP-CT2-124</t>
  </si>
  <si>
    <t xml:space="preserve">ODL102557</t>
  </si>
  <si>
    <t xml:space="preserve">ODL101276</t>
  </si>
  <si>
    <t xml:space="preserve">ODL103264</t>
  </si>
  <si>
    <t xml:space="preserve">ODL100870</t>
  </si>
  <si>
    <t xml:space="preserve">ODL102343</t>
  </si>
  <si>
    <t xml:space="preserve">IMP-SV8-065</t>
  </si>
  <si>
    <t xml:space="preserve">ODL101709</t>
  </si>
  <si>
    <t xml:space="preserve">ODL100544</t>
  </si>
  <si>
    <t xml:space="preserve">ODL103626</t>
  </si>
  <si>
    <t xml:space="preserve">IMP-TS1-160</t>
  </si>
  <si>
    <t xml:space="preserve">ODL101844</t>
  </si>
  <si>
    <t xml:space="preserve">IMP-TS1-079</t>
  </si>
  <si>
    <t xml:space="preserve">ODL103454</t>
  </si>
  <si>
    <t xml:space="preserve">ODL103591</t>
  </si>
  <si>
    <t xml:space="preserve">ODL101928</t>
  </si>
  <si>
    <t xml:space="preserve">ODL100823</t>
  </si>
  <si>
    <t xml:space="preserve">ODL103054</t>
  </si>
  <si>
    <t xml:space="preserve">ODL102374</t>
  </si>
  <si>
    <t xml:space="preserve">ODL103871</t>
  </si>
  <si>
    <t xml:space="preserve">ODL102743</t>
  </si>
  <si>
    <t xml:space="preserve">ODL101798</t>
  </si>
  <si>
    <t xml:space="preserve">IMP-TS1-136</t>
  </si>
  <si>
    <t xml:space="preserve">ODL100551</t>
  </si>
  <si>
    <t xml:space="preserve">ODL102225</t>
  </si>
  <si>
    <t xml:space="preserve">ODL102902</t>
  </si>
  <si>
    <t xml:space="preserve">IMP-CT3-082</t>
  </si>
  <si>
    <t xml:space="preserve">ODL101494</t>
  </si>
  <si>
    <t xml:space="preserve">IMP-PP6-168</t>
  </si>
  <si>
    <t xml:space="preserve">ODL100070</t>
  </si>
  <si>
    <t xml:space="preserve">ODL101693</t>
  </si>
  <si>
    <t xml:space="preserve">ODL102065</t>
  </si>
  <si>
    <t xml:space="preserve">ODL101022</t>
  </si>
  <si>
    <t xml:space="preserve">ODL102748</t>
  </si>
  <si>
    <t xml:space="preserve">ODL101541</t>
  </si>
  <si>
    <t xml:space="preserve">ODL102927</t>
  </si>
  <si>
    <t xml:space="preserve">ODL100602</t>
  </si>
  <si>
    <t xml:space="preserve">ODL103355</t>
  </si>
  <si>
    <t xml:space="preserve">IMP-HL4-016</t>
  </si>
  <si>
    <t xml:space="preserve">ODL100284</t>
  </si>
  <si>
    <t xml:space="preserve">ODL104095</t>
  </si>
  <si>
    <t xml:space="preserve">IMP-CD7-202</t>
  </si>
  <si>
    <t xml:space="preserve">ODL100955</t>
  </si>
  <si>
    <t xml:space="preserve">ODL100986</t>
  </si>
  <si>
    <t xml:space="preserve">IMP-TN0-279</t>
  </si>
  <si>
    <t xml:space="preserve">ODL103416</t>
  </si>
  <si>
    <t xml:space="preserve">IMP-TS1-158</t>
  </si>
  <si>
    <t xml:space="preserve">ODL103388</t>
  </si>
  <si>
    <t xml:space="preserve">ODL101300</t>
  </si>
  <si>
    <t xml:space="preserve">ODL101422</t>
  </si>
  <si>
    <t xml:space="preserve">IMP-HL4-188</t>
  </si>
  <si>
    <t xml:space="preserve">ODL100900</t>
  </si>
  <si>
    <t xml:space="preserve">ODL102491</t>
  </si>
  <si>
    <t xml:space="preserve">ODL100333</t>
  </si>
  <si>
    <t xml:space="preserve">ODL104041</t>
  </si>
  <si>
    <t xml:space="preserve">ODL100441</t>
  </si>
  <si>
    <t xml:space="preserve">ODL103156</t>
  </si>
  <si>
    <t xml:space="preserve">ODL102830</t>
  </si>
  <si>
    <t xml:space="preserve">IMP-TN0-270</t>
  </si>
  <si>
    <t xml:space="preserve">ODL103630</t>
  </si>
  <si>
    <t xml:space="preserve">ODL100520</t>
  </si>
  <si>
    <t xml:space="preserve">IMP-CT3-101</t>
  </si>
  <si>
    <t xml:space="preserve">ODL101104</t>
  </si>
  <si>
    <t xml:space="preserve">IMP-HL4-055</t>
  </si>
  <si>
    <t xml:space="preserve">ODL103867</t>
  </si>
  <si>
    <t xml:space="preserve">IMP-CD7-164</t>
  </si>
  <si>
    <t xml:space="preserve">ODL101824</t>
  </si>
  <si>
    <t xml:space="preserve">IMP-CD7-196</t>
  </si>
  <si>
    <t xml:space="preserve">ODL100065</t>
  </si>
  <si>
    <t xml:space="preserve">IMP-SV8-049</t>
  </si>
  <si>
    <t xml:space="preserve">ODL102230</t>
  </si>
  <si>
    <t xml:space="preserve">IMP-CD7-070</t>
  </si>
  <si>
    <t xml:space="preserve">ODL100651</t>
  </si>
  <si>
    <t xml:space="preserve">IMP-CD7-267</t>
  </si>
  <si>
    <t xml:space="preserve">ODL103048</t>
  </si>
  <si>
    <t xml:space="preserve">ODL101877</t>
  </si>
  <si>
    <t xml:space="preserve">ODL103198</t>
  </si>
  <si>
    <t xml:space="preserve">ODL102724</t>
  </si>
  <si>
    <t xml:space="preserve">IMP-TS1-187</t>
  </si>
  <si>
    <t xml:space="preserve">ODL100744</t>
  </si>
  <si>
    <t xml:space="preserve">IMP-PP6-103</t>
  </si>
  <si>
    <t xml:space="preserve">ODL101525</t>
  </si>
  <si>
    <t xml:space="preserve">ODL104094</t>
  </si>
  <si>
    <t xml:space="preserve">ODL102972</t>
  </si>
  <si>
    <t xml:space="preserve">IMP-FF9-098</t>
  </si>
  <si>
    <t xml:space="preserve">ODL100046</t>
  </si>
  <si>
    <t xml:space="preserve">IMP-CD7-336</t>
  </si>
  <si>
    <t xml:space="preserve">ODL103467</t>
  </si>
  <si>
    <t xml:space="preserve">ODL100061</t>
  </si>
  <si>
    <t xml:space="preserve">ODL101033</t>
  </si>
  <si>
    <t xml:space="preserve">ODL101954</t>
  </si>
  <si>
    <t xml:space="preserve">ODL102518</t>
  </si>
  <si>
    <t xml:space="preserve">ODL102988</t>
  </si>
  <si>
    <t xml:space="preserve">ODL103227</t>
  </si>
  <si>
    <t xml:space="preserve">IMP-TS1-146</t>
  </si>
  <si>
    <t xml:space="preserve">ODL104188</t>
  </si>
  <si>
    <t xml:space="preserve">ODL102684</t>
  </si>
  <si>
    <t xml:space="preserve">IMP-HL4-374</t>
  </si>
  <si>
    <t xml:space="preserve">ODL102509</t>
  </si>
  <si>
    <t xml:space="preserve">ODL102373</t>
  </si>
  <si>
    <t xml:space="preserve">IMP-HL4-345</t>
  </si>
  <si>
    <t xml:space="preserve">ODL100120</t>
  </si>
  <si>
    <t xml:space="preserve">ODL101139</t>
  </si>
  <si>
    <t xml:space="preserve">IMP-HL4-141</t>
  </si>
  <si>
    <t xml:space="preserve">ODL103728</t>
  </si>
  <si>
    <t xml:space="preserve">ODL102510</t>
  </si>
  <si>
    <t xml:space="preserve">IMP-FF9-056</t>
  </si>
  <si>
    <t xml:space="preserve">ODL102326</t>
  </si>
  <si>
    <t xml:space="preserve">ODL102173</t>
  </si>
  <si>
    <t xml:space="preserve">ODL103036</t>
  </si>
  <si>
    <t xml:space="preserve">IMP-HL4-258</t>
  </si>
  <si>
    <t xml:space="preserve">ODL103214</t>
  </si>
  <si>
    <t xml:space="preserve">IMP-TN0-083</t>
  </si>
  <si>
    <t xml:space="preserve">ODL103133</t>
  </si>
  <si>
    <t xml:space="preserve">ODL103116</t>
  </si>
  <si>
    <t xml:space="preserve">IMP-TS1-169</t>
  </si>
  <si>
    <t xml:space="preserve">ODL101969</t>
  </si>
  <si>
    <t xml:space="preserve">ODL100875</t>
  </si>
  <si>
    <t xml:space="preserve">ODL101586</t>
  </si>
  <si>
    <t xml:space="preserve">ODL100028</t>
  </si>
  <si>
    <t xml:space="preserve">IMP-CD7-038</t>
  </si>
  <si>
    <t xml:space="preserve">ODL103098</t>
  </si>
  <si>
    <t xml:space="preserve">IMP-TS1-238</t>
  </si>
  <si>
    <t xml:space="preserve">ODL102328</t>
  </si>
  <si>
    <t xml:space="preserve">IMP-TN0-090</t>
  </si>
  <si>
    <t xml:space="preserve">ODL100772</t>
  </si>
  <si>
    <t xml:space="preserve">ODL100993</t>
  </si>
  <si>
    <t xml:space="preserve">ODL100126</t>
  </si>
  <si>
    <t xml:space="preserve">ODL101990</t>
  </si>
  <si>
    <t xml:space="preserve">IMP-PP6-079</t>
  </si>
  <si>
    <t xml:space="preserve">ODL101884</t>
  </si>
  <si>
    <t xml:space="preserve">ODL101710</t>
  </si>
  <si>
    <t xml:space="preserve">IMP-SB5-115</t>
  </si>
  <si>
    <t xml:space="preserve">ODL102842</t>
  </si>
  <si>
    <t xml:space="preserve">ODL100416</t>
  </si>
  <si>
    <t xml:space="preserve">IMP-TN0-099</t>
  </si>
  <si>
    <t xml:space="preserve">ODL100199</t>
  </si>
  <si>
    <t xml:space="preserve">IMP-HL4-366</t>
  </si>
  <si>
    <t xml:space="preserve">ODL103741</t>
  </si>
  <si>
    <t xml:space="preserve">ODL101217</t>
  </si>
  <si>
    <t xml:space="preserve">ODL101549</t>
  </si>
  <si>
    <t xml:space="preserve">ODL103782</t>
  </si>
  <si>
    <t xml:space="preserve">ODL101185</t>
  </si>
  <si>
    <t xml:space="preserve">IMP-TN0-278</t>
  </si>
  <si>
    <t xml:space="preserve">ODL103415</t>
  </si>
  <si>
    <t xml:space="preserve">ODL102696</t>
  </si>
  <si>
    <t xml:space="preserve">ODL103614</t>
  </si>
  <si>
    <t xml:space="preserve">ODL102888</t>
  </si>
  <si>
    <t xml:space="preserve">ODL104107</t>
  </si>
  <si>
    <t xml:space="preserve">IMP-CD7-032</t>
  </si>
  <si>
    <t xml:space="preserve">ODL100239</t>
  </si>
  <si>
    <t xml:space="preserve">ODL101951</t>
  </si>
  <si>
    <t xml:space="preserve">ODL102623</t>
  </si>
  <si>
    <t xml:space="preserve">ODL103055</t>
  </si>
  <si>
    <t xml:space="preserve">IMP-CT2-184</t>
  </si>
  <si>
    <t xml:space="preserve">ODL100857</t>
  </si>
  <si>
    <t xml:space="preserve">ODL101187</t>
  </si>
  <si>
    <t xml:space="preserve">ODL102544</t>
  </si>
  <si>
    <t xml:space="preserve">ODL101464</t>
  </si>
  <si>
    <t xml:space="preserve">ODL101227</t>
  </si>
  <si>
    <t xml:space="preserve">ODL100259</t>
  </si>
  <si>
    <t xml:space="preserve">IMP-SV8-223</t>
  </si>
  <si>
    <t xml:space="preserve">ODL101947</t>
  </si>
  <si>
    <t xml:space="preserve">ODL103583</t>
  </si>
  <si>
    <t xml:space="preserve">ODL101843</t>
  </si>
  <si>
    <t xml:space="preserve">ODL102054</t>
  </si>
  <si>
    <t xml:space="preserve">ODL102260</t>
  </si>
  <si>
    <t xml:space="preserve">ODL101986</t>
  </si>
  <si>
    <t xml:space="preserve">ODL102677</t>
  </si>
  <si>
    <t xml:space="preserve">IMP-FF9-061</t>
  </si>
  <si>
    <t xml:space="preserve">ODL101106</t>
  </si>
  <si>
    <t xml:space="preserve">ODL101631</t>
  </si>
  <si>
    <t xml:space="preserve">ODL101606</t>
  </si>
  <si>
    <t xml:space="preserve">IMP-PP6-071</t>
  </si>
  <si>
    <t xml:space="preserve">ODL100390</t>
  </si>
  <si>
    <t xml:space="preserve">IMP-CT3-099</t>
  </si>
  <si>
    <t xml:space="preserve">ODL100547</t>
  </si>
  <si>
    <t xml:space="preserve">ODL100507</t>
  </si>
  <si>
    <t xml:space="preserve">ODL104160</t>
  </si>
  <si>
    <t xml:space="preserve">ODL100237</t>
  </si>
  <si>
    <t xml:space="preserve">ODL102981</t>
  </si>
  <si>
    <t xml:space="preserve">ODL100525</t>
  </si>
  <si>
    <t xml:space="preserve">IMP-CT2-022</t>
  </si>
  <si>
    <t xml:space="preserve">ODL100466</t>
  </si>
  <si>
    <t xml:space="preserve">IMP-CT2-072</t>
  </si>
  <si>
    <t xml:space="preserve">ODL102208</t>
  </si>
  <si>
    <t xml:space="preserve">ODL102681</t>
  </si>
  <si>
    <t xml:space="preserve">ODL104165</t>
  </si>
  <si>
    <t xml:space="preserve">ODL102276</t>
  </si>
  <si>
    <t xml:space="preserve">ODL102028</t>
  </si>
  <si>
    <t xml:space="preserve">ODL102646</t>
  </si>
  <si>
    <t xml:space="preserve">IMP-HL4-292</t>
  </si>
  <si>
    <t xml:space="preserve">ODL102161</t>
  </si>
  <si>
    <t xml:space="preserve">ODL102532</t>
  </si>
  <si>
    <t xml:space="preserve">ODL100094</t>
  </si>
  <si>
    <t xml:space="preserve">ODL100647</t>
  </si>
  <si>
    <t xml:space="preserve">ODL103589</t>
  </si>
  <si>
    <t xml:space="preserve">ODL100924</t>
  </si>
  <si>
    <t xml:space="preserve">IMP-TN0-251</t>
  </si>
  <si>
    <t xml:space="preserve">ODL101615</t>
  </si>
  <si>
    <t xml:space="preserve">IMP-HL4-343</t>
  </si>
  <si>
    <t xml:space="preserve">ODL103954</t>
  </si>
  <si>
    <t xml:space="preserve">IMP-HL4-228</t>
  </si>
  <si>
    <t xml:space="preserve">ODL100201</t>
  </si>
  <si>
    <t xml:space="preserve">ODL103824</t>
  </si>
  <si>
    <t xml:space="preserve">IMP-CD7-121</t>
  </si>
  <si>
    <t xml:space="preserve">ODL103739</t>
  </si>
  <si>
    <t xml:space="preserve">ODL100078</t>
  </si>
  <si>
    <t xml:space="preserve">ODL101605</t>
  </si>
  <si>
    <t xml:space="preserve">ODL103786</t>
  </si>
  <si>
    <t xml:space="preserve">IMP-CD7-076</t>
  </si>
  <si>
    <t xml:space="preserve">ODL103812</t>
  </si>
  <si>
    <t xml:space="preserve">ODL103796</t>
  </si>
  <si>
    <t xml:space="preserve">ODL101386</t>
  </si>
  <si>
    <t xml:space="preserve">ODL102351</t>
  </si>
  <si>
    <t xml:space="preserve">ODL102263</t>
  </si>
  <si>
    <t xml:space="preserve">IMP-CT2-069</t>
  </si>
  <si>
    <t xml:space="preserve">ODL102795</t>
  </si>
  <si>
    <t xml:space="preserve">ODL101003</t>
  </si>
  <si>
    <t xml:space="preserve">ODL100230</t>
  </si>
  <si>
    <t xml:space="preserve">IMP-CT3-053</t>
  </si>
  <si>
    <t xml:space="preserve">ODL102671</t>
  </si>
  <si>
    <t xml:space="preserve">IMP-TN0-095</t>
  </si>
  <si>
    <t xml:space="preserve">ODL103540</t>
  </si>
  <si>
    <t xml:space="preserve">ODL102096</t>
  </si>
  <si>
    <t xml:space="preserve">ODL100493</t>
  </si>
  <si>
    <t xml:space="preserve">ODL103921</t>
  </si>
  <si>
    <t xml:space="preserve">IMP-HL4-335</t>
  </si>
  <si>
    <t xml:space="preserve">ODL102576</t>
  </si>
  <si>
    <t xml:space="preserve">ODL102251</t>
  </si>
  <si>
    <t xml:space="preserve">ODL101862</t>
  </si>
  <si>
    <t xml:space="preserve">ODL101466</t>
  </si>
  <si>
    <t xml:space="preserve">ODL101067</t>
  </si>
  <si>
    <t xml:space="preserve">ODL101087</t>
  </si>
  <si>
    <t xml:space="preserve">ODL103450</t>
  </si>
  <si>
    <t xml:space="preserve">ODL100884</t>
  </si>
  <si>
    <t xml:space="preserve">IMP-HL4-041</t>
  </si>
  <si>
    <t xml:space="preserve">ODL103606</t>
  </si>
  <si>
    <t xml:space="preserve">ODL102160</t>
  </si>
  <si>
    <t xml:space="preserve">ODL103902</t>
  </si>
  <si>
    <t xml:space="preserve">ODL100017</t>
  </si>
  <si>
    <t xml:space="preserve">IMP-TS1-174</t>
  </si>
  <si>
    <t xml:space="preserve">ODL103149</t>
  </si>
  <si>
    <t xml:space="preserve">ODL104069</t>
  </si>
  <si>
    <t xml:space="preserve">ODL102155</t>
  </si>
  <si>
    <t xml:space="preserve">ODL100001</t>
  </si>
  <si>
    <t xml:space="preserve">ODL103670</t>
  </si>
  <si>
    <t xml:space="preserve">ODL102317</t>
  </si>
  <si>
    <t xml:space="preserve">IMP-HL4-308</t>
  </si>
  <si>
    <t xml:space="preserve">ODL102077</t>
  </si>
  <si>
    <t xml:space="preserve">ODL101894</t>
  </si>
  <si>
    <t xml:space="preserve">IMP-CD7-041</t>
  </si>
  <si>
    <t xml:space="preserve">ODL101576</t>
  </si>
  <si>
    <t xml:space="preserve">ODL103394</t>
  </si>
  <si>
    <t xml:space="preserve">ODL103317</t>
  </si>
  <si>
    <t xml:space="preserve">ODL101994</t>
  </si>
  <si>
    <t xml:space="preserve">ODL103582</t>
  </si>
  <si>
    <t xml:space="preserve">ODL102061</t>
  </si>
  <si>
    <t xml:space="preserve">ODL100783</t>
  </si>
  <si>
    <t xml:space="preserve">ODL100591</t>
  </si>
  <si>
    <t xml:space="preserve">ODL101729</t>
  </si>
  <si>
    <t xml:space="preserve">ODL103216</t>
  </si>
  <si>
    <t xml:space="preserve">ODL102056</t>
  </si>
  <si>
    <t xml:space="preserve">ODL102038</t>
  </si>
  <si>
    <t xml:space="preserve">ODL101258</t>
  </si>
  <si>
    <t xml:space="preserve">ODL103787</t>
  </si>
  <si>
    <t xml:space="preserve">ODL101623</t>
  </si>
  <si>
    <t xml:space="preserve">IMP-HL4-383</t>
  </si>
  <si>
    <t xml:space="preserve">ODL101340</t>
  </si>
  <si>
    <t xml:space="preserve">IMP-TS1-078</t>
  </si>
  <si>
    <t xml:space="preserve">ODL100803</t>
  </si>
  <si>
    <t xml:space="preserve">ODL101980</t>
  </si>
  <si>
    <t xml:space="preserve">ODL101542</t>
  </si>
  <si>
    <t xml:space="preserve">ODL101278</t>
  </si>
  <si>
    <t xml:space="preserve">ODL100006</t>
  </si>
  <si>
    <t xml:space="preserve">ODL100306</t>
  </si>
  <si>
    <t xml:space="preserve">ODL102314</t>
  </si>
  <si>
    <t xml:space="preserve">ODL102719</t>
  </si>
  <si>
    <t xml:space="preserve">IMP-TS1-193</t>
  </si>
  <si>
    <t xml:space="preserve">ODL101833</t>
  </si>
  <si>
    <t xml:space="preserve">ODL103585</t>
  </si>
  <si>
    <t xml:space="preserve">ODL103558</t>
  </si>
  <si>
    <t xml:space="preserve">ODL103486</t>
  </si>
  <si>
    <t xml:space="preserve">ODL103413</t>
  </si>
  <si>
    <t xml:space="preserve">ODL101272</t>
  </si>
  <si>
    <t xml:space="preserve">ODL104124</t>
  </si>
  <si>
    <t xml:space="preserve">ODL101668</t>
  </si>
  <si>
    <t xml:space="preserve">ODL101313</t>
  </si>
  <si>
    <t xml:space="preserve">IMP-CD7-106</t>
  </si>
  <si>
    <t xml:space="preserve">ODL102288</t>
  </si>
  <si>
    <t xml:space="preserve">ODL100575</t>
  </si>
  <si>
    <t xml:space="preserve">ODL101085</t>
  </si>
  <si>
    <t xml:space="preserve">ODL101736</t>
  </si>
  <si>
    <t xml:space="preserve">ODL102635</t>
  </si>
  <si>
    <t xml:space="preserve">ODL103694</t>
  </si>
  <si>
    <t xml:space="preserve">IMP-CD7-209</t>
  </si>
  <si>
    <t xml:space="preserve">ODL103078</t>
  </si>
  <si>
    <t xml:space="preserve">ODL100470</t>
  </si>
  <si>
    <t xml:space="preserve">ODL102437</t>
  </si>
  <si>
    <t xml:space="preserve">ODL102457</t>
  </si>
  <si>
    <t xml:space="preserve">ODL102010</t>
  </si>
  <si>
    <t xml:space="preserve">ODL101408</t>
  </si>
  <si>
    <t xml:space="preserve">ODL102926</t>
  </si>
  <si>
    <t xml:space="preserve">ODL103749</t>
  </si>
  <si>
    <t xml:space="preserve">ODL103478</t>
  </si>
  <si>
    <t xml:space="preserve">ODL101730</t>
  </si>
  <si>
    <t xml:space="preserve">IMP-CT3-084</t>
  </si>
  <si>
    <t xml:space="preserve">ODL102554</t>
  </si>
  <si>
    <t xml:space="preserve">ODL102734</t>
  </si>
  <si>
    <t xml:space="preserve">ODL102348</t>
  </si>
  <si>
    <t xml:space="preserve">IMP-SB5-039</t>
  </si>
  <si>
    <t xml:space="preserve">ODL100930</t>
  </si>
  <si>
    <t xml:space="preserve">IMP-TN0-260</t>
  </si>
  <si>
    <t xml:space="preserve">ODL102388</t>
  </si>
  <si>
    <t xml:space="preserve">IMP-CT2-127</t>
  </si>
  <si>
    <t xml:space="preserve">ODL104117</t>
  </si>
  <si>
    <t xml:space="preserve">IMP-HL4-018</t>
  </si>
  <si>
    <t xml:space="preserve">ODL101670</t>
  </si>
  <si>
    <t xml:space="preserve">IMP-TN0-029</t>
  </si>
  <si>
    <t xml:space="preserve">ODL103070</t>
  </si>
  <si>
    <t xml:space="preserve">ODL102093</t>
  </si>
  <si>
    <t xml:space="preserve">IMP-CD7-327</t>
  </si>
  <si>
    <t xml:space="preserve">ODL103225</t>
  </si>
  <si>
    <t xml:space="preserve">ODL104146</t>
  </si>
  <si>
    <t xml:space="preserve">ODL103529</t>
  </si>
  <si>
    <t xml:space="preserve">ODL102700</t>
  </si>
  <si>
    <t xml:space="preserve">IMP-CT3-087</t>
  </si>
  <si>
    <t xml:space="preserve">ODL100821</t>
  </si>
  <si>
    <t xml:space="preserve">ODL102711</t>
  </si>
  <si>
    <t xml:space="preserve">ODL103776</t>
  </si>
  <si>
    <t xml:space="preserve">IMP-SB5-050</t>
  </si>
  <si>
    <t xml:space="preserve">ODL100226</t>
  </si>
  <si>
    <t xml:space="preserve">ODL101531</t>
  </si>
  <si>
    <t xml:space="preserve">ODL103440</t>
  </si>
  <si>
    <t xml:space="preserve">IMP-CD7-229</t>
  </si>
  <si>
    <t xml:space="preserve">ODL102229</t>
  </si>
  <si>
    <t xml:space="preserve">ODL101538</t>
  </si>
  <si>
    <t xml:space="preserve">IMP-CD7-128</t>
  </si>
  <si>
    <t xml:space="preserve">ODL103299</t>
  </si>
  <si>
    <t xml:space="preserve">ODL102523</t>
  </si>
  <si>
    <t xml:space="preserve">ODL103929</t>
  </si>
  <si>
    <t xml:space="preserve">ODL102589</t>
  </si>
  <si>
    <t xml:space="preserve">ODL102156</t>
  </si>
  <si>
    <t xml:space="preserve">ODL101143</t>
  </si>
  <si>
    <t xml:space="preserve">IMP-HL4-066</t>
  </si>
  <si>
    <t xml:space="preserve">ODL100147</t>
  </si>
  <si>
    <t xml:space="preserve">ODL101373</t>
  </si>
  <si>
    <t xml:space="preserve">ODL101190</t>
  </si>
  <si>
    <t xml:space="preserve">ODL102778</t>
  </si>
  <si>
    <t xml:space="preserve">IMP-TS1-104</t>
  </si>
  <si>
    <t xml:space="preserve">ODL100997</t>
  </si>
  <si>
    <t xml:space="preserve">ODL103928</t>
  </si>
  <si>
    <t xml:space="preserve">ODL101186</t>
  </si>
  <si>
    <t xml:space="preserve">ODL103278</t>
  </si>
  <si>
    <t xml:space="preserve">IMP-SB5-117</t>
  </si>
  <si>
    <t xml:space="preserve">ODL102794</t>
  </si>
  <si>
    <t xml:space="preserve">ODL100180</t>
  </si>
  <si>
    <t xml:space="preserve">ODL103571</t>
  </si>
  <si>
    <t xml:space="preserve">ODL103064</t>
  </si>
  <si>
    <t xml:space="preserve">IMP-TS1-038</t>
  </si>
  <si>
    <t xml:space="preserve">ODL102617</t>
  </si>
  <si>
    <t xml:space="preserve">ODL102111</t>
  </si>
  <si>
    <t xml:space="preserve">ODL100719</t>
  </si>
  <si>
    <t xml:space="preserve">ODL101452</t>
  </si>
  <si>
    <t xml:space="preserve">ODL101431</t>
  </si>
  <si>
    <t xml:space="preserve">ODL102663</t>
  </si>
  <si>
    <t xml:space="preserve">IMP-TS1-083</t>
  </si>
  <si>
    <t xml:space="preserve">ODL103779</t>
  </si>
  <si>
    <t xml:space="preserve">IMP-CD7-295</t>
  </si>
  <si>
    <t xml:space="preserve">ODL103513</t>
  </si>
  <si>
    <t xml:space="preserve">ODL100332</t>
  </si>
  <si>
    <t xml:space="preserve">ODL103118</t>
  </si>
  <si>
    <t xml:space="preserve">IMP-SV8-199</t>
  </si>
  <si>
    <t xml:space="preserve">ODL101461</t>
  </si>
  <si>
    <t xml:space="preserve">IMP-TS1-261</t>
  </si>
  <si>
    <t xml:space="preserve">ODL101364</t>
  </si>
  <si>
    <t xml:space="preserve">IMP-HL4-236</t>
  </si>
  <si>
    <t xml:space="preserve">ODL103121</t>
  </si>
  <si>
    <t xml:space="preserve">IMP-HL4-394</t>
  </si>
  <si>
    <t xml:space="preserve">ODL102453</t>
  </si>
  <si>
    <t xml:space="preserve">ODL102691</t>
  </si>
  <si>
    <t xml:space="preserve">ODL100635</t>
  </si>
  <si>
    <t xml:space="preserve">IMP-TS1-028</t>
  </si>
  <si>
    <t xml:space="preserve">ODL101906</t>
  </si>
  <si>
    <t xml:space="preserve">ODL103327</t>
  </si>
  <si>
    <t xml:space="preserve">ODL104178</t>
  </si>
  <si>
    <t xml:space="preserve">ODL100345</t>
  </si>
  <si>
    <t xml:space="preserve">ODL103412</t>
  </si>
  <si>
    <t xml:space="preserve">ODL104007</t>
  </si>
  <si>
    <t xml:space="preserve">IMP-CT3-018</t>
  </si>
  <si>
    <t xml:space="preserve">ODL103459</t>
  </si>
  <si>
    <t xml:space="preserve">ODL103368</t>
  </si>
  <si>
    <t xml:space="preserve">ODL103761</t>
  </si>
  <si>
    <t xml:space="preserve">ODL102952</t>
  </si>
  <si>
    <t xml:space="preserve">IMP-HL4-210</t>
  </si>
  <si>
    <t xml:space="preserve">ODL100676</t>
  </si>
  <si>
    <t xml:space="preserve">ODL103690</t>
  </si>
  <si>
    <t xml:space="preserve">ODL103723</t>
  </si>
  <si>
    <t xml:space="preserve">IMP-PP6-163</t>
  </si>
  <si>
    <t xml:space="preserve">ODL102660</t>
  </si>
  <si>
    <t xml:space="preserve">ODL100479</t>
  </si>
  <si>
    <t xml:space="preserve">ODL101903</t>
  </si>
  <si>
    <t xml:space="preserve">IMP-TN0-319</t>
  </si>
  <si>
    <t xml:space="preserve">ODL103675</t>
  </si>
  <si>
    <t xml:space="preserve">ODL102984</t>
  </si>
  <si>
    <t xml:space="preserve">ODL103611</t>
  </si>
  <si>
    <t xml:space="preserve">ODL100968</t>
  </si>
  <si>
    <t xml:space="preserve">ODL103808</t>
  </si>
  <si>
    <t xml:space="preserve">ODL101023</t>
  </si>
  <si>
    <t xml:space="preserve">ODL103000</t>
  </si>
  <si>
    <t xml:space="preserve">ODL102605</t>
  </si>
  <si>
    <t xml:space="preserve">ODL103035</t>
  </si>
  <si>
    <t xml:space="preserve">ODL102144</t>
  </si>
  <si>
    <t xml:space="preserve">ODL104177</t>
  </si>
  <si>
    <t xml:space="preserve">IMP-CD7-171</t>
  </si>
  <si>
    <t xml:space="preserve">ODL102303</t>
  </si>
  <si>
    <t xml:space="preserve">IMP-SV8-009</t>
  </si>
  <si>
    <t xml:space="preserve">ODL101883</t>
  </si>
  <si>
    <t xml:space="preserve">IMP-FF9-104</t>
  </si>
  <si>
    <t xml:space="preserve">ODL102885</t>
  </si>
  <si>
    <t xml:space="preserve">ODL101145</t>
  </si>
  <si>
    <t xml:space="preserve">ODL102811</t>
  </si>
  <si>
    <t xml:space="preserve">ODL103239</t>
  </si>
  <si>
    <t xml:space="preserve">ODL101581</t>
  </si>
  <si>
    <t xml:space="preserve">ODL104186</t>
  </si>
  <si>
    <t xml:space="preserve">ODL101237</t>
  </si>
  <si>
    <t xml:space="preserve">ODL103917</t>
  </si>
  <si>
    <t xml:space="preserve">ODL102199</t>
  </si>
  <si>
    <t xml:space="preserve">ODL102285</t>
  </si>
  <si>
    <t xml:space="preserve">ODL103277</t>
  </si>
  <si>
    <t xml:space="preserve">ODL100008</t>
  </si>
  <si>
    <t xml:space="preserve">IMP-SB5-055</t>
  </si>
  <si>
    <t xml:space="preserve">ODL100337</t>
  </si>
  <si>
    <t xml:space="preserve">ODL102740</t>
  </si>
  <si>
    <t xml:space="preserve">IMP-FF9-052</t>
  </si>
  <si>
    <t xml:space="preserve">ODL100678</t>
  </si>
  <si>
    <t xml:space="preserve">ODL101511</t>
  </si>
  <si>
    <t xml:space="preserve">ODL101739</t>
  </si>
  <si>
    <t xml:space="preserve">ODL101662</t>
  </si>
  <si>
    <t xml:space="preserve">ODL102800</t>
  </si>
  <si>
    <t xml:space="preserve">ODL103108</t>
  </si>
  <si>
    <t xml:space="preserve">IMP-HL4-092</t>
  </si>
  <si>
    <t xml:space="preserve">ODL101989</t>
  </si>
  <si>
    <t xml:space="preserve">IMP-PP6-145</t>
  </si>
  <si>
    <t xml:space="preserve">ODL100480</t>
  </si>
  <si>
    <t xml:space="preserve">ODL103620</t>
  </si>
  <si>
    <t xml:space="preserve">IMP-TN0-265</t>
  </si>
  <si>
    <t xml:space="preserve">ODL103881</t>
  </si>
  <si>
    <t xml:space="preserve">ODL102322</t>
  </si>
  <si>
    <t xml:space="preserve">ODL100293</t>
  </si>
  <si>
    <t xml:space="preserve">IMP-HL4-261</t>
  </si>
  <si>
    <t xml:space="preserve">ODL100736</t>
  </si>
  <si>
    <t xml:space="preserve">ODL102628</t>
  </si>
  <si>
    <t xml:space="preserve">ODL101352</t>
  </si>
  <si>
    <t xml:space="preserve">IMP-PP6-045</t>
  </si>
  <si>
    <t xml:space="preserve">ODL100920</t>
  </si>
  <si>
    <t xml:space="preserve">ODL103599</t>
  </si>
  <si>
    <t xml:space="preserve">ODL103276</t>
  </si>
  <si>
    <t xml:space="preserve">ODL102398</t>
  </si>
  <si>
    <t xml:space="preserve">ODL102755</t>
  </si>
  <si>
    <t xml:space="preserve">ODL102889</t>
  </si>
  <si>
    <t xml:space="preserve">ODL102392</t>
  </si>
  <si>
    <t xml:space="preserve">ODL100153</t>
  </si>
  <si>
    <t xml:space="preserve">ODL101037</t>
  </si>
  <si>
    <t xml:space="preserve">ODL102624</t>
  </si>
  <si>
    <t xml:space="preserve">ODL101769</t>
  </si>
  <si>
    <t xml:space="preserve">IMP-CT2-046</t>
  </si>
  <si>
    <t xml:space="preserve">ODL103163</t>
  </si>
  <si>
    <t xml:space="preserve">ODL102445</t>
  </si>
  <si>
    <t xml:space="preserve">ODL102415</t>
  </si>
  <si>
    <t xml:space="preserve">IMP-HL4-162</t>
  </si>
  <si>
    <t xml:space="preserve">ODL101401</t>
  </si>
  <si>
    <t xml:space="preserve">ODL104109</t>
  </si>
  <si>
    <t xml:space="preserve">ODL101646</t>
  </si>
  <si>
    <t xml:space="preserve">ODL103312</t>
  </si>
  <si>
    <t xml:space="preserve">ODL103803</t>
  </si>
  <si>
    <t xml:space="preserve">ODL103510</t>
  </si>
  <si>
    <t xml:space="preserve">IMP-SB5-108</t>
  </si>
  <si>
    <t xml:space="preserve">ODL102698</t>
  </si>
  <si>
    <t xml:space="preserve">ODL103342</t>
  </si>
  <si>
    <t xml:space="preserve">ODL101513</t>
  </si>
  <si>
    <t xml:space="preserve">ODL101566</t>
  </si>
  <si>
    <t xml:space="preserve">ODL100564</t>
  </si>
  <si>
    <t xml:space="preserve">ODL103518</t>
  </si>
  <si>
    <t xml:space="preserve">ODL101874</t>
  </si>
  <si>
    <t xml:space="preserve">ODL103097</t>
  </si>
  <si>
    <t xml:space="preserve">ODL103531</t>
  </si>
  <si>
    <t xml:space="preserve">ODL103257</t>
  </si>
  <si>
    <t xml:space="preserve">ODL101406</t>
  </si>
  <si>
    <t xml:space="preserve">ODL102206</t>
  </si>
  <si>
    <t xml:space="preserve">ODL102003</t>
  </si>
  <si>
    <t xml:space="preserve">IMP-CD7-065</t>
  </si>
  <si>
    <t xml:space="preserve">ODL102613</t>
  </si>
  <si>
    <t xml:space="preserve">ODL104172</t>
  </si>
  <si>
    <t xml:space="preserve">IMP-TN0-167</t>
  </si>
  <si>
    <t xml:space="preserve">ODL103282</t>
  </si>
  <si>
    <t xml:space="preserve">ODL103688</t>
  </si>
  <si>
    <t xml:space="preserve">ODL100339</t>
  </si>
  <si>
    <t xml:space="preserve">ODL100013</t>
  </si>
  <si>
    <t xml:space="preserve">ODL102058</t>
  </si>
  <si>
    <t xml:space="preserve">ODL102953</t>
  </si>
  <si>
    <t xml:space="preserve">IMP-HL4-121</t>
  </si>
  <si>
    <t xml:space="preserve">ODL101564</t>
  </si>
  <si>
    <t xml:space="preserve">ODL101887</t>
  </si>
  <si>
    <t xml:space="preserve">ODL103020</t>
  </si>
  <si>
    <t xml:space="preserve">ODL103171</t>
  </si>
  <si>
    <t xml:space="preserve">ODL101896</t>
  </si>
  <si>
    <t xml:space="preserve">ODL100348</t>
  </si>
  <si>
    <t xml:space="preserve">ODL102837</t>
  </si>
  <si>
    <t xml:space="preserve">ODL103252</t>
  </si>
  <si>
    <t xml:space="preserve">ODL104034</t>
  </si>
  <si>
    <t xml:space="preserve">IMP-CD7-115</t>
  </si>
  <si>
    <t xml:space="preserve">ODL102993</t>
  </si>
  <si>
    <t xml:space="preserve">IMP-TN0-154</t>
  </si>
  <si>
    <t xml:space="preserve">ODL104153</t>
  </si>
  <si>
    <t xml:space="preserve">ODL102807</t>
  </si>
  <si>
    <t xml:space="preserve">ODL101435</t>
  </si>
  <si>
    <t xml:space="preserve">ODL102974</t>
  </si>
  <si>
    <t xml:space="preserve">ODL100032</t>
  </si>
  <si>
    <t xml:space="preserve">ODL102125</t>
  </si>
  <si>
    <t xml:space="preserve">ODL100023</t>
  </si>
  <si>
    <t xml:space="preserve">ODL102055</t>
  </si>
  <si>
    <t xml:space="preserve">ODL103742</t>
  </si>
  <si>
    <t xml:space="preserve">ODL100366</t>
  </si>
  <si>
    <t xml:space="preserve">ODL101720</t>
  </si>
  <si>
    <t xml:space="preserve">ODL101751</t>
  </si>
  <si>
    <t xml:space="preserve">ODL101053</t>
  </si>
  <si>
    <t xml:space="preserve">IMP-TS1-018</t>
  </si>
  <si>
    <t xml:space="preserve">ODL101101</t>
  </si>
  <si>
    <t xml:space="preserve">ODL101837</t>
  </si>
  <si>
    <t xml:space="preserve">ODL100559</t>
  </si>
  <si>
    <t xml:space="preserve">ODL101138</t>
  </si>
  <si>
    <t xml:space="preserve">IMP-FF9-067</t>
  </si>
  <si>
    <t xml:space="preserve">ODL102682</t>
  </si>
  <si>
    <t xml:space="preserve">IMP-PP6-112</t>
  </si>
  <si>
    <t xml:space="preserve">ODL102675</t>
  </si>
  <si>
    <t xml:space="preserve">ODL100072</t>
  </si>
  <si>
    <t xml:space="preserve">ODL103801</t>
  </si>
  <si>
    <t xml:space="preserve">ODL103023</t>
  </si>
  <si>
    <t xml:space="preserve">IMP-CT2-074</t>
  </si>
  <si>
    <t xml:space="preserve">ODL104043</t>
  </si>
  <si>
    <t xml:space="preserve">ODL102089</t>
  </si>
  <si>
    <t xml:space="preserve">ODL100362</t>
  </si>
  <si>
    <t xml:space="preserve">ODL103069</t>
  </si>
  <si>
    <t xml:space="preserve">ODL101959</t>
  </si>
  <si>
    <t xml:space="preserve">IMP-CT2-175</t>
  </si>
  <si>
    <t xml:space="preserve">ODL100135</t>
  </si>
  <si>
    <t xml:space="preserve">ODL100659</t>
  </si>
  <si>
    <t xml:space="preserve">ODL102966</t>
  </si>
  <si>
    <t xml:space="preserve">ODL101671</t>
  </si>
  <si>
    <t xml:space="preserve">IMP-PP6-019</t>
  </si>
  <si>
    <t xml:space="preserve">ODL104194</t>
  </si>
  <si>
    <t xml:space="preserve">ODL103534</t>
  </si>
  <si>
    <t xml:space="preserve">ODL100188</t>
  </si>
  <si>
    <t xml:space="preserve">ODL103338</t>
  </si>
  <si>
    <t xml:space="preserve">ODL103911</t>
  </si>
  <si>
    <t xml:space="preserve">ODL103684</t>
  </si>
  <si>
    <t xml:space="preserve">ODL101130</t>
  </si>
  <si>
    <t xml:space="preserve">ODL103607</t>
  </si>
  <si>
    <t xml:space="preserve">IMP-HL4-245</t>
  </si>
  <si>
    <t xml:space="preserve">ODL100449</t>
  </si>
  <si>
    <t xml:space="preserve">ODL102914</t>
  </si>
  <si>
    <t xml:space="preserve">ODL102727</t>
  </si>
  <si>
    <t xml:space="preserve">ODL100805</t>
  </si>
  <si>
    <t xml:space="preserve">IMP-PP6-055</t>
  </si>
  <si>
    <t xml:space="preserve">ODL103193</t>
  </si>
  <si>
    <t xml:space="preserve">ODL102887</t>
  </si>
  <si>
    <t xml:space="preserve">ODL103661</t>
  </si>
  <si>
    <t xml:space="preserve">IMP-TN0-200</t>
  </si>
  <si>
    <t xml:space="preserve">ODL101075</t>
  </si>
  <si>
    <t xml:space="preserve">ODL102524</t>
  </si>
  <si>
    <t xml:space="preserve">ODL101123</t>
  </si>
  <si>
    <t xml:space="preserve">IMP-TN0-180</t>
  </si>
  <si>
    <t xml:space="preserve">ODL103528</t>
  </si>
  <si>
    <t xml:space="preserve">IMP-SB5-095</t>
  </si>
  <si>
    <t xml:space="preserve">ODL102265</t>
  </si>
  <si>
    <t xml:space="preserve">IMP-HL4-342</t>
  </si>
  <si>
    <t xml:space="preserve">ODL102151</t>
  </si>
  <si>
    <t xml:space="preserve">ODL102014</t>
  </si>
  <si>
    <t xml:space="preserve">IMP-CT2-157</t>
  </si>
  <si>
    <t xml:space="preserve">ODL103957</t>
  </si>
  <si>
    <t xml:space="preserve">IMP-SV8-095</t>
  </si>
  <si>
    <t xml:space="preserve">ODL103765</t>
  </si>
  <si>
    <t xml:space="preserve">ODL103868</t>
  </si>
  <si>
    <t xml:space="preserve">ODL100418</t>
  </si>
  <si>
    <t xml:space="preserve">ODL100839</t>
  </si>
  <si>
    <t xml:space="preserve">ODL103314</t>
  </si>
  <si>
    <t xml:space="preserve">ODL104056</t>
  </si>
  <si>
    <t xml:space="preserve">ODL102347</t>
  </si>
  <si>
    <t xml:space="preserve">ODL103496</t>
  </si>
  <si>
    <t xml:space="preserve">IMP-TS1-182</t>
  </si>
  <si>
    <t xml:space="preserve">ODL103855</t>
  </si>
  <si>
    <t xml:space="preserve">IMP-TN0-105</t>
  </si>
  <si>
    <t xml:space="preserve">ODL101813</t>
  </si>
  <si>
    <t xml:space="preserve">ODL103977</t>
  </si>
  <si>
    <t xml:space="preserve">IMP-CD7-174</t>
  </si>
  <si>
    <t xml:space="preserve">ODL102688</t>
  </si>
  <si>
    <t xml:space="preserve">ODL102801</t>
  </si>
  <si>
    <t xml:space="preserve">ODL101320</t>
  </si>
  <si>
    <t xml:space="preserve">IMP-CD7-321</t>
  </si>
  <si>
    <t xml:space="preserve">ODL100183</t>
  </si>
  <si>
    <t xml:space="preserve">ODL100385</t>
  </si>
  <si>
    <t xml:space="preserve">ODL103831</t>
  </si>
  <si>
    <t xml:space="preserve">IMP-TN0-247</t>
  </si>
  <si>
    <t xml:space="preserve">ODL100915</t>
  </si>
  <si>
    <t xml:space="preserve">ODL100532</t>
  </si>
  <si>
    <t xml:space="preserve">ODL103351</t>
  </si>
  <si>
    <t xml:space="preserve">ODL102840</t>
  </si>
  <si>
    <t xml:space="preserve">ODL103197</t>
  </si>
  <si>
    <t xml:space="preserve">IMP-PP6-076</t>
  </si>
  <si>
    <t xml:space="preserve">ODL100675</t>
  </si>
  <si>
    <t xml:space="preserve">ODL100347</t>
  </si>
  <si>
    <t xml:space="preserve">ODL102221</t>
  </si>
  <si>
    <t xml:space="preserve">ODL101155</t>
  </si>
  <si>
    <t xml:space="preserve">ODL103810</t>
  </si>
  <si>
    <t xml:space="preserve">IMP-PP6-136</t>
  </si>
  <si>
    <t xml:space="preserve">ODL101491</t>
  </si>
  <si>
    <t xml:space="preserve">ODL103428</t>
  </si>
  <si>
    <t xml:space="preserve">ODL100483</t>
  </si>
  <si>
    <t xml:space="preserve">IMP-SV8-114</t>
  </si>
  <si>
    <t xml:space="preserve">ODL102578</t>
  </si>
  <si>
    <t xml:space="preserve">ODL102406</t>
  </si>
  <si>
    <t xml:space="preserve">ODL101926</t>
  </si>
  <si>
    <t xml:space="preserve">ODL101248</t>
  </si>
  <si>
    <t xml:space="preserve">ODL102703</t>
  </si>
  <si>
    <t xml:space="preserve">ODL102413</t>
  </si>
  <si>
    <t xml:space="preserve">ODL102950</t>
  </si>
  <si>
    <t xml:space="preserve">ODL100720</t>
  </si>
  <si>
    <t xml:space="preserve">ODL102854</t>
  </si>
  <si>
    <t xml:space="preserve">ODL100409</t>
  </si>
  <si>
    <t xml:space="preserve">ODL103051</t>
  </si>
  <si>
    <t xml:space="preserve">ODL101516</t>
  </si>
  <si>
    <t xml:space="preserve">ODL100258</t>
  </si>
  <si>
    <t xml:space="preserve">IMP-HL4-079</t>
  </si>
  <si>
    <t xml:space="preserve">ODL103668</t>
  </si>
  <si>
    <t xml:space="preserve">IMP-CT3-093</t>
  </si>
  <si>
    <t xml:space="preserve">ODL100533</t>
  </si>
  <si>
    <t xml:space="preserve">ODL104166</t>
  </si>
  <si>
    <t xml:space="preserve">IMP-TN0-121</t>
  </si>
  <si>
    <t xml:space="preserve">ODL103666</t>
  </si>
  <si>
    <t xml:space="preserve">ODL103770</t>
  </si>
  <si>
    <t xml:space="preserve">ODL101773</t>
  </si>
  <si>
    <t xml:space="preserve">ODL102493</t>
  </si>
  <si>
    <t xml:space="preserve">ODL100252</t>
  </si>
  <si>
    <t xml:space="preserve">ODL103733</t>
  </si>
  <si>
    <t xml:space="preserve">ODL104075</t>
  </si>
  <si>
    <t xml:space="preserve">ODL100887</t>
  </si>
  <si>
    <t xml:space="preserve">ODL100838</t>
  </si>
  <si>
    <t xml:space="preserve">IMP-FF9-069</t>
  </si>
  <si>
    <t xml:space="preserve">ODL104093</t>
  </si>
  <si>
    <t xml:space="preserve">ODL100860</t>
  </si>
  <si>
    <t xml:space="preserve">IMP-HL4-234</t>
  </si>
  <si>
    <t xml:space="preserve">ODL103672</t>
  </si>
  <si>
    <t xml:space="preserve">ODL101375</t>
  </si>
  <si>
    <t xml:space="preserve">ODL100417</t>
  </si>
  <si>
    <t xml:space="preserve">IMP-CT3-055</t>
  </si>
  <si>
    <t xml:space="preserve">ODL103062</t>
  </si>
  <si>
    <t xml:space="preserve">ODL104183</t>
  </si>
  <si>
    <t xml:space="preserve">ODL101295</t>
  </si>
  <si>
    <t xml:space="preserve">ODL102707</t>
  </si>
  <si>
    <t xml:space="preserve">ODL100573</t>
  </si>
  <si>
    <t xml:space="preserve">ODL101042</t>
  </si>
  <si>
    <t xml:space="preserve">ODL100275</t>
  </si>
  <si>
    <t xml:space="preserve">ODL100625</t>
  </si>
  <si>
    <t xml:space="preserve">ODL103414</t>
  </si>
  <si>
    <t xml:space="preserve">ODL103432</t>
  </si>
  <si>
    <t xml:space="preserve">ODL101749</t>
  </si>
  <si>
    <t xml:space="preserve">ODL102772</t>
  </si>
  <si>
    <t xml:space="preserve">ODL102281</t>
  </si>
  <si>
    <t xml:space="preserve">ODL100714</t>
  </si>
  <si>
    <t xml:space="preserve">ODL102041</t>
  </si>
  <si>
    <t xml:space="preserve">ODL102856</t>
  </si>
  <si>
    <t xml:space="preserve">ODL101496</t>
  </si>
  <si>
    <t xml:space="preserve">ODL100998</t>
  </si>
  <si>
    <t xml:space="preserve">ODL103554</t>
  </si>
  <si>
    <t xml:space="preserve">ODL100601</t>
  </si>
  <si>
    <t xml:space="preserve">ODL102695</t>
  </si>
  <si>
    <t xml:space="preserve">ODL101321</t>
  </si>
  <si>
    <t xml:space="preserve">IMP-TN0-074</t>
  </si>
  <si>
    <t xml:space="preserve">ODL100582</t>
  </si>
  <si>
    <t xml:space="preserve">ODL103296</t>
  </si>
  <si>
    <t xml:space="preserve">ODL103063</t>
  </si>
  <si>
    <t xml:space="preserve">ODL102871</t>
  </si>
  <si>
    <t xml:space="preserve">IMP-SB5-026</t>
  </si>
  <si>
    <t xml:space="preserve">ODL100138</t>
  </si>
  <si>
    <t xml:space="preserve">ODL101119</t>
  </si>
  <si>
    <t xml:space="preserve">ODL102057</t>
  </si>
  <si>
    <t xml:space="preserve">IMP-CD7-125</t>
  </si>
  <si>
    <t xml:space="preserve">ODL100211</t>
  </si>
  <si>
    <t xml:space="preserve">ODL100361</t>
  </si>
  <si>
    <t xml:space="preserve">IMP-HL4-347</t>
  </si>
  <si>
    <t xml:space="preserve">ODL102357</t>
  </si>
  <si>
    <t xml:space="preserve">ODL100301</t>
  </si>
  <si>
    <t xml:space="preserve">ODL101939</t>
  </si>
  <si>
    <t xml:space="preserve">ODL100354</t>
  </si>
  <si>
    <t xml:space="preserve">ODL100696</t>
  </si>
  <si>
    <t xml:space="preserve">IMP-SV8-015</t>
  </si>
  <si>
    <t xml:space="preserve">ODL102769</t>
  </si>
  <si>
    <t xml:space="preserve">ODL100845</t>
  </si>
  <si>
    <t xml:space="preserve">IMP-CD7-039</t>
  </si>
  <si>
    <t xml:space="preserve">ODL101613</t>
  </si>
  <si>
    <t xml:space="preserve">ODL101832</t>
  </si>
  <si>
    <t xml:space="preserve">ODL101836</t>
  </si>
  <si>
    <t xml:space="preserve">ODL100369</t>
  </si>
  <si>
    <t xml:space="preserve">ODL101920</t>
  </si>
  <si>
    <t xml:space="preserve">IMP-SV8-111</t>
  </si>
  <si>
    <t xml:space="preserve">ODL103365</t>
  </si>
  <si>
    <t xml:space="preserve">ODL103988</t>
  </si>
  <si>
    <t xml:space="preserve">ODL102266</t>
  </si>
  <si>
    <t xml:space="preserve">ODL101077</t>
  </si>
  <si>
    <t xml:space="preserve">ODL102828</t>
  </si>
  <si>
    <t xml:space="preserve">ODL103662</t>
  </si>
  <si>
    <t xml:space="preserve">ODL100048</t>
  </si>
  <si>
    <t xml:space="preserve">ODL100948</t>
  </si>
  <si>
    <t xml:space="preserve">IMP-TS1-128</t>
  </si>
  <si>
    <t xml:space="preserve">ODL104029</t>
  </si>
  <si>
    <t xml:space="preserve">ODL102901</t>
  </si>
  <si>
    <t xml:space="preserve">ODL102867</t>
  </si>
  <si>
    <t xml:space="preserve">ODL101014</t>
  </si>
  <si>
    <t xml:space="preserve">IMP-TS1-152</t>
  </si>
  <si>
    <t xml:space="preserve">ODL103998</t>
  </si>
  <si>
    <t xml:space="preserve">ODL102202</t>
  </si>
  <si>
    <t xml:space="preserve">ODL102633</t>
  </si>
  <si>
    <t xml:space="preserve">ODL100819</t>
  </si>
  <si>
    <t xml:space="preserve">ODL102872</t>
  </si>
  <si>
    <t xml:space="preserve">ODL103962</t>
  </si>
  <si>
    <t xml:space="preserve">ODL103517</t>
  </si>
  <si>
    <t xml:space="preserve">IMP-HL4-136</t>
  </si>
  <si>
    <t xml:space="preserve">ODL101178</t>
  </si>
  <si>
    <t xml:space="preserve">ODL100007</t>
  </si>
  <si>
    <t xml:space="preserve">ODL103191</t>
  </si>
  <si>
    <t xml:space="preserve">ODL103901</t>
  </si>
  <si>
    <t xml:space="preserve">ODL103816</t>
  </si>
  <si>
    <t xml:space="preserve">ODL103523</t>
  </si>
  <si>
    <t xml:space="preserve">ODL102468</t>
  </si>
  <si>
    <t xml:space="preserve">IMP-HL4-150</t>
  </si>
  <si>
    <t xml:space="preserve">ODL100788</t>
  </si>
  <si>
    <t xml:space="preserve">ODL101492</t>
  </si>
  <si>
    <t xml:space="preserve">ODL102186</t>
  </si>
  <si>
    <t xml:space="preserve">ODL102588</t>
  </si>
  <si>
    <t xml:space="preserve">IMP-CT3-027</t>
  </si>
  <si>
    <t xml:space="preserve">ODL102066</t>
  </si>
  <si>
    <t xml:space="preserve">IMP-CT2-079</t>
  </si>
  <si>
    <t xml:space="preserve">ODL103455</t>
  </si>
  <si>
    <t xml:space="preserve">ODL102218</t>
  </si>
  <si>
    <t xml:space="preserve">ODL100323</t>
  </si>
  <si>
    <t xml:space="preserve">ODL100082</t>
  </si>
  <si>
    <t xml:space="preserve">ODL103671</t>
  </si>
  <si>
    <t xml:space="preserve">ODL103651</t>
  </si>
  <si>
    <t xml:space="preserve">ODL100355</t>
  </si>
  <si>
    <t xml:space="preserve">IMP-HL4-070</t>
  </si>
  <si>
    <t xml:space="preserve">ODL100829</t>
  </si>
  <si>
    <t xml:space="preserve">ODL100692</t>
  </si>
  <si>
    <t xml:space="preserve">ODL100513</t>
  </si>
  <si>
    <t xml:space="preserve">ODL103811</t>
  </si>
  <si>
    <t xml:space="preserve">ODL103922</t>
  </si>
  <si>
    <t xml:space="preserve">ODL103006</t>
  </si>
  <si>
    <t xml:space="preserve">ODL100623</t>
  </si>
  <si>
    <t xml:space="preserve">IMP-TN0-050</t>
  </si>
  <si>
    <t xml:space="preserve">ODL100471</t>
  </si>
  <si>
    <t xml:space="preserve">ODL100624</t>
  </si>
  <si>
    <t xml:space="preserve">IMP-CD7-113</t>
  </si>
  <si>
    <t xml:space="preserve">ODL101063</t>
  </si>
  <si>
    <t xml:space="preserve">IMP-TS1-189</t>
  </si>
  <si>
    <t xml:space="preserve">ODL101444</t>
  </si>
  <si>
    <t xml:space="preserve">ODL103488</t>
  </si>
  <si>
    <t xml:space="preserve">ODL100661</t>
  </si>
  <si>
    <t xml:space="preserve">ODL102890</t>
  </si>
  <si>
    <t xml:space="preserve">ODL104073</t>
  </si>
  <si>
    <t xml:space="preserve">ODL103858</t>
  </si>
  <si>
    <t xml:space="preserve">ODL100249</t>
  </si>
  <si>
    <t xml:space="preserve">ODL101758</t>
  </si>
  <si>
    <t xml:space="preserve">ODL103577</t>
  </si>
  <si>
    <t xml:space="preserve">ODL104032</t>
  </si>
  <si>
    <t xml:space="preserve">IMP-TS1-143</t>
  </si>
  <si>
    <t xml:space="preserve">ODL103515</t>
  </si>
  <si>
    <t xml:space="preserve">ODL102166</t>
  </si>
  <si>
    <t xml:space="preserve">ODL101765</t>
  </si>
  <si>
    <t xml:space="preserve">ODL101574</t>
  </si>
  <si>
    <t xml:space="preserve">ODL100509</t>
  </si>
  <si>
    <t xml:space="preserve">ODL100139</t>
  </si>
  <si>
    <t xml:space="preserve">ODL101879</t>
  </si>
  <si>
    <t xml:space="preserve">IMP-TS1-176</t>
  </si>
  <si>
    <t xml:space="preserve">ODL103751</t>
  </si>
  <si>
    <t xml:space="preserve">ODL102500</t>
  </si>
  <si>
    <t xml:space="preserve">IMP-SB5-051</t>
  </si>
  <si>
    <t xml:space="preserve">ODL101996</t>
  </si>
  <si>
    <t xml:space="preserve">ODL102934</t>
  </si>
  <si>
    <t xml:space="preserve">ODL103512</t>
  </si>
  <si>
    <t xml:space="preserve">ODL103410</t>
  </si>
  <si>
    <t xml:space="preserve">ODL102174</t>
  </si>
  <si>
    <t xml:space="preserve">IMP-CD7-049</t>
  </si>
  <si>
    <t xml:space="preserve">ODL102470</t>
  </si>
  <si>
    <t xml:space="preserve">ODL103580</t>
  </si>
  <si>
    <t xml:space="preserve">ODL102394</t>
  </si>
  <si>
    <t xml:space="preserve">ODL102440</t>
  </si>
  <si>
    <t xml:space="preserve">ODL102268</t>
  </si>
  <si>
    <t xml:space="preserve">ODL101314</t>
  </si>
  <si>
    <t xml:space="preserve">IMP-CT3-155</t>
  </si>
  <si>
    <t xml:space="preserve">ODL100766</t>
  </si>
  <si>
    <t xml:space="preserve">ODL100913</t>
  </si>
  <si>
    <t xml:space="preserve">ODL100114</t>
  </si>
  <si>
    <t xml:space="preserve">IMP-TN0-122</t>
  </si>
  <si>
    <t xml:space="preserve">ODL102764</t>
  </si>
  <si>
    <t xml:space="preserve">ODL100372</t>
  </si>
  <si>
    <t xml:space="preserve">ODL101307</t>
  </si>
  <si>
    <t xml:space="preserve">ODL103886</t>
  </si>
  <si>
    <t xml:space="preserve">IMP-SB5-018</t>
  </si>
  <si>
    <t xml:space="preserve">ODL100247</t>
  </si>
  <si>
    <t xml:space="preserve">ODL101991</t>
  </si>
  <si>
    <t xml:space="preserve">ODL102323</t>
  </si>
  <si>
    <t xml:space="preserve">ODL100309</t>
  </si>
  <si>
    <t xml:space="preserve">ODL102075</t>
  </si>
  <si>
    <t xml:space="preserve">ODL103522</t>
  </si>
  <si>
    <t xml:space="preserve">IMP-TN0-139</t>
  </si>
  <si>
    <t xml:space="preserve">ODL102627</t>
  </si>
  <si>
    <t xml:space="preserve">ODL102207</t>
  </si>
  <si>
    <t xml:space="preserve">ODL101437</t>
  </si>
  <si>
    <t xml:space="preserve">ODL103333</t>
  </si>
  <si>
    <t xml:space="preserve">ODL101865</t>
  </si>
  <si>
    <t xml:space="preserve">ODL100740</t>
  </si>
  <si>
    <t xml:space="preserve">ODL102490</t>
  </si>
  <si>
    <t xml:space="preserve">IMP-TS1-107</t>
  </si>
  <si>
    <t xml:space="preserve">ODL104062</t>
  </si>
  <si>
    <t xml:space="preserve">IMP-SB5-046</t>
  </si>
  <si>
    <t xml:space="preserve">ODL100448</t>
  </si>
  <si>
    <t xml:space="preserve">ODL103897</t>
  </si>
  <si>
    <t xml:space="preserve">ODL102527</t>
  </si>
  <si>
    <t xml:space="preserve">ODL102829</t>
  </si>
  <si>
    <t xml:space="preserve">ODL103590</t>
  </si>
  <si>
    <t xml:space="preserve">ODL103093</t>
  </si>
  <si>
    <t xml:space="preserve">ODL100786</t>
  </si>
  <si>
    <t xml:space="preserve">ODL100317</t>
  </si>
  <si>
    <t xml:space="preserve">ODL100414</t>
  </si>
  <si>
    <t xml:space="preserve">ODL100217</t>
  </si>
  <si>
    <t xml:space="preserve">ODL101721</t>
  </si>
  <si>
    <t xml:space="preserve">ODL100100</t>
  </si>
  <si>
    <t xml:space="preserve">ODL100164</t>
  </si>
  <si>
    <t xml:space="preserve">ODL101937</t>
  </si>
  <si>
    <t xml:space="preserve">ODL101594</t>
  </si>
  <si>
    <t xml:space="preserve">IMP-CT2-098</t>
  </si>
  <si>
    <t xml:space="preserve">ODL103337</t>
  </si>
  <si>
    <t xml:space="preserve">ODL103541</t>
  </si>
  <si>
    <t xml:space="preserve">ODL103711</t>
  </si>
  <si>
    <t xml:space="preserve">ODL104011</t>
  </si>
  <si>
    <t xml:space="preserve">ODL101604</t>
  </si>
  <si>
    <t xml:space="preserve">ODL101918</t>
  </si>
  <si>
    <t xml:space="preserve">ODL103155</t>
  </si>
  <si>
    <t xml:space="preserve">ODL104070</t>
  </si>
  <si>
    <t xml:space="preserve">ODL102595</t>
  </si>
  <si>
    <t xml:space="preserve">ODL100305</t>
  </si>
  <si>
    <t xml:space="preserve">ODL101993</t>
  </si>
  <si>
    <t xml:space="preserve">ODL100289</t>
  </si>
  <si>
    <t xml:space="preserve">ODL102005</t>
  </si>
  <si>
    <t xml:space="preserve">IMP-TS1-237</t>
  </si>
  <si>
    <t xml:space="preserve">ODL100131</t>
  </si>
  <si>
    <t xml:space="preserve">ODL101702</t>
  </si>
  <si>
    <t xml:space="preserve">ODL102037</t>
  </si>
  <si>
    <t xml:space="preserve">ODL102606</t>
  </si>
  <si>
    <t xml:space="preserve">ODL103598</t>
  </si>
  <si>
    <t xml:space="preserve">ODL100609</t>
  </si>
  <si>
    <t xml:space="preserve">ODL103100</t>
  </si>
  <si>
    <t xml:space="preserve">ODL103968</t>
  </si>
  <si>
    <t xml:space="preserve">ODL102301</t>
  </si>
  <si>
    <t xml:space="preserve">ODL102679</t>
  </si>
  <si>
    <t xml:space="preserve">ODL100473</t>
  </si>
  <si>
    <t xml:space="preserve">ODL103625</t>
  </si>
  <si>
    <t xml:space="preserve">ODL103752</t>
  </si>
  <si>
    <t xml:space="preserve">IMP-TS1-105</t>
  </si>
  <si>
    <t xml:space="preserve">ODL103310</t>
  </si>
  <si>
    <t xml:space="preserve">ODL100049</t>
  </si>
  <si>
    <t xml:space="preserve">ODL101391</t>
  </si>
  <si>
    <t xml:space="preserve">IMP-CD7-168</t>
  </si>
  <si>
    <t xml:space="preserve">ODL101927</t>
  </si>
  <si>
    <t xml:space="preserve">ODL104042</t>
  </si>
  <si>
    <t xml:space="preserve">IMP-HL4-204</t>
  </si>
  <si>
    <t xml:space="preserve">ODL101659</t>
  </si>
  <si>
    <t xml:space="preserve">ODL104071</t>
  </si>
  <si>
    <t xml:space="preserve">ODL104080</t>
  </si>
  <si>
    <t xml:space="preserve">ODL101673</t>
  </si>
  <si>
    <t xml:space="preserve">IMP-PP6-037</t>
  </si>
  <si>
    <t xml:space="preserve">ODL102642</t>
  </si>
  <si>
    <t xml:space="preserve">IMP-CD7-146</t>
  </si>
  <si>
    <t xml:space="preserve">ODL100679</t>
  </si>
  <si>
    <t xml:space="preserve">ODL101499</t>
  </si>
  <si>
    <t xml:space="preserve">IMP-CD7-192</t>
  </si>
  <si>
    <t xml:space="preserve">ODL102240</t>
  </si>
  <si>
    <t xml:space="preserve">IMP-CD7-030</t>
  </si>
  <si>
    <t xml:space="preserve">ODL101303</t>
  </si>
  <si>
    <t xml:space="preserve">ODL103546</t>
  </si>
  <si>
    <t xml:space="preserve">ODL101676</t>
  </si>
  <si>
    <t xml:space="preserve">ODL101692</t>
  </si>
  <si>
    <t xml:space="preserve">ODL100643</t>
  </si>
  <si>
    <t xml:space="preserve">ODL103697</t>
  </si>
  <si>
    <t xml:space="preserve">ODL103764</t>
  </si>
  <si>
    <t xml:space="preserve">ODL100419</t>
  </si>
  <si>
    <t xml:space="preserve">ODL102494</t>
  </si>
  <si>
    <t xml:space="preserve">ODL100265</t>
  </si>
  <si>
    <t xml:space="preserve">ODL102883</t>
  </si>
  <si>
    <t xml:space="preserve">ODL101269</t>
  </si>
  <si>
    <t xml:space="preserve">IMP-PP6-067</t>
  </si>
  <si>
    <t xml:space="preserve">ODL100281</t>
  </si>
  <si>
    <t xml:space="preserve">ODL101936</t>
  </si>
  <si>
    <t xml:space="preserve">IMP-SV8-143</t>
  </si>
  <si>
    <t xml:space="preserve">ODL102109</t>
  </si>
  <si>
    <t xml:space="preserve">ODL100110</t>
  </si>
  <si>
    <t xml:space="preserve">IMP-HL4-112</t>
  </si>
  <si>
    <t xml:space="preserve">ODL102412</t>
  </si>
  <si>
    <t xml:space="preserve">ODL101561</t>
  </si>
  <si>
    <t xml:space="preserve">ODL102631</t>
  </si>
  <si>
    <t xml:space="preserve">ODL103102</t>
  </si>
  <si>
    <t xml:space="preserve">ODL102176</t>
  </si>
  <si>
    <t xml:space="preserve">ODL104198</t>
  </si>
  <si>
    <t xml:space="preserve">ODL100146</t>
  </si>
  <si>
    <t xml:space="preserve">ODL102172</t>
  </si>
  <si>
    <t xml:space="preserve">ODL101665</t>
  </si>
  <si>
    <t xml:space="preserve">ODL100447</t>
  </si>
  <si>
    <t xml:space="preserve">ODL103226</t>
  </si>
  <si>
    <t xml:space="preserve">ODL101733</t>
  </si>
  <si>
    <t xml:space="preserve">ODL103263</t>
  </si>
  <si>
    <t xml:space="preserve">ODL101901</t>
  </si>
  <si>
    <t xml:space="preserve">ODL100926</t>
  </si>
  <si>
    <t xml:space="preserve">ODL102908</t>
  </si>
  <si>
    <t xml:space="preserve">IMP-HL4-024</t>
  </si>
  <si>
    <t xml:space="preserve">ODL100837</t>
  </si>
  <si>
    <t xml:space="preserve">ODL101784</t>
  </si>
  <si>
    <t xml:space="preserve">ODL102968</t>
  </si>
  <si>
    <t xml:space="preserve">ODL100556</t>
  </si>
  <si>
    <t xml:space="preserve">ODL101015</t>
  </si>
  <si>
    <t xml:space="preserve">ODL101310</t>
  </si>
  <si>
    <t xml:space="preserve">ODL103370</t>
  </si>
  <si>
    <t xml:space="preserve">ODL101090</t>
  </si>
  <si>
    <t xml:space="preserve">ODL101567</t>
  </si>
  <si>
    <t xml:space="preserve">IMP-CD7-157</t>
  </si>
  <si>
    <t xml:space="preserve">ODL103418</t>
  </si>
  <si>
    <t xml:space="preserve">IMP-TN0-176</t>
  </si>
  <si>
    <t xml:space="preserve">ODL102138</t>
  </si>
  <si>
    <t xml:space="preserve">IMP-TN0-303</t>
  </si>
  <si>
    <t xml:space="preserve">ODL102784</t>
  </si>
  <si>
    <t xml:space="preserve">ODL100016</t>
  </si>
  <si>
    <t xml:space="preserve">ODL101967</t>
  </si>
  <si>
    <t xml:space="preserve">ODL100143</t>
  </si>
  <si>
    <t xml:space="preserve">IMP-SB5-086</t>
  </si>
  <si>
    <t xml:space="preserve">ODL101941</t>
  </si>
  <si>
    <t xml:space="preserve">IMP-SV8-173</t>
  </si>
  <si>
    <t xml:space="preserve">ODL101073</t>
  </si>
  <si>
    <t xml:space="preserve">IMP-TN0-217</t>
  </si>
  <si>
    <t xml:space="preserve">ODL101460</t>
  </si>
  <si>
    <t xml:space="preserve">ODL102117</t>
  </si>
  <si>
    <t xml:space="preserve">ODL103676</t>
  </si>
  <si>
    <t xml:space="preserve">IMP-CD7-102</t>
  </si>
  <si>
    <t xml:space="preserve">ODL102485</t>
  </si>
  <si>
    <t xml:space="preserve">ODL101306</t>
  </si>
  <si>
    <t xml:space="preserve">ODL104018</t>
  </si>
  <si>
    <t xml:space="preserve">ODL101327</t>
  </si>
  <si>
    <t xml:space="preserve">ODL103154</t>
  </si>
  <si>
    <t xml:space="preserve">ODL100314</t>
  </si>
  <si>
    <t xml:space="preserve">ODL100310</t>
  </si>
  <si>
    <t xml:space="preserve">IMP-CD7-073</t>
  </si>
  <si>
    <t xml:space="preserve">ODL102092</t>
  </si>
  <si>
    <t xml:space="preserve">ODL100144</t>
  </si>
  <si>
    <t xml:space="preserve">ODL102976</t>
  </si>
  <si>
    <t xml:space="preserve">ODL102187</t>
  </si>
  <si>
    <t xml:space="preserve">ODL101197</t>
  </si>
  <si>
    <t xml:space="preserve">ODL103848</t>
  </si>
  <si>
    <t xml:space="preserve">ODL100130</t>
  </si>
  <si>
    <t xml:space="preserve">ODL102476</t>
  </si>
  <si>
    <t xml:space="preserve">ODL100859</t>
  </si>
  <si>
    <t xml:space="preserve">ODL103942</t>
  </si>
  <si>
    <t xml:space="preserve">ODL100097</t>
  </si>
  <si>
    <t xml:space="preserve">ODL103066</t>
  </si>
  <si>
    <t xml:space="preserve">ODL101376</t>
  </si>
  <si>
    <t xml:space="preserve">ODL100987</t>
  </si>
  <si>
    <t xml:space="preserve">ODL103180</t>
  </si>
  <si>
    <t xml:space="preserve">IMP-TN0-215</t>
  </si>
  <si>
    <t xml:space="preserve">ODL101166</t>
  </si>
  <si>
    <t xml:space="preserve">IMP-CD7-190</t>
  </si>
  <si>
    <t xml:space="preserve">ODL103331</t>
  </si>
  <si>
    <t xml:space="preserve">ODL100577</t>
  </si>
  <si>
    <t xml:space="preserve">ODL101931</t>
  </si>
  <si>
    <t xml:space="preserve">ODL103157</t>
  </si>
  <si>
    <t xml:space="preserve">ODL100253</t>
  </si>
  <si>
    <t xml:space="preserve">ODL101473</t>
  </si>
  <si>
    <t xml:space="preserve">ODL102122</t>
  </si>
  <si>
    <t xml:space="preserve">ODL102622</t>
  </si>
  <si>
    <t xml:space="preserve">ODL103645</t>
  </si>
  <si>
    <t xml:space="preserve">ODL102765</t>
  </si>
  <si>
    <t xml:space="preserve">IMP-HL4-318</t>
  </si>
  <si>
    <t xml:space="preserve">ODL103485</t>
  </si>
  <si>
    <t xml:space="preserve">ODL100938</t>
  </si>
  <si>
    <t xml:space="preserve">ODL102045</t>
  </si>
  <si>
    <t xml:space="preserve">IMP-SV8-140</t>
  </si>
  <si>
    <t xml:space="preserve">ODL103561</t>
  </si>
  <si>
    <t xml:space="preserve">ODL100858</t>
  </si>
  <si>
    <t xml:space="preserve">ODL102615</t>
  </si>
  <si>
    <t xml:space="preserve">IMP-TN0-130</t>
  </si>
  <si>
    <t xml:space="preserve">ODL100086</t>
  </si>
  <si>
    <t xml:space="preserve">IMP-TS1-059</t>
  </si>
  <si>
    <t xml:space="preserve">ODL102420</t>
  </si>
  <si>
    <t xml:space="preserve">ODL103272</t>
  </si>
  <si>
    <t xml:space="preserve">ODL100267</t>
  </si>
  <si>
    <t xml:space="preserve">ODL103525</t>
  </si>
  <si>
    <t xml:space="preserve">ODL102466</t>
  </si>
  <si>
    <t xml:space="preserve">ODL100745</t>
  </si>
  <si>
    <t xml:space="preserve">ODL101757</t>
  </si>
  <si>
    <t xml:space="preserve">ODL100213</t>
  </si>
  <si>
    <t xml:space="preserve">IMP-SV8-147</t>
  </si>
  <si>
    <t xml:space="preserve">ODL101530</t>
  </si>
  <si>
    <t xml:space="preserve">ODL100393</t>
  </si>
  <si>
    <t xml:space="preserve">ODL102497</t>
  </si>
  <si>
    <t xml:space="preserve">IMP-CD7-324</t>
  </si>
  <si>
    <t xml:space="preserve">ODL103088</t>
  </si>
  <si>
    <t xml:space="preserve">IMP-CD7-269</t>
  </si>
  <si>
    <t xml:space="preserve">ODL101519</t>
  </si>
  <si>
    <t xml:space="preserve">ODL101788</t>
  </si>
  <si>
    <t xml:space="preserve">ODL103188</t>
  </si>
  <si>
    <t xml:space="preserve">ODL103562</t>
  </si>
  <si>
    <t xml:space="preserve">ODL100897</t>
  </si>
  <si>
    <t xml:space="preserve">ODL101328</t>
  </si>
  <si>
    <t xml:space="preserve">ODL102654</t>
  </si>
  <si>
    <t xml:space="preserve">ODL100125</t>
  </si>
  <si>
    <t xml:space="preserve">IMP-HL4-174</t>
  </si>
  <si>
    <t xml:space="preserve">ODL100958</t>
  </si>
  <si>
    <t xml:space="preserve">ODL103720</t>
  </si>
  <si>
    <t xml:space="preserve">ODL101412</t>
  </si>
  <si>
    <t xml:space="preserve">ODL103144</t>
  </si>
  <si>
    <t xml:space="preserve">ODL100244</t>
  </si>
  <si>
    <t xml:space="preserve">IMP-SV8-190</t>
  </si>
  <si>
    <t xml:space="preserve">ODL102034</t>
  </si>
  <si>
    <t xml:space="preserve">IMP-SV8-131</t>
  </si>
  <si>
    <t xml:space="preserve">ODL101771</t>
  </si>
  <si>
    <t xml:space="preserve">ODL103947</t>
  </si>
  <si>
    <t xml:space="preserve">ODL103474</t>
  </si>
  <si>
    <t xml:space="preserve">ODL103059</t>
  </si>
  <si>
    <t xml:space="preserve">IMP-TS1-199</t>
  </si>
  <si>
    <t xml:space="preserve">ODL103633</t>
  </si>
  <si>
    <t xml:space="preserve">IMP-TN0-148</t>
  </si>
  <si>
    <t xml:space="preserve">ODL100730</t>
  </si>
  <si>
    <t xml:space="preserve">ODL101699</t>
  </si>
  <si>
    <t xml:space="preserve">IMP-TS1-195</t>
  </si>
  <si>
    <t xml:space="preserve">ODL103836</t>
  </si>
  <si>
    <t xml:space="preserve">ODL103256</t>
  </si>
  <si>
    <t xml:space="preserve">ODL103622</t>
  </si>
  <si>
    <t xml:space="preserve">ODL101881</t>
  </si>
  <si>
    <t xml:space="preserve">ODL102033</t>
  </si>
  <si>
    <t xml:space="preserve">ODL101760</t>
  </si>
  <si>
    <t xml:space="preserve">ODL103984</t>
  </si>
  <si>
    <t xml:space="preserve">ODL103246</t>
  </si>
  <si>
    <t xml:space="preserve">ODL103419</t>
  </si>
  <si>
    <t xml:space="preserve">ODL100145</t>
  </si>
  <si>
    <t xml:space="preserve">ODL102467</t>
  </si>
  <si>
    <t xml:space="preserve">ODL102082</t>
  </si>
  <si>
    <t xml:space="preserve">IMP-SV8-210</t>
  </si>
  <si>
    <t xml:space="preserve">ODL101830</t>
  </si>
  <si>
    <t xml:space="preserve">IMP-SB5-088</t>
  </si>
  <si>
    <t xml:space="preserve">ODL102873</t>
  </si>
  <si>
    <t xml:space="preserve">ODL101488</t>
  </si>
  <si>
    <t xml:space="preserve">ODL101611</t>
  </si>
  <si>
    <t xml:space="preserve">IMP-TN0-272</t>
  </si>
  <si>
    <t xml:space="preserve">ODL103588</t>
  </si>
  <si>
    <t xml:space="preserve">IMP-SV8-098</t>
  </si>
  <si>
    <t xml:space="preserve">ODL103799</t>
  </si>
  <si>
    <t xml:space="preserve">IMP-TN0-206</t>
  </si>
  <si>
    <t xml:space="preserve">ODL101254</t>
  </si>
  <si>
    <t xml:space="preserve">ODL103290</t>
  </si>
  <si>
    <t xml:space="preserve">ODL102030</t>
  </si>
  <si>
    <t xml:space="preserve">ODL101695</t>
  </si>
  <si>
    <t xml:space="preserve">ODL103647</t>
  </si>
  <si>
    <t xml:space="preserve">ODL101593</t>
  </si>
  <si>
    <t xml:space="preserve">ODL100189</t>
  </si>
  <si>
    <t xml:space="preserve">ODL102928</t>
  </si>
  <si>
    <t xml:space="preserve">ODL101089</t>
  </si>
  <si>
    <t xml:space="preserve">IMP-TN0-304</t>
  </si>
  <si>
    <t xml:space="preserve">ODL103819</t>
  </si>
  <si>
    <t xml:space="preserve">IMP-HL4-042</t>
  </si>
  <si>
    <t xml:space="preserve">ODL102555</t>
  </si>
  <si>
    <t xml:space="preserve">ODL101907</t>
  </si>
  <si>
    <t xml:space="preserve">IMP-TN0-250</t>
  </si>
  <si>
    <t xml:space="preserve">ODL101279</t>
  </si>
  <si>
    <t xml:space="preserve">ODL100660</t>
  </si>
  <si>
    <t xml:space="preserve">ODL102630</t>
  </si>
  <si>
    <t xml:space="preserve">ODL102599</t>
  </si>
  <si>
    <t xml:space="preserve">ODL102262</t>
  </si>
  <si>
    <t xml:space="preserve">ODL100334</t>
  </si>
  <si>
    <t xml:space="preserve">ODL100956</t>
  </si>
  <si>
    <t xml:space="preserve">ODL103249</t>
  </si>
  <si>
    <t xml:space="preserve">ODL102129</t>
  </si>
  <si>
    <t xml:space="preserve">ODL102337</t>
  </si>
  <si>
    <t xml:space="preserve">ODL103938</t>
  </si>
  <si>
    <t xml:space="preserve">IMP-CD7-253</t>
  </si>
  <si>
    <t xml:space="preserve">ODL101397</t>
  </si>
  <si>
    <t xml:space="preserve">ODL100727</t>
  </si>
  <si>
    <t xml:space="preserve">ODL103045</t>
  </si>
  <si>
    <t xml:space="preserve">ODL101550</t>
  </si>
  <si>
    <t xml:space="preserve">IMP-CD7-137</t>
  </si>
  <si>
    <t xml:space="preserve">ODL103324</t>
  </si>
  <si>
    <t xml:space="preserve">ODL100586</t>
  </si>
  <si>
    <t xml:space="preserve">IMP-CT2-100</t>
  </si>
  <si>
    <t xml:space="preserve">ODL100688</t>
  </si>
  <si>
    <t xml:space="preserve">IMP-CT2-051</t>
  </si>
  <si>
    <t xml:space="preserve">ODL100039</t>
  </si>
  <si>
    <t xml:space="preserve">ODL102876</t>
  </si>
  <si>
    <t xml:space="preserve">IMP-TS1-090</t>
  </si>
  <si>
    <t xml:space="preserve">ODL104000</t>
  </si>
  <si>
    <t xml:space="preserve">ODL103556</t>
  </si>
  <si>
    <t xml:space="preserve">ODL103307</t>
  </si>
  <si>
    <t xml:space="preserve">ODL102458</t>
  </si>
  <si>
    <t xml:space="preserve">IMP-CD7-199</t>
  </si>
  <si>
    <t xml:space="preserve">ODL101195</t>
  </si>
  <si>
    <t xml:space="preserve">IMP-CD7-020</t>
  </si>
  <si>
    <t xml:space="preserve">ODL100841</t>
  </si>
  <si>
    <t xml:space="preserve">ODL103892</t>
  </si>
  <si>
    <t xml:space="preserve">ODL100019</t>
  </si>
  <si>
    <t xml:space="preserve">ODL101260</t>
  </si>
  <si>
    <t xml:space="preserve">ODL103572</t>
  </si>
  <si>
    <t xml:space="preserve">IMP-HL4-385</t>
  </si>
  <si>
    <t xml:space="preserve">ODL100944</t>
  </si>
  <si>
    <t xml:space="preserve">ODL101226</t>
  </si>
  <si>
    <t xml:space="preserve">IMP-CD7-052</t>
  </si>
  <si>
    <t xml:space="preserve">ODL101728</t>
  </si>
  <si>
    <t xml:space="preserve">ODL101860</t>
  </si>
  <si>
    <t xml:space="preserve">ODL101849</t>
  </si>
  <si>
    <t xml:space="preserve">ODL103536</t>
  </si>
  <si>
    <t xml:space="preserve">ODL101017</t>
  </si>
  <si>
    <t xml:space="preserve">ODL102665</t>
  </si>
  <si>
    <t xml:space="preserve">ODL102031</t>
  </si>
  <si>
    <t xml:space="preserve">ODL103476</t>
  </si>
  <si>
    <t xml:space="preserve">ODL102715</t>
  </si>
  <si>
    <t xml:space="preserve">ODL101465</t>
  </si>
  <si>
    <t xml:space="preserve">ODL100538</t>
  </si>
  <si>
    <t xml:space="preserve">ODL101479</t>
  </si>
  <si>
    <t xml:space="preserve">IMP-TN0-075</t>
  </si>
  <si>
    <t xml:space="preserve">ODL101810</t>
  </si>
  <si>
    <t xml:space="preserve">ODL100787</t>
  </si>
  <si>
    <t xml:space="preserve">ODL101012</t>
  </si>
  <si>
    <t xml:space="preserve">ODL101895</t>
  </si>
  <si>
    <t xml:space="preserve">ODL100698</t>
  </si>
  <si>
    <t xml:space="preserve">ODL103948</t>
  </si>
  <si>
    <t xml:space="preserve">IMP-HL4-031</t>
  </si>
  <si>
    <t xml:space="preserve">ODL101649</t>
  </si>
  <si>
    <t xml:space="preserve">ODL102275</t>
  </si>
  <si>
    <t xml:space="preserve">ODL100959</t>
  </si>
  <si>
    <t xml:space="preserve">ODL100535</t>
  </si>
  <si>
    <t xml:space="preserve">ODL100054</t>
  </si>
  <si>
    <t xml:space="preserve">ODL100501</t>
  </si>
  <si>
    <t xml:space="preserve">ODL101361</t>
  </si>
  <si>
    <t xml:space="preserve">ODL100869</t>
  </si>
  <si>
    <t xml:space="preserve">ODL103316</t>
  </si>
  <si>
    <t xml:space="preserve">ODL102425</t>
  </si>
  <si>
    <t xml:space="preserve">IMP-SV8-220</t>
  </si>
  <si>
    <t xml:space="preserve">ODL101890</t>
  </si>
  <si>
    <t xml:space="preserve">ODL102178</t>
  </si>
  <si>
    <t xml:space="preserve">IMP-TN0-082</t>
  </si>
  <si>
    <t xml:space="preserve">ODL101059</t>
  </si>
  <si>
    <t xml:space="preserve">ODL102387</t>
  </si>
  <si>
    <t xml:space="preserve">ODL101559</t>
  </si>
  <si>
    <t xml:space="preserve">ODL102538</t>
  </si>
  <si>
    <t xml:space="preserve">ODL103535</t>
  </si>
  <si>
    <t xml:space="preserve">ODL100411</t>
  </si>
  <si>
    <t xml:space="preserve">ODL100518</t>
  </si>
  <si>
    <t xml:space="preserve">ODL102341</t>
  </si>
  <si>
    <t xml:space="preserve">ODL102831</t>
  </si>
  <si>
    <t xml:space="preserve">ODL102821</t>
  </si>
  <si>
    <t xml:space="preserve">IMP-TN0-034</t>
  </si>
  <si>
    <t xml:space="preserve">ODL103132</t>
  </si>
  <si>
    <t xml:space="preserve">ODL100084</t>
  </si>
  <si>
    <t xml:space="preserve">ODL100506</t>
  </si>
  <si>
    <t xml:space="preserve">IMP-TN0-199</t>
  </si>
  <si>
    <t xml:space="preserve">ODL101157</t>
  </si>
  <si>
    <t xml:space="preserve">IMP-TN0-038</t>
  </si>
  <si>
    <t xml:space="preserve">ODL102331</t>
  </si>
  <si>
    <t xml:space="preserve">ODL103987</t>
  </si>
  <si>
    <t xml:space="preserve">IMP-TS1-162</t>
  </si>
  <si>
    <t xml:space="preserve">ODL104030</t>
  </si>
  <si>
    <t xml:space="preserve">ODL101746</t>
  </si>
  <si>
    <t xml:space="preserve">ODL102504</t>
  </si>
  <si>
    <t xml:space="preserve">ODL102865</t>
  </si>
  <si>
    <t xml:space="preserve">ODL104143</t>
  </si>
  <si>
    <t xml:space="preserve">ODL104127</t>
  </si>
  <si>
    <t xml:space="preserve">IMP-CD7-210</t>
  </si>
  <si>
    <t xml:space="preserve">ODL102659</t>
  </si>
  <si>
    <t xml:space="preserve">ODL100684</t>
  </si>
  <si>
    <t xml:space="preserve">ODL102148</t>
  </si>
  <si>
    <t xml:space="preserve">ODL102501</t>
  </si>
  <si>
    <t xml:space="preserve">ODL102912</t>
  </si>
  <si>
    <t xml:space="preserve">ODL102369</t>
  </si>
  <si>
    <t xml:space="preserve">IMP-TN0-028</t>
  </si>
  <si>
    <t xml:space="preserve">ODL102479</t>
  </si>
  <si>
    <t xml:space="preserve">ODL102381</t>
  </si>
  <si>
    <t xml:space="preserve">ODL102962</t>
  </si>
  <si>
    <t xml:space="preserve">ODL100467</t>
  </si>
  <si>
    <t xml:space="preserve">ODL101363</t>
  </si>
  <si>
    <t xml:space="preserve">IMP-SV8-081</t>
  </si>
  <si>
    <t xml:space="preserve">ODL101074</t>
  </si>
  <si>
    <t xml:space="preserve">ODL102257</t>
  </si>
  <si>
    <t xml:space="preserve">ODL101814</t>
  </si>
  <si>
    <t xml:space="preserve">ODL100554</t>
  </si>
  <si>
    <t xml:space="preserve">ODL103322</t>
  </si>
  <si>
    <t xml:space="preserve">ODL103778</t>
  </si>
  <si>
    <t xml:space="preserve">ODL102921</t>
  </si>
  <si>
    <t xml:space="preserve">ODL100167</t>
  </si>
  <si>
    <t xml:space="preserve">IMP-TN0-208</t>
  </si>
  <si>
    <t xml:space="preserve">ODL100932</t>
  </si>
  <si>
    <t xml:space="preserve">ODL101866</t>
  </si>
  <si>
    <t xml:space="preserve">ODL104013</t>
  </si>
  <si>
    <t xml:space="preserve">IMP-HL4-049</t>
  </si>
  <si>
    <t xml:space="preserve">ODL103464</t>
  </si>
  <si>
    <t xml:space="preserve">IMP-CD7-191</t>
  </si>
  <si>
    <t xml:space="preserve">ODL103205</t>
  </si>
  <si>
    <t xml:space="preserve">ODL100637</t>
  </si>
  <si>
    <t xml:space="preserve">ODL102686</t>
  </si>
  <si>
    <t xml:space="preserve">ODL102757</t>
  </si>
  <si>
    <t xml:space="preserve">ODL101632</t>
  </si>
  <si>
    <t xml:space="preserve">IMP-HL4-239</t>
  </si>
  <si>
    <t xml:space="preserve">ODL101010</t>
  </si>
  <si>
    <t xml:space="preserve">IMP-HL4-238</t>
  </si>
  <si>
    <t xml:space="preserve">ODL101799</t>
  </si>
  <si>
    <t xml:space="preserve">ODL103073</t>
  </si>
  <si>
    <t xml:space="preserve">ODL102418</t>
  </si>
  <si>
    <t xml:space="preserve">ODL100940</t>
  </si>
  <si>
    <t xml:space="preserve">ODL100907</t>
  </si>
  <si>
    <t xml:space="preserve">ODL101962</t>
  </si>
  <si>
    <t xml:space="preserve">ODL101803</t>
  </si>
  <si>
    <t xml:space="preserve">ODL102026</t>
  </si>
  <si>
    <t xml:space="preserve">ODL102053</t>
  </si>
  <si>
    <t xml:space="preserve">ODL101134</t>
  </si>
  <si>
    <t xml:space="preserve">ODL103425</t>
  </si>
  <si>
    <t xml:space="preserve">ODL102246</t>
  </si>
  <si>
    <t xml:space="preserve">ODL101944</t>
  </si>
  <si>
    <t xml:space="preserve">ODL104026</t>
  </si>
  <si>
    <t xml:space="preserve">IMP-TN0-160</t>
  </si>
  <si>
    <t xml:space="preserve">ODL103818</t>
  </si>
  <si>
    <t xml:space="preserve">ODL100680</t>
  </si>
  <si>
    <t xml:space="preserve">ODL103964</t>
  </si>
  <si>
    <t xml:space="preserve">ODL100664</t>
  </si>
  <si>
    <t xml:space="preserve">ODL101661</t>
  </si>
  <si>
    <t xml:space="preserve">ODL103150</t>
  </si>
  <si>
    <t xml:space="preserve">ODL101198</t>
  </si>
  <si>
    <t xml:space="preserve">ODL102924</t>
  </si>
  <si>
    <t xml:space="preserve">ODL102816</t>
  </si>
  <si>
    <t xml:space="preserve">ODL102710</t>
  </si>
  <si>
    <t xml:space="preserve">ODL102095</t>
  </si>
  <si>
    <t xml:space="preserve">ODL100391</t>
  </si>
  <si>
    <t xml:space="preserve">IMP-CT2-083</t>
  </si>
  <si>
    <t xml:space="preserve">ODL100034</t>
  </si>
  <si>
    <t xml:space="preserve">ODL100572</t>
  </si>
  <si>
    <t xml:space="preserve">ODL101910</t>
  </si>
  <si>
    <t xml:space="preserve">ODL102612</t>
  </si>
  <si>
    <t xml:space="preserve">ODL101923</t>
  </si>
  <si>
    <t xml:space="preserve">ODL103095</t>
  </si>
  <si>
    <t xml:space="preserve">ODL101949</t>
  </si>
  <si>
    <t xml:space="preserve">ODL101800</t>
  </si>
  <si>
    <t xml:space="preserve">ODL100262</t>
  </si>
  <si>
    <t xml:space="preserve">IMP-SB5-076</t>
  </si>
  <si>
    <t xml:space="preserve">ODL100964</t>
  </si>
  <si>
    <t xml:space="preserve">ODL101638</t>
  </si>
  <si>
    <t xml:space="preserve">ODL101204</t>
  </si>
  <si>
    <t xml:space="preserve">ODL101128</t>
  </si>
  <si>
    <t xml:space="preserve">ODL103924</t>
  </si>
  <si>
    <t xml:space="preserve">IMP-HL4-400</t>
  </si>
  <si>
    <t xml:space="preserve">ODL103469</t>
  </si>
  <si>
    <t xml:space="preserve">ODL103292</t>
  </si>
  <si>
    <t xml:space="preserve">ODL100425</t>
  </si>
  <si>
    <t xml:space="preserve">ODL101477</t>
  </si>
  <si>
    <t xml:space="preserve">ODL101441</t>
  </si>
  <si>
    <t xml:space="preserve">ODL101082</t>
  </si>
  <si>
    <t xml:space="preserve">ODL100038</t>
  </si>
  <si>
    <t xml:space="preserve">ODL103575</t>
  </si>
  <si>
    <t xml:space="preserve">IMP-SB5-019</t>
  </si>
  <si>
    <t xml:space="preserve">ODL103809</t>
  </si>
  <si>
    <t xml:space="preserve">ODL100423</t>
  </si>
  <si>
    <t xml:space="preserve">IMP-TN0-202</t>
  </si>
  <si>
    <t xml:space="preserve">ODL100389</t>
  </si>
  <si>
    <t xml:space="preserve">ODL100639</t>
  </si>
  <si>
    <t xml:space="preserve">ODL102736</t>
  </si>
  <si>
    <t xml:space="preserve">ODL103775</t>
  </si>
  <si>
    <t xml:space="preserve">ODL100062</t>
  </si>
  <si>
    <t xml:space="preserve">ODL100099</t>
  </si>
  <si>
    <t xml:space="preserve">IMP-CD7-301</t>
  </si>
  <si>
    <t xml:space="preserve">ODL102594</t>
  </si>
  <si>
    <t xml:space="preserve">ODL103326</t>
  </si>
  <si>
    <t xml:space="preserve">ODL100149</t>
  </si>
  <si>
    <t xml:space="preserve">IMP-CT3-115</t>
  </si>
  <si>
    <t xml:space="preserve">ODL100009</t>
  </si>
  <si>
    <t xml:space="preserve">ODL100912</t>
  </si>
  <si>
    <t xml:space="preserve">ODL103366</t>
  </si>
  <si>
    <t xml:space="preserve">ODL100598</t>
  </si>
  <si>
    <t xml:space="preserve">IMP-TN0-156</t>
  </si>
  <si>
    <t xml:space="preserve">ODL100064</t>
  </si>
  <si>
    <t xml:space="preserve">ODL103029</t>
  </si>
  <si>
    <t xml:space="preserve">IMP-CT3-119</t>
  </si>
  <si>
    <t xml:space="preserve">ODL102395</t>
  </si>
  <si>
    <t xml:space="preserve">ODL100320</t>
  </si>
  <si>
    <t xml:space="preserve">ODL103826</t>
  </si>
  <si>
    <t xml:space="preserve">ODL101001</t>
  </si>
  <si>
    <t xml:space="preserve">ODL103166</t>
  </si>
  <si>
    <t xml:space="preserve">ODL102607</t>
  </si>
  <si>
    <t xml:space="preserve">ODL103889</t>
  </si>
  <si>
    <t xml:space="preserve">ODL103340</t>
  </si>
  <si>
    <t xml:space="preserve">ODL100068</t>
  </si>
  <si>
    <t xml:space="preserve">IMP-CT3-081</t>
  </si>
  <si>
    <t xml:space="preserve">ODL100980</t>
  </si>
  <si>
    <t xml:space="preserve">ODL103030</t>
  </si>
  <si>
    <t xml:space="preserve">IMP-CT2-162</t>
  </si>
  <si>
    <t xml:space="preserve">ODL101394</t>
  </si>
  <si>
    <t xml:space="preserve">ODL101132</t>
  </si>
  <si>
    <t xml:space="preserve">ODL100828</t>
  </si>
  <si>
    <t xml:space="preserve">ODL100713</t>
  </si>
  <si>
    <t xml:space="preserve">ODL102733</t>
  </si>
  <si>
    <t xml:space="preserve">IMP-HL4-053</t>
  </si>
  <si>
    <t xml:space="preserve">ODL102137</t>
  </si>
  <si>
    <t xml:space="preserve">ODL100814</t>
  </si>
  <si>
    <t xml:space="preserve">IMP-HL4-117</t>
  </si>
  <si>
    <t xml:space="preserve">ODL100104</t>
  </si>
  <si>
    <t xml:space="preserve">ODL103744</t>
  </si>
  <si>
    <t xml:space="preserve">ODL101624</t>
  </si>
  <si>
    <t xml:space="preserve">IMP-CD7-211</t>
  </si>
  <si>
    <t xml:space="preserve">ODL103798</t>
  </si>
  <si>
    <t xml:space="preserve">IMP-TN0-197</t>
  </si>
  <si>
    <t xml:space="preserve">ODL103090</t>
  </si>
  <si>
    <t xml:space="preserve">ODL101126</t>
  </si>
  <si>
    <t xml:space="preserve">ODL101149</t>
  </si>
  <si>
    <t xml:space="preserve">IMP-SB5-089</t>
  </si>
  <si>
    <t xml:space="preserve">ODL103604</t>
  </si>
  <si>
    <t xml:space="preserve">ODL101294</t>
  </si>
  <si>
    <t xml:space="preserve">IMP-HL4-382</t>
  </si>
  <si>
    <t xml:space="preserve">ODL102797</t>
  </si>
  <si>
    <t xml:space="preserve">ODL103013</t>
  </si>
  <si>
    <t xml:space="preserve">ODL103555</t>
  </si>
  <si>
    <t xml:space="preserve">ODL102192</t>
  </si>
  <si>
    <t xml:space="preserve">ODL101439</t>
  </si>
  <si>
    <t xml:space="preserve">ODL100599</t>
  </si>
  <si>
    <t xml:space="preserve">IMP-HL4-014</t>
  </si>
  <si>
    <t xml:space="preserve">ODL103452</t>
  </si>
  <si>
    <t xml:space="preserve">IMP-HL4-341</t>
  </si>
  <si>
    <t xml:space="preserve">ODL102400</t>
  </si>
  <si>
    <t xml:space="preserve">IMP-CT3-102</t>
  </si>
  <si>
    <t xml:space="preserve">ODL101635</t>
  </si>
  <si>
    <t xml:space="preserve">ODL102986</t>
  </si>
  <si>
    <t xml:space="preserve">ODL101379</t>
  </si>
  <si>
    <t xml:space="preserve">ODL101319</t>
  </si>
  <si>
    <t xml:space="preserve">ODL102383</t>
  </si>
  <si>
    <t xml:space="preserve">ODL101864</t>
  </si>
  <si>
    <t xml:space="preserve">ODL100451</t>
  </si>
  <si>
    <t xml:space="preserve">ODL100491</t>
  </si>
  <si>
    <t xml:space="preserve">ODL100455</t>
  </si>
  <si>
    <t xml:space="preserve">ODL102911</t>
  </si>
  <si>
    <t xml:space="preserve">IMP-HL4-295</t>
  </si>
  <si>
    <t xml:space="preserve">ODL102838</t>
  </si>
  <si>
    <t xml:space="preserve">ODL103995</t>
  </si>
  <si>
    <t xml:space="preserve">ODL102533</t>
  </si>
  <si>
    <t xml:space="preserve">ODL103361</t>
  </si>
  <si>
    <t xml:space="preserve">ODL100731</t>
  </si>
  <si>
    <t xml:space="preserve">IMP-PP6-153</t>
  </si>
  <si>
    <t xml:space="preserve">ODL102855</t>
  </si>
  <si>
    <t xml:space="preserve">ODL100151</t>
  </si>
  <si>
    <t xml:space="preserve">ODL102990</t>
  </si>
  <si>
    <t xml:space="preserve">ODL100750</t>
  </si>
  <si>
    <t xml:space="preserve">ODL101228</t>
  </si>
  <si>
    <t xml:space="preserve">ODL101021</t>
  </si>
  <si>
    <t xml:space="preserve">IMP-CD7-241</t>
  </si>
  <si>
    <t xml:space="preserve">ODL100978</t>
  </si>
  <si>
    <t xml:space="preserve">ODL103385</t>
  </si>
  <si>
    <t xml:space="preserve">ODL101871</t>
  </si>
  <si>
    <t xml:space="preserve">ODL103192</t>
  </si>
  <si>
    <t xml:space="preserve">ODL103148</t>
  </si>
  <si>
    <t xml:space="preserve">IMP-SV8-203</t>
  </si>
  <si>
    <t xml:space="preserve">ODL102282</t>
  </si>
  <si>
    <t xml:space="preserve">IMP-CT2-073</t>
  </si>
  <si>
    <t xml:space="preserve">ODL104063</t>
  </si>
  <si>
    <t xml:space="preserve">ODL102264</t>
  </si>
  <si>
    <t xml:space="preserve">ODL102517</t>
  </si>
  <si>
    <t xml:space="preserve">ODL101543</t>
  </si>
  <si>
    <t xml:space="preserve">ODL101627</t>
  </si>
  <si>
    <t xml:space="preserve">ODL103841</t>
  </si>
  <si>
    <t xml:space="preserve">ODL102261</t>
  </si>
  <si>
    <t xml:space="preserve">IMP-CD7-307</t>
  </si>
  <si>
    <t xml:space="preserve">ODL104046</t>
  </si>
  <si>
    <t xml:space="preserve">ODL101628</t>
  </si>
  <si>
    <t xml:space="preserve">ODL101838</t>
  </si>
  <si>
    <t xml:space="preserve">ODL103547</t>
  </si>
  <si>
    <t xml:space="preserve">ODL101647</t>
  </si>
  <si>
    <t xml:space="preserve">ODL101948</t>
  </si>
  <si>
    <t xml:space="preserve">ODL103951</t>
  </si>
  <si>
    <t xml:space="preserve">ODL101382</t>
  </si>
  <si>
    <t xml:space="preserve">ODL100404</t>
  </si>
  <si>
    <t xml:space="preserve">ODL101722</t>
  </si>
  <si>
    <t xml:space="preserve">IMP-HL4-202</t>
  </si>
  <si>
    <t xml:space="preserve">ODL101786</t>
  </si>
  <si>
    <t xml:space="preserve">ODL101482</t>
  </si>
  <si>
    <t xml:space="preserve">ODL102254</t>
  </si>
  <si>
    <t xml:space="preserve">ODL101084</t>
  </si>
  <si>
    <t xml:space="preserve">ODL100233</t>
  </si>
  <si>
    <t xml:space="preserve">ODL102084</t>
  </si>
  <si>
    <t xml:space="preserve">ODL102721</t>
  </si>
  <si>
    <t xml:space="preserve">ODL101027</t>
  </si>
  <si>
    <t xml:space="preserve">ODL101009</t>
  </si>
  <si>
    <t xml:space="preserve">ODL101855</t>
  </si>
  <si>
    <t xml:space="preserve">ODL103265</t>
  </si>
  <si>
    <t xml:space="preserve">IMP-TN0-231</t>
  </si>
  <si>
    <t xml:space="preserve">ODL100077</t>
  </si>
  <si>
    <t xml:space="preserve">ODL100552</t>
  </si>
  <si>
    <t xml:space="preserve">ODL102602</t>
  </si>
  <si>
    <t xml:space="preserve">ODL104105</t>
  </si>
  <si>
    <t xml:space="preserve">ODL101153</t>
  </si>
  <si>
    <t xml:space="preserve">ODL100251</t>
  </si>
  <si>
    <t xml:space="preserve">ODL102245</t>
  </si>
  <si>
    <t xml:space="preserve">ODL101807</t>
  </si>
  <si>
    <t xml:space="preserve">IMP-HL4-118</t>
  </si>
  <si>
    <t xml:space="preserve">ODL102977</t>
  </si>
  <si>
    <t xml:space="preserve">ODL104164</t>
  </si>
  <si>
    <t xml:space="preserve">ODL103617</t>
  </si>
  <si>
    <t xml:space="preserve">IMP-TN0-055</t>
  </si>
  <si>
    <t xml:space="preserve">ODL100952</t>
  </si>
  <si>
    <t xml:space="preserve">ODL104171</t>
  </si>
  <si>
    <t xml:space="preserve">ODL101987</t>
  </si>
  <si>
    <t xml:space="preserve">ODL104138</t>
  </si>
  <si>
    <t xml:space="preserve">ODL102992</t>
  </si>
  <si>
    <t xml:space="preserve">ODL102584</t>
  </si>
  <si>
    <t xml:space="preserve">ODL103945</t>
  </si>
  <si>
    <t xml:space="preserve">ODL100918</t>
  </si>
  <si>
    <t xml:space="preserve">IMP-PP6-169</t>
  </si>
  <si>
    <t xml:space="preserve">ODL101365</t>
  </si>
  <si>
    <t xml:space="preserve">ODL103907</t>
  </si>
  <si>
    <t xml:space="preserve">ODL102826</t>
  </si>
  <si>
    <t xml:space="preserve">ODL100234</t>
  </si>
  <si>
    <t xml:space="preserve">ODL100326</t>
  </si>
  <si>
    <t xml:space="preserve">ODL100965</t>
  </si>
  <si>
    <t xml:space="preserve">ODL101870</t>
  </si>
  <si>
    <t xml:space="preserve">ODL103610</t>
  </si>
  <si>
    <t xml:space="preserve">ODL102105</t>
  </si>
  <si>
    <t xml:space="preserve">ODL102195</t>
  </si>
  <si>
    <t xml:space="preserve">ODL102367</t>
  </si>
  <si>
    <t xml:space="preserve">ODL101346</t>
  </si>
  <si>
    <t xml:space="preserve">ODL103266</t>
  </si>
  <si>
    <t xml:space="preserve">ODL101616</t>
  </si>
  <si>
    <t xml:space="preserve">IMP-TN0-284</t>
  </si>
  <si>
    <t xml:space="preserve">ODL103557</t>
  </si>
  <si>
    <t xml:space="preserve">ODL102692</t>
  </si>
  <si>
    <t xml:space="preserve">ODL101509</t>
  </si>
  <si>
    <t xml:space="preserve">ODL103698</t>
  </si>
  <si>
    <t xml:space="preserve">IMP-CD7-143</t>
  </si>
  <si>
    <t xml:space="preserve">ODL102390</t>
  </si>
  <si>
    <t xml:space="preserve">IMP-TN0-033</t>
  </si>
  <si>
    <t xml:space="preserve">ODL104052</t>
  </si>
  <si>
    <t xml:space="preserve">ODL102252</t>
  </si>
  <si>
    <t xml:space="preserve">ODL101288</t>
  </si>
  <si>
    <t xml:space="preserve">IMP-HL4-175</t>
  </si>
  <si>
    <t xml:space="preserve">ODL101953</t>
  </si>
  <si>
    <t xml:space="preserve">ODL102372</t>
  </si>
  <si>
    <t xml:space="preserve">ODL102670</t>
  </si>
  <si>
    <t xml:space="preserve">ODL103820</t>
  </si>
  <si>
    <t xml:space="preserve">IMP-SV8-020</t>
  </si>
  <si>
    <t xml:space="preserve">ODL103233</t>
  </si>
  <si>
    <t xml:space="preserve">ODL102543</t>
  </si>
  <si>
    <t xml:space="preserve">ODL104122</t>
  </si>
  <si>
    <t xml:space="preserve">ODL103405</t>
  </si>
  <si>
    <t xml:space="preserve">ODL100848</t>
  </si>
  <si>
    <t xml:space="preserve">ODL100335</t>
  </si>
  <si>
    <t xml:space="preserve">ODL102004</t>
  </si>
  <si>
    <t xml:space="preserve">ODL100227</t>
  </si>
  <si>
    <t xml:space="preserve">ODL102761</t>
  </si>
  <si>
    <t xml:space="preserve">N_IMPIANTI_TOTALI</t>
  </si>
  <si>
    <t xml:space="preserve">Guasti_2024</t>
  </si>
  <si>
    <t xml:space="preserve">Guasti_2025</t>
  </si>
  <si>
    <t xml:space="preserve">Guasti_2026</t>
  </si>
  <si>
    <t xml:space="preserve">Impianti_con_guasto_2025</t>
  </si>
  <si>
    <t xml:space="preserve">Perc_impianti_con_guasto_2025</t>
  </si>
  <si>
    <t xml:space="preserve">Impianti_con_guasto_totali</t>
  </si>
  <si>
    <t xml:space="preserve">Impianti_recidivi</t>
  </si>
  <si>
    <t xml:space="preserve">Perc_impianti_recidivi</t>
  </si>
  <si>
    <t xml:space="preserve">ODL_totali_anno</t>
  </si>
  <si>
    <t xml:space="preserve">ODL_generati_da_recidivi</t>
  </si>
  <si>
    <t xml:space="preserve">Perc_ODL_da_recidivi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</si>
</sst>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.71"/>
  </cols>
  <sheetData>
    <row r="1" customFormat="false" ht="15" hidden="false" customHeight="false" outlineLevel="0" collapsed="false">
      <c r="A1" s="1" t="s">
        <v>0</v>
      </c>
      <c r="B1" s="0" t="n">
        <v>2</v>
      </c>
    </row>
    <row r="3" customFormat="false" ht="15" hidden="false" customHeight="false" outlineLevel="0" collapsed="false">
      <c r="A3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22.71"/>
    <col collapsed="false" customWidth="true" hidden="false" outlineLevel="0" max="5" min="5" style="0" width="12.71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2" t="n">
        <v>45422</v>
      </c>
      <c r="F2" s="3" t="s">
        <v>20</v>
      </c>
      <c r="G2" s="3" t="s">
        <v>21</v>
      </c>
      <c r="H2" s="3" t="s">
        <v>22</v>
      </c>
      <c r="I2" s="3" t="n">
        <f aca="false">YEAR(E2)</f>
        <v>2024</v>
      </c>
      <c r="J2" s="3" t="n">
        <f aca="false">MONTH(E2)</f>
        <v>5</v>
      </c>
      <c r="K2" s="3" t="n">
        <f aca="false">COUNTIFS($B$2:$B$4077,B2,$C$2:$C$4077,C2,$I$2:$I$4077,I2)</f>
        <v>1</v>
      </c>
      <c r="L2" s="3" t="n">
        <f aca="false">IF(COUNTIFS($B$2:B2,B2,$C$2:C2,C2,$I$2:I2,I2)=1,1,0)</f>
        <v>1</v>
      </c>
      <c r="M2" s="3" t="n">
        <f aca="false">IF(K2&gt;=Parametri!$B$1,1,0)</f>
        <v>0</v>
      </c>
      <c r="N2" s="3" t="n">
        <f aca="false">L2*M2</f>
        <v>0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2" t="n">
        <v>45650</v>
      </c>
      <c r="F3" s="3" t="s">
        <v>27</v>
      </c>
      <c r="G3" s="3" t="s">
        <v>28</v>
      </c>
      <c r="H3" s="3" t="s">
        <v>29</v>
      </c>
      <c r="I3" s="3" t="n">
        <f aca="false">YEAR(E3)</f>
        <v>2024</v>
      </c>
      <c r="J3" s="3" t="n">
        <f aca="false">MONTH(E3)</f>
        <v>12</v>
      </c>
      <c r="K3" s="3" t="n">
        <f aca="false">COUNTIFS($B$2:$B$4077,B3,$C$2:$C$4077,C3,$I$2:$I$4077,I3)</f>
        <v>5</v>
      </c>
      <c r="L3" s="3" t="n">
        <f aca="false">IF(COUNTIFS($B$2:B3,B3,$C$2:C3,C3,$I$2:I3,I3)=1,1,0)</f>
        <v>1</v>
      </c>
      <c r="M3" s="3" t="n">
        <f aca="false">IF(K3&gt;=Parametri!$B$1,1,0)</f>
        <v>1</v>
      </c>
      <c r="N3" s="3" t="n">
        <f aca="false">L3*M3</f>
        <v>1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  <c r="E4" s="2" t="n">
        <v>46003</v>
      </c>
      <c r="F4" s="3" t="s">
        <v>34</v>
      </c>
      <c r="G4" s="3" t="s">
        <v>35</v>
      </c>
      <c r="H4" s="3" t="s">
        <v>29</v>
      </c>
      <c r="I4" s="3" t="n">
        <f aca="false">YEAR(E4)</f>
        <v>2025</v>
      </c>
      <c r="J4" s="3" t="n">
        <f aca="false">MONTH(E4)</f>
        <v>12</v>
      </c>
      <c r="K4" s="3" t="n">
        <f aca="false">COUNTIFS($B$2:$B$4077,B4,$C$2:$C$4077,C4,$I$2:$I$4077,I4)</f>
        <v>1</v>
      </c>
      <c r="L4" s="3" t="n">
        <f aca="false">IF(COUNTIFS($B$2:B4,B4,$C$2:C4,C4,$I$2:I4,I4)=1,1,0)</f>
        <v>1</v>
      </c>
      <c r="M4" s="3" t="n">
        <f aca="false">IF(K4&gt;=Parametri!$B$1,1,0)</f>
        <v>0</v>
      </c>
      <c r="N4" s="3" t="n">
        <f aca="false">L4*M4</f>
        <v>0</v>
      </c>
    </row>
    <row r="5" customFormat="false" ht="15" hidden="false" customHeight="false" outlineLevel="0" collapsed="false">
      <c r="A5" s="0" t="s">
        <v>36</v>
      </c>
      <c r="B5" s="0" t="s">
        <v>31</v>
      </c>
      <c r="C5" s="0" t="s">
        <v>37</v>
      </c>
      <c r="D5" s="0" t="s">
        <v>38</v>
      </c>
      <c r="E5" s="2" t="n">
        <v>45949</v>
      </c>
      <c r="F5" s="3" t="s">
        <v>20</v>
      </c>
      <c r="G5" s="3" t="s">
        <v>39</v>
      </c>
      <c r="H5" s="3" t="s">
        <v>22</v>
      </c>
      <c r="I5" s="3" t="n">
        <f aca="false">YEAR(E5)</f>
        <v>2025</v>
      </c>
      <c r="J5" s="3" t="n">
        <f aca="false">MONTH(E5)</f>
        <v>10</v>
      </c>
      <c r="K5" s="3" t="n">
        <f aca="false">COUNTIFS($B$2:$B$4077,B5,$C$2:$C$4077,C5,$I$2:$I$4077,I5)</f>
        <v>2</v>
      </c>
      <c r="L5" s="3" t="n">
        <f aca="false">IF(COUNTIFS($B$2:B5,B5,$C$2:C5,C5,$I$2:I5,I5)=1,1,0)</f>
        <v>1</v>
      </c>
      <c r="M5" s="3" t="n">
        <f aca="false">IF(K5&gt;=Parametri!$B$1,1,0)</f>
        <v>1</v>
      </c>
      <c r="N5" s="3" t="n">
        <f aca="false">L5*M5</f>
        <v>1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42</v>
      </c>
      <c r="D6" s="0" t="s">
        <v>33</v>
      </c>
      <c r="E6" s="2" t="n">
        <v>45526</v>
      </c>
      <c r="F6" s="3" t="s">
        <v>27</v>
      </c>
      <c r="G6" s="3" t="s">
        <v>43</v>
      </c>
      <c r="H6" s="3" t="s">
        <v>44</v>
      </c>
      <c r="I6" s="3" t="n">
        <f aca="false">YEAR(E6)</f>
        <v>2024</v>
      </c>
      <c r="J6" s="3" t="n">
        <f aca="false">MONTH(E6)</f>
        <v>8</v>
      </c>
      <c r="K6" s="3" t="n">
        <f aca="false">COUNTIFS($B$2:$B$4077,B6,$C$2:$C$4077,C6,$I$2:$I$4077,I6)</f>
        <v>2</v>
      </c>
      <c r="L6" s="3" t="n">
        <f aca="false">IF(COUNTIFS($B$2:B6,B6,$C$2:C6,C6,$I$2:I6,I6)=1,1,0)</f>
        <v>1</v>
      </c>
      <c r="M6" s="3" t="n">
        <f aca="false">IF(K6&gt;=Parametri!$B$1,1,0)</f>
        <v>1</v>
      </c>
      <c r="N6" s="3" t="n">
        <f aca="false">L6*M6</f>
        <v>1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  <c r="D7" s="0" t="s">
        <v>33</v>
      </c>
      <c r="E7" s="2" t="n">
        <v>45689</v>
      </c>
      <c r="F7" s="3" t="s">
        <v>27</v>
      </c>
      <c r="G7" s="3" t="s">
        <v>21</v>
      </c>
      <c r="H7" s="3" t="s">
        <v>48</v>
      </c>
      <c r="I7" s="3" t="n">
        <f aca="false">YEAR(E7)</f>
        <v>2025</v>
      </c>
      <c r="J7" s="3" t="n">
        <f aca="false">MONTH(E7)</f>
        <v>2</v>
      </c>
      <c r="K7" s="3" t="n">
        <f aca="false">COUNTIFS($B$2:$B$4077,B7,$C$2:$C$4077,C7,$I$2:$I$4077,I7)</f>
        <v>1</v>
      </c>
      <c r="L7" s="3" t="n">
        <f aca="false">IF(COUNTIFS($B$2:B7,B7,$C$2:C7,C7,$I$2:I7,I7)=1,1,0)</f>
        <v>1</v>
      </c>
      <c r="M7" s="3" t="n">
        <f aca="false">IF(K7&gt;=Parametri!$B$1,1,0)</f>
        <v>0</v>
      </c>
      <c r="N7" s="3" t="n">
        <f aca="false">L7*M7</f>
        <v>0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51</v>
      </c>
      <c r="D8" s="0" t="s">
        <v>19</v>
      </c>
      <c r="E8" s="2" t="n">
        <v>45560</v>
      </c>
      <c r="F8" s="3" t="s">
        <v>20</v>
      </c>
      <c r="G8" s="3" t="s">
        <v>43</v>
      </c>
      <c r="H8" s="3" t="s">
        <v>48</v>
      </c>
      <c r="I8" s="3" t="n">
        <f aca="false">YEAR(E8)</f>
        <v>2024</v>
      </c>
      <c r="J8" s="3" t="n">
        <f aca="false">MONTH(E8)</f>
        <v>9</v>
      </c>
      <c r="K8" s="3" t="n">
        <f aca="false">COUNTIFS($B$2:$B$4077,B8,$C$2:$C$4077,C8,$I$2:$I$4077,I8)</f>
        <v>1</v>
      </c>
      <c r="L8" s="3" t="n">
        <f aca="false">IF(COUNTIFS($B$2:B8,B8,$C$2:C8,C8,$I$2:I8,I8)=1,1,0)</f>
        <v>1</v>
      </c>
      <c r="M8" s="3" t="n">
        <f aca="false">IF(K8&gt;=Parametri!$B$1,1,0)</f>
        <v>0</v>
      </c>
      <c r="N8" s="3" t="n">
        <f aca="false">L8*M8</f>
        <v>0</v>
      </c>
    </row>
    <row r="9" customFormat="false" ht="15" hidden="false" customHeight="false" outlineLevel="0" collapsed="false">
      <c r="A9" s="0" t="s">
        <v>52</v>
      </c>
      <c r="B9" s="0" t="s">
        <v>31</v>
      </c>
      <c r="C9" s="0" t="s">
        <v>53</v>
      </c>
      <c r="D9" s="0" t="s">
        <v>54</v>
      </c>
      <c r="E9" s="2" t="n">
        <v>46113</v>
      </c>
      <c r="F9" s="3" t="s">
        <v>34</v>
      </c>
      <c r="G9" s="3" t="s">
        <v>55</v>
      </c>
      <c r="H9" s="3" t="s">
        <v>29</v>
      </c>
      <c r="I9" s="3" t="n">
        <f aca="false">YEAR(E9)</f>
        <v>2026</v>
      </c>
      <c r="J9" s="3" t="n">
        <f aca="false">MONTH(E9)</f>
        <v>4</v>
      </c>
      <c r="K9" s="3" t="n">
        <f aca="false">COUNTIFS($B$2:$B$4077,B9,$C$2:$C$4077,C9,$I$2:$I$4077,I9)</f>
        <v>2</v>
      </c>
      <c r="L9" s="3" t="n">
        <f aca="false">IF(COUNTIFS($B$2:B9,B9,$C$2:C9,C9,$I$2:I9,I9)=1,1,0)</f>
        <v>1</v>
      </c>
      <c r="M9" s="3" t="n">
        <f aca="false">IF(K9&gt;=Parametri!$B$1,1,0)</f>
        <v>1</v>
      </c>
      <c r="N9" s="3" t="n">
        <f aca="false">L9*M9</f>
        <v>1</v>
      </c>
    </row>
    <row r="10" customFormat="false" ht="15" hidden="false" customHeight="false" outlineLevel="0" collapsed="false">
      <c r="A10" s="0" t="s">
        <v>56</v>
      </c>
      <c r="B10" s="0" t="s">
        <v>57</v>
      </c>
      <c r="C10" s="0" t="s">
        <v>58</v>
      </c>
      <c r="D10" s="0" t="s">
        <v>38</v>
      </c>
      <c r="E10" s="2" t="n">
        <v>46129</v>
      </c>
      <c r="F10" s="3" t="s">
        <v>20</v>
      </c>
      <c r="G10" s="3" t="s">
        <v>28</v>
      </c>
      <c r="H10" s="3" t="s">
        <v>22</v>
      </c>
      <c r="I10" s="3" t="n">
        <f aca="false">YEAR(E10)</f>
        <v>2026</v>
      </c>
      <c r="J10" s="3" t="n">
        <f aca="false">MONTH(E10)</f>
        <v>4</v>
      </c>
      <c r="K10" s="3" t="n">
        <f aca="false">COUNTIFS($B$2:$B$4077,B10,$C$2:$C$4077,C10,$I$2:$I$4077,I10)</f>
        <v>2</v>
      </c>
      <c r="L10" s="3" t="n">
        <f aca="false">IF(COUNTIFS($B$2:B10,B10,$C$2:C10,C10,$I$2:I10,I10)=1,1,0)</f>
        <v>1</v>
      </c>
      <c r="M10" s="3" t="n">
        <f aca="false">IF(K10&gt;=Parametri!$B$1,1,0)</f>
        <v>1</v>
      </c>
      <c r="N10" s="3" t="n">
        <f aca="false">L10*M10</f>
        <v>1</v>
      </c>
    </row>
    <row r="11" customFormat="false" ht="15" hidden="false" customHeight="false" outlineLevel="0" collapsed="false">
      <c r="A11" s="0" t="s">
        <v>59</v>
      </c>
      <c r="B11" s="0" t="s">
        <v>17</v>
      </c>
      <c r="C11" s="0" t="s">
        <v>60</v>
      </c>
      <c r="D11" s="0" t="s">
        <v>54</v>
      </c>
      <c r="E11" s="2" t="n">
        <v>45309</v>
      </c>
      <c r="F11" s="3" t="s">
        <v>20</v>
      </c>
      <c r="G11" s="3" t="s">
        <v>35</v>
      </c>
      <c r="H11" s="3" t="s">
        <v>44</v>
      </c>
      <c r="I11" s="3" t="n">
        <f aca="false">YEAR(E11)</f>
        <v>2024</v>
      </c>
      <c r="J11" s="3" t="n">
        <f aca="false">MONTH(E11)</f>
        <v>1</v>
      </c>
      <c r="K11" s="3" t="n">
        <f aca="false">COUNTIFS($B$2:$B$4077,B11,$C$2:$C$4077,C11,$I$2:$I$4077,I11)</f>
        <v>4</v>
      </c>
      <c r="L11" s="3" t="n">
        <f aca="false">IF(COUNTIFS($B$2:B11,B11,$C$2:C11,C11,$I$2:I11,I11)=1,1,0)</f>
        <v>1</v>
      </c>
      <c r="M11" s="3" t="n">
        <f aca="false">IF(K11&gt;=Parametri!$B$1,1,0)</f>
        <v>1</v>
      </c>
      <c r="N11" s="3" t="n">
        <f aca="false">L11*M11</f>
        <v>1</v>
      </c>
    </row>
    <row r="12" customFormat="false" ht="15" hidden="false" customHeight="false" outlineLevel="0" collapsed="false">
      <c r="A12" s="0" t="s">
        <v>61</v>
      </c>
      <c r="B12" s="0" t="s">
        <v>17</v>
      </c>
      <c r="C12" s="0" t="s">
        <v>62</v>
      </c>
      <c r="D12" s="0" t="s">
        <v>63</v>
      </c>
      <c r="E12" s="2" t="n">
        <v>45658</v>
      </c>
      <c r="F12" s="3" t="s">
        <v>27</v>
      </c>
      <c r="G12" s="3" t="s">
        <v>39</v>
      </c>
      <c r="H12" s="3" t="s">
        <v>22</v>
      </c>
      <c r="I12" s="3" t="n">
        <f aca="false">YEAR(E12)</f>
        <v>2025</v>
      </c>
      <c r="J12" s="3" t="n">
        <f aca="false">MONTH(E12)</f>
        <v>1</v>
      </c>
      <c r="K12" s="3" t="n">
        <f aca="false">COUNTIFS($B$2:$B$4077,B12,$C$2:$C$4077,C12,$I$2:$I$4077,I12)</f>
        <v>3</v>
      </c>
      <c r="L12" s="3" t="n">
        <f aca="false">IF(COUNTIFS($B$2:B12,B12,$C$2:C12,C12,$I$2:I12,I12)=1,1,0)</f>
        <v>1</v>
      </c>
      <c r="M12" s="3" t="n">
        <f aca="false">IF(K12&gt;=Parametri!$B$1,1,0)</f>
        <v>1</v>
      </c>
      <c r="N12" s="3" t="n">
        <f aca="false">L12*M12</f>
        <v>1</v>
      </c>
    </row>
    <row r="13" customFormat="false" ht="15" hidden="false" customHeight="false" outlineLevel="0" collapsed="false">
      <c r="A13" s="0" t="s">
        <v>64</v>
      </c>
      <c r="B13" s="0" t="s">
        <v>46</v>
      </c>
      <c r="C13" s="0" t="s">
        <v>65</v>
      </c>
      <c r="D13" s="0" t="s">
        <v>66</v>
      </c>
      <c r="E13" s="2" t="n">
        <v>46076</v>
      </c>
      <c r="F13" s="3" t="s">
        <v>27</v>
      </c>
      <c r="G13" s="3" t="s">
        <v>55</v>
      </c>
      <c r="H13" s="3" t="s">
        <v>44</v>
      </c>
      <c r="I13" s="3" t="n">
        <f aca="false">YEAR(E13)</f>
        <v>2026</v>
      </c>
      <c r="J13" s="3" t="n">
        <f aca="false">MONTH(E13)</f>
        <v>2</v>
      </c>
      <c r="K13" s="3" t="n">
        <f aca="false">COUNTIFS($B$2:$B$4077,B13,$C$2:$C$4077,C13,$I$2:$I$4077,I13)</f>
        <v>2</v>
      </c>
      <c r="L13" s="3" t="n">
        <f aca="false">IF(COUNTIFS($B$2:B13,B13,$C$2:C13,C13,$I$2:I13,I13)=1,1,0)</f>
        <v>1</v>
      </c>
      <c r="M13" s="3" t="n">
        <f aca="false">IF(K13&gt;=Parametri!$B$1,1,0)</f>
        <v>1</v>
      </c>
      <c r="N13" s="3" t="n">
        <f aca="false">L13*M13</f>
        <v>1</v>
      </c>
    </row>
    <row r="14" customFormat="false" ht="15" hidden="false" customHeight="false" outlineLevel="0" collapsed="false">
      <c r="A14" s="0" t="s">
        <v>67</v>
      </c>
      <c r="B14" s="0" t="s">
        <v>68</v>
      </c>
      <c r="C14" s="0" t="s">
        <v>69</v>
      </c>
      <c r="D14" s="0" t="s">
        <v>63</v>
      </c>
      <c r="E14" s="2" t="n">
        <v>45491</v>
      </c>
      <c r="F14" s="3" t="s">
        <v>34</v>
      </c>
      <c r="G14" s="3" t="s">
        <v>55</v>
      </c>
      <c r="H14" s="3" t="s">
        <v>22</v>
      </c>
      <c r="I14" s="3" t="n">
        <f aca="false">YEAR(E14)</f>
        <v>2024</v>
      </c>
      <c r="J14" s="3" t="n">
        <f aca="false">MONTH(E14)</f>
        <v>7</v>
      </c>
      <c r="K14" s="3" t="n">
        <f aca="false">COUNTIFS($B$2:$B$4077,B14,$C$2:$C$4077,C14,$I$2:$I$4077,I14)</f>
        <v>1</v>
      </c>
      <c r="L14" s="3" t="n">
        <f aca="false">IF(COUNTIFS($B$2:B14,B14,$C$2:C14,C14,$I$2:I14,I14)=1,1,0)</f>
        <v>1</v>
      </c>
      <c r="M14" s="3" t="n">
        <f aca="false">IF(K14&gt;=Parametri!$B$1,1,0)</f>
        <v>0</v>
      </c>
      <c r="N14" s="3" t="n">
        <f aca="false">L14*M14</f>
        <v>0</v>
      </c>
    </row>
    <row r="15" customFormat="false" ht="15" hidden="false" customHeight="false" outlineLevel="0" collapsed="false">
      <c r="A15" s="0" t="s">
        <v>70</v>
      </c>
      <c r="B15" s="0" t="s">
        <v>17</v>
      </c>
      <c r="C15" s="0" t="s">
        <v>71</v>
      </c>
      <c r="D15" s="0" t="s">
        <v>19</v>
      </c>
      <c r="E15" s="2" t="n">
        <v>45515</v>
      </c>
      <c r="F15" s="3" t="s">
        <v>34</v>
      </c>
      <c r="G15" s="3" t="s">
        <v>72</v>
      </c>
      <c r="H15" s="3" t="s">
        <v>48</v>
      </c>
      <c r="I15" s="3" t="n">
        <f aca="false">YEAR(E15)</f>
        <v>2024</v>
      </c>
      <c r="J15" s="3" t="n">
        <f aca="false">MONTH(E15)</f>
        <v>8</v>
      </c>
      <c r="K15" s="3" t="n">
        <f aca="false">COUNTIFS($B$2:$B$4077,B15,$C$2:$C$4077,C15,$I$2:$I$4077,I15)</f>
        <v>1</v>
      </c>
      <c r="L15" s="3" t="n">
        <f aca="false">IF(COUNTIFS($B$2:B15,B15,$C$2:C15,C15,$I$2:I15,I15)=1,1,0)</f>
        <v>1</v>
      </c>
      <c r="M15" s="3" t="n">
        <f aca="false">IF(K15&gt;=Parametri!$B$1,1,0)</f>
        <v>0</v>
      </c>
      <c r="N15" s="3" t="n">
        <f aca="false">L15*M15</f>
        <v>0</v>
      </c>
    </row>
    <row r="16" customFormat="false" ht="15" hidden="false" customHeight="false" outlineLevel="0" collapsed="false">
      <c r="A16" s="0" t="s">
        <v>73</v>
      </c>
      <c r="B16" s="0" t="s">
        <v>57</v>
      </c>
      <c r="C16" s="0" t="s">
        <v>74</v>
      </c>
      <c r="D16" s="0" t="s">
        <v>66</v>
      </c>
      <c r="E16" s="2" t="n">
        <v>45515</v>
      </c>
      <c r="F16" s="3" t="s">
        <v>27</v>
      </c>
      <c r="G16" s="3" t="s">
        <v>28</v>
      </c>
      <c r="H16" s="3" t="s">
        <v>22</v>
      </c>
      <c r="I16" s="3" t="n">
        <f aca="false">YEAR(E16)</f>
        <v>2024</v>
      </c>
      <c r="J16" s="3" t="n">
        <f aca="false">MONTH(E16)</f>
        <v>8</v>
      </c>
      <c r="K16" s="3" t="n">
        <f aca="false">COUNTIFS($B$2:$B$4077,B16,$C$2:$C$4077,C16,$I$2:$I$4077,I16)</f>
        <v>3</v>
      </c>
      <c r="L16" s="3" t="n">
        <f aca="false">IF(COUNTIFS($B$2:B16,B16,$C$2:C16,C16,$I$2:I16,I16)=1,1,0)</f>
        <v>1</v>
      </c>
      <c r="M16" s="3" t="n">
        <f aca="false">IF(K16&gt;=Parametri!$B$1,1,0)</f>
        <v>1</v>
      </c>
      <c r="N16" s="3" t="n">
        <f aca="false">L16*M16</f>
        <v>1</v>
      </c>
    </row>
    <row r="17" customFormat="false" ht="15" hidden="false" customHeight="false" outlineLevel="0" collapsed="false">
      <c r="A17" s="0" t="s">
        <v>75</v>
      </c>
      <c r="B17" s="0" t="s">
        <v>31</v>
      </c>
      <c r="C17" s="0" t="s">
        <v>76</v>
      </c>
      <c r="D17" s="0" t="s">
        <v>77</v>
      </c>
      <c r="E17" s="2" t="n">
        <v>45939</v>
      </c>
      <c r="F17" s="3" t="s">
        <v>34</v>
      </c>
      <c r="G17" s="3" t="s">
        <v>39</v>
      </c>
      <c r="H17" s="3" t="s">
        <v>22</v>
      </c>
      <c r="I17" s="3" t="n">
        <f aca="false">YEAR(E17)</f>
        <v>2025</v>
      </c>
      <c r="J17" s="3" t="n">
        <f aca="false">MONTH(E17)</f>
        <v>10</v>
      </c>
      <c r="K17" s="3" t="n">
        <f aca="false">COUNTIFS($B$2:$B$4077,B17,$C$2:$C$4077,C17,$I$2:$I$4077,I17)</f>
        <v>2</v>
      </c>
      <c r="L17" s="3" t="n">
        <f aca="false">IF(COUNTIFS($B$2:B17,B17,$C$2:C17,C17,$I$2:I17,I17)=1,1,0)</f>
        <v>1</v>
      </c>
      <c r="M17" s="3" t="n">
        <f aca="false">IF(K17&gt;=Parametri!$B$1,1,0)</f>
        <v>1</v>
      </c>
      <c r="N17" s="3" t="n">
        <f aca="false">L17*M17</f>
        <v>1</v>
      </c>
    </row>
    <row r="18" customFormat="false" ht="15" hidden="false" customHeight="false" outlineLevel="0" collapsed="false">
      <c r="A18" s="0" t="s">
        <v>78</v>
      </c>
      <c r="B18" s="0" t="s">
        <v>79</v>
      </c>
      <c r="C18" s="0" t="s">
        <v>80</v>
      </c>
      <c r="D18" s="0" t="s">
        <v>33</v>
      </c>
      <c r="E18" s="2" t="n">
        <v>45854</v>
      </c>
      <c r="F18" s="3" t="s">
        <v>20</v>
      </c>
      <c r="G18" s="3" t="s">
        <v>35</v>
      </c>
      <c r="H18" s="3" t="s">
        <v>29</v>
      </c>
      <c r="I18" s="3" t="n">
        <f aca="false">YEAR(E18)</f>
        <v>2025</v>
      </c>
      <c r="J18" s="3" t="n">
        <f aca="false">MONTH(E18)</f>
        <v>7</v>
      </c>
      <c r="K18" s="3" t="n">
        <f aca="false">COUNTIFS($B$2:$B$4077,B18,$C$2:$C$4077,C18,$I$2:$I$4077,I18)</f>
        <v>1</v>
      </c>
      <c r="L18" s="3" t="n">
        <f aca="false">IF(COUNTIFS($B$2:B18,B18,$C$2:C18,C18,$I$2:I18,I18)=1,1,0)</f>
        <v>1</v>
      </c>
      <c r="M18" s="3" t="n">
        <f aca="false">IF(K18&gt;=Parametri!$B$1,1,0)</f>
        <v>0</v>
      </c>
      <c r="N18" s="3" t="n">
        <f aca="false">L18*M18</f>
        <v>0</v>
      </c>
    </row>
    <row r="19" customFormat="false" ht="15" hidden="false" customHeight="false" outlineLevel="0" collapsed="false">
      <c r="A19" s="0" t="s">
        <v>81</v>
      </c>
      <c r="B19" s="0" t="s">
        <v>24</v>
      </c>
      <c r="C19" s="0" t="s">
        <v>82</v>
      </c>
      <c r="D19" s="0" t="s">
        <v>54</v>
      </c>
      <c r="E19" s="2" t="n">
        <v>46165</v>
      </c>
      <c r="F19" s="3" t="s">
        <v>27</v>
      </c>
      <c r="G19" s="3" t="s">
        <v>21</v>
      </c>
      <c r="H19" s="3" t="s">
        <v>44</v>
      </c>
      <c r="I19" s="3" t="n">
        <f aca="false">YEAR(E19)</f>
        <v>2026</v>
      </c>
      <c r="J19" s="3" t="n">
        <f aca="false">MONTH(E19)</f>
        <v>5</v>
      </c>
      <c r="K19" s="3" t="n">
        <f aca="false">COUNTIFS($B$2:$B$4077,B19,$C$2:$C$4077,C19,$I$2:$I$4077,I19)</f>
        <v>1</v>
      </c>
      <c r="L19" s="3" t="n">
        <f aca="false">IF(COUNTIFS($B$2:B19,B19,$C$2:C19,C19,$I$2:I19,I19)=1,1,0)</f>
        <v>1</v>
      </c>
      <c r="M19" s="3" t="n">
        <f aca="false">IF(K19&gt;=Parametri!$B$1,1,0)</f>
        <v>0</v>
      </c>
      <c r="N19" s="3" t="n">
        <f aca="false">L19*M19</f>
        <v>0</v>
      </c>
    </row>
    <row r="20" customFormat="false" ht="15" hidden="false" customHeight="false" outlineLevel="0" collapsed="false">
      <c r="A20" s="0" t="s">
        <v>83</v>
      </c>
      <c r="B20" s="0" t="s">
        <v>50</v>
      </c>
      <c r="C20" s="0" t="s">
        <v>84</v>
      </c>
      <c r="D20" s="0" t="s">
        <v>77</v>
      </c>
      <c r="E20" s="2" t="n">
        <v>45518</v>
      </c>
      <c r="F20" s="3" t="s">
        <v>20</v>
      </c>
      <c r="G20" s="3" t="s">
        <v>39</v>
      </c>
      <c r="H20" s="3" t="s">
        <v>22</v>
      </c>
      <c r="I20" s="3" t="n">
        <f aca="false">YEAR(E20)</f>
        <v>2024</v>
      </c>
      <c r="J20" s="3" t="n">
        <f aca="false">MONTH(E20)</f>
        <v>8</v>
      </c>
      <c r="K20" s="3" t="n">
        <f aca="false">COUNTIFS($B$2:$B$4077,B20,$C$2:$C$4077,C20,$I$2:$I$4077,I20)</f>
        <v>2</v>
      </c>
      <c r="L20" s="3" t="n">
        <f aca="false">IF(COUNTIFS($B$2:B20,B20,$C$2:C20,C20,$I$2:I20,I20)=1,1,0)</f>
        <v>1</v>
      </c>
      <c r="M20" s="3" t="n">
        <f aca="false">IF(K20&gt;=Parametri!$B$1,1,0)</f>
        <v>1</v>
      </c>
      <c r="N20" s="3" t="n">
        <f aca="false">L20*M20</f>
        <v>1</v>
      </c>
    </row>
    <row r="21" customFormat="false" ht="15" hidden="false" customHeight="false" outlineLevel="0" collapsed="false">
      <c r="A21" s="0" t="s">
        <v>85</v>
      </c>
      <c r="B21" s="0" t="s">
        <v>79</v>
      </c>
      <c r="C21" s="0" t="s">
        <v>86</v>
      </c>
      <c r="D21" s="0" t="s">
        <v>33</v>
      </c>
      <c r="E21" s="2" t="n">
        <v>45561</v>
      </c>
      <c r="F21" s="3" t="s">
        <v>20</v>
      </c>
      <c r="G21" s="3" t="s">
        <v>43</v>
      </c>
      <c r="H21" s="3" t="s">
        <v>44</v>
      </c>
      <c r="I21" s="3" t="n">
        <f aca="false">YEAR(E21)</f>
        <v>2024</v>
      </c>
      <c r="J21" s="3" t="n">
        <f aca="false">MONTH(E21)</f>
        <v>9</v>
      </c>
      <c r="K21" s="3" t="n">
        <f aca="false">COUNTIFS($B$2:$B$4077,B21,$C$2:$C$4077,C21,$I$2:$I$4077,I21)</f>
        <v>3</v>
      </c>
      <c r="L21" s="3" t="n">
        <f aca="false">IF(COUNTIFS($B$2:B21,B21,$C$2:C21,C21,$I$2:I21,I21)=1,1,0)</f>
        <v>1</v>
      </c>
      <c r="M21" s="3" t="n">
        <f aca="false">IF(K21&gt;=Parametri!$B$1,1,0)</f>
        <v>1</v>
      </c>
      <c r="N21" s="3" t="n">
        <f aca="false">L21*M21</f>
        <v>1</v>
      </c>
    </row>
    <row r="22" customFormat="false" ht="15" hidden="false" customHeight="false" outlineLevel="0" collapsed="false">
      <c r="A22" s="0" t="s">
        <v>87</v>
      </c>
      <c r="B22" s="0" t="s">
        <v>50</v>
      </c>
      <c r="C22" s="0" t="s">
        <v>88</v>
      </c>
      <c r="D22" s="0" t="s">
        <v>38</v>
      </c>
      <c r="E22" s="2" t="n">
        <v>46207</v>
      </c>
      <c r="F22" s="3" t="s">
        <v>20</v>
      </c>
      <c r="G22" s="3" t="s">
        <v>89</v>
      </c>
      <c r="H22" s="3" t="s">
        <v>29</v>
      </c>
      <c r="I22" s="3" t="n">
        <f aca="false">YEAR(E22)</f>
        <v>2026</v>
      </c>
      <c r="J22" s="3" t="n">
        <f aca="false">MONTH(E22)</f>
        <v>7</v>
      </c>
      <c r="K22" s="3" t="n">
        <f aca="false">COUNTIFS($B$2:$B$4077,B22,$C$2:$C$4077,C22,$I$2:$I$4077,I22)</f>
        <v>1</v>
      </c>
      <c r="L22" s="3" t="n">
        <f aca="false">IF(COUNTIFS($B$2:B22,B22,$C$2:C22,C22,$I$2:I22,I22)=1,1,0)</f>
        <v>1</v>
      </c>
      <c r="M22" s="3" t="n">
        <f aca="false">IF(K22&gt;=Parametri!$B$1,1,0)</f>
        <v>0</v>
      </c>
      <c r="N22" s="3" t="n">
        <f aca="false">L22*M22</f>
        <v>0</v>
      </c>
    </row>
    <row r="23" customFormat="false" ht="15" hidden="false" customHeight="false" outlineLevel="0" collapsed="false">
      <c r="A23" s="0" t="s">
        <v>90</v>
      </c>
      <c r="B23" s="0" t="s">
        <v>17</v>
      </c>
      <c r="C23" s="0" t="s">
        <v>91</v>
      </c>
      <c r="D23" s="0" t="s">
        <v>63</v>
      </c>
      <c r="E23" s="2" t="n">
        <v>45965</v>
      </c>
      <c r="F23" s="3" t="s">
        <v>20</v>
      </c>
      <c r="G23" s="3" t="s">
        <v>35</v>
      </c>
      <c r="H23" s="3" t="s">
        <v>44</v>
      </c>
      <c r="I23" s="3" t="n">
        <f aca="false">YEAR(E23)</f>
        <v>2025</v>
      </c>
      <c r="J23" s="3" t="n">
        <f aca="false">MONTH(E23)</f>
        <v>11</v>
      </c>
      <c r="K23" s="3" t="n">
        <f aca="false">COUNTIFS($B$2:$B$4077,B23,$C$2:$C$4077,C23,$I$2:$I$4077,I23)</f>
        <v>1</v>
      </c>
      <c r="L23" s="3" t="n">
        <f aca="false">IF(COUNTIFS($B$2:B23,B23,$C$2:C23,C23,$I$2:I23,I23)=1,1,0)</f>
        <v>1</v>
      </c>
      <c r="M23" s="3" t="n">
        <f aca="false">IF(K23&gt;=Parametri!$B$1,1,0)</f>
        <v>0</v>
      </c>
      <c r="N23" s="3" t="n">
        <f aca="false">L23*M23</f>
        <v>0</v>
      </c>
    </row>
    <row r="24" customFormat="false" ht="15" hidden="false" customHeight="false" outlineLevel="0" collapsed="false">
      <c r="A24" s="0" t="s">
        <v>92</v>
      </c>
      <c r="B24" s="0" t="s">
        <v>46</v>
      </c>
      <c r="C24" s="0" t="s">
        <v>93</v>
      </c>
      <c r="D24" s="0" t="s">
        <v>66</v>
      </c>
      <c r="E24" s="2" t="n">
        <v>45953</v>
      </c>
      <c r="F24" s="3" t="s">
        <v>20</v>
      </c>
      <c r="G24" s="3" t="s">
        <v>55</v>
      </c>
      <c r="H24" s="3" t="s">
        <v>44</v>
      </c>
      <c r="I24" s="3" t="n">
        <f aca="false">YEAR(E24)</f>
        <v>2025</v>
      </c>
      <c r="J24" s="3" t="n">
        <f aca="false">MONTH(E24)</f>
        <v>10</v>
      </c>
      <c r="K24" s="3" t="n">
        <f aca="false">COUNTIFS($B$2:$B$4077,B24,$C$2:$C$4077,C24,$I$2:$I$4077,I24)</f>
        <v>3</v>
      </c>
      <c r="L24" s="3" t="n">
        <f aca="false">IF(COUNTIFS($B$2:B24,B24,$C$2:C24,C24,$I$2:I24,I24)=1,1,0)</f>
        <v>1</v>
      </c>
      <c r="M24" s="3" t="n">
        <f aca="false">IF(K24&gt;=Parametri!$B$1,1,0)</f>
        <v>1</v>
      </c>
      <c r="N24" s="3" t="n">
        <f aca="false">L24*M24</f>
        <v>1</v>
      </c>
    </row>
    <row r="25" customFormat="false" ht="15" hidden="false" customHeight="false" outlineLevel="0" collapsed="false">
      <c r="A25" s="0" t="s">
        <v>94</v>
      </c>
      <c r="B25" s="0" t="s">
        <v>17</v>
      </c>
      <c r="C25" s="0" t="s">
        <v>95</v>
      </c>
      <c r="D25" s="0" t="s">
        <v>77</v>
      </c>
      <c r="E25" s="2" t="n">
        <v>45751</v>
      </c>
      <c r="F25" s="3" t="s">
        <v>27</v>
      </c>
      <c r="G25" s="3" t="s">
        <v>28</v>
      </c>
      <c r="H25" s="3" t="s">
        <v>48</v>
      </c>
      <c r="I25" s="3" t="n">
        <f aca="false">YEAR(E25)</f>
        <v>2025</v>
      </c>
      <c r="J25" s="3" t="n">
        <f aca="false">MONTH(E25)</f>
        <v>4</v>
      </c>
      <c r="K25" s="3" t="n">
        <f aca="false">COUNTIFS($B$2:$B$4077,B25,$C$2:$C$4077,C25,$I$2:$I$4077,I25)</f>
        <v>3</v>
      </c>
      <c r="L25" s="3" t="n">
        <f aca="false">IF(COUNTIFS($B$2:B25,B25,$C$2:C25,C25,$I$2:I25,I25)=1,1,0)</f>
        <v>1</v>
      </c>
      <c r="M25" s="3" t="n">
        <f aca="false">IF(K25&gt;=Parametri!$B$1,1,0)</f>
        <v>1</v>
      </c>
      <c r="N25" s="3" t="n">
        <f aca="false">L25*M25</f>
        <v>1</v>
      </c>
    </row>
    <row r="26" customFormat="false" ht="15" hidden="false" customHeight="false" outlineLevel="0" collapsed="false">
      <c r="A26" s="0" t="s">
        <v>96</v>
      </c>
      <c r="B26" s="0" t="s">
        <v>57</v>
      </c>
      <c r="C26" s="0" t="s">
        <v>97</v>
      </c>
      <c r="D26" s="0" t="s">
        <v>33</v>
      </c>
      <c r="E26" s="2" t="n">
        <v>45333</v>
      </c>
      <c r="F26" s="3" t="s">
        <v>20</v>
      </c>
      <c r="G26" s="3" t="s">
        <v>28</v>
      </c>
      <c r="H26" s="3" t="s">
        <v>29</v>
      </c>
      <c r="I26" s="3" t="n">
        <f aca="false">YEAR(E26)</f>
        <v>2024</v>
      </c>
      <c r="J26" s="3" t="n">
        <f aca="false">MONTH(E26)</f>
        <v>2</v>
      </c>
      <c r="K26" s="3" t="n">
        <f aca="false">COUNTIFS($B$2:$B$4077,B26,$C$2:$C$4077,C26,$I$2:$I$4077,I26)</f>
        <v>2</v>
      </c>
      <c r="L26" s="3" t="n">
        <f aca="false">IF(COUNTIFS($B$2:B26,B26,$C$2:C26,C26,$I$2:I26,I26)=1,1,0)</f>
        <v>1</v>
      </c>
      <c r="M26" s="3" t="n">
        <f aca="false">IF(K26&gt;=Parametri!$B$1,1,0)</f>
        <v>1</v>
      </c>
      <c r="N26" s="3" t="n">
        <f aca="false">L26*M26</f>
        <v>1</v>
      </c>
    </row>
    <row r="27" customFormat="false" ht="15" hidden="false" customHeight="false" outlineLevel="0" collapsed="false">
      <c r="A27" s="0" t="s">
        <v>98</v>
      </c>
      <c r="B27" s="0" t="s">
        <v>79</v>
      </c>
      <c r="C27" s="0" t="s">
        <v>99</v>
      </c>
      <c r="D27" s="0" t="s">
        <v>54</v>
      </c>
      <c r="E27" s="2" t="n">
        <v>45899</v>
      </c>
      <c r="F27" s="3" t="s">
        <v>20</v>
      </c>
      <c r="G27" s="3" t="s">
        <v>21</v>
      </c>
      <c r="H27" s="3" t="s">
        <v>44</v>
      </c>
      <c r="I27" s="3" t="n">
        <f aca="false">YEAR(E27)</f>
        <v>2025</v>
      </c>
      <c r="J27" s="3" t="n">
        <f aca="false">MONTH(E27)</f>
        <v>8</v>
      </c>
      <c r="K27" s="3" t="n">
        <f aca="false">COUNTIFS($B$2:$B$4077,B27,$C$2:$C$4077,C27,$I$2:$I$4077,I27)</f>
        <v>1</v>
      </c>
      <c r="L27" s="3" t="n">
        <f aca="false">IF(COUNTIFS($B$2:B27,B27,$C$2:C27,C27,$I$2:I27,I27)=1,1,0)</f>
        <v>1</v>
      </c>
      <c r="M27" s="3" t="n">
        <f aca="false">IF(K27&gt;=Parametri!$B$1,1,0)</f>
        <v>0</v>
      </c>
      <c r="N27" s="3" t="n">
        <f aca="false">L27*M27</f>
        <v>0</v>
      </c>
    </row>
    <row r="28" customFormat="false" ht="15" hidden="false" customHeight="false" outlineLevel="0" collapsed="false">
      <c r="A28" s="0" t="s">
        <v>100</v>
      </c>
      <c r="B28" s="0" t="s">
        <v>57</v>
      </c>
      <c r="C28" s="0" t="s">
        <v>101</v>
      </c>
      <c r="D28" s="0" t="s">
        <v>19</v>
      </c>
      <c r="E28" s="2" t="n">
        <v>45316</v>
      </c>
      <c r="F28" s="3" t="s">
        <v>27</v>
      </c>
      <c r="G28" s="3" t="s">
        <v>55</v>
      </c>
      <c r="H28" s="3" t="s">
        <v>29</v>
      </c>
      <c r="I28" s="3" t="n">
        <f aca="false">YEAR(E28)</f>
        <v>2024</v>
      </c>
      <c r="J28" s="3" t="n">
        <f aca="false">MONTH(E28)</f>
        <v>1</v>
      </c>
      <c r="K28" s="3" t="n">
        <f aca="false">COUNTIFS($B$2:$B$4077,B28,$C$2:$C$4077,C28,$I$2:$I$4077,I28)</f>
        <v>2</v>
      </c>
      <c r="L28" s="3" t="n">
        <f aca="false">IF(COUNTIFS($B$2:B28,B28,$C$2:C28,C28,$I$2:I28,I28)=1,1,0)</f>
        <v>1</v>
      </c>
      <c r="M28" s="3" t="n">
        <f aca="false">IF(K28&gt;=Parametri!$B$1,1,0)</f>
        <v>1</v>
      </c>
      <c r="N28" s="3" t="n">
        <f aca="false">L28*M28</f>
        <v>1</v>
      </c>
    </row>
    <row r="29" customFormat="false" ht="15" hidden="false" customHeight="false" outlineLevel="0" collapsed="false">
      <c r="A29" s="0" t="s">
        <v>102</v>
      </c>
      <c r="B29" s="0" t="s">
        <v>68</v>
      </c>
      <c r="C29" s="0" t="s">
        <v>103</v>
      </c>
      <c r="D29" s="0" t="s">
        <v>26</v>
      </c>
      <c r="E29" s="2" t="n">
        <v>46015</v>
      </c>
      <c r="F29" s="3" t="s">
        <v>20</v>
      </c>
      <c r="G29" s="3" t="s">
        <v>104</v>
      </c>
      <c r="H29" s="3" t="s">
        <v>104</v>
      </c>
      <c r="I29" s="3" t="n">
        <f aca="false">YEAR(E29)</f>
        <v>2025</v>
      </c>
      <c r="J29" s="3" t="n">
        <f aca="false">MONTH(E29)</f>
        <v>12</v>
      </c>
      <c r="K29" s="3" t="n">
        <f aca="false">COUNTIFS($B$2:$B$4077,B29,$C$2:$C$4077,C29,$I$2:$I$4077,I29)</f>
        <v>1</v>
      </c>
      <c r="L29" s="3" t="n">
        <f aca="false">IF(COUNTIFS($B$2:B29,B29,$C$2:C29,C29,$I$2:I29,I29)=1,1,0)</f>
        <v>1</v>
      </c>
      <c r="M29" s="3" t="n">
        <f aca="false">IF(K29&gt;=Parametri!$B$1,1,0)</f>
        <v>0</v>
      </c>
      <c r="N29" s="3" t="n">
        <f aca="false">L29*M29</f>
        <v>0</v>
      </c>
    </row>
    <row r="30" customFormat="false" ht="15" hidden="false" customHeight="false" outlineLevel="0" collapsed="false">
      <c r="A30" s="0" t="s">
        <v>105</v>
      </c>
      <c r="B30" s="0" t="s">
        <v>68</v>
      </c>
      <c r="C30" s="0" t="s">
        <v>106</v>
      </c>
      <c r="D30" s="0" t="s">
        <v>77</v>
      </c>
      <c r="E30" s="2" t="n">
        <v>46182</v>
      </c>
      <c r="F30" s="3" t="s">
        <v>20</v>
      </c>
      <c r="G30" s="3" t="s">
        <v>28</v>
      </c>
      <c r="H30" s="3" t="s">
        <v>29</v>
      </c>
      <c r="I30" s="3" t="n">
        <f aca="false">YEAR(E30)</f>
        <v>2026</v>
      </c>
      <c r="J30" s="3" t="n">
        <f aca="false">MONTH(E30)</f>
        <v>6</v>
      </c>
      <c r="K30" s="3" t="n">
        <f aca="false">COUNTIFS($B$2:$B$4077,B30,$C$2:$C$4077,C30,$I$2:$I$4077,I30)</f>
        <v>4</v>
      </c>
      <c r="L30" s="3" t="n">
        <f aca="false">IF(COUNTIFS($B$2:B30,B30,$C$2:C30,C30,$I$2:I30,I30)=1,1,0)</f>
        <v>1</v>
      </c>
      <c r="M30" s="3" t="n">
        <f aca="false">IF(K30&gt;=Parametri!$B$1,1,0)</f>
        <v>1</v>
      </c>
      <c r="N30" s="3" t="n">
        <f aca="false">L30*M30</f>
        <v>1</v>
      </c>
    </row>
    <row r="31" customFormat="false" ht="15" hidden="false" customHeight="false" outlineLevel="0" collapsed="false">
      <c r="A31" s="0" t="s">
        <v>107</v>
      </c>
      <c r="B31" s="0" t="s">
        <v>31</v>
      </c>
      <c r="C31" s="0" t="s">
        <v>108</v>
      </c>
      <c r="D31" s="0" t="s">
        <v>19</v>
      </c>
      <c r="E31" s="2" t="n">
        <v>45638</v>
      </c>
      <c r="F31" s="3" t="s">
        <v>20</v>
      </c>
      <c r="G31" s="3" t="s">
        <v>39</v>
      </c>
      <c r="H31" s="3" t="s">
        <v>44</v>
      </c>
      <c r="I31" s="3" t="n">
        <f aca="false">YEAR(E31)</f>
        <v>2024</v>
      </c>
      <c r="J31" s="3" t="n">
        <f aca="false">MONTH(E31)</f>
        <v>12</v>
      </c>
      <c r="K31" s="3" t="n">
        <f aca="false">COUNTIFS($B$2:$B$4077,B31,$C$2:$C$4077,C31,$I$2:$I$4077,I31)</f>
        <v>2</v>
      </c>
      <c r="L31" s="3" t="n">
        <f aca="false">IF(COUNTIFS($B$2:B31,B31,$C$2:C31,C31,$I$2:I31,I31)=1,1,0)</f>
        <v>1</v>
      </c>
      <c r="M31" s="3" t="n">
        <f aca="false">IF(K31&gt;=Parametri!$B$1,1,0)</f>
        <v>1</v>
      </c>
      <c r="N31" s="3" t="n">
        <f aca="false">L31*M31</f>
        <v>1</v>
      </c>
    </row>
    <row r="32" customFormat="false" ht="15" hidden="false" customHeight="false" outlineLevel="0" collapsed="false">
      <c r="A32" s="0" t="s">
        <v>109</v>
      </c>
      <c r="B32" s="0" t="s">
        <v>17</v>
      </c>
      <c r="C32" s="0" t="s">
        <v>110</v>
      </c>
      <c r="D32" s="0" t="s">
        <v>38</v>
      </c>
      <c r="E32" s="2" t="n">
        <v>45324</v>
      </c>
      <c r="F32" s="3" t="s">
        <v>27</v>
      </c>
      <c r="G32" s="3" t="s">
        <v>21</v>
      </c>
      <c r="H32" s="3" t="s">
        <v>22</v>
      </c>
      <c r="I32" s="3" t="n">
        <f aca="false">YEAR(E32)</f>
        <v>2024</v>
      </c>
      <c r="J32" s="3" t="n">
        <f aca="false">MONTH(E32)</f>
        <v>2</v>
      </c>
      <c r="K32" s="3" t="n">
        <f aca="false">COUNTIFS($B$2:$B$4077,B32,$C$2:$C$4077,C32,$I$2:$I$4077,I32)</f>
        <v>2</v>
      </c>
      <c r="L32" s="3" t="n">
        <f aca="false">IF(COUNTIFS($B$2:B32,B32,$C$2:C32,C32,$I$2:I32,I32)=1,1,0)</f>
        <v>1</v>
      </c>
      <c r="M32" s="3" t="n">
        <f aca="false">IF(K32&gt;=Parametri!$B$1,1,0)</f>
        <v>1</v>
      </c>
      <c r="N32" s="3" t="n">
        <f aca="false">L32*M32</f>
        <v>1</v>
      </c>
    </row>
    <row r="33" customFormat="false" ht="15" hidden="false" customHeight="false" outlineLevel="0" collapsed="false">
      <c r="A33" s="0" t="s">
        <v>111</v>
      </c>
      <c r="B33" s="0" t="s">
        <v>31</v>
      </c>
      <c r="C33" s="0" t="s">
        <v>112</v>
      </c>
      <c r="D33" s="0" t="s">
        <v>26</v>
      </c>
      <c r="E33" s="2" t="n">
        <v>45979</v>
      </c>
      <c r="F33" s="3" t="s">
        <v>34</v>
      </c>
      <c r="G33" s="3" t="s">
        <v>35</v>
      </c>
      <c r="H33" s="3" t="s">
        <v>29</v>
      </c>
      <c r="I33" s="3" t="n">
        <f aca="false">YEAR(E33)</f>
        <v>2025</v>
      </c>
      <c r="J33" s="3" t="n">
        <f aca="false">MONTH(E33)</f>
        <v>11</v>
      </c>
      <c r="K33" s="3" t="n">
        <f aca="false">COUNTIFS($B$2:$B$4077,B33,$C$2:$C$4077,C33,$I$2:$I$4077,I33)</f>
        <v>2</v>
      </c>
      <c r="L33" s="3" t="n">
        <f aca="false">IF(COUNTIFS($B$2:B33,B33,$C$2:C33,C33,$I$2:I33,I33)=1,1,0)</f>
        <v>1</v>
      </c>
      <c r="M33" s="3" t="n">
        <f aca="false">IF(K33&gt;=Parametri!$B$1,1,0)</f>
        <v>1</v>
      </c>
      <c r="N33" s="3" t="n">
        <f aca="false">L33*M33</f>
        <v>1</v>
      </c>
    </row>
    <row r="34" customFormat="false" ht="15" hidden="false" customHeight="false" outlineLevel="0" collapsed="false">
      <c r="A34" s="0" t="s">
        <v>113</v>
      </c>
      <c r="B34" s="0" t="s">
        <v>79</v>
      </c>
      <c r="C34" s="0" t="s">
        <v>114</v>
      </c>
      <c r="D34" s="0" t="s">
        <v>38</v>
      </c>
      <c r="E34" s="2" t="n">
        <v>45917</v>
      </c>
      <c r="F34" s="3" t="s">
        <v>20</v>
      </c>
      <c r="G34" s="3" t="s">
        <v>55</v>
      </c>
      <c r="H34" s="3" t="s">
        <v>44</v>
      </c>
      <c r="I34" s="3" t="n">
        <f aca="false">YEAR(E34)</f>
        <v>2025</v>
      </c>
      <c r="J34" s="3" t="n">
        <f aca="false">MONTH(E34)</f>
        <v>9</v>
      </c>
      <c r="K34" s="3" t="n">
        <f aca="false">COUNTIFS($B$2:$B$4077,B34,$C$2:$C$4077,C34,$I$2:$I$4077,I34)</f>
        <v>2</v>
      </c>
      <c r="L34" s="3" t="n">
        <f aca="false">IF(COUNTIFS($B$2:B34,B34,$C$2:C34,C34,$I$2:I34,I34)=1,1,0)</f>
        <v>1</v>
      </c>
      <c r="M34" s="3" t="n">
        <f aca="false">IF(K34&gt;=Parametri!$B$1,1,0)</f>
        <v>1</v>
      </c>
      <c r="N34" s="3" t="n">
        <f aca="false">L34*M34</f>
        <v>1</v>
      </c>
    </row>
    <row r="35" customFormat="false" ht="15" hidden="false" customHeight="false" outlineLevel="0" collapsed="false">
      <c r="A35" s="0" t="s">
        <v>115</v>
      </c>
      <c r="B35" s="0" t="s">
        <v>79</v>
      </c>
      <c r="C35" s="0" t="s">
        <v>116</v>
      </c>
      <c r="D35" s="0" t="s">
        <v>66</v>
      </c>
      <c r="E35" s="2" t="n">
        <v>45896</v>
      </c>
      <c r="F35" s="3" t="s">
        <v>27</v>
      </c>
      <c r="G35" s="3" t="s">
        <v>35</v>
      </c>
      <c r="H35" s="3" t="s">
        <v>22</v>
      </c>
      <c r="I35" s="3" t="n">
        <f aca="false">YEAR(E35)</f>
        <v>2025</v>
      </c>
      <c r="J35" s="3" t="n">
        <f aca="false">MONTH(E35)</f>
        <v>8</v>
      </c>
      <c r="K35" s="3" t="n">
        <f aca="false">COUNTIFS($B$2:$B$4077,B35,$C$2:$C$4077,C35,$I$2:$I$4077,I35)</f>
        <v>6</v>
      </c>
      <c r="L35" s="3" t="n">
        <f aca="false">IF(COUNTIFS($B$2:B35,B35,$C$2:C35,C35,$I$2:I35,I35)=1,1,0)</f>
        <v>1</v>
      </c>
      <c r="M35" s="3" t="n">
        <f aca="false">IF(K35&gt;=Parametri!$B$1,1,0)</f>
        <v>1</v>
      </c>
      <c r="N35" s="3" t="n">
        <f aca="false">L35*M35</f>
        <v>1</v>
      </c>
    </row>
    <row r="36" customFormat="false" ht="15" hidden="false" customHeight="false" outlineLevel="0" collapsed="false">
      <c r="A36" s="0" t="s">
        <v>117</v>
      </c>
      <c r="B36" s="0" t="s">
        <v>31</v>
      </c>
      <c r="C36" s="0" t="s">
        <v>118</v>
      </c>
      <c r="D36" s="0" t="s">
        <v>26</v>
      </c>
      <c r="E36" s="2" t="n">
        <v>45965</v>
      </c>
      <c r="F36" s="3" t="s">
        <v>20</v>
      </c>
      <c r="G36" s="3" t="s">
        <v>28</v>
      </c>
      <c r="H36" s="3" t="s">
        <v>48</v>
      </c>
      <c r="I36" s="3" t="n">
        <f aca="false">YEAR(E36)</f>
        <v>2025</v>
      </c>
      <c r="J36" s="3" t="n">
        <f aca="false">MONTH(E36)</f>
        <v>11</v>
      </c>
      <c r="K36" s="3" t="n">
        <f aca="false">COUNTIFS($B$2:$B$4077,B36,$C$2:$C$4077,C36,$I$2:$I$4077,I36)</f>
        <v>1</v>
      </c>
      <c r="L36" s="3" t="n">
        <f aca="false">IF(COUNTIFS($B$2:B36,B36,$C$2:C36,C36,$I$2:I36,I36)=1,1,0)</f>
        <v>1</v>
      </c>
      <c r="M36" s="3" t="n">
        <f aca="false">IF(K36&gt;=Parametri!$B$1,1,0)</f>
        <v>0</v>
      </c>
      <c r="N36" s="3" t="n">
        <f aca="false">L36*M36</f>
        <v>0</v>
      </c>
    </row>
    <row r="37" customFormat="false" ht="15" hidden="false" customHeight="false" outlineLevel="0" collapsed="false">
      <c r="A37" s="0" t="s">
        <v>119</v>
      </c>
      <c r="B37" s="0" t="s">
        <v>46</v>
      </c>
      <c r="C37" s="0" t="s">
        <v>120</v>
      </c>
      <c r="D37" s="0" t="s">
        <v>54</v>
      </c>
      <c r="E37" s="2" t="n">
        <v>45924</v>
      </c>
      <c r="F37" s="3" t="s">
        <v>27</v>
      </c>
      <c r="G37" s="3" t="s">
        <v>39</v>
      </c>
      <c r="H37" s="3" t="s">
        <v>44</v>
      </c>
      <c r="I37" s="3" t="n">
        <f aca="false">YEAR(E37)</f>
        <v>2025</v>
      </c>
      <c r="J37" s="3" t="n">
        <f aca="false">MONTH(E37)</f>
        <v>9</v>
      </c>
      <c r="K37" s="3" t="n">
        <f aca="false">COUNTIFS($B$2:$B$4077,B37,$C$2:$C$4077,C37,$I$2:$I$4077,I37)</f>
        <v>1</v>
      </c>
      <c r="L37" s="3" t="n">
        <f aca="false">IF(COUNTIFS($B$2:B37,B37,$C$2:C37,C37,$I$2:I37,I37)=1,1,0)</f>
        <v>1</v>
      </c>
      <c r="M37" s="3" t="n">
        <f aca="false">IF(K37&gt;=Parametri!$B$1,1,0)</f>
        <v>0</v>
      </c>
      <c r="N37" s="3" t="n">
        <f aca="false">L37*M37</f>
        <v>0</v>
      </c>
    </row>
    <row r="38" customFormat="false" ht="15" hidden="false" customHeight="false" outlineLevel="0" collapsed="false">
      <c r="A38" s="0" t="s">
        <v>121</v>
      </c>
      <c r="B38" s="0" t="s">
        <v>50</v>
      </c>
      <c r="C38" s="0" t="s">
        <v>122</v>
      </c>
      <c r="D38" s="0" t="s">
        <v>26</v>
      </c>
      <c r="E38" s="2" t="n">
        <v>46068</v>
      </c>
      <c r="F38" s="3" t="s">
        <v>34</v>
      </c>
      <c r="G38" s="3" t="s">
        <v>43</v>
      </c>
      <c r="H38" s="3" t="s">
        <v>22</v>
      </c>
      <c r="I38" s="3" t="n">
        <f aca="false">YEAR(E38)</f>
        <v>2026</v>
      </c>
      <c r="J38" s="3" t="n">
        <f aca="false">MONTH(E38)</f>
        <v>2</v>
      </c>
      <c r="K38" s="3" t="n">
        <f aca="false">COUNTIFS($B$2:$B$4077,B38,$C$2:$C$4077,C38,$I$2:$I$4077,I38)</f>
        <v>1</v>
      </c>
      <c r="L38" s="3" t="n">
        <f aca="false">IF(COUNTIFS($B$2:B38,B38,$C$2:C38,C38,$I$2:I38,I38)=1,1,0)</f>
        <v>1</v>
      </c>
      <c r="M38" s="3" t="n">
        <f aca="false">IF(K38&gt;=Parametri!$B$1,1,0)</f>
        <v>0</v>
      </c>
      <c r="N38" s="3" t="n">
        <f aca="false">L38*M38</f>
        <v>0</v>
      </c>
    </row>
    <row r="39" customFormat="false" ht="15" hidden="false" customHeight="false" outlineLevel="0" collapsed="false">
      <c r="A39" s="0" t="s">
        <v>123</v>
      </c>
      <c r="B39" s="0" t="s">
        <v>124</v>
      </c>
      <c r="C39" s="0" t="s">
        <v>125</v>
      </c>
      <c r="D39" s="0" t="s">
        <v>38</v>
      </c>
      <c r="E39" s="2" t="n">
        <v>45555</v>
      </c>
      <c r="F39" s="3" t="s">
        <v>34</v>
      </c>
      <c r="G39" s="3" t="s">
        <v>35</v>
      </c>
      <c r="H39" s="3" t="s">
        <v>29</v>
      </c>
      <c r="I39" s="3" t="n">
        <f aca="false">YEAR(E39)</f>
        <v>2024</v>
      </c>
      <c r="J39" s="3" t="n">
        <f aca="false">MONTH(E39)</f>
        <v>9</v>
      </c>
      <c r="K39" s="3" t="n">
        <f aca="false">COUNTIFS($B$2:$B$4077,B39,$C$2:$C$4077,C39,$I$2:$I$4077,I39)</f>
        <v>4</v>
      </c>
      <c r="L39" s="3" t="n">
        <f aca="false">IF(COUNTIFS($B$2:B39,B39,$C$2:C39,C39,$I$2:I39,I39)=1,1,0)</f>
        <v>1</v>
      </c>
      <c r="M39" s="3" t="n">
        <f aca="false">IF(K39&gt;=Parametri!$B$1,1,0)</f>
        <v>1</v>
      </c>
      <c r="N39" s="3" t="n">
        <f aca="false">L39*M39</f>
        <v>1</v>
      </c>
    </row>
    <row r="40" customFormat="false" ht="15" hidden="false" customHeight="false" outlineLevel="0" collapsed="false">
      <c r="A40" s="0" t="s">
        <v>126</v>
      </c>
      <c r="B40" s="0" t="s">
        <v>24</v>
      </c>
      <c r="C40" s="0" t="s">
        <v>127</v>
      </c>
      <c r="D40" s="0" t="s">
        <v>38</v>
      </c>
      <c r="E40" s="2" t="n">
        <v>45456</v>
      </c>
      <c r="F40" s="3" t="s">
        <v>27</v>
      </c>
      <c r="G40" s="3" t="s">
        <v>72</v>
      </c>
      <c r="H40" s="3" t="s">
        <v>22</v>
      </c>
      <c r="I40" s="3" t="n">
        <f aca="false">YEAR(E40)</f>
        <v>2024</v>
      </c>
      <c r="J40" s="3" t="n">
        <f aca="false">MONTH(E40)</f>
        <v>6</v>
      </c>
      <c r="K40" s="3" t="n">
        <f aca="false">COUNTIFS($B$2:$B$4077,B40,$C$2:$C$4077,C40,$I$2:$I$4077,I40)</f>
        <v>1</v>
      </c>
      <c r="L40" s="3" t="n">
        <f aca="false">IF(COUNTIFS($B$2:B40,B40,$C$2:C40,C40,$I$2:I40,I40)=1,1,0)</f>
        <v>1</v>
      </c>
      <c r="M40" s="3" t="n">
        <f aca="false">IF(K40&gt;=Parametri!$B$1,1,0)</f>
        <v>0</v>
      </c>
      <c r="N40" s="3" t="n">
        <f aca="false">L40*M40</f>
        <v>0</v>
      </c>
    </row>
    <row r="41" customFormat="false" ht="15" hidden="false" customHeight="false" outlineLevel="0" collapsed="false">
      <c r="A41" s="0" t="s">
        <v>128</v>
      </c>
      <c r="B41" s="0" t="s">
        <v>124</v>
      </c>
      <c r="C41" s="0" t="s">
        <v>129</v>
      </c>
      <c r="D41" s="0" t="s">
        <v>19</v>
      </c>
      <c r="E41" s="2" t="n">
        <v>45333</v>
      </c>
      <c r="F41" s="3" t="s">
        <v>20</v>
      </c>
      <c r="G41" s="3" t="s">
        <v>72</v>
      </c>
      <c r="H41" s="3" t="s">
        <v>48</v>
      </c>
      <c r="I41" s="3" t="n">
        <f aca="false">YEAR(E41)</f>
        <v>2024</v>
      </c>
      <c r="J41" s="3" t="n">
        <f aca="false">MONTH(E41)</f>
        <v>2</v>
      </c>
      <c r="K41" s="3" t="n">
        <f aca="false">COUNTIFS($B$2:$B$4077,B41,$C$2:$C$4077,C41,$I$2:$I$4077,I41)</f>
        <v>1</v>
      </c>
      <c r="L41" s="3" t="n">
        <f aca="false">IF(COUNTIFS($B$2:B41,B41,$C$2:C41,C41,$I$2:I41,I41)=1,1,0)</f>
        <v>1</v>
      </c>
      <c r="M41" s="3" t="n">
        <f aca="false">IF(K41&gt;=Parametri!$B$1,1,0)</f>
        <v>0</v>
      </c>
      <c r="N41" s="3" t="n">
        <f aca="false">L41*M41</f>
        <v>0</v>
      </c>
    </row>
    <row r="42" customFormat="false" ht="15" hidden="false" customHeight="false" outlineLevel="0" collapsed="false">
      <c r="A42" s="0" t="s">
        <v>130</v>
      </c>
      <c r="B42" s="0" t="s">
        <v>24</v>
      </c>
      <c r="C42" s="0" t="s">
        <v>131</v>
      </c>
      <c r="D42" s="0" t="s">
        <v>54</v>
      </c>
      <c r="E42" s="2" t="n">
        <v>46039</v>
      </c>
      <c r="F42" s="3" t="s">
        <v>20</v>
      </c>
      <c r="G42" s="3" t="s">
        <v>21</v>
      </c>
      <c r="H42" s="3" t="s">
        <v>48</v>
      </c>
      <c r="I42" s="3" t="n">
        <f aca="false">YEAR(E42)</f>
        <v>2026</v>
      </c>
      <c r="J42" s="3" t="n">
        <f aca="false">MONTH(E42)</f>
        <v>1</v>
      </c>
      <c r="K42" s="3" t="n">
        <f aca="false">COUNTIFS($B$2:$B$4077,B42,$C$2:$C$4077,C42,$I$2:$I$4077,I42)</f>
        <v>4</v>
      </c>
      <c r="L42" s="3" t="n">
        <f aca="false">IF(COUNTIFS($B$2:B42,B42,$C$2:C42,C42,$I$2:I42,I42)=1,1,0)</f>
        <v>1</v>
      </c>
      <c r="M42" s="3" t="n">
        <f aca="false">IF(K42&gt;=Parametri!$B$1,1,0)</f>
        <v>1</v>
      </c>
      <c r="N42" s="3" t="n">
        <f aca="false">L42*M42</f>
        <v>1</v>
      </c>
    </row>
    <row r="43" customFormat="false" ht="15" hidden="false" customHeight="false" outlineLevel="0" collapsed="false">
      <c r="A43" s="0" t="s">
        <v>132</v>
      </c>
      <c r="B43" s="0" t="s">
        <v>57</v>
      </c>
      <c r="C43" s="0" t="s">
        <v>133</v>
      </c>
      <c r="D43" s="0" t="s">
        <v>26</v>
      </c>
      <c r="E43" s="2" t="n">
        <v>46038</v>
      </c>
      <c r="F43" s="3" t="s">
        <v>20</v>
      </c>
      <c r="G43" s="3" t="s">
        <v>55</v>
      </c>
      <c r="H43" s="3" t="s">
        <v>48</v>
      </c>
      <c r="I43" s="3" t="n">
        <f aca="false">YEAR(E43)</f>
        <v>2026</v>
      </c>
      <c r="J43" s="3" t="n">
        <f aca="false">MONTH(E43)</f>
        <v>1</v>
      </c>
      <c r="K43" s="3" t="n">
        <f aca="false">COUNTIFS($B$2:$B$4077,B43,$C$2:$C$4077,C43,$I$2:$I$4077,I43)</f>
        <v>2</v>
      </c>
      <c r="L43" s="3" t="n">
        <f aca="false">IF(COUNTIFS($B$2:B43,B43,$C$2:C43,C43,$I$2:I43,I43)=1,1,0)</f>
        <v>1</v>
      </c>
      <c r="M43" s="3" t="n">
        <f aca="false">IF(K43&gt;=Parametri!$B$1,1,0)</f>
        <v>1</v>
      </c>
      <c r="N43" s="3" t="n">
        <f aca="false">L43*M43</f>
        <v>1</v>
      </c>
    </row>
    <row r="44" customFormat="false" ht="15" hidden="false" customHeight="false" outlineLevel="0" collapsed="false">
      <c r="A44" s="0" t="s">
        <v>134</v>
      </c>
      <c r="B44" s="0" t="s">
        <v>31</v>
      </c>
      <c r="C44" s="0" t="s">
        <v>135</v>
      </c>
      <c r="D44" s="0" t="s">
        <v>54</v>
      </c>
      <c r="E44" s="2" t="n">
        <v>46158</v>
      </c>
      <c r="F44" s="3" t="s">
        <v>20</v>
      </c>
      <c r="G44" s="3" t="s">
        <v>55</v>
      </c>
      <c r="H44" s="3" t="s">
        <v>29</v>
      </c>
      <c r="I44" s="3" t="n">
        <f aca="false">YEAR(E44)</f>
        <v>2026</v>
      </c>
      <c r="J44" s="3" t="n">
        <f aca="false">MONTH(E44)</f>
        <v>5</v>
      </c>
      <c r="K44" s="3" t="n">
        <f aca="false">COUNTIFS($B$2:$B$4077,B44,$C$2:$C$4077,C44,$I$2:$I$4077,I44)</f>
        <v>2</v>
      </c>
      <c r="L44" s="3" t="n">
        <f aca="false">IF(COUNTIFS($B$2:B44,B44,$C$2:C44,C44,$I$2:I44,I44)=1,1,0)</f>
        <v>1</v>
      </c>
      <c r="M44" s="3" t="n">
        <f aca="false">IF(K44&gt;=Parametri!$B$1,1,0)</f>
        <v>1</v>
      </c>
      <c r="N44" s="3" t="n">
        <f aca="false">L44*M44</f>
        <v>1</v>
      </c>
    </row>
    <row r="45" customFormat="false" ht="15" hidden="false" customHeight="false" outlineLevel="0" collapsed="false">
      <c r="A45" s="0" t="s">
        <v>136</v>
      </c>
      <c r="B45" s="0" t="s">
        <v>79</v>
      </c>
      <c r="C45" s="0" t="s">
        <v>137</v>
      </c>
      <c r="D45" s="0" t="s">
        <v>63</v>
      </c>
      <c r="E45" s="2" t="n">
        <v>45345</v>
      </c>
      <c r="F45" s="3" t="s">
        <v>20</v>
      </c>
      <c r="G45" s="3" t="s">
        <v>43</v>
      </c>
      <c r="H45" s="3" t="s">
        <v>22</v>
      </c>
      <c r="I45" s="3" t="n">
        <f aca="false">YEAR(E45)</f>
        <v>2024</v>
      </c>
      <c r="J45" s="3" t="n">
        <f aca="false">MONTH(E45)</f>
        <v>2</v>
      </c>
      <c r="K45" s="3" t="n">
        <f aca="false">COUNTIFS($B$2:$B$4077,B45,$C$2:$C$4077,C45,$I$2:$I$4077,I45)</f>
        <v>3</v>
      </c>
      <c r="L45" s="3" t="n">
        <f aca="false">IF(COUNTIFS($B$2:B45,B45,$C$2:C45,C45,$I$2:I45,I45)=1,1,0)</f>
        <v>1</v>
      </c>
      <c r="M45" s="3" t="n">
        <f aca="false">IF(K45&gt;=Parametri!$B$1,1,0)</f>
        <v>1</v>
      </c>
      <c r="N45" s="3" t="n">
        <f aca="false">L45*M45</f>
        <v>1</v>
      </c>
    </row>
    <row r="46" customFormat="false" ht="15" hidden="false" customHeight="false" outlineLevel="0" collapsed="false">
      <c r="A46" s="0" t="s">
        <v>138</v>
      </c>
      <c r="B46" s="0" t="s">
        <v>68</v>
      </c>
      <c r="C46" s="0" t="s">
        <v>139</v>
      </c>
      <c r="D46" s="0" t="s">
        <v>77</v>
      </c>
      <c r="E46" s="2" t="n">
        <v>45767</v>
      </c>
      <c r="F46" s="3" t="s">
        <v>34</v>
      </c>
      <c r="G46" s="3" t="s">
        <v>21</v>
      </c>
      <c r="H46" s="3" t="s">
        <v>22</v>
      </c>
      <c r="I46" s="3" t="n">
        <f aca="false">YEAR(E46)</f>
        <v>2025</v>
      </c>
      <c r="J46" s="3" t="n">
        <f aca="false">MONTH(E46)</f>
        <v>4</v>
      </c>
      <c r="K46" s="3" t="n">
        <f aca="false">COUNTIFS($B$2:$B$4077,B46,$C$2:$C$4077,C46,$I$2:$I$4077,I46)</f>
        <v>1</v>
      </c>
      <c r="L46" s="3" t="n">
        <f aca="false">IF(COUNTIFS($B$2:B46,B46,$C$2:C46,C46,$I$2:I46,I46)=1,1,0)</f>
        <v>1</v>
      </c>
      <c r="M46" s="3" t="n">
        <f aca="false">IF(K46&gt;=Parametri!$B$1,1,0)</f>
        <v>0</v>
      </c>
      <c r="N46" s="3" t="n">
        <f aca="false">L46*M46</f>
        <v>0</v>
      </c>
    </row>
    <row r="47" customFormat="false" ht="15" hidden="false" customHeight="false" outlineLevel="0" collapsed="false">
      <c r="A47" s="0" t="s">
        <v>140</v>
      </c>
      <c r="B47" s="0" t="s">
        <v>24</v>
      </c>
      <c r="C47" s="0" t="s">
        <v>141</v>
      </c>
      <c r="D47" s="0" t="s">
        <v>54</v>
      </c>
      <c r="E47" s="2" t="n">
        <v>45849</v>
      </c>
      <c r="F47" s="3" t="s">
        <v>27</v>
      </c>
      <c r="G47" s="3" t="s">
        <v>39</v>
      </c>
      <c r="H47" s="3" t="s">
        <v>22</v>
      </c>
      <c r="I47" s="3" t="n">
        <f aca="false">YEAR(E47)</f>
        <v>2025</v>
      </c>
      <c r="J47" s="3" t="n">
        <f aca="false">MONTH(E47)</f>
        <v>7</v>
      </c>
      <c r="K47" s="3" t="n">
        <f aca="false">COUNTIFS($B$2:$B$4077,B47,$C$2:$C$4077,C47,$I$2:$I$4077,I47)</f>
        <v>1</v>
      </c>
      <c r="L47" s="3" t="n">
        <f aca="false">IF(COUNTIFS($B$2:B47,B47,$C$2:C47,C47,$I$2:I47,I47)=1,1,0)</f>
        <v>1</v>
      </c>
      <c r="M47" s="3" t="n">
        <f aca="false">IF(K47&gt;=Parametri!$B$1,1,0)</f>
        <v>0</v>
      </c>
      <c r="N47" s="3" t="n">
        <f aca="false">L47*M47</f>
        <v>0</v>
      </c>
    </row>
    <row r="48" customFormat="false" ht="15" hidden="false" customHeight="false" outlineLevel="0" collapsed="false">
      <c r="A48" s="0" t="s">
        <v>142</v>
      </c>
      <c r="B48" s="0" t="s">
        <v>31</v>
      </c>
      <c r="C48" s="0" t="s">
        <v>143</v>
      </c>
      <c r="D48" s="0" t="s">
        <v>77</v>
      </c>
      <c r="E48" s="2" t="n">
        <v>46033</v>
      </c>
      <c r="F48" s="3" t="s">
        <v>20</v>
      </c>
      <c r="G48" s="3" t="s">
        <v>43</v>
      </c>
      <c r="H48" s="3" t="s">
        <v>44</v>
      </c>
      <c r="I48" s="3" t="n">
        <f aca="false">YEAR(E48)</f>
        <v>2026</v>
      </c>
      <c r="J48" s="3" t="n">
        <f aca="false">MONTH(E48)</f>
        <v>1</v>
      </c>
      <c r="K48" s="3" t="n">
        <f aca="false">COUNTIFS($B$2:$B$4077,B48,$C$2:$C$4077,C48,$I$2:$I$4077,I48)</f>
        <v>2</v>
      </c>
      <c r="L48" s="3" t="n">
        <f aca="false">IF(COUNTIFS($B$2:B48,B48,$C$2:C48,C48,$I$2:I48,I48)=1,1,0)</f>
        <v>1</v>
      </c>
      <c r="M48" s="3" t="n">
        <f aca="false">IF(K48&gt;=Parametri!$B$1,1,0)</f>
        <v>1</v>
      </c>
      <c r="N48" s="3" t="n">
        <f aca="false">L48*M48</f>
        <v>1</v>
      </c>
    </row>
    <row r="49" customFormat="false" ht="15" hidden="false" customHeight="false" outlineLevel="0" collapsed="false">
      <c r="A49" s="0" t="s">
        <v>144</v>
      </c>
      <c r="B49" s="0" t="s">
        <v>17</v>
      </c>
      <c r="C49" s="0" t="s">
        <v>145</v>
      </c>
      <c r="D49" s="0" t="s">
        <v>38</v>
      </c>
      <c r="E49" s="2" t="n">
        <v>45860</v>
      </c>
      <c r="F49" s="3" t="s">
        <v>34</v>
      </c>
      <c r="G49" s="3" t="s">
        <v>89</v>
      </c>
      <c r="H49" s="3" t="s">
        <v>29</v>
      </c>
      <c r="I49" s="3" t="n">
        <f aca="false">YEAR(E49)</f>
        <v>2025</v>
      </c>
      <c r="J49" s="3" t="n">
        <f aca="false">MONTH(E49)</f>
        <v>7</v>
      </c>
      <c r="K49" s="3" t="n">
        <f aca="false">COUNTIFS($B$2:$B$4077,B49,$C$2:$C$4077,C49,$I$2:$I$4077,I49)</f>
        <v>2</v>
      </c>
      <c r="L49" s="3" t="n">
        <f aca="false">IF(COUNTIFS($B$2:B49,B49,$C$2:C49,C49,$I$2:I49,I49)=1,1,0)</f>
        <v>1</v>
      </c>
      <c r="M49" s="3" t="n">
        <f aca="false">IF(K49&gt;=Parametri!$B$1,1,0)</f>
        <v>1</v>
      </c>
      <c r="N49" s="3" t="n">
        <f aca="false">L49*M49</f>
        <v>1</v>
      </c>
    </row>
    <row r="50" customFormat="false" ht="15" hidden="false" customHeight="false" outlineLevel="0" collapsed="false">
      <c r="A50" s="0" t="s">
        <v>146</v>
      </c>
      <c r="B50" s="0" t="s">
        <v>57</v>
      </c>
      <c r="C50" s="0" t="s">
        <v>147</v>
      </c>
      <c r="D50" s="0" t="s">
        <v>66</v>
      </c>
      <c r="E50" s="2" t="n">
        <v>45615</v>
      </c>
      <c r="F50" s="3" t="s">
        <v>34</v>
      </c>
      <c r="G50" s="3" t="s">
        <v>89</v>
      </c>
      <c r="H50" s="3" t="s">
        <v>29</v>
      </c>
      <c r="I50" s="3" t="n">
        <f aca="false">YEAR(E50)</f>
        <v>2024</v>
      </c>
      <c r="J50" s="3" t="n">
        <f aca="false">MONTH(E50)</f>
        <v>11</v>
      </c>
      <c r="K50" s="3" t="n">
        <f aca="false">COUNTIFS($B$2:$B$4077,B50,$C$2:$C$4077,C50,$I$2:$I$4077,I50)</f>
        <v>3</v>
      </c>
      <c r="L50" s="3" t="n">
        <f aca="false">IF(COUNTIFS($B$2:B50,B50,$C$2:C50,C50,$I$2:I50,I50)=1,1,0)</f>
        <v>1</v>
      </c>
      <c r="M50" s="3" t="n">
        <f aca="false">IF(K50&gt;=Parametri!$B$1,1,0)</f>
        <v>1</v>
      </c>
      <c r="N50" s="3" t="n">
        <f aca="false">L50*M50</f>
        <v>1</v>
      </c>
    </row>
    <row r="51" customFormat="false" ht="15" hidden="false" customHeight="false" outlineLevel="0" collapsed="false">
      <c r="A51" s="0" t="s">
        <v>148</v>
      </c>
      <c r="B51" s="0" t="s">
        <v>79</v>
      </c>
      <c r="C51" s="0" t="s">
        <v>149</v>
      </c>
      <c r="D51" s="0" t="s">
        <v>19</v>
      </c>
      <c r="E51" s="2" t="n">
        <v>45678</v>
      </c>
      <c r="F51" s="3" t="s">
        <v>20</v>
      </c>
      <c r="G51" s="3" t="s">
        <v>55</v>
      </c>
      <c r="H51" s="3" t="s">
        <v>44</v>
      </c>
      <c r="I51" s="3" t="n">
        <f aca="false">YEAR(E51)</f>
        <v>2025</v>
      </c>
      <c r="J51" s="3" t="n">
        <f aca="false">MONTH(E51)</f>
        <v>1</v>
      </c>
      <c r="K51" s="3" t="n">
        <f aca="false">COUNTIFS($B$2:$B$4077,B51,$C$2:$C$4077,C51,$I$2:$I$4077,I51)</f>
        <v>5</v>
      </c>
      <c r="L51" s="3" t="n">
        <f aca="false">IF(COUNTIFS($B$2:B51,B51,$C$2:C51,C51,$I$2:I51,I51)=1,1,0)</f>
        <v>1</v>
      </c>
      <c r="M51" s="3" t="n">
        <f aca="false">IF(K51&gt;=Parametri!$B$1,1,0)</f>
        <v>1</v>
      </c>
      <c r="N51" s="3" t="n">
        <f aca="false">L51*M51</f>
        <v>1</v>
      </c>
    </row>
    <row r="52" customFormat="false" ht="15" hidden="false" customHeight="false" outlineLevel="0" collapsed="false">
      <c r="A52" s="0" t="s">
        <v>150</v>
      </c>
      <c r="B52" s="0" t="s">
        <v>46</v>
      </c>
      <c r="C52" s="0" t="s">
        <v>151</v>
      </c>
      <c r="D52" s="0" t="s">
        <v>33</v>
      </c>
      <c r="E52" s="2" t="n">
        <v>45899</v>
      </c>
      <c r="F52" s="3" t="s">
        <v>20</v>
      </c>
      <c r="G52" s="3" t="s">
        <v>39</v>
      </c>
      <c r="H52" s="3" t="s">
        <v>22</v>
      </c>
      <c r="I52" s="3" t="n">
        <f aca="false">YEAR(E52)</f>
        <v>2025</v>
      </c>
      <c r="J52" s="3" t="n">
        <f aca="false">MONTH(E52)</f>
        <v>8</v>
      </c>
      <c r="K52" s="3" t="n">
        <f aca="false">COUNTIFS($B$2:$B$4077,B52,$C$2:$C$4077,C52,$I$2:$I$4077,I52)</f>
        <v>1</v>
      </c>
      <c r="L52" s="3" t="n">
        <f aca="false">IF(COUNTIFS($B$2:B52,B52,$C$2:C52,C52,$I$2:I52,I52)=1,1,0)</f>
        <v>1</v>
      </c>
      <c r="M52" s="3" t="n">
        <f aca="false">IF(K52&gt;=Parametri!$B$1,1,0)</f>
        <v>0</v>
      </c>
      <c r="N52" s="3" t="n">
        <f aca="false">L52*M52</f>
        <v>0</v>
      </c>
    </row>
    <row r="53" customFormat="false" ht="15" hidden="false" customHeight="false" outlineLevel="0" collapsed="false">
      <c r="A53" s="0" t="s">
        <v>152</v>
      </c>
      <c r="B53" s="0" t="s">
        <v>124</v>
      </c>
      <c r="C53" s="0" t="s">
        <v>153</v>
      </c>
      <c r="D53" s="0" t="s">
        <v>63</v>
      </c>
      <c r="E53" s="2" t="n">
        <v>46011</v>
      </c>
      <c r="F53" s="3" t="s">
        <v>27</v>
      </c>
      <c r="G53" s="3" t="s">
        <v>28</v>
      </c>
      <c r="H53" s="3" t="s">
        <v>22</v>
      </c>
      <c r="I53" s="3" t="n">
        <f aca="false">YEAR(E53)</f>
        <v>2025</v>
      </c>
      <c r="J53" s="3" t="n">
        <f aca="false">MONTH(E53)</f>
        <v>12</v>
      </c>
      <c r="K53" s="3" t="n">
        <f aca="false">COUNTIFS($B$2:$B$4077,B53,$C$2:$C$4077,C53,$I$2:$I$4077,I53)</f>
        <v>2</v>
      </c>
      <c r="L53" s="3" t="n">
        <f aca="false">IF(COUNTIFS($B$2:B53,B53,$C$2:C53,C53,$I$2:I53,I53)=1,1,0)</f>
        <v>1</v>
      </c>
      <c r="M53" s="3" t="n">
        <f aca="false">IF(K53&gt;=Parametri!$B$1,1,0)</f>
        <v>1</v>
      </c>
      <c r="N53" s="3" t="n">
        <f aca="false">L53*M53</f>
        <v>1</v>
      </c>
    </row>
    <row r="54" customFormat="false" ht="15" hidden="false" customHeight="false" outlineLevel="0" collapsed="false">
      <c r="A54" s="0" t="s">
        <v>154</v>
      </c>
      <c r="B54" s="0" t="s">
        <v>46</v>
      </c>
      <c r="C54" s="0" t="s">
        <v>155</v>
      </c>
      <c r="D54" s="0" t="s">
        <v>38</v>
      </c>
      <c r="E54" s="2" t="n">
        <v>45785</v>
      </c>
      <c r="F54" s="3" t="s">
        <v>20</v>
      </c>
      <c r="G54" s="3" t="s">
        <v>72</v>
      </c>
      <c r="H54" s="3" t="s">
        <v>22</v>
      </c>
      <c r="I54" s="3" t="n">
        <f aca="false">YEAR(E54)</f>
        <v>2025</v>
      </c>
      <c r="J54" s="3" t="n">
        <f aca="false">MONTH(E54)</f>
        <v>5</v>
      </c>
      <c r="K54" s="3" t="n">
        <f aca="false">COUNTIFS($B$2:$B$4077,B54,$C$2:$C$4077,C54,$I$2:$I$4077,I54)</f>
        <v>2</v>
      </c>
      <c r="L54" s="3" t="n">
        <f aca="false">IF(COUNTIFS($B$2:B54,B54,$C$2:C54,C54,$I$2:I54,I54)=1,1,0)</f>
        <v>1</v>
      </c>
      <c r="M54" s="3" t="n">
        <f aca="false">IF(K54&gt;=Parametri!$B$1,1,0)</f>
        <v>1</v>
      </c>
      <c r="N54" s="3" t="n">
        <f aca="false">L54*M54</f>
        <v>1</v>
      </c>
    </row>
    <row r="55" customFormat="false" ht="15" hidden="false" customHeight="false" outlineLevel="0" collapsed="false">
      <c r="A55" s="0" t="s">
        <v>156</v>
      </c>
      <c r="B55" s="0" t="s">
        <v>31</v>
      </c>
      <c r="C55" s="0" t="s">
        <v>157</v>
      </c>
      <c r="D55" s="0" t="s">
        <v>38</v>
      </c>
      <c r="E55" s="2" t="n">
        <v>45445</v>
      </c>
      <c r="F55" s="3" t="s">
        <v>27</v>
      </c>
      <c r="G55" s="3" t="s">
        <v>55</v>
      </c>
      <c r="H55" s="3" t="s">
        <v>29</v>
      </c>
      <c r="I55" s="3" t="n">
        <f aca="false">YEAR(E55)</f>
        <v>2024</v>
      </c>
      <c r="J55" s="3" t="n">
        <f aca="false">MONTH(E55)</f>
        <v>6</v>
      </c>
      <c r="K55" s="3" t="n">
        <f aca="false">COUNTIFS($B$2:$B$4077,B55,$C$2:$C$4077,C55,$I$2:$I$4077,I55)</f>
        <v>1</v>
      </c>
      <c r="L55" s="3" t="n">
        <f aca="false">IF(COUNTIFS($B$2:B55,B55,$C$2:C55,C55,$I$2:I55,I55)=1,1,0)</f>
        <v>1</v>
      </c>
      <c r="M55" s="3" t="n">
        <f aca="false">IF(K55&gt;=Parametri!$B$1,1,0)</f>
        <v>0</v>
      </c>
      <c r="N55" s="3" t="n">
        <f aca="false">L55*M55</f>
        <v>0</v>
      </c>
    </row>
    <row r="56" customFormat="false" ht="15" hidden="false" customHeight="false" outlineLevel="0" collapsed="false">
      <c r="A56" s="0" t="s">
        <v>158</v>
      </c>
      <c r="B56" s="0" t="s">
        <v>24</v>
      </c>
      <c r="C56" s="0" t="s">
        <v>159</v>
      </c>
      <c r="D56" s="0" t="s">
        <v>26</v>
      </c>
      <c r="E56" s="2" t="n">
        <v>45899</v>
      </c>
      <c r="F56" s="3" t="s">
        <v>27</v>
      </c>
      <c r="G56" s="3" t="s">
        <v>28</v>
      </c>
      <c r="H56" s="3" t="s">
        <v>44</v>
      </c>
      <c r="I56" s="3" t="n">
        <f aca="false">YEAR(E56)</f>
        <v>2025</v>
      </c>
      <c r="J56" s="3" t="n">
        <f aca="false">MONTH(E56)</f>
        <v>8</v>
      </c>
      <c r="K56" s="3" t="n">
        <f aca="false">COUNTIFS($B$2:$B$4077,B56,$C$2:$C$4077,C56,$I$2:$I$4077,I56)</f>
        <v>1</v>
      </c>
      <c r="L56" s="3" t="n">
        <f aca="false">IF(COUNTIFS($B$2:B56,B56,$C$2:C56,C56,$I$2:I56,I56)=1,1,0)</f>
        <v>1</v>
      </c>
      <c r="M56" s="3" t="n">
        <f aca="false">IF(K56&gt;=Parametri!$B$1,1,0)</f>
        <v>0</v>
      </c>
      <c r="N56" s="3" t="n">
        <f aca="false">L56*M56</f>
        <v>0</v>
      </c>
    </row>
    <row r="57" customFormat="false" ht="15" hidden="false" customHeight="false" outlineLevel="0" collapsed="false">
      <c r="A57" s="0" t="s">
        <v>160</v>
      </c>
      <c r="B57" s="0" t="s">
        <v>24</v>
      </c>
      <c r="C57" s="0" t="s">
        <v>131</v>
      </c>
      <c r="D57" s="0" t="s">
        <v>54</v>
      </c>
      <c r="E57" s="2" t="n">
        <v>46214</v>
      </c>
      <c r="F57" s="3" t="s">
        <v>27</v>
      </c>
      <c r="G57" s="3" t="s">
        <v>21</v>
      </c>
      <c r="H57" s="3" t="s">
        <v>29</v>
      </c>
      <c r="I57" s="3" t="n">
        <f aca="false">YEAR(E57)</f>
        <v>2026</v>
      </c>
      <c r="J57" s="3" t="n">
        <f aca="false">MONTH(E57)</f>
        <v>7</v>
      </c>
      <c r="K57" s="3" t="n">
        <f aca="false">COUNTIFS($B$2:$B$4077,B57,$C$2:$C$4077,C57,$I$2:$I$4077,I57)</f>
        <v>4</v>
      </c>
      <c r="L57" s="3" t="n">
        <f aca="false">IF(COUNTIFS($B$2:B57,B57,$C$2:C57,C57,$I$2:I57,I57)=1,1,0)</f>
        <v>0</v>
      </c>
      <c r="M57" s="3" t="n">
        <f aca="false">IF(K57&gt;=Parametri!$B$1,1,0)</f>
        <v>1</v>
      </c>
      <c r="N57" s="3" t="n">
        <f aca="false">L57*M57</f>
        <v>0</v>
      </c>
    </row>
    <row r="58" customFormat="false" ht="15" hidden="false" customHeight="false" outlineLevel="0" collapsed="false">
      <c r="A58" s="0" t="s">
        <v>161</v>
      </c>
      <c r="B58" s="0" t="s">
        <v>41</v>
      </c>
      <c r="C58" s="0" t="s">
        <v>162</v>
      </c>
      <c r="D58" s="0" t="s">
        <v>54</v>
      </c>
      <c r="E58" s="2" t="n">
        <v>45614</v>
      </c>
      <c r="F58" s="3" t="s">
        <v>20</v>
      </c>
      <c r="G58" s="3" t="s">
        <v>43</v>
      </c>
      <c r="H58" s="3" t="s">
        <v>44</v>
      </c>
      <c r="I58" s="3" t="n">
        <f aca="false">YEAR(E58)</f>
        <v>2024</v>
      </c>
      <c r="J58" s="3" t="n">
        <f aca="false">MONTH(E58)</f>
        <v>11</v>
      </c>
      <c r="K58" s="3" t="n">
        <f aca="false">COUNTIFS($B$2:$B$4077,B58,$C$2:$C$4077,C58,$I$2:$I$4077,I58)</f>
        <v>1</v>
      </c>
      <c r="L58" s="3" t="n">
        <f aca="false">IF(COUNTIFS($B$2:B58,B58,$C$2:C58,C58,$I$2:I58,I58)=1,1,0)</f>
        <v>1</v>
      </c>
      <c r="M58" s="3" t="n">
        <f aca="false">IF(K58&gt;=Parametri!$B$1,1,0)</f>
        <v>0</v>
      </c>
      <c r="N58" s="3" t="n">
        <f aca="false">L58*M58</f>
        <v>0</v>
      </c>
    </row>
    <row r="59" customFormat="false" ht="15" hidden="false" customHeight="false" outlineLevel="0" collapsed="false">
      <c r="A59" s="0" t="s">
        <v>163</v>
      </c>
      <c r="B59" s="0" t="s">
        <v>17</v>
      </c>
      <c r="C59" s="0" t="s">
        <v>164</v>
      </c>
      <c r="D59" s="0" t="s">
        <v>77</v>
      </c>
      <c r="E59" s="2" t="n">
        <v>45647</v>
      </c>
      <c r="F59" s="3" t="s">
        <v>27</v>
      </c>
      <c r="G59" s="3" t="s">
        <v>35</v>
      </c>
      <c r="H59" s="3" t="s">
        <v>22</v>
      </c>
      <c r="I59" s="3" t="n">
        <f aca="false">YEAR(E59)</f>
        <v>2024</v>
      </c>
      <c r="J59" s="3" t="n">
        <f aca="false">MONTH(E59)</f>
        <v>12</v>
      </c>
      <c r="K59" s="3" t="n">
        <f aca="false">COUNTIFS($B$2:$B$4077,B59,$C$2:$C$4077,C59,$I$2:$I$4077,I59)</f>
        <v>1</v>
      </c>
      <c r="L59" s="3" t="n">
        <f aca="false">IF(COUNTIFS($B$2:B59,B59,$C$2:C59,C59,$I$2:I59,I59)=1,1,0)</f>
        <v>1</v>
      </c>
      <c r="M59" s="3" t="n">
        <f aca="false">IF(K59&gt;=Parametri!$B$1,1,0)</f>
        <v>0</v>
      </c>
      <c r="N59" s="3" t="n">
        <f aca="false">L59*M59</f>
        <v>0</v>
      </c>
    </row>
    <row r="60" customFormat="false" ht="15" hidden="false" customHeight="false" outlineLevel="0" collapsed="false">
      <c r="A60" s="0" t="s">
        <v>165</v>
      </c>
      <c r="B60" s="0" t="s">
        <v>68</v>
      </c>
      <c r="C60" s="0" t="s">
        <v>166</v>
      </c>
      <c r="D60" s="0" t="s">
        <v>66</v>
      </c>
      <c r="E60" s="2" t="n">
        <v>46096</v>
      </c>
      <c r="F60" s="3" t="s">
        <v>34</v>
      </c>
      <c r="G60" s="3" t="s">
        <v>55</v>
      </c>
      <c r="H60" s="3" t="s">
        <v>22</v>
      </c>
      <c r="I60" s="3" t="n">
        <f aca="false">YEAR(E60)</f>
        <v>2026</v>
      </c>
      <c r="J60" s="3" t="n">
        <f aca="false">MONTH(E60)</f>
        <v>3</v>
      </c>
      <c r="K60" s="3" t="n">
        <f aca="false">COUNTIFS($B$2:$B$4077,B60,$C$2:$C$4077,C60,$I$2:$I$4077,I60)</f>
        <v>1</v>
      </c>
      <c r="L60" s="3" t="n">
        <f aca="false">IF(COUNTIFS($B$2:B60,B60,$C$2:C60,C60,$I$2:I60,I60)=1,1,0)</f>
        <v>1</v>
      </c>
      <c r="M60" s="3" t="n">
        <f aca="false">IF(K60&gt;=Parametri!$B$1,1,0)</f>
        <v>0</v>
      </c>
      <c r="N60" s="3" t="n">
        <f aca="false">L60*M60</f>
        <v>0</v>
      </c>
    </row>
    <row r="61" customFormat="false" ht="15" hidden="false" customHeight="false" outlineLevel="0" collapsed="false">
      <c r="A61" s="0" t="s">
        <v>167</v>
      </c>
      <c r="B61" s="0" t="s">
        <v>31</v>
      </c>
      <c r="C61" s="0" t="s">
        <v>168</v>
      </c>
      <c r="D61" s="0" t="s">
        <v>66</v>
      </c>
      <c r="E61" s="2" t="n">
        <v>45334</v>
      </c>
      <c r="F61" s="3" t="s">
        <v>20</v>
      </c>
      <c r="G61" s="3" t="s">
        <v>43</v>
      </c>
      <c r="H61" s="3" t="s">
        <v>48</v>
      </c>
      <c r="I61" s="3" t="n">
        <f aca="false">YEAR(E61)</f>
        <v>2024</v>
      </c>
      <c r="J61" s="3" t="n">
        <f aca="false">MONTH(E61)</f>
        <v>2</v>
      </c>
      <c r="K61" s="3" t="n">
        <f aca="false">COUNTIFS($B$2:$B$4077,B61,$C$2:$C$4077,C61,$I$2:$I$4077,I61)</f>
        <v>1</v>
      </c>
      <c r="L61" s="3" t="n">
        <f aca="false">IF(COUNTIFS($B$2:B61,B61,$C$2:C61,C61,$I$2:I61,I61)=1,1,0)</f>
        <v>1</v>
      </c>
      <c r="M61" s="3" t="n">
        <f aca="false">IF(K61&gt;=Parametri!$B$1,1,0)</f>
        <v>0</v>
      </c>
      <c r="N61" s="3" t="n">
        <f aca="false">L61*M61</f>
        <v>0</v>
      </c>
    </row>
    <row r="62" customFormat="false" ht="15" hidden="false" customHeight="false" outlineLevel="0" collapsed="false">
      <c r="A62" s="0" t="s">
        <v>169</v>
      </c>
      <c r="B62" s="0" t="s">
        <v>41</v>
      </c>
      <c r="C62" s="0" t="s">
        <v>170</v>
      </c>
      <c r="D62" s="0" t="s">
        <v>33</v>
      </c>
      <c r="E62" s="2" t="n">
        <v>45836</v>
      </c>
      <c r="F62" s="3" t="s">
        <v>27</v>
      </c>
      <c r="G62" s="3" t="s">
        <v>28</v>
      </c>
      <c r="H62" s="3" t="s">
        <v>48</v>
      </c>
      <c r="I62" s="3" t="n">
        <f aca="false">YEAR(E62)</f>
        <v>2025</v>
      </c>
      <c r="J62" s="3" t="n">
        <f aca="false">MONTH(E62)</f>
        <v>6</v>
      </c>
      <c r="K62" s="3" t="n">
        <f aca="false">COUNTIFS($B$2:$B$4077,B62,$C$2:$C$4077,C62,$I$2:$I$4077,I62)</f>
        <v>4</v>
      </c>
      <c r="L62" s="3" t="n">
        <f aca="false">IF(COUNTIFS($B$2:B62,B62,$C$2:C62,C62,$I$2:I62,I62)=1,1,0)</f>
        <v>1</v>
      </c>
      <c r="M62" s="3" t="n">
        <f aca="false">IF(K62&gt;=Parametri!$B$1,1,0)</f>
        <v>1</v>
      </c>
      <c r="N62" s="3" t="n">
        <f aca="false">L62*M62</f>
        <v>1</v>
      </c>
    </row>
    <row r="63" customFormat="false" ht="15" hidden="false" customHeight="false" outlineLevel="0" collapsed="false">
      <c r="A63" s="0" t="s">
        <v>171</v>
      </c>
      <c r="B63" s="0" t="s">
        <v>50</v>
      </c>
      <c r="C63" s="0" t="s">
        <v>172</v>
      </c>
      <c r="D63" s="0" t="s">
        <v>38</v>
      </c>
      <c r="E63" s="2" t="n">
        <v>45930</v>
      </c>
      <c r="F63" s="3" t="s">
        <v>20</v>
      </c>
      <c r="G63" s="3" t="s">
        <v>39</v>
      </c>
      <c r="H63" s="3" t="s">
        <v>29</v>
      </c>
      <c r="I63" s="3" t="n">
        <f aca="false">YEAR(E63)</f>
        <v>2025</v>
      </c>
      <c r="J63" s="3" t="n">
        <f aca="false">MONTH(E63)</f>
        <v>9</v>
      </c>
      <c r="K63" s="3" t="n">
        <f aca="false">COUNTIFS($B$2:$B$4077,B63,$C$2:$C$4077,C63,$I$2:$I$4077,I63)</f>
        <v>1</v>
      </c>
      <c r="L63" s="3" t="n">
        <f aca="false">IF(COUNTIFS($B$2:B63,B63,$C$2:C63,C63,$I$2:I63,I63)=1,1,0)</f>
        <v>1</v>
      </c>
      <c r="M63" s="3" t="n">
        <f aca="false">IF(K63&gt;=Parametri!$B$1,1,0)</f>
        <v>0</v>
      </c>
      <c r="N63" s="3" t="n">
        <f aca="false">L63*M63</f>
        <v>0</v>
      </c>
    </row>
    <row r="64" customFormat="false" ht="15" hidden="false" customHeight="false" outlineLevel="0" collapsed="false">
      <c r="A64" s="0" t="s">
        <v>173</v>
      </c>
      <c r="B64" s="0" t="s">
        <v>46</v>
      </c>
      <c r="C64" s="0" t="s">
        <v>174</v>
      </c>
      <c r="D64" s="0" t="s">
        <v>38</v>
      </c>
      <c r="E64" s="2" t="n">
        <v>45645</v>
      </c>
      <c r="F64" s="3" t="s">
        <v>34</v>
      </c>
      <c r="G64" s="3" t="s">
        <v>35</v>
      </c>
      <c r="H64" s="3" t="s">
        <v>48</v>
      </c>
      <c r="I64" s="3" t="n">
        <f aca="false">YEAR(E64)</f>
        <v>2024</v>
      </c>
      <c r="J64" s="3" t="n">
        <f aca="false">MONTH(E64)</f>
        <v>12</v>
      </c>
      <c r="K64" s="3" t="n">
        <f aca="false">COUNTIFS($B$2:$B$4077,B64,$C$2:$C$4077,C64,$I$2:$I$4077,I64)</f>
        <v>1</v>
      </c>
      <c r="L64" s="3" t="n">
        <f aca="false">IF(COUNTIFS($B$2:B64,B64,$C$2:C64,C64,$I$2:I64,I64)=1,1,0)</f>
        <v>1</v>
      </c>
      <c r="M64" s="3" t="n">
        <f aca="false">IF(K64&gt;=Parametri!$B$1,1,0)</f>
        <v>0</v>
      </c>
      <c r="N64" s="3" t="n">
        <f aca="false">L64*M64</f>
        <v>0</v>
      </c>
    </row>
    <row r="65" customFormat="false" ht="15" hidden="false" customHeight="false" outlineLevel="0" collapsed="false">
      <c r="A65" s="0" t="s">
        <v>175</v>
      </c>
      <c r="B65" s="0" t="s">
        <v>17</v>
      </c>
      <c r="C65" s="0" t="s">
        <v>176</v>
      </c>
      <c r="D65" s="0" t="s">
        <v>77</v>
      </c>
      <c r="E65" s="2" t="n">
        <v>45732</v>
      </c>
      <c r="F65" s="3" t="s">
        <v>34</v>
      </c>
      <c r="G65" s="3" t="s">
        <v>55</v>
      </c>
      <c r="H65" s="3" t="s">
        <v>48</v>
      </c>
      <c r="I65" s="3" t="n">
        <f aca="false">YEAR(E65)</f>
        <v>2025</v>
      </c>
      <c r="J65" s="3" t="n">
        <f aca="false">MONTH(E65)</f>
        <v>3</v>
      </c>
      <c r="K65" s="3" t="n">
        <f aca="false">COUNTIFS($B$2:$B$4077,B65,$C$2:$C$4077,C65,$I$2:$I$4077,I65)</f>
        <v>1</v>
      </c>
      <c r="L65" s="3" t="n">
        <f aca="false">IF(COUNTIFS($B$2:B65,B65,$C$2:C65,C65,$I$2:I65,I65)=1,1,0)</f>
        <v>1</v>
      </c>
      <c r="M65" s="3" t="n">
        <f aca="false">IF(K65&gt;=Parametri!$B$1,1,0)</f>
        <v>0</v>
      </c>
      <c r="N65" s="3" t="n">
        <f aca="false">L65*M65</f>
        <v>0</v>
      </c>
    </row>
    <row r="66" customFormat="false" ht="15" hidden="false" customHeight="false" outlineLevel="0" collapsed="false">
      <c r="A66" s="0" t="s">
        <v>177</v>
      </c>
      <c r="B66" s="0" t="s">
        <v>57</v>
      </c>
      <c r="C66" s="0" t="s">
        <v>178</v>
      </c>
      <c r="D66" s="0" t="s">
        <v>38</v>
      </c>
      <c r="E66" s="2" t="n">
        <v>45376</v>
      </c>
      <c r="F66" s="3" t="s">
        <v>20</v>
      </c>
      <c r="G66" s="3" t="s">
        <v>28</v>
      </c>
      <c r="H66" s="3" t="s">
        <v>48</v>
      </c>
      <c r="I66" s="3" t="n">
        <f aca="false">YEAR(E66)</f>
        <v>2024</v>
      </c>
      <c r="J66" s="3" t="n">
        <f aca="false">MONTH(E66)</f>
        <v>3</v>
      </c>
      <c r="K66" s="3" t="n">
        <f aca="false">COUNTIFS($B$2:$B$4077,B66,$C$2:$C$4077,C66,$I$2:$I$4077,I66)</f>
        <v>1</v>
      </c>
      <c r="L66" s="3" t="n">
        <f aca="false">IF(COUNTIFS($B$2:B66,B66,$C$2:C66,C66,$I$2:I66,I66)=1,1,0)</f>
        <v>1</v>
      </c>
      <c r="M66" s="3" t="n">
        <f aca="false">IF(K66&gt;=Parametri!$B$1,1,0)</f>
        <v>0</v>
      </c>
      <c r="N66" s="3" t="n">
        <f aca="false">L66*M66</f>
        <v>0</v>
      </c>
    </row>
    <row r="67" customFormat="false" ht="15" hidden="false" customHeight="false" outlineLevel="0" collapsed="false">
      <c r="A67" s="0" t="s">
        <v>179</v>
      </c>
      <c r="B67" s="0" t="s">
        <v>57</v>
      </c>
      <c r="C67" s="0" t="s">
        <v>180</v>
      </c>
      <c r="D67" s="0" t="s">
        <v>77</v>
      </c>
      <c r="E67" s="2" t="n">
        <v>45697</v>
      </c>
      <c r="F67" s="3" t="s">
        <v>20</v>
      </c>
      <c r="G67" s="3" t="s">
        <v>72</v>
      </c>
      <c r="H67" s="3" t="s">
        <v>48</v>
      </c>
      <c r="I67" s="3" t="n">
        <f aca="false">YEAR(E67)</f>
        <v>2025</v>
      </c>
      <c r="J67" s="3" t="n">
        <f aca="false">MONTH(E67)</f>
        <v>2</v>
      </c>
      <c r="K67" s="3" t="n">
        <f aca="false">COUNTIFS($B$2:$B$4077,B67,$C$2:$C$4077,C67,$I$2:$I$4077,I67)</f>
        <v>1</v>
      </c>
      <c r="L67" s="3" t="n">
        <f aca="false">IF(COUNTIFS($B$2:B67,B67,$C$2:C67,C67,$I$2:I67,I67)=1,1,0)</f>
        <v>1</v>
      </c>
      <c r="M67" s="3" t="n">
        <f aca="false">IF(K67&gt;=Parametri!$B$1,1,0)</f>
        <v>0</v>
      </c>
      <c r="N67" s="3" t="n">
        <f aca="false">L67*M67</f>
        <v>0</v>
      </c>
    </row>
    <row r="68" customFormat="false" ht="15" hidden="false" customHeight="false" outlineLevel="0" collapsed="false">
      <c r="A68" s="0" t="s">
        <v>181</v>
      </c>
      <c r="B68" s="0" t="s">
        <v>79</v>
      </c>
      <c r="C68" s="0" t="s">
        <v>182</v>
      </c>
      <c r="D68" s="0" t="s">
        <v>38</v>
      </c>
      <c r="E68" s="2" t="n">
        <v>45756</v>
      </c>
      <c r="F68" s="3" t="s">
        <v>27</v>
      </c>
      <c r="G68" s="3" t="s">
        <v>72</v>
      </c>
      <c r="H68" s="3" t="s">
        <v>29</v>
      </c>
      <c r="I68" s="3" t="n">
        <f aca="false">YEAR(E68)</f>
        <v>2025</v>
      </c>
      <c r="J68" s="3" t="n">
        <f aca="false">MONTH(E68)</f>
        <v>4</v>
      </c>
      <c r="K68" s="3" t="n">
        <f aca="false">COUNTIFS($B$2:$B$4077,B68,$C$2:$C$4077,C68,$I$2:$I$4077,I68)</f>
        <v>4</v>
      </c>
      <c r="L68" s="3" t="n">
        <f aca="false">IF(COUNTIFS($B$2:B68,B68,$C$2:C68,C68,$I$2:I68,I68)=1,1,0)</f>
        <v>1</v>
      </c>
      <c r="M68" s="3" t="n">
        <f aca="false">IF(K68&gt;=Parametri!$B$1,1,0)</f>
        <v>1</v>
      </c>
      <c r="N68" s="3" t="n">
        <f aca="false">L68*M68</f>
        <v>1</v>
      </c>
    </row>
    <row r="69" customFormat="false" ht="15" hidden="false" customHeight="false" outlineLevel="0" collapsed="false">
      <c r="A69" s="0" t="s">
        <v>183</v>
      </c>
      <c r="B69" s="0" t="s">
        <v>41</v>
      </c>
      <c r="C69" s="0" t="s">
        <v>184</v>
      </c>
      <c r="D69" s="0" t="s">
        <v>33</v>
      </c>
      <c r="E69" s="2" t="n">
        <v>46147</v>
      </c>
      <c r="F69" s="3" t="s">
        <v>20</v>
      </c>
      <c r="G69" s="3" t="s">
        <v>43</v>
      </c>
      <c r="H69" s="3" t="s">
        <v>48</v>
      </c>
      <c r="I69" s="3" t="n">
        <f aca="false">YEAR(E69)</f>
        <v>2026</v>
      </c>
      <c r="J69" s="3" t="n">
        <f aca="false">MONTH(E69)</f>
        <v>5</v>
      </c>
      <c r="K69" s="3" t="n">
        <f aca="false">COUNTIFS($B$2:$B$4077,B69,$C$2:$C$4077,C69,$I$2:$I$4077,I69)</f>
        <v>1</v>
      </c>
      <c r="L69" s="3" t="n">
        <f aca="false">IF(COUNTIFS($B$2:B69,B69,$C$2:C69,C69,$I$2:I69,I69)=1,1,0)</f>
        <v>1</v>
      </c>
      <c r="M69" s="3" t="n">
        <f aca="false">IF(K69&gt;=Parametri!$B$1,1,0)</f>
        <v>0</v>
      </c>
      <c r="N69" s="3" t="n">
        <f aca="false">L69*M69</f>
        <v>0</v>
      </c>
    </row>
    <row r="70" customFormat="false" ht="15" hidden="false" customHeight="false" outlineLevel="0" collapsed="false">
      <c r="A70" s="0" t="s">
        <v>185</v>
      </c>
      <c r="B70" s="0" t="s">
        <v>50</v>
      </c>
      <c r="C70" s="0" t="s">
        <v>186</v>
      </c>
      <c r="D70" s="0" t="s">
        <v>26</v>
      </c>
      <c r="E70" s="2" t="n">
        <v>45484</v>
      </c>
      <c r="F70" s="3" t="s">
        <v>34</v>
      </c>
      <c r="G70" s="3" t="s">
        <v>89</v>
      </c>
      <c r="H70" s="3" t="s">
        <v>48</v>
      </c>
      <c r="I70" s="3" t="n">
        <f aca="false">YEAR(E70)</f>
        <v>2024</v>
      </c>
      <c r="J70" s="3" t="n">
        <f aca="false">MONTH(E70)</f>
        <v>7</v>
      </c>
      <c r="K70" s="3" t="n">
        <f aca="false">COUNTIFS($B$2:$B$4077,B70,$C$2:$C$4077,C70,$I$2:$I$4077,I70)</f>
        <v>1</v>
      </c>
      <c r="L70" s="3" t="n">
        <f aca="false">IF(COUNTIFS($B$2:B70,B70,$C$2:C70,C70,$I$2:I70,I70)=1,1,0)</f>
        <v>1</v>
      </c>
      <c r="M70" s="3" t="n">
        <f aca="false">IF(K70&gt;=Parametri!$B$1,1,0)</f>
        <v>0</v>
      </c>
      <c r="N70" s="3" t="n">
        <f aca="false">L70*M70</f>
        <v>0</v>
      </c>
    </row>
    <row r="71" customFormat="false" ht="15" hidden="false" customHeight="false" outlineLevel="0" collapsed="false">
      <c r="A71" s="0" t="s">
        <v>187</v>
      </c>
      <c r="B71" s="0" t="s">
        <v>41</v>
      </c>
      <c r="C71" s="0" t="s">
        <v>188</v>
      </c>
      <c r="D71" s="0" t="s">
        <v>19</v>
      </c>
      <c r="E71" s="2" t="n">
        <v>46203</v>
      </c>
      <c r="F71" s="3" t="s">
        <v>20</v>
      </c>
      <c r="G71" s="3" t="s">
        <v>72</v>
      </c>
      <c r="H71" s="3" t="s">
        <v>48</v>
      </c>
      <c r="I71" s="3" t="n">
        <f aca="false">YEAR(E71)</f>
        <v>2026</v>
      </c>
      <c r="J71" s="3" t="n">
        <f aca="false">MONTH(E71)</f>
        <v>6</v>
      </c>
      <c r="K71" s="3" t="n">
        <f aca="false">COUNTIFS($B$2:$B$4077,B71,$C$2:$C$4077,C71,$I$2:$I$4077,I71)</f>
        <v>1</v>
      </c>
      <c r="L71" s="3" t="n">
        <f aca="false">IF(COUNTIFS($B$2:B71,B71,$C$2:C71,C71,$I$2:I71,I71)=1,1,0)</f>
        <v>1</v>
      </c>
      <c r="M71" s="3" t="n">
        <f aca="false">IF(K71&gt;=Parametri!$B$1,1,0)</f>
        <v>0</v>
      </c>
      <c r="N71" s="3" t="n">
        <f aca="false">L71*M71</f>
        <v>0</v>
      </c>
    </row>
    <row r="72" customFormat="false" ht="15" hidden="false" customHeight="false" outlineLevel="0" collapsed="false">
      <c r="A72" s="0" t="s">
        <v>189</v>
      </c>
      <c r="B72" s="0" t="s">
        <v>79</v>
      </c>
      <c r="C72" s="0" t="s">
        <v>190</v>
      </c>
      <c r="D72" s="0" t="s">
        <v>77</v>
      </c>
      <c r="E72" s="2" t="n">
        <v>45577</v>
      </c>
      <c r="F72" s="3" t="s">
        <v>20</v>
      </c>
      <c r="G72" s="3" t="s">
        <v>21</v>
      </c>
      <c r="H72" s="3" t="s">
        <v>22</v>
      </c>
      <c r="I72" s="3" t="n">
        <f aca="false">YEAR(E72)</f>
        <v>2024</v>
      </c>
      <c r="J72" s="3" t="n">
        <f aca="false">MONTH(E72)</f>
        <v>10</v>
      </c>
      <c r="K72" s="3" t="n">
        <f aca="false">COUNTIFS($B$2:$B$4077,B72,$C$2:$C$4077,C72,$I$2:$I$4077,I72)</f>
        <v>3</v>
      </c>
      <c r="L72" s="3" t="n">
        <f aca="false">IF(COUNTIFS($B$2:B72,B72,$C$2:C72,C72,$I$2:I72,I72)=1,1,0)</f>
        <v>1</v>
      </c>
      <c r="M72" s="3" t="n">
        <f aca="false">IF(K72&gt;=Parametri!$B$1,1,0)</f>
        <v>1</v>
      </c>
      <c r="N72" s="3" t="n">
        <f aca="false">L72*M72</f>
        <v>1</v>
      </c>
    </row>
    <row r="73" customFormat="false" ht="15" hidden="false" customHeight="false" outlineLevel="0" collapsed="false">
      <c r="A73" s="0" t="s">
        <v>191</v>
      </c>
      <c r="B73" s="0" t="s">
        <v>17</v>
      </c>
      <c r="C73" s="0" t="s">
        <v>192</v>
      </c>
      <c r="D73" s="0" t="s">
        <v>38</v>
      </c>
      <c r="E73" s="2" t="n">
        <v>45563</v>
      </c>
      <c r="F73" s="3" t="s">
        <v>27</v>
      </c>
      <c r="G73" s="3" t="s">
        <v>89</v>
      </c>
      <c r="H73" s="3" t="s">
        <v>22</v>
      </c>
      <c r="I73" s="3" t="n">
        <f aca="false">YEAR(E73)</f>
        <v>2024</v>
      </c>
      <c r="J73" s="3" t="n">
        <f aca="false">MONTH(E73)</f>
        <v>9</v>
      </c>
      <c r="K73" s="3" t="n">
        <f aca="false">COUNTIFS($B$2:$B$4077,B73,$C$2:$C$4077,C73,$I$2:$I$4077,I73)</f>
        <v>2</v>
      </c>
      <c r="L73" s="3" t="n">
        <f aca="false">IF(COUNTIFS($B$2:B73,B73,$C$2:C73,C73,$I$2:I73,I73)=1,1,0)</f>
        <v>1</v>
      </c>
      <c r="M73" s="3" t="n">
        <f aca="false">IF(K73&gt;=Parametri!$B$1,1,0)</f>
        <v>1</v>
      </c>
      <c r="N73" s="3" t="n">
        <f aca="false">L73*M73</f>
        <v>1</v>
      </c>
    </row>
    <row r="74" customFormat="false" ht="15" hidden="false" customHeight="false" outlineLevel="0" collapsed="false">
      <c r="A74" s="0" t="s">
        <v>193</v>
      </c>
      <c r="B74" s="0" t="s">
        <v>46</v>
      </c>
      <c r="C74" s="0" t="s">
        <v>194</v>
      </c>
      <c r="D74" s="0" t="s">
        <v>54</v>
      </c>
      <c r="E74" s="2" t="n">
        <v>45366</v>
      </c>
      <c r="F74" s="3" t="s">
        <v>27</v>
      </c>
      <c r="G74" s="3" t="s">
        <v>55</v>
      </c>
      <c r="H74" s="3" t="s">
        <v>29</v>
      </c>
      <c r="I74" s="3" t="n">
        <f aca="false">YEAR(E74)</f>
        <v>2024</v>
      </c>
      <c r="J74" s="3" t="n">
        <f aca="false">MONTH(E74)</f>
        <v>3</v>
      </c>
      <c r="K74" s="3" t="n">
        <f aca="false">COUNTIFS($B$2:$B$4077,B74,$C$2:$C$4077,C74,$I$2:$I$4077,I74)</f>
        <v>2</v>
      </c>
      <c r="L74" s="3" t="n">
        <f aca="false">IF(COUNTIFS($B$2:B74,B74,$C$2:C74,C74,$I$2:I74,I74)=1,1,0)</f>
        <v>1</v>
      </c>
      <c r="M74" s="3" t="n">
        <f aca="false">IF(K74&gt;=Parametri!$B$1,1,0)</f>
        <v>1</v>
      </c>
      <c r="N74" s="3" t="n">
        <f aca="false">L74*M74</f>
        <v>1</v>
      </c>
    </row>
    <row r="75" customFormat="false" ht="15" hidden="false" customHeight="false" outlineLevel="0" collapsed="false">
      <c r="A75" s="0" t="s">
        <v>195</v>
      </c>
      <c r="B75" s="0" t="s">
        <v>124</v>
      </c>
      <c r="C75" s="0" t="s">
        <v>196</v>
      </c>
      <c r="D75" s="0" t="s">
        <v>77</v>
      </c>
      <c r="E75" s="2" t="n">
        <v>45390</v>
      </c>
      <c r="F75" s="3" t="s">
        <v>20</v>
      </c>
      <c r="G75" s="3" t="s">
        <v>43</v>
      </c>
      <c r="H75" s="3" t="s">
        <v>44</v>
      </c>
      <c r="I75" s="3" t="n">
        <f aca="false">YEAR(E75)</f>
        <v>2024</v>
      </c>
      <c r="J75" s="3" t="n">
        <f aca="false">MONTH(E75)</f>
        <v>4</v>
      </c>
      <c r="K75" s="3" t="n">
        <f aca="false">COUNTIFS($B$2:$B$4077,B75,$C$2:$C$4077,C75,$I$2:$I$4077,I75)</f>
        <v>8</v>
      </c>
      <c r="L75" s="3" t="n">
        <f aca="false">IF(COUNTIFS($B$2:B75,B75,$C$2:C75,C75,$I$2:I75,I75)=1,1,0)</f>
        <v>1</v>
      </c>
      <c r="M75" s="3" t="n">
        <f aca="false">IF(K75&gt;=Parametri!$B$1,1,0)</f>
        <v>1</v>
      </c>
      <c r="N75" s="3" t="n">
        <f aca="false">L75*M75</f>
        <v>1</v>
      </c>
    </row>
    <row r="76" customFormat="false" ht="15" hidden="false" customHeight="false" outlineLevel="0" collapsed="false">
      <c r="A76" s="0" t="s">
        <v>197</v>
      </c>
      <c r="B76" s="0" t="s">
        <v>31</v>
      </c>
      <c r="C76" s="0" t="s">
        <v>198</v>
      </c>
      <c r="D76" s="0" t="s">
        <v>26</v>
      </c>
      <c r="E76" s="2" t="n">
        <v>46102</v>
      </c>
      <c r="F76" s="3" t="s">
        <v>20</v>
      </c>
      <c r="G76" s="3" t="s">
        <v>28</v>
      </c>
      <c r="H76" s="3" t="s">
        <v>29</v>
      </c>
      <c r="I76" s="3" t="n">
        <f aca="false">YEAR(E76)</f>
        <v>2026</v>
      </c>
      <c r="J76" s="3" t="n">
        <f aca="false">MONTH(E76)</f>
        <v>3</v>
      </c>
      <c r="K76" s="3" t="n">
        <f aca="false">COUNTIFS($B$2:$B$4077,B76,$C$2:$C$4077,C76,$I$2:$I$4077,I76)</f>
        <v>1</v>
      </c>
      <c r="L76" s="3" t="n">
        <f aca="false">IF(COUNTIFS($B$2:B76,B76,$C$2:C76,C76,$I$2:I76,I76)=1,1,0)</f>
        <v>1</v>
      </c>
      <c r="M76" s="3" t="n">
        <f aca="false">IF(K76&gt;=Parametri!$B$1,1,0)</f>
        <v>0</v>
      </c>
      <c r="N76" s="3" t="n">
        <f aca="false">L76*M76</f>
        <v>0</v>
      </c>
    </row>
    <row r="77" customFormat="false" ht="15" hidden="false" customHeight="false" outlineLevel="0" collapsed="false">
      <c r="A77" s="0" t="s">
        <v>199</v>
      </c>
      <c r="B77" s="0" t="s">
        <v>57</v>
      </c>
      <c r="C77" s="0" t="s">
        <v>200</v>
      </c>
      <c r="D77" s="0" t="s">
        <v>66</v>
      </c>
      <c r="E77" s="2" t="n">
        <v>46144</v>
      </c>
      <c r="F77" s="3" t="s">
        <v>20</v>
      </c>
      <c r="G77" s="3" t="s">
        <v>21</v>
      </c>
      <c r="H77" s="3" t="s">
        <v>29</v>
      </c>
      <c r="I77" s="3" t="n">
        <f aca="false">YEAR(E77)</f>
        <v>2026</v>
      </c>
      <c r="J77" s="3" t="n">
        <f aca="false">MONTH(E77)</f>
        <v>5</v>
      </c>
      <c r="K77" s="3" t="n">
        <f aca="false">COUNTIFS($B$2:$B$4077,B77,$C$2:$C$4077,C77,$I$2:$I$4077,I77)</f>
        <v>1</v>
      </c>
      <c r="L77" s="3" t="n">
        <f aca="false">IF(COUNTIFS($B$2:B77,B77,$C$2:C77,C77,$I$2:I77,I77)=1,1,0)</f>
        <v>1</v>
      </c>
      <c r="M77" s="3" t="n">
        <f aca="false">IF(K77&gt;=Parametri!$B$1,1,0)</f>
        <v>0</v>
      </c>
      <c r="N77" s="3" t="n">
        <f aca="false">L77*M77</f>
        <v>0</v>
      </c>
    </row>
    <row r="78" customFormat="false" ht="15" hidden="false" customHeight="false" outlineLevel="0" collapsed="false">
      <c r="A78" s="0" t="s">
        <v>201</v>
      </c>
      <c r="B78" s="0" t="s">
        <v>50</v>
      </c>
      <c r="C78" s="0" t="s">
        <v>202</v>
      </c>
      <c r="D78" s="0" t="s">
        <v>66</v>
      </c>
      <c r="E78" s="2" t="n">
        <v>45573</v>
      </c>
      <c r="F78" s="3" t="s">
        <v>20</v>
      </c>
      <c r="G78" s="3" t="s">
        <v>55</v>
      </c>
      <c r="H78" s="3" t="s">
        <v>22</v>
      </c>
      <c r="I78" s="3" t="n">
        <f aca="false">YEAR(E78)</f>
        <v>2024</v>
      </c>
      <c r="J78" s="3" t="n">
        <f aca="false">MONTH(E78)</f>
        <v>10</v>
      </c>
      <c r="K78" s="3" t="n">
        <f aca="false">COUNTIFS($B$2:$B$4077,B78,$C$2:$C$4077,C78,$I$2:$I$4077,I78)</f>
        <v>2</v>
      </c>
      <c r="L78" s="3" t="n">
        <f aca="false">IF(COUNTIFS($B$2:B78,B78,$C$2:C78,C78,$I$2:I78,I78)=1,1,0)</f>
        <v>1</v>
      </c>
      <c r="M78" s="3" t="n">
        <f aca="false">IF(K78&gt;=Parametri!$B$1,1,0)</f>
        <v>1</v>
      </c>
      <c r="N78" s="3" t="n">
        <f aca="false">L78*M78</f>
        <v>1</v>
      </c>
    </row>
    <row r="79" customFormat="false" ht="15" hidden="false" customHeight="false" outlineLevel="0" collapsed="false">
      <c r="A79" s="0" t="s">
        <v>203</v>
      </c>
      <c r="B79" s="0" t="s">
        <v>24</v>
      </c>
      <c r="C79" s="0" t="s">
        <v>204</v>
      </c>
      <c r="D79" s="0" t="s">
        <v>19</v>
      </c>
      <c r="E79" s="2" t="n">
        <v>45969</v>
      </c>
      <c r="F79" s="3" t="s">
        <v>20</v>
      </c>
      <c r="G79" s="3" t="s">
        <v>55</v>
      </c>
      <c r="H79" s="3" t="s">
        <v>48</v>
      </c>
      <c r="I79" s="3" t="n">
        <f aca="false">YEAR(E79)</f>
        <v>2025</v>
      </c>
      <c r="J79" s="3" t="n">
        <f aca="false">MONTH(E79)</f>
        <v>11</v>
      </c>
      <c r="K79" s="3" t="n">
        <f aca="false">COUNTIFS($B$2:$B$4077,B79,$C$2:$C$4077,C79,$I$2:$I$4077,I79)</f>
        <v>6</v>
      </c>
      <c r="L79" s="3" t="n">
        <f aca="false">IF(COUNTIFS($B$2:B79,B79,$C$2:C79,C79,$I$2:I79,I79)=1,1,0)</f>
        <v>1</v>
      </c>
      <c r="M79" s="3" t="n">
        <f aca="false">IF(K79&gt;=Parametri!$B$1,1,0)</f>
        <v>1</v>
      </c>
      <c r="N79" s="3" t="n">
        <f aca="false">L79*M79</f>
        <v>1</v>
      </c>
    </row>
    <row r="80" customFormat="false" ht="15" hidden="false" customHeight="false" outlineLevel="0" collapsed="false">
      <c r="A80" s="0" t="s">
        <v>205</v>
      </c>
      <c r="B80" s="0" t="s">
        <v>50</v>
      </c>
      <c r="C80" s="0" t="s">
        <v>206</v>
      </c>
      <c r="D80" s="0" t="s">
        <v>63</v>
      </c>
      <c r="E80" s="2" t="n">
        <v>45868</v>
      </c>
      <c r="F80" s="3" t="s">
        <v>27</v>
      </c>
      <c r="G80" s="3" t="s">
        <v>43</v>
      </c>
      <c r="H80" s="3" t="s">
        <v>48</v>
      </c>
      <c r="I80" s="3" t="n">
        <f aca="false">YEAR(E80)</f>
        <v>2025</v>
      </c>
      <c r="J80" s="3" t="n">
        <f aca="false">MONTH(E80)</f>
        <v>7</v>
      </c>
      <c r="K80" s="3" t="n">
        <f aca="false">COUNTIFS($B$2:$B$4077,B80,$C$2:$C$4077,C80,$I$2:$I$4077,I80)</f>
        <v>1</v>
      </c>
      <c r="L80" s="3" t="n">
        <f aca="false">IF(COUNTIFS($B$2:B80,B80,$C$2:C80,C80,$I$2:I80,I80)=1,1,0)</f>
        <v>1</v>
      </c>
      <c r="M80" s="3" t="n">
        <f aca="false">IF(K80&gt;=Parametri!$B$1,1,0)</f>
        <v>0</v>
      </c>
      <c r="N80" s="3" t="n">
        <f aca="false">L80*M80</f>
        <v>0</v>
      </c>
    </row>
    <row r="81" customFormat="false" ht="15" hidden="false" customHeight="false" outlineLevel="0" collapsed="false">
      <c r="A81" s="0" t="s">
        <v>207</v>
      </c>
      <c r="B81" s="0" t="s">
        <v>17</v>
      </c>
      <c r="C81" s="0" t="s">
        <v>208</v>
      </c>
      <c r="D81" s="0" t="s">
        <v>66</v>
      </c>
      <c r="E81" s="2" t="n">
        <v>45507</v>
      </c>
      <c r="F81" s="3" t="s">
        <v>27</v>
      </c>
      <c r="G81" s="3" t="s">
        <v>43</v>
      </c>
      <c r="H81" s="3" t="s">
        <v>22</v>
      </c>
      <c r="I81" s="3" t="n">
        <f aca="false">YEAR(E81)</f>
        <v>2024</v>
      </c>
      <c r="J81" s="3" t="n">
        <f aca="false">MONTH(E81)</f>
        <v>8</v>
      </c>
      <c r="K81" s="3" t="n">
        <f aca="false">COUNTIFS($B$2:$B$4077,B81,$C$2:$C$4077,C81,$I$2:$I$4077,I81)</f>
        <v>4</v>
      </c>
      <c r="L81" s="3" t="n">
        <f aca="false">IF(COUNTIFS($B$2:B81,B81,$C$2:C81,C81,$I$2:I81,I81)=1,1,0)</f>
        <v>1</v>
      </c>
      <c r="M81" s="3" t="n">
        <f aca="false">IF(K81&gt;=Parametri!$B$1,1,0)</f>
        <v>1</v>
      </c>
      <c r="N81" s="3" t="n">
        <f aca="false">L81*M81</f>
        <v>1</v>
      </c>
    </row>
    <row r="82" customFormat="false" ht="15" hidden="false" customHeight="false" outlineLevel="0" collapsed="false">
      <c r="A82" s="0" t="s">
        <v>209</v>
      </c>
      <c r="B82" s="0" t="s">
        <v>57</v>
      </c>
      <c r="C82" s="0" t="s">
        <v>210</v>
      </c>
      <c r="D82" s="0" t="s">
        <v>26</v>
      </c>
      <c r="E82" s="2" t="n">
        <v>46237</v>
      </c>
      <c r="F82" s="3" t="s">
        <v>20</v>
      </c>
      <c r="G82" s="3" t="s">
        <v>35</v>
      </c>
      <c r="H82" s="3" t="s">
        <v>22</v>
      </c>
      <c r="I82" s="3" t="n">
        <f aca="false">YEAR(E82)</f>
        <v>2026</v>
      </c>
      <c r="J82" s="3" t="n">
        <f aca="false">MONTH(E82)</f>
        <v>8</v>
      </c>
      <c r="K82" s="3" t="n">
        <f aca="false">COUNTIFS($B$2:$B$4077,B82,$C$2:$C$4077,C82,$I$2:$I$4077,I82)</f>
        <v>1</v>
      </c>
      <c r="L82" s="3" t="n">
        <f aca="false">IF(COUNTIFS($B$2:B82,B82,$C$2:C82,C82,$I$2:I82,I82)=1,1,0)</f>
        <v>1</v>
      </c>
      <c r="M82" s="3" t="n">
        <f aca="false">IF(K82&gt;=Parametri!$B$1,1,0)</f>
        <v>0</v>
      </c>
      <c r="N82" s="3" t="n">
        <f aca="false">L82*M82</f>
        <v>0</v>
      </c>
    </row>
    <row r="83" customFormat="false" ht="15" hidden="false" customHeight="false" outlineLevel="0" collapsed="false">
      <c r="A83" s="0" t="s">
        <v>211</v>
      </c>
      <c r="B83" s="0" t="s">
        <v>46</v>
      </c>
      <c r="C83" s="0" t="s">
        <v>212</v>
      </c>
      <c r="D83" s="0" t="s">
        <v>38</v>
      </c>
      <c r="E83" s="2" t="n">
        <v>46043</v>
      </c>
      <c r="F83" s="3" t="s">
        <v>20</v>
      </c>
      <c r="G83" s="3" t="s">
        <v>28</v>
      </c>
      <c r="H83" s="3" t="s">
        <v>29</v>
      </c>
      <c r="I83" s="3" t="n">
        <f aca="false">YEAR(E83)</f>
        <v>2026</v>
      </c>
      <c r="J83" s="3" t="n">
        <f aca="false">MONTH(E83)</f>
        <v>1</v>
      </c>
      <c r="K83" s="3" t="n">
        <f aca="false">COUNTIFS($B$2:$B$4077,B83,$C$2:$C$4077,C83,$I$2:$I$4077,I83)</f>
        <v>1</v>
      </c>
      <c r="L83" s="3" t="n">
        <f aca="false">IF(COUNTIFS($B$2:B83,B83,$C$2:C83,C83,$I$2:I83,I83)=1,1,0)</f>
        <v>1</v>
      </c>
      <c r="M83" s="3" t="n">
        <f aca="false">IF(K83&gt;=Parametri!$B$1,1,0)</f>
        <v>0</v>
      </c>
      <c r="N83" s="3" t="n">
        <f aca="false">L83*M83</f>
        <v>0</v>
      </c>
    </row>
    <row r="84" customFormat="false" ht="15" hidden="false" customHeight="false" outlineLevel="0" collapsed="false">
      <c r="A84" s="0" t="s">
        <v>213</v>
      </c>
      <c r="B84" s="0" t="s">
        <v>31</v>
      </c>
      <c r="C84" s="0" t="s">
        <v>214</v>
      </c>
      <c r="D84" s="0" t="s">
        <v>63</v>
      </c>
      <c r="E84" s="2" t="n">
        <v>45598</v>
      </c>
      <c r="F84" s="3" t="s">
        <v>27</v>
      </c>
      <c r="G84" s="3" t="s">
        <v>35</v>
      </c>
      <c r="H84" s="3" t="s">
        <v>44</v>
      </c>
      <c r="I84" s="3" t="n">
        <f aca="false">YEAR(E84)</f>
        <v>2024</v>
      </c>
      <c r="J84" s="3" t="n">
        <f aca="false">MONTH(E84)</f>
        <v>11</v>
      </c>
      <c r="K84" s="3" t="n">
        <f aca="false">COUNTIFS($B$2:$B$4077,B84,$C$2:$C$4077,C84,$I$2:$I$4077,I84)</f>
        <v>1</v>
      </c>
      <c r="L84" s="3" t="n">
        <f aca="false">IF(COUNTIFS($B$2:B84,B84,$C$2:C84,C84,$I$2:I84,I84)=1,1,0)</f>
        <v>1</v>
      </c>
      <c r="M84" s="3" t="n">
        <f aca="false">IF(K84&gt;=Parametri!$B$1,1,0)</f>
        <v>0</v>
      </c>
      <c r="N84" s="3" t="n">
        <f aca="false">L84*M84</f>
        <v>0</v>
      </c>
    </row>
    <row r="85" customFormat="false" ht="15" hidden="false" customHeight="false" outlineLevel="0" collapsed="false">
      <c r="A85" s="0" t="s">
        <v>215</v>
      </c>
      <c r="B85" s="0" t="s">
        <v>57</v>
      </c>
      <c r="C85" s="0" t="s">
        <v>216</v>
      </c>
      <c r="D85" s="0" t="s">
        <v>63</v>
      </c>
      <c r="E85" s="2" t="n">
        <v>45414</v>
      </c>
      <c r="F85" s="3" t="s">
        <v>20</v>
      </c>
      <c r="G85" s="3" t="s">
        <v>39</v>
      </c>
      <c r="H85" s="3" t="s">
        <v>48</v>
      </c>
      <c r="I85" s="3" t="n">
        <f aca="false">YEAR(E85)</f>
        <v>2024</v>
      </c>
      <c r="J85" s="3" t="n">
        <f aca="false">MONTH(E85)</f>
        <v>5</v>
      </c>
      <c r="K85" s="3" t="n">
        <f aca="false">COUNTIFS($B$2:$B$4077,B85,$C$2:$C$4077,C85,$I$2:$I$4077,I85)</f>
        <v>3</v>
      </c>
      <c r="L85" s="3" t="n">
        <f aca="false">IF(COUNTIFS($B$2:B85,B85,$C$2:C85,C85,$I$2:I85,I85)=1,1,0)</f>
        <v>1</v>
      </c>
      <c r="M85" s="3" t="n">
        <f aca="false">IF(K85&gt;=Parametri!$B$1,1,0)</f>
        <v>1</v>
      </c>
      <c r="N85" s="3" t="n">
        <f aca="false">L85*M85</f>
        <v>1</v>
      </c>
    </row>
    <row r="86" customFormat="false" ht="15" hidden="false" customHeight="false" outlineLevel="0" collapsed="false">
      <c r="A86" s="0" t="s">
        <v>217</v>
      </c>
      <c r="B86" s="0" t="s">
        <v>41</v>
      </c>
      <c r="C86" s="0" t="s">
        <v>218</v>
      </c>
      <c r="D86" s="0" t="s">
        <v>77</v>
      </c>
      <c r="E86" s="2" t="n">
        <v>45597</v>
      </c>
      <c r="F86" s="3" t="s">
        <v>27</v>
      </c>
      <c r="G86" s="3" t="s">
        <v>35</v>
      </c>
      <c r="H86" s="3" t="s">
        <v>29</v>
      </c>
      <c r="I86" s="3" t="n">
        <f aca="false">YEAR(E86)</f>
        <v>2024</v>
      </c>
      <c r="J86" s="3" t="n">
        <f aca="false">MONTH(E86)</f>
        <v>11</v>
      </c>
      <c r="K86" s="3" t="n">
        <f aca="false">COUNTIFS($B$2:$B$4077,B86,$C$2:$C$4077,C86,$I$2:$I$4077,I86)</f>
        <v>1</v>
      </c>
      <c r="L86" s="3" t="n">
        <f aca="false">IF(COUNTIFS($B$2:B86,B86,$C$2:C86,C86,$I$2:I86,I86)=1,1,0)</f>
        <v>1</v>
      </c>
      <c r="M86" s="3" t="n">
        <f aca="false">IF(K86&gt;=Parametri!$B$1,1,0)</f>
        <v>0</v>
      </c>
      <c r="N86" s="3" t="n">
        <f aca="false">L86*M86</f>
        <v>0</v>
      </c>
    </row>
    <row r="87" customFormat="false" ht="15" hidden="false" customHeight="false" outlineLevel="0" collapsed="false">
      <c r="A87" s="0" t="s">
        <v>219</v>
      </c>
      <c r="B87" s="0" t="s">
        <v>68</v>
      </c>
      <c r="C87" s="0" t="s">
        <v>220</v>
      </c>
      <c r="D87" s="0" t="s">
        <v>77</v>
      </c>
      <c r="E87" s="2" t="n">
        <v>45749</v>
      </c>
      <c r="F87" s="3" t="s">
        <v>34</v>
      </c>
      <c r="G87" s="3" t="s">
        <v>72</v>
      </c>
      <c r="H87" s="3" t="s">
        <v>22</v>
      </c>
      <c r="I87" s="3" t="n">
        <f aca="false">YEAR(E87)</f>
        <v>2025</v>
      </c>
      <c r="J87" s="3" t="n">
        <f aca="false">MONTH(E87)</f>
        <v>4</v>
      </c>
      <c r="K87" s="3" t="n">
        <f aca="false">COUNTIFS($B$2:$B$4077,B87,$C$2:$C$4077,C87,$I$2:$I$4077,I87)</f>
        <v>3</v>
      </c>
      <c r="L87" s="3" t="n">
        <f aca="false">IF(COUNTIFS($B$2:B87,B87,$C$2:C87,C87,$I$2:I87,I87)=1,1,0)</f>
        <v>1</v>
      </c>
      <c r="M87" s="3" t="n">
        <f aca="false">IF(K87&gt;=Parametri!$B$1,1,0)</f>
        <v>1</v>
      </c>
      <c r="N87" s="3" t="n">
        <f aca="false">L87*M87</f>
        <v>1</v>
      </c>
    </row>
    <row r="88" customFormat="false" ht="15" hidden="false" customHeight="false" outlineLevel="0" collapsed="false">
      <c r="A88" s="0" t="s">
        <v>221</v>
      </c>
      <c r="B88" s="0" t="s">
        <v>124</v>
      </c>
      <c r="C88" s="0" t="s">
        <v>153</v>
      </c>
      <c r="D88" s="0" t="s">
        <v>63</v>
      </c>
      <c r="E88" s="2" t="n">
        <v>46027</v>
      </c>
      <c r="F88" s="3" t="s">
        <v>20</v>
      </c>
      <c r="G88" s="3" t="s">
        <v>21</v>
      </c>
      <c r="H88" s="3" t="s">
        <v>22</v>
      </c>
      <c r="I88" s="3" t="n">
        <f aca="false">YEAR(E88)</f>
        <v>2026</v>
      </c>
      <c r="J88" s="3" t="n">
        <f aca="false">MONTH(E88)</f>
        <v>1</v>
      </c>
      <c r="K88" s="3" t="n">
        <f aca="false">COUNTIFS($B$2:$B$4077,B88,$C$2:$C$4077,C88,$I$2:$I$4077,I88)</f>
        <v>1</v>
      </c>
      <c r="L88" s="3" t="n">
        <f aca="false">IF(COUNTIFS($B$2:B88,B88,$C$2:C88,C88,$I$2:I88,I88)=1,1,0)</f>
        <v>1</v>
      </c>
      <c r="M88" s="3" t="n">
        <f aca="false">IF(K88&gt;=Parametri!$B$1,1,0)</f>
        <v>0</v>
      </c>
      <c r="N88" s="3" t="n">
        <f aca="false">L88*M88</f>
        <v>0</v>
      </c>
    </row>
    <row r="89" customFormat="false" ht="15" hidden="false" customHeight="false" outlineLevel="0" collapsed="false">
      <c r="A89" s="0" t="s">
        <v>222</v>
      </c>
      <c r="B89" s="0" t="s">
        <v>41</v>
      </c>
      <c r="C89" s="0" t="s">
        <v>223</v>
      </c>
      <c r="D89" s="0" t="s">
        <v>63</v>
      </c>
      <c r="E89" s="2" t="n">
        <v>45769</v>
      </c>
      <c r="F89" s="3" t="s">
        <v>20</v>
      </c>
      <c r="G89" s="3" t="s">
        <v>39</v>
      </c>
      <c r="H89" s="3" t="s">
        <v>22</v>
      </c>
      <c r="I89" s="3" t="n">
        <f aca="false">YEAR(E89)</f>
        <v>2025</v>
      </c>
      <c r="J89" s="3" t="n">
        <f aca="false">MONTH(E89)</f>
        <v>4</v>
      </c>
      <c r="K89" s="3" t="n">
        <f aca="false">COUNTIFS($B$2:$B$4077,B89,$C$2:$C$4077,C89,$I$2:$I$4077,I89)</f>
        <v>1</v>
      </c>
      <c r="L89" s="3" t="n">
        <f aca="false">IF(COUNTIFS($B$2:B89,B89,$C$2:C89,C89,$I$2:I89,I89)=1,1,0)</f>
        <v>1</v>
      </c>
      <c r="M89" s="3" t="n">
        <f aca="false">IF(K89&gt;=Parametri!$B$1,1,0)</f>
        <v>0</v>
      </c>
      <c r="N89" s="3" t="n">
        <f aca="false">L89*M89</f>
        <v>0</v>
      </c>
    </row>
    <row r="90" customFormat="false" ht="15" hidden="false" customHeight="false" outlineLevel="0" collapsed="false">
      <c r="A90" s="0" t="s">
        <v>224</v>
      </c>
      <c r="B90" s="0" t="s">
        <v>57</v>
      </c>
      <c r="C90" s="0" t="s">
        <v>225</v>
      </c>
      <c r="D90" s="0" t="s">
        <v>63</v>
      </c>
      <c r="E90" s="2" t="n">
        <v>45612</v>
      </c>
      <c r="F90" s="3" t="s">
        <v>20</v>
      </c>
      <c r="G90" s="3" t="s">
        <v>21</v>
      </c>
      <c r="H90" s="3" t="s">
        <v>29</v>
      </c>
      <c r="I90" s="3" t="n">
        <f aca="false">YEAR(E90)</f>
        <v>2024</v>
      </c>
      <c r="J90" s="3" t="n">
        <f aca="false">MONTH(E90)</f>
        <v>11</v>
      </c>
      <c r="K90" s="3" t="n">
        <f aca="false">COUNTIFS($B$2:$B$4077,B90,$C$2:$C$4077,C90,$I$2:$I$4077,I90)</f>
        <v>1</v>
      </c>
      <c r="L90" s="3" t="n">
        <f aca="false">IF(COUNTIFS($B$2:B90,B90,$C$2:C90,C90,$I$2:I90,I90)=1,1,0)</f>
        <v>1</v>
      </c>
      <c r="M90" s="3" t="n">
        <f aca="false">IF(K90&gt;=Parametri!$B$1,1,0)</f>
        <v>0</v>
      </c>
      <c r="N90" s="3" t="n">
        <f aca="false">L90*M90</f>
        <v>0</v>
      </c>
    </row>
    <row r="91" customFormat="false" ht="15" hidden="false" customHeight="false" outlineLevel="0" collapsed="false">
      <c r="A91" s="0" t="s">
        <v>226</v>
      </c>
      <c r="B91" s="0" t="s">
        <v>79</v>
      </c>
      <c r="C91" s="0" t="s">
        <v>227</v>
      </c>
      <c r="D91" s="0" t="s">
        <v>26</v>
      </c>
      <c r="E91" s="2" t="n">
        <v>45873</v>
      </c>
      <c r="F91" s="3" t="s">
        <v>20</v>
      </c>
      <c r="G91" s="3" t="s">
        <v>72</v>
      </c>
      <c r="H91" s="3" t="s">
        <v>29</v>
      </c>
      <c r="I91" s="3" t="n">
        <f aca="false">YEAR(E91)</f>
        <v>2025</v>
      </c>
      <c r="J91" s="3" t="n">
        <f aca="false">MONTH(E91)</f>
        <v>8</v>
      </c>
      <c r="K91" s="3" t="n">
        <f aca="false">COUNTIFS($B$2:$B$4077,B91,$C$2:$C$4077,C91,$I$2:$I$4077,I91)</f>
        <v>2</v>
      </c>
      <c r="L91" s="3" t="n">
        <f aca="false">IF(COUNTIFS($B$2:B91,B91,$C$2:C91,C91,$I$2:I91,I91)=1,1,0)</f>
        <v>1</v>
      </c>
      <c r="M91" s="3" t="n">
        <f aca="false">IF(K91&gt;=Parametri!$B$1,1,0)</f>
        <v>1</v>
      </c>
      <c r="N91" s="3" t="n">
        <f aca="false">L91*M91</f>
        <v>1</v>
      </c>
    </row>
    <row r="92" customFormat="false" ht="15" hidden="false" customHeight="false" outlineLevel="0" collapsed="false">
      <c r="A92" s="0" t="s">
        <v>228</v>
      </c>
      <c r="B92" s="0" t="s">
        <v>24</v>
      </c>
      <c r="C92" s="0" t="s">
        <v>229</v>
      </c>
      <c r="D92" s="0" t="s">
        <v>19</v>
      </c>
      <c r="E92" s="2" t="n">
        <v>45946</v>
      </c>
      <c r="F92" s="3" t="s">
        <v>20</v>
      </c>
      <c r="G92" s="3" t="s">
        <v>21</v>
      </c>
      <c r="H92" s="3" t="s">
        <v>29</v>
      </c>
      <c r="I92" s="3" t="n">
        <f aca="false">YEAR(E92)</f>
        <v>2025</v>
      </c>
      <c r="J92" s="3" t="n">
        <f aca="false">MONTH(E92)</f>
        <v>10</v>
      </c>
      <c r="K92" s="3" t="n">
        <f aca="false">COUNTIFS($B$2:$B$4077,B92,$C$2:$C$4077,C92,$I$2:$I$4077,I92)</f>
        <v>2</v>
      </c>
      <c r="L92" s="3" t="n">
        <f aca="false">IF(COUNTIFS($B$2:B92,B92,$C$2:C92,C92,$I$2:I92,I92)=1,1,0)</f>
        <v>1</v>
      </c>
      <c r="M92" s="3" t="n">
        <f aca="false">IF(K92&gt;=Parametri!$B$1,1,0)</f>
        <v>1</v>
      </c>
      <c r="N92" s="3" t="n">
        <f aca="false">L92*M92</f>
        <v>1</v>
      </c>
    </row>
    <row r="93" customFormat="false" ht="15" hidden="false" customHeight="false" outlineLevel="0" collapsed="false">
      <c r="A93" s="0" t="s">
        <v>230</v>
      </c>
      <c r="B93" s="0" t="s">
        <v>17</v>
      </c>
      <c r="C93" s="0" t="s">
        <v>231</v>
      </c>
      <c r="D93" s="0" t="s">
        <v>19</v>
      </c>
      <c r="E93" s="2" t="n">
        <v>45548</v>
      </c>
      <c r="F93" s="3" t="s">
        <v>20</v>
      </c>
      <c r="G93" s="3" t="s">
        <v>55</v>
      </c>
      <c r="H93" s="3" t="s">
        <v>44</v>
      </c>
      <c r="I93" s="3" t="n">
        <f aca="false">YEAR(E93)</f>
        <v>2024</v>
      </c>
      <c r="J93" s="3" t="n">
        <f aca="false">MONTH(E93)</f>
        <v>9</v>
      </c>
      <c r="K93" s="3" t="n">
        <f aca="false">COUNTIFS($B$2:$B$4077,B93,$C$2:$C$4077,C93,$I$2:$I$4077,I93)</f>
        <v>4</v>
      </c>
      <c r="L93" s="3" t="n">
        <f aca="false">IF(COUNTIFS($B$2:B93,B93,$C$2:C93,C93,$I$2:I93,I93)=1,1,0)</f>
        <v>1</v>
      </c>
      <c r="M93" s="3" t="n">
        <f aca="false">IF(K93&gt;=Parametri!$B$1,1,0)</f>
        <v>1</v>
      </c>
      <c r="N93" s="3" t="n">
        <f aca="false">L93*M93</f>
        <v>1</v>
      </c>
    </row>
    <row r="94" customFormat="false" ht="15" hidden="false" customHeight="false" outlineLevel="0" collapsed="false">
      <c r="A94" s="0" t="s">
        <v>232</v>
      </c>
      <c r="B94" s="0" t="s">
        <v>31</v>
      </c>
      <c r="C94" s="0" t="s">
        <v>233</v>
      </c>
      <c r="D94" s="0" t="s">
        <v>19</v>
      </c>
      <c r="E94" s="2" t="n">
        <v>45326</v>
      </c>
      <c r="F94" s="3" t="s">
        <v>27</v>
      </c>
      <c r="G94" s="3" t="s">
        <v>89</v>
      </c>
      <c r="H94" s="3" t="s">
        <v>48</v>
      </c>
      <c r="I94" s="3" t="n">
        <f aca="false">YEAR(E94)</f>
        <v>2024</v>
      </c>
      <c r="J94" s="3" t="n">
        <f aca="false">MONTH(E94)</f>
        <v>2</v>
      </c>
      <c r="K94" s="3" t="n">
        <f aca="false">COUNTIFS($B$2:$B$4077,B94,$C$2:$C$4077,C94,$I$2:$I$4077,I94)</f>
        <v>1</v>
      </c>
      <c r="L94" s="3" t="n">
        <f aca="false">IF(COUNTIFS($B$2:B94,B94,$C$2:C94,C94,$I$2:I94,I94)=1,1,0)</f>
        <v>1</v>
      </c>
      <c r="M94" s="3" t="n">
        <f aca="false">IF(K94&gt;=Parametri!$B$1,1,0)</f>
        <v>0</v>
      </c>
      <c r="N94" s="3" t="n">
        <f aca="false">L94*M94</f>
        <v>0</v>
      </c>
    </row>
    <row r="95" customFormat="false" ht="15" hidden="false" customHeight="false" outlineLevel="0" collapsed="false">
      <c r="A95" s="0" t="s">
        <v>234</v>
      </c>
      <c r="B95" s="0" t="s">
        <v>124</v>
      </c>
      <c r="C95" s="0" t="s">
        <v>235</v>
      </c>
      <c r="D95" s="0" t="s">
        <v>63</v>
      </c>
      <c r="E95" s="2" t="n">
        <v>46099</v>
      </c>
      <c r="F95" s="3" t="s">
        <v>34</v>
      </c>
      <c r="G95" s="3" t="s">
        <v>104</v>
      </c>
      <c r="H95" s="3" t="s">
        <v>44</v>
      </c>
      <c r="I95" s="3" t="n">
        <f aca="false">YEAR(E95)</f>
        <v>2026</v>
      </c>
      <c r="J95" s="3" t="n">
        <f aca="false">MONTH(E95)</f>
        <v>3</v>
      </c>
      <c r="K95" s="3" t="n">
        <f aca="false">COUNTIFS($B$2:$B$4077,B95,$C$2:$C$4077,C95,$I$2:$I$4077,I95)</f>
        <v>1</v>
      </c>
      <c r="L95" s="3" t="n">
        <f aca="false">IF(COUNTIFS($B$2:B95,B95,$C$2:C95,C95,$I$2:I95,I95)=1,1,0)</f>
        <v>1</v>
      </c>
      <c r="M95" s="3" t="n">
        <f aca="false">IF(K95&gt;=Parametri!$B$1,1,0)</f>
        <v>0</v>
      </c>
      <c r="N95" s="3" t="n">
        <f aca="false">L95*M95</f>
        <v>0</v>
      </c>
    </row>
    <row r="96" customFormat="false" ht="15" hidden="false" customHeight="false" outlineLevel="0" collapsed="false">
      <c r="A96" s="0" t="s">
        <v>236</v>
      </c>
      <c r="B96" s="0" t="s">
        <v>46</v>
      </c>
      <c r="C96" s="0" t="s">
        <v>237</v>
      </c>
      <c r="D96" s="0" t="s">
        <v>54</v>
      </c>
      <c r="E96" s="2" t="n">
        <v>45988</v>
      </c>
      <c r="F96" s="3" t="s">
        <v>20</v>
      </c>
      <c r="G96" s="3" t="s">
        <v>21</v>
      </c>
      <c r="H96" s="3" t="s">
        <v>22</v>
      </c>
      <c r="I96" s="3" t="n">
        <f aca="false">YEAR(E96)</f>
        <v>2025</v>
      </c>
      <c r="J96" s="3" t="n">
        <f aca="false">MONTH(E96)</f>
        <v>11</v>
      </c>
      <c r="K96" s="3" t="n">
        <f aca="false">COUNTIFS($B$2:$B$4077,B96,$C$2:$C$4077,C96,$I$2:$I$4077,I96)</f>
        <v>1</v>
      </c>
      <c r="L96" s="3" t="n">
        <f aca="false">IF(COUNTIFS($B$2:B96,B96,$C$2:C96,C96,$I$2:I96,I96)=1,1,0)</f>
        <v>1</v>
      </c>
      <c r="M96" s="3" t="n">
        <f aca="false">IF(K96&gt;=Parametri!$B$1,1,0)</f>
        <v>0</v>
      </c>
      <c r="N96" s="3" t="n">
        <f aca="false">L96*M96</f>
        <v>0</v>
      </c>
    </row>
    <row r="97" customFormat="false" ht="15" hidden="false" customHeight="false" outlineLevel="0" collapsed="false">
      <c r="A97" s="0" t="s">
        <v>238</v>
      </c>
      <c r="B97" s="0" t="s">
        <v>24</v>
      </c>
      <c r="C97" s="0" t="s">
        <v>239</v>
      </c>
      <c r="D97" s="0" t="s">
        <v>54</v>
      </c>
      <c r="E97" s="2" t="n">
        <v>46154</v>
      </c>
      <c r="F97" s="3" t="s">
        <v>20</v>
      </c>
      <c r="G97" s="3" t="s">
        <v>104</v>
      </c>
      <c r="H97" s="3" t="s">
        <v>104</v>
      </c>
      <c r="I97" s="3" t="n">
        <f aca="false">YEAR(E97)</f>
        <v>2026</v>
      </c>
      <c r="J97" s="3" t="n">
        <f aca="false">MONTH(E97)</f>
        <v>5</v>
      </c>
      <c r="K97" s="3" t="n">
        <f aca="false">COUNTIFS($B$2:$B$4077,B97,$C$2:$C$4077,C97,$I$2:$I$4077,I97)</f>
        <v>2</v>
      </c>
      <c r="L97" s="3" t="n">
        <f aca="false">IF(COUNTIFS($B$2:B97,B97,$C$2:C97,C97,$I$2:I97,I97)=1,1,0)</f>
        <v>1</v>
      </c>
      <c r="M97" s="3" t="n">
        <f aca="false">IF(K97&gt;=Parametri!$B$1,1,0)</f>
        <v>1</v>
      </c>
      <c r="N97" s="3" t="n">
        <f aca="false">L97*M97</f>
        <v>1</v>
      </c>
    </row>
    <row r="98" customFormat="false" ht="15" hidden="false" customHeight="false" outlineLevel="0" collapsed="false">
      <c r="A98" s="0" t="s">
        <v>240</v>
      </c>
      <c r="B98" s="0" t="s">
        <v>50</v>
      </c>
      <c r="C98" s="0" t="s">
        <v>241</v>
      </c>
      <c r="D98" s="0" t="s">
        <v>77</v>
      </c>
      <c r="E98" s="2" t="n">
        <v>45615</v>
      </c>
      <c r="F98" s="3" t="s">
        <v>20</v>
      </c>
      <c r="G98" s="3" t="s">
        <v>43</v>
      </c>
      <c r="H98" s="3" t="s">
        <v>29</v>
      </c>
      <c r="I98" s="3" t="n">
        <f aca="false">YEAR(E98)</f>
        <v>2024</v>
      </c>
      <c r="J98" s="3" t="n">
        <f aca="false">MONTH(E98)</f>
        <v>11</v>
      </c>
      <c r="K98" s="3" t="n">
        <f aca="false">COUNTIFS($B$2:$B$4077,B98,$C$2:$C$4077,C98,$I$2:$I$4077,I98)</f>
        <v>1</v>
      </c>
      <c r="L98" s="3" t="n">
        <f aca="false">IF(COUNTIFS($B$2:B98,B98,$C$2:C98,C98,$I$2:I98,I98)=1,1,0)</f>
        <v>1</v>
      </c>
      <c r="M98" s="3" t="n">
        <f aca="false">IF(K98&gt;=Parametri!$B$1,1,0)</f>
        <v>0</v>
      </c>
      <c r="N98" s="3" t="n">
        <f aca="false">L98*M98</f>
        <v>0</v>
      </c>
    </row>
    <row r="99" customFormat="false" ht="15" hidden="false" customHeight="false" outlineLevel="0" collapsed="false">
      <c r="A99" s="0" t="s">
        <v>242</v>
      </c>
      <c r="B99" s="0" t="s">
        <v>68</v>
      </c>
      <c r="C99" s="0" t="s">
        <v>243</v>
      </c>
      <c r="D99" s="0" t="s">
        <v>54</v>
      </c>
      <c r="E99" s="2" t="n">
        <v>45429</v>
      </c>
      <c r="F99" s="3" t="s">
        <v>27</v>
      </c>
      <c r="G99" s="3" t="s">
        <v>72</v>
      </c>
      <c r="H99" s="3" t="s">
        <v>48</v>
      </c>
      <c r="I99" s="3" t="n">
        <f aca="false">YEAR(E99)</f>
        <v>2024</v>
      </c>
      <c r="J99" s="3" t="n">
        <f aca="false">MONTH(E99)</f>
        <v>5</v>
      </c>
      <c r="K99" s="3" t="n">
        <f aca="false">COUNTIFS($B$2:$B$4077,B99,$C$2:$C$4077,C99,$I$2:$I$4077,I99)</f>
        <v>4</v>
      </c>
      <c r="L99" s="3" t="n">
        <f aca="false">IF(COUNTIFS($B$2:B99,B99,$C$2:C99,C99,$I$2:I99,I99)=1,1,0)</f>
        <v>1</v>
      </c>
      <c r="M99" s="3" t="n">
        <f aca="false">IF(K99&gt;=Parametri!$B$1,1,0)</f>
        <v>1</v>
      </c>
      <c r="N99" s="3" t="n">
        <f aca="false">L99*M99</f>
        <v>1</v>
      </c>
    </row>
    <row r="100" customFormat="false" ht="15" hidden="false" customHeight="false" outlineLevel="0" collapsed="false">
      <c r="A100" s="0" t="s">
        <v>244</v>
      </c>
      <c r="B100" s="0" t="s">
        <v>57</v>
      </c>
      <c r="C100" s="0" t="s">
        <v>74</v>
      </c>
      <c r="D100" s="0" t="s">
        <v>38</v>
      </c>
      <c r="E100" s="2" t="n">
        <v>45730</v>
      </c>
      <c r="F100" s="3" t="s">
        <v>20</v>
      </c>
      <c r="G100" s="3" t="s">
        <v>55</v>
      </c>
      <c r="H100" s="3" t="s">
        <v>22</v>
      </c>
      <c r="I100" s="3" t="n">
        <f aca="false">YEAR(E100)</f>
        <v>2025</v>
      </c>
      <c r="J100" s="3" t="n">
        <f aca="false">MONTH(E100)</f>
        <v>3</v>
      </c>
      <c r="K100" s="3" t="n">
        <f aca="false">COUNTIFS($B$2:$B$4077,B100,$C$2:$C$4077,C100,$I$2:$I$4077,I100)</f>
        <v>3</v>
      </c>
      <c r="L100" s="3" t="n">
        <f aca="false">IF(COUNTIFS($B$2:B100,B100,$C$2:C100,C100,$I$2:I100,I100)=1,1,0)</f>
        <v>1</v>
      </c>
      <c r="M100" s="3" t="n">
        <f aca="false">IF(K100&gt;=Parametri!$B$1,1,0)</f>
        <v>1</v>
      </c>
      <c r="N100" s="3" t="n">
        <f aca="false">L100*M100</f>
        <v>1</v>
      </c>
    </row>
    <row r="101" customFormat="false" ht="15" hidden="false" customHeight="false" outlineLevel="0" collapsed="false">
      <c r="A101" s="0" t="s">
        <v>245</v>
      </c>
      <c r="B101" s="0" t="s">
        <v>57</v>
      </c>
      <c r="C101" s="0" t="s">
        <v>246</v>
      </c>
      <c r="D101" s="0" t="s">
        <v>19</v>
      </c>
      <c r="E101" s="2" t="n">
        <v>45803</v>
      </c>
      <c r="F101" s="3" t="s">
        <v>27</v>
      </c>
      <c r="G101" s="3" t="s">
        <v>35</v>
      </c>
      <c r="H101" s="3" t="s">
        <v>48</v>
      </c>
      <c r="I101" s="3" t="n">
        <f aca="false">YEAR(E101)</f>
        <v>2025</v>
      </c>
      <c r="J101" s="3" t="n">
        <f aca="false">MONTH(E101)</f>
        <v>5</v>
      </c>
      <c r="K101" s="3" t="n">
        <f aca="false">COUNTIFS($B$2:$B$4077,B101,$C$2:$C$4077,C101,$I$2:$I$4077,I101)</f>
        <v>2</v>
      </c>
      <c r="L101" s="3" t="n">
        <f aca="false">IF(COUNTIFS($B$2:B101,B101,$C$2:C101,C101,$I$2:I101,I101)=1,1,0)</f>
        <v>1</v>
      </c>
      <c r="M101" s="3" t="n">
        <f aca="false">IF(K101&gt;=Parametri!$B$1,1,0)</f>
        <v>1</v>
      </c>
      <c r="N101" s="3" t="n">
        <f aca="false">L101*M101</f>
        <v>1</v>
      </c>
    </row>
    <row r="102" customFormat="false" ht="15" hidden="false" customHeight="false" outlineLevel="0" collapsed="false">
      <c r="A102" s="0" t="s">
        <v>247</v>
      </c>
      <c r="B102" s="0" t="s">
        <v>31</v>
      </c>
      <c r="C102" s="0" t="s">
        <v>248</v>
      </c>
      <c r="D102" s="0" t="s">
        <v>63</v>
      </c>
      <c r="E102" s="2" t="n">
        <v>46128</v>
      </c>
      <c r="F102" s="3" t="s">
        <v>20</v>
      </c>
      <c r="G102" s="3" t="s">
        <v>72</v>
      </c>
      <c r="H102" s="3" t="s">
        <v>29</v>
      </c>
      <c r="I102" s="3" t="n">
        <f aca="false">YEAR(E102)</f>
        <v>2026</v>
      </c>
      <c r="J102" s="3" t="n">
        <f aca="false">MONTH(E102)</f>
        <v>4</v>
      </c>
      <c r="K102" s="3" t="n">
        <f aca="false">COUNTIFS($B$2:$B$4077,B102,$C$2:$C$4077,C102,$I$2:$I$4077,I102)</f>
        <v>1</v>
      </c>
      <c r="L102" s="3" t="n">
        <f aca="false">IF(COUNTIFS($B$2:B102,B102,$C$2:C102,C102,$I$2:I102,I102)=1,1,0)</f>
        <v>1</v>
      </c>
      <c r="M102" s="3" t="n">
        <f aca="false">IF(K102&gt;=Parametri!$B$1,1,0)</f>
        <v>0</v>
      </c>
      <c r="N102" s="3" t="n">
        <f aca="false">L102*M102</f>
        <v>0</v>
      </c>
    </row>
    <row r="103" customFormat="false" ht="15" hidden="false" customHeight="false" outlineLevel="0" collapsed="false">
      <c r="A103" s="0" t="s">
        <v>249</v>
      </c>
      <c r="B103" s="0" t="s">
        <v>79</v>
      </c>
      <c r="C103" s="0" t="s">
        <v>250</v>
      </c>
      <c r="D103" s="0" t="s">
        <v>63</v>
      </c>
      <c r="E103" s="2" t="n">
        <v>46081</v>
      </c>
      <c r="F103" s="3" t="s">
        <v>27</v>
      </c>
      <c r="G103" s="3" t="s">
        <v>72</v>
      </c>
      <c r="H103" s="3" t="s">
        <v>22</v>
      </c>
      <c r="I103" s="3" t="n">
        <f aca="false">YEAR(E103)</f>
        <v>2026</v>
      </c>
      <c r="J103" s="3" t="n">
        <f aca="false">MONTH(E103)</f>
        <v>2</v>
      </c>
      <c r="K103" s="3" t="n">
        <f aca="false">COUNTIFS($B$2:$B$4077,B103,$C$2:$C$4077,C103,$I$2:$I$4077,I103)</f>
        <v>4</v>
      </c>
      <c r="L103" s="3" t="n">
        <f aca="false">IF(COUNTIFS($B$2:B103,B103,$C$2:C103,C103,$I$2:I103,I103)=1,1,0)</f>
        <v>1</v>
      </c>
      <c r="M103" s="3" t="n">
        <f aca="false">IF(K103&gt;=Parametri!$B$1,1,0)</f>
        <v>1</v>
      </c>
      <c r="N103" s="3" t="n">
        <f aca="false">L103*M103</f>
        <v>1</v>
      </c>
    </row>
    <row r="104" customFormat="false" ht="15" hidden="false" customHeight="false" outlineLevel="0" collapsed="false">
      <c r="A104" s="0" t="s">
        <v>251</v>
      </c>
      <c r="B104" s="0" t="s">
        <v>46</v>
      </c>
      <c r="C104" s="0" t="s">
        <v>252</v>
      </c>
      <c r="D104" s="0" t="s">
        <v>33</v>
      </c>
      <c r="E104" s="2" t="n">
        <v>45369</v>
      </c>
      <c r="F104" s="3" t="s">
        <v>20</v>
      </c>
      <c r="G104" s="3" t="s">
        <v>28</v>
      </c>
      <c r="H104" s="3" t="s">
        <v>29</v>
      </c>
      <c r="I104" s="3" t="n">
        <f aca="false">YEAR(E104)</f>
        <v>2024</v>
      </c>
      <c r="J104" s="3" t="n">
        <f aca="false">MONTH(E104)</f>
        <v>3</v>
      </c>
      <c r="K104" s="3" t="n">
        <f aca="false">COUNTIFS($B$2:$B$4077,B104,$C$2:$C$4077,C104,$I$2:$I$4077,I104)</f>
        <v>1</v>
      </c>
      <c r="L104" s="3" t="n">
        <f aca="false">IF(COUNTIFS($B$2:B104,B104,$C$2:C104,C104,$I$2:I104,I104)=1,1,0)</f>
        <v>1</v>
      </c>
      <c r="M104" s="3" t="n">
        <f aca="false">IF(K104&gt;=Parametri!$B$1,1,0)</f>
        <v>0</v>
      </c>
      <c r="N104" s="3" t="n">
        <f aca="false">L104*M104</f>
        <v>0</v>
      </c>
    </row>
    <row r="105" customFormat="false" ht="15" hidden="false" customHeight="false" outlineLevel="0" collapsed="false">
      <c r="A105" s="0" t="s">
        <v>253</v>
      </c>
      <c r="B105" s="0" t="s">
        <v>24</v>
      </c>
      <c r="C105" s="0" t="s">
        <v>254</v>
      </c>
      <c r="D105" s="0" t="s">
        <v>33</v>
      </c>
      <c r="E105" s="2" t="n">
        <v>46110</v>
      </c>
      <c r="F105" s="3" t="s">
        <v>20</v>
      </c>
      <c r="G105" s="3" t="s">
        <v>28</v>
      </c>
      <c r="H105" s="3" t="s">
        <v>48</v>
      </c>
      <c r="I105" s="3" t="n">
        <f aca="false">YEAR(E105)</f>
        <v>2026</v>
      </c>
      <c r="J105" s="3" t="n">
        <f aca="false">MONTH(E105)</f>
        <v>3</v>
      </c>
      <c r="K105" s="3" t="n">
        <f aca="false">COUNTIFS($B$2:$B$4077,B105,$C$2:$C$4077,C105,$I$2:$I$4077,I105)</f>
        <v>1</v>
      </c>
      <c r="L105" s="3" t="n">
        <f aca="false">IF(COUNTIFS($B$2:B105,B105,$C$2:C105,C105,$I$2:I105,I105)=1,1,0)</f>
        <v>1</v>
      </c>
      <c r="M105" s="3" t="n">
        <f aca="false">IF(K105&gt;=Parametri!$B$1,1,0)</f>
        <v>0</v>
      </c>
      <c r="N105" s="3" t="n">
        <f aca="false">L105*M105</f>
        <v>0</v>
      </c>
    </row>
    <row r="106" customFormat="false" ht="15" hidden="false" customHeight="false" outlineLevel="0" collapsed="false">
      <c r="A106" s="0" t="s">
        <v>255</v>
      </c>
      <c r="B106" s="0" t="s">
        <v>41</v>
      </c>
      <c r="C106" s="0" t="s">
        <v>256</v>
      </c>
      <c r="D106" s="0" t="s">
        <v>33</v>
      </c>
      <c r="E106" s="2" t="n">
        <v>45676</v>
      </c>
      <c r="F106" s="3" t="s">
        <v>104</v>
      </c>
      <c r="G106" s="3" t="s">
        <v>104</v>
      </c>
      <c r="H106" s="3" t="s">
        <v>104</v>
      </c>
      <c r="I106" s="3" t="n">
        <f aca="false">YEAR(E106)</f>
        <v>2025</v>
      </c>
      <c r="J106" s="3" t="n">
        <f aca="false">MONTH(E106)</f>
        <v>1</v>
      </c>
      <c r="K106" s="3" t="n">
        <f aca="false">COUNTIFS($B$2:$B$4077,B106,$C$2:$C$4077,C106,$I$2:$I$4077,I106)</f>
        <v>3</v>
      </c>
      <c r="L106" s="3" t="n">
        <f aca="false">IF(COUNTIFS($B$2:B106,B106,$C$2:C106,C106,$I$2:I106,I106)=1,1,0)</f>
        <v>1</v>
      </c>
      <c r="M106" s="3" t="n">
        <f aca="false">IF(K106&gt;=Parametri!$B$1,1,0)</f>
        <v>1</v>
      </c>
      <c r="N106" s="3" t="n">
        <f aca="false">L106*M106</f>
        <v>1</v>
      </c>
    </row>
    <row r="107" customFormat="false" ht="15" hidden="false" customHeight="false" outlineLevel="0" collapsed="false">
      <c r="A107" s="0" t="s">
        <v>257</v>
      </c>
      <c r="B107" s="0" t="s">
        <v>79</v>
      </c>
      <c r="C107" s="0" t="s">
        <v>258</v>
      </c>
      <c r="D107" s="0" t="s">
        <v>38</v>
      </c>
      <c r="E107" s="2" t="n">
        <v>46039</v>
      </c>
      <c r="F107" s="3" t="s">
        <v>20</v>
      </c>
      <c r="G107" s="3" t="s">
        <v>39</v>
      </c>
      <c r="H107" s="3" t="s">
        <v>44</v>
      </c>
      <c r="I107" s="3" t="n">
        <f aca="false">YEAR(E107)</f>
        <v>2026</v>
      </c>
      <c r="J107" s="3" t="n">
        <f aca="false">MONTH(E107)</f>
        <v>1</v>
      </c>
      <c r="K107" s="3" t="n">
        <f aca="false">COUNTIFS($B$2:$B$4077,B107,$C$2:$C$4077,C107,$I$2:$I$4077,I107)</f>
        <v>2</v>
      </c>
      <c r="L107" s="3" t="n">
        <f aca="false">IF(COUNTIFS($B$2:B107,B107,$C$2:C107,C107,$I$2:I107,I107)=1,1,0)</f>
        <v>1</v>
      </c>
      <c r="M107" s="3" t="n">
        <f aca="false">IF(K107&gt;=Parametri!$B$1,1,0)</f>
        <v>1</v>
      </c>
      <c r="N107" s="3" t="n">
        <f aca="false">L107*M107</f>
        <v>1</v>
      </c>
    </row>
    <row r="108" customFormat="false" ht="15" hidden="false" customHeight="false" outlineLevel="0" collapsed="false">
      <c r="A108" s="0" t="s">
        <v>259</v>
      </c>
      <c r="B108" s="0" t="s">
        <v>17</v>
      </c>
      <c r="C108" s="0" t="s">
        <v>208</v>
      </c>
      <c r="D108" s="0" t="s">
        <v>19</v>
      </c>
      <c r="E108" s="2" t="n">
        <v>46132</v>
      </c>
      <c r="F108" s="3" t="s">
        <v>20</v>
      </c>
      <c r="G108" s="3" t="s">
        <v>39</v>
      </c>
      <c r="H108" s="3" t="s">
        <v>48</v>
      </c>
      <c r="I108" s="3" t="n">
        <f aca="false">YEAR(E108)</f>
        <v>2026</v>
      </c>
      <c r="J108" s="3" t="n">
        <f aca="false">MONTH(E108)</f>
        <v>4</v>
      </c>
      <c r="K108" s="3" t="n">
        <f aca="false">COUNTIFS($B$2:$B$4077,B108,$C$2:$C$4077,C108,$I$2:$I$4077,I108)</f>
        <v>4</v>
      </c>
      <c r="L108" s="3" t="n">
        <f aca="false">IF(COUNTIFS($B$2:B108,B108,$C$2:C108,C108,$I$2:I108,I108)=1,1,0)</f>
        <v>1</v>
      </c>
      <c r="M108" s="3" t="n">
        <f aca="false">IF(K108&gt;=Parametri!$B$1,1,0)</f>
        <v>1</v>
      </c>
      <c r="N108" s="3" t="n">
        <f aca="false">L108*M108</f>
        <v>1</v>
      </c>
    </row>
    <row r="109" customFormat="false" ht="15" hidden="false" customHeight="false" outlineLevel="0" collapsed="false">
      <c r="A109" s="0" t="s">
        <v>260</v>
      </c>
      <c r="B109" s="0" t="s">
        <v>50</v>
      </c>
      <c r="C109" s="0" t="s">
        <v>261</v>
      </c>
      <c r="D109" s="0" t="s">
        <v>54</v>
      </c>
      <c r="E109" s="2" t="n">
        <v>45355</v>
      </c>
      <c r="F109" s="3" t="s">
        <v>20</v>
      </c>
      <c r="G109" s="3" t="s">
        <v>28</v>
      </c>
      <c r="H109" s="3" t="s">
        <v>48</v>
      </c>
      <c r="I109" s="3" t="n">
        <f aca="false">YEAR(E109)</f>
        <v>2024</v>
      </c>
      <c r="J109" s="3" t="n">
        <f aca="false">MONTH(E109)</f>
        <v>3</v>
      </c>
      <c r="K109" s="3" t="n">
        <f aca="false">COUNTIFS($B$2:$B$4077,B109,$C$2:$C$4077,C109,$I$2:$I$4077,I109)</f>
        <v>2</v>
      </c>
      <c r="L109" s="3" t="n">
        <f aca="false">IF(COUNTIFS($B$2:B109,B109,$C$2:C109,C109,$I$2:I109,I109)=1,1,0)</f>
        <v>1</v>
      </c>
      <c r="M109" s="3" t="n">
        <f aca="false">IF(K109&gt;=Parametri!$B$1,1,0)</f>
        <v>1</v>
      </c>
      <c r="N109" s="3" t="n">
        <f aca="false">L109*M109</f>
        <v>1</v>
      </c>
    </row>
    <row r="110" customFormat="false" ht="15" hidden="false" customHeight="false" outlineLevel="0" collapsed="false">
      <c r="A110" s="0" t="s">
        <v>262</v>
      </c>
      <c r="B110" s="0" t="s">
        <v>57</v>
      </c>
      <c r="C110" s="0" t="s">
        <v>263</v>
      </c>
      <c r="D110" s="0" t="s">
        <v>26</v>
      </c>
      <c r="E110" s="2" t="n">
        <v>45919</v>
      </c>
      <c r="F110" s="3" t="s">
        <v>27</v>
      </c>
      <c r="G110" s="3" t="s">
        <v>89</v>
      </c>
      <c r="H110" s="3" t="s">
        <v>48</v>
      </c>
      <c r="I110" s="3" t="n">
        <f aca="false">YEAR(E110)</f>
        <v>2025</v>
      </c>
      <c r="J110" s="3" t="n">
        <f aca="false">MONTH(E110)</f>
        <v>9</v>
      </c>
      <c r="K110" s="3" t="n">
        <f aca="false">COUNTIFS($B$2:$B$4077,B110,$C$2:$C$4077,C110,$I$2:$I$4077,I110)</f>
        <v>2</v>
      </c>
      <c r="L110" s="3" t="n">
        <f aca="false">IF(COUNTIFS($B$2:B110,B110,$C$2:C110,C110,$I$2:I110,I110)=1,1,0)</f>
        <v>1</v>
      </c>
      <c r="M110" s="3" t="n">
        <f aca="false">IF(K110&gt;=Parametri!$B$1,1,0)</f>
        <v>1</v>
      </c>
      <c r="N110" s="3" t="n">
        <f aca="false">L110*M110</f>
        <v>1</v>
      </c>
    </row>
    <row r="111" customFormat="false" ht="15" hidden="false" customHeight="false" outlineLevel="0" collapsed="false">
      <c r="A111" s="0" t="s">
        <v>264</v>
      </c>
      <c r="B111" s="0" t="s">
        <v>46</v>
      </c>
      <c r="C111" s="0" t="s">
        <v>265</v>
      </c>
      <c r="D111" s="0" t="s">
        <v>54</v>
      </c>
      <c r="E111" s="2" t="n">
        <v>45688</v>
      </c>
      <c r="F111" s="3" t="s">
        <v>20</v>
      </c>
      <c r="G111" s="3" t="s">
        <v>89</v>
      </c>
      <c r="H111" s="3" t="s">
        <v>44</v>
      </c>
      <c r="I111" s="3" t="n">
        <f aca="false">YEAR(E111)</f>
        <v>2025</v>
      </c>
      <c r="J111" s="3" t="n">
        <f aca="false">MONTH(E111)</f>
        <v>1</v>
      </c>
      <c r="K111" s="3" t="n">
        <f aca="false">COUNTIFS($B$2:$B$4077,B111,$C$2:$C$4077,C111,$I$2:$I$4077,I111)</f>
        <v>1</v>
      </c>
      <c r="L111" s="3" t="n">
        <f aca="false">IF(COUNTIFS($B$2:B111,B111,$C$2:C111,C111,$I$2:I111,I111)=1,1,0)</f>
        <v>1</v>
      </c>
      <c r="M111" s="3" t="n">
        <f aca="false">IF(K111&gt;=Parametri!$B$1,1,0)</f>
        <v>0</v>
      </c>
      <c r="N111" s="3" t="n">
        <f aca="false">L111*M111</f>
        <v>0</v>
      </c>
    </row>
    <row r="112" customFormat="false" ht="15" hidden="false" customHeight="false" outlineLevel="0" collapsed="false">
      <c r="A112" s="0" t="s">
        <v>266</v>
      </c>
      <c r="B112" s="0" t="s">
        <v>68</v>
      </c>
      <c r="C112" s="0" t="s">
        <v>267</v>
      </c>
      <c r="D112" s="0" t="s">
        <v>66</v>
      </c>
      <c r="E112" s="2" t="n">
        <v>45658</v>
      </c>
      <c r="F112" s="3" t="s">
        <v>20</v>
      </c>
      <c r="G112" s="3" t="s">
        <v>89</v>
      </c>
      <c r="H112" s="3" t="s">
        <v>44</v>
      </c>
      <c r="I112" s="3" t="n">
        <f aca="false">YEAR(E112)</f>
        <v>2025</v>
      </c>
      <c r="J112" s="3" t="n">
        <f aca="false">MONTH(E112)</f>
        <v>1</v>
      </c>
      <c r="K112" s="3" t="n">
        <f aca="false">COUNTIFS($B$2:$B$4077,B112,$C$2:$C$4077,C112,$I$2:$I$4077,I112)</f>
        <v>1</v>
      </c>
      <c r="L112" s="3" t="n">
        <f aca="false">IF(COUNTIFS($B$2:B112,B112,$C$2:C112,C112,$I$2:I112,I112)=1,1,0)</f>
        <v>1</v>
      </c>
      <c r="M112" s="3" t="n">
        <f aca="false">IF(K112&gt;=Parametri!$B$1,1,0)</f>
        <v>0</v>
      </c>
      <c r="N112" s="3" t="n">
        <f aca="false">L112*M112</f>
        <v>0</v>
      </c>
    </row>
    <row r="113" customFormat="false" ht="15" hidden="false" customHeight="false" outlineLevel="0" collapsed="false">
      <c r="A113" s="0" t="s">
        <v>268</v>
      </c>
      <c r="B113" s="0" t="s">
        <v>124</v>
      </c>
      <c r="C113" s="0" t="s">
        <v>269</v>
      </c>
      <c r="D113" s="0" t="s">
        <v>26</v>
      </c>
      <c r="E113" s="2" t="n">
        <v>45475</v>
      </c>
      <c r="F113" s="3" t="s">
        <v>20</v>
      </c>
      <c r="G113" s="3" t="s">
        <v>39</v>
      </c>
      <c r="H113" s="3" t="s">
        <v>29</v>
      </c>
      <c r="I113" s="3" t="n">
        <f aca="false">YEAR(E113)</f>
        <v>2024</v>
      </c>
      <c r="J113" s="3" t="n">
        <f aca="false">MONTH(E113)</f>
        <v>7</v>
      </c>
      <c r="K113" s="3" t="n">
        <f aca="false">COUNTIFS($B$2:$B$4077,B113,$C$2:$C$4077,C113,$I$2:$I$4077,I113)</f>
        <v>1</v>
      </c>
      <c r="L113" s="3" t="n">
        <f aca="false">IF(COUNTIFS($B$2:B113,B113,$C$2:C113,C113,$I$2:I113,I113)=1,1,0)</f>
        <v>1</v>
      </c>
      <c r="M113" s="3" t="n">
        <f aca="false">IF(K113&gt;=Parametri!$B$1,1,0)</f>
        <v>0</v>
      </c>
      <c r="N113" s="3" t="n">
        <f aca="false">L113*M113</f>
        <v>0</v>
      </c>
    </row>
    <row r="114" customFormat="false" ht="15" hidden="false" customHeight="false" outlineLevel="0" collapsed="false">
      <c r="A114" s="0" t="s">
        <v>270</v>
      </c>
      <c r="B114" s="0" t="s">
        <v>24</v>
      </c>
      <c r="C114" s="0" t="s">
        <v>271</v>
      </c>
      <c r="D114" s="0" t="s">
        <v>66</v>
      </c>
      <c r="E114" s="2" t="n">
        <v>45497</v>
      </c>
      <c r="F114" s="3" t="s">
        <v>20</v>
      </c>
      <c r="G114" s="3" t="s">
        <v>43</v>
      </c>
      <c r="H114" s="3" t="s">
        <v>48</v>
      </c>
      <c r="I114" s="3" t="n">
        <f aca="false">YEAR(E114)</f>
        <v>2024</v>
      </c>
      <c r="J114" s="3" t="n">
        <f aca="false">MONTH(E114)</f>
        <v>7</v>
      </c>
      <c r="K114" s="3" t="n">
        <f aca="false">COUNTIFS($B$2:$B$4077,B114,$C$2:$C$4077,C114,$I$2:$I$4077,I114)</f>
        <v>6</v>
      </c>
      <c r="L114" s="3" t="n">
        <f aca="false">IF(COUNTIFS($B$2:B114,B114,$C$2:C114,C114,$I$2:I114,I114)=1,1,0)</f>
        <v>1</v>
      </c>
      <c r="M114" s="3" t="n">
        <f aca="false">IF(K114&gt;=Parametri!$B$1,1,0)</f>
        <v>1</v>
      </c>
      <c r="N114" s="3" t="n">
        <f aca="false">L114*M114</f>
        <v>1</v>
      </c>
    </row>
    <row r="115" customFormat="false" ht="15" hidden="false" customHeight="false" outlineLevel="0" collapsed="false">
      <c r="A115" s="0" t="s">
        <v>272</v>
      </c>
      <c r="B115" s="0" t="s">
        <v>46</v>
      </c>
      <c r="C115" s="0" t="s">
        <v>273</v>
      </c>
      <c r="D115" s="0" t="s">
        <v>33</v>
      </c>
      <c r="E115" s="2" t="n">
        <v>46028</v>
      </c>
      <c r="F115" s="3" t="s">
        <v>27</v>
      </c>
      <c r="G115" s="3" t="s">
        <v>28</v>
      </c>
      <c r="H115" s="3" t="s">
        <v>44</v>
      </c>
      <c r="I115" s="3" t="n">
        <f aca="false">YEAR(E115)</f>
        <v>2026</v>
      </c>
      <c r="J115" s="3" t="n">
        <f aca="false">MONTH(E115)</f>
        <v>1</v>
      </c>
      <c r="K115" s="3" t="n">
        <f aca="false">COUNTIFS($B$2:$B$4077,B115,$C$2:$C$4077,C115,$I$2:$I$4077,I115)</f>
        <v>1</v>
      </c>
      <c r="L115" s="3" t="n">
        <f aca="false">IF(COUNTIFS($B$2:B115,B115,$C$2:C115,C115,$I$2:I115,I115)=1,1,0)</f>
        <v>1</v>
      </c>
      <c r="M115" s="3" t="n">
        <f aca="false">IF(K115&gt;=Parametri!$B$1,1,0)</f>
        <v>0</v>
      </c>
      <c r="N115" s="3" t="n">
        <f aca="false">L115*M115</f>
        <v>0</v>
      </c>
    </row>
    <row r="116" customFormat="false" ht="15" hidden="false" customHeight="false" outlineLevel="0" collapsed="false">
      <c r="A116" s="0" t="s">
        <v>274</v>
      </c>
      <c r="B116" s="0" t="s">
        <v>50</v>
      </c>
      <c r="C116" s="0" t="s">
        <v>275</v>
      </c>
      <c r="D116" s="0" t="s">
        <v>54</v>
      </c>
      <c r="E116" s="2" t="n">
        <v>46209</v>
      </c>
      <c r="F116" s="3" t="s">
        <v>20</v>
      </c>
      <c r="G116" s="3" t="s">
        <v>55</v>
      </c>
      <c r="H116" s="3" t="s">
        <v>44</v>
      </c>
      <c r="I116" s="3" t="n">
        <f aca="false">YEAR(E116)</f>
        <v>2026</v>
      </c>
      <c r="J116" s="3" t="n">
        <f aca="false">MONTH(E116)</f>
        <v>7</v>
      </c>
      <c r="K116" s="3" t="n">
        <f aca="false">COUNTIFS($B$2:$B$4077,B116,$C$2:$C$4077,C116,$I$2:$I$4077,I116)</f>
        <v>1</v>
      </c>
      <c r="L116" s="3" t="n">
        <f aca="false">IF(COUNTIFS($B$2:B116,B116,$C$2:C116,C116,$I$2:I116,I116)=1,1,0)</f>
        <v>1</v>
      </c>
      <c r="M116" s="3" t="n">
        <f aca="false">IF(K116&gt;=Parametri!$B$1,1,0)</f>
        <v>0</v>
      </c>
      <c r="N116" s="3" t="n">
        <f aca="false">L116*M116</f>
        <v>0</v>
      </c>
    </row>
    <row r="117" customFormat="false" ht="15" hidden="false" customHeight="false" outlineLevel="0" collapsed="false">
      <c r="A117" s="0" t="s">
        <v>276</v>
      </c>
      <c r="B117" s="0" t="s">
        <v>79</v>
      </c>
      <c r="C117" s="0" t="s">
        <v>116</v>
      </c>
      <c r="D117" s="0" t="s">
        <v>26</v>
      </c>
      <c r="E117" s="2" t="n">
        <v>45853</v>
      </c>
      <c r="F117" s="3" t="s">
        <v>20</v>
      </c>
      <c r="G117" s="3" t="s">
        <v>55</v>
      </c>
      <c r="H117" s="3" t="s">
        <v>22</v>
      </c>
      <c r="I117" s="3" t="n">
        <f aca="false">YEAR(E117)</f>
        <v>2025</v>
      </c>
      <c r="J117" s="3" t="n">
        <f aca="false">MONTH(E117)</f>
        <v>7</v>
      </c>
      <c r="K117" s="3" t="n">
        <f aca="false">COUNTIFS($B$2:$B$4077,B117,$C$2:$C$4077,C117,$I$2:$I$4077,I117)</f>
        <v>6</v>
      </c>
      <c r="L117" s="3" t="n">
        <f aca="false">IF(COUNTIFS($B$2:B117,B117,$C$2:C117,C117,$I$2:I117,I117)=1,1,0)</f>
        <v>0</v>
      </c>
      <c r="M117" s="3" t="n">
        <f aca="false">IF(K117&gt;=Parametri!$B$1,1,0)</f>
        <v>1</v>
      </c>
      <c r="N117" s="3" t="n">
        <f aca="false">L117*M117</f>
        <v>0</v>
      </c>
    </row>
    <row r="118" customFormat="false" ht="15" hidden="false" customHeight="false" outlineLevel="0" collapsed="false">
      <c r="A118" s="0" t="s">
        <v>277</v>
      </c>
      <c r="B118" s="0" t="s">
        <v>124</v>
      </c>
      <c r="C118" s="0" t="s">
        <v>125</v>
      </c>
      <c r="D118" s="0" t="s">
        <v>33</v>
      </c>
      <c r="E118" s="2" t="n">
        <v>45661</v>
      </c>
      <c r="F118" s="3" t="s">
        <v>20</v>
      </c>
      <c r="G118" s="3" t="s">
        <v>89</v>
      </c>
      <c r="H118" s="3" t="s">
        <v>48</v>
      </c>
      <c r="I118" s="3" t="n">
        <f aca="false">YEAR(E118)</f>
        <v>2025</v>
      </c>
      <c r="J118" s="3" t="n">
        <f aca="false">MONTH(E118)</f>
        <v>1</v>
      </c>
      <c r="K118" s="3" t="n">
        <f aca="false">COUNTIFS($B$2:$B$4077,B118,$C$2:$C$4077,C118,$I$2:$I$4077,I118)</f>
        <v>2</v>
      </c>
      <c r="L118" s="3" t="n">
        <f aca="false">IF(COUNTIFS($B$2:B118,B118,$C$2:C118,C118,$I$2:I118,I118)=1,1,0)</f>
        <v>1</v>
      </c>
      <c r="M118" s="3" t="n">
        <f aca="false">IF(K118&gt;=Parametri!$B$1,1,0)</f>
        <v>1</v>
      </c>
      <c r="N118" s="3" t="n">
        <f aca="false">L118*M118</f>
        <v>1</v>
      </c>
    </row>
    <row r="119" customFormat="false" ht="15" hidden="false" customHeight="false" outlineLevel="0" collapsed="false">
      <c r="A119" s="0" t="s">
        <v>278</v>
      </c>
      <c r="B119" s="0" t="s">
        <v>31</v>
      </c>
      <c r="C119" s="0" t="s">
        <v>279</v>
      </c>
      <c r="D119" s="0" t="s">
        <v>33</v>
      </c>
      <c r="E119" s="2" t="n">
        <v>46074</v>
      </c>
      <c r="F119" s="3" t="s">
        <v>20</v>
      </c>
      <c r="G119" s="3" t="s">
        <v>39</v>
      </c>
      <c r="H119" s="3" t="s">
        <v>44</v>
      </c>
      <c r="I119" s="3" t="n">
        <f aca="false">YEAR(E119)</f>
        <v>2026</v>
      </c>
      <c r="J119" s="3" t="n">
        <f aca="false">MONTH(E119)</f>
        <v>2</v>
      </c>
      <c r="K119" s="3" t="n">
        <f aca="false">COUNTIFS($B$2:$B$4077,B119,$C$2:$C$4077,C119,$I$2:$I$4077,I119)</f>
        <v>1</v>
      </c>
      <c r="L119" s="3" t="n">
        <f aca="false">IF(COUNTIFS($B$2:B119,B119,$C$2:C119,C119,$I$2:I119,I119)=1,1,0)</f>
        <v>1</v>
      </c>
      <c r="M119" s="3" t="n">
        <f aca="false">IF(K119&gt;=Parametri!$B$1,1,0)</f>
        <v>0</v>
      </c>
      <c r="N119" s="3" t="n">
        <f aca="false">L119*M119</f>
        <v>0</v>
      </c>
    </row>
    <row r="120" customFormat="false" ht="15" hidden="false" customHeight="false" outlineLevel="0" collapsed="false">
      <c r="A120" s="0" t="s">
        <v>280</v>
      </c>
      <c r="B120" s="0" t="s">
        <v>79</v>
      </c>
      <c r="C120" s="0" t="s">
        <v>114</v>
      </c>
      <c r="D120" s="0" t="s">
        <v>38</v>
      </c>
      <c r="E120" s="2" t="n">
        <v>46142</v>
      </c>
      <c r="F120" s="3" t="s">
        <v>27</v>
      </c>
      <c r="G120" s="3" t="s">
        <v>89</v>
      </c>
      <c r="H120" s="3" t="s">
        <v>48</v>
      </c>
      <c r="I120" s="3" t="n">
        <f aca="false">YEAR(E120)</f>
        <v>2026</v>
      </c>
      <c r="J120" s="3" t="n">
        <f aca="false">MONTH(E120)</f>
        <v>4</v>
      </c>
      <c r="K120" s="3" t="n">
        <f aca="false">COUNTIFS($B$2:$B$4077,B120,$C$2:$C$4077,C120,$I$2:$I$4077,I120)</f>
        <v>2</v>
      </c>
      <c r="L120" s="3" t="n">
        <f aca="false">IF(COUNTIFS($B$2:B120,B120,$C$2:C120,C120,$I$2:I120,I120)=1,1,0)</f>
        <v>1</v>
      </c>
      <c r="M120" s="3" t="n">
        <f aca="false">IF(K120&gt;=Parametri!$B$1,1,0)</f>
        <v>1</v>
      </c>
      <c r="N120" s="3" t="n">
        <f aca="false">L120*M120</f>
        <v>1</v>
      </c>
    </row>
    <row r="121" customFormat="false" ht="15" hidden="false" customHeight="false" outlineLevel="0" collapsed="false">
      <c r="A121" s="0" t="s">
        <v>281</v>
      </c>
      <c r="B121" s="0" t="s">
        <v>41</v>
      </c>
      <c r="C121" s="0" t="s">
        <v>282</v>
      </c>
      <c r="D121" s="0" t="s">
        <v>33</v>
      </c>
      <c r="E121" s="2" t="n">
        <v>45317</v>
      </c>
      <c r="F121" s="3" t="s">
        <v>34</v>
      </c>
      <c r="G121" s="3" t="s">
        <v>43</v>
      </c>
      <c r="H121" s="3" t="s">
        <v>29</v>
      </c>
      <c r="I121" s="3" t="n">
        <f aca="false">YEAR(E121)</f>
        <v>2024</v>
      </c>
      <c r="J121" s="3" t="n">
        <f aca="false">MONTH(E121)</f>
        <v>1</v>
      </c>
      <c r="K121" s="3" t="n">
        <f aca="false">COUNTIFS($B$2:$B$4077,B121,$C$2:$C$4077,C121,$I$2:$I$4077,I121)</f>
        <v>1</v>
      </c>
      <c r="L121" s="3" t="n">
        <f aca="false">IF(COUNTIFS($B$2:B121,B121,$C$2:C121,C121,$I$2:I121,I121)=1,1,0)</f>
        <v>1</v>
      </c>
      <c r="M121" s="3" t="n">
        <f aca="false">IF(K121&gt;=Parametri!$B$1,1,0)</f>
        <v>0</v>
      </c>
      <c r="N121" s="3" t="n">
        <f aca="false">L121*M121</f>
        <v>0</v>
      </c>
    </row>
    <row r="122" customFormat="false" ht="15" hidden="false" customHeight="false" outlineLevel="0" collapsed="false">
      <c r="A122" s="0" t="s">
        <v>283</v>
      </c>
      <c r="B122" s="0" t="s">
        <v>46</v>
      </c>
      <c r="C122" s="0" t="s">
        <v>284</v>
      </c>
      <c r="D122" s="0" t="s">
        <v>38</v>
      </c>
      <c r="E122" s="2" t="n">
        <v>45727</v>
      </c>
      <c r="F122" s="3" t="s">
        <v>20</v>
      </c>
      <c r="G122" s="3" t="s">
        <v>35</v>
      </c>
      <c r="H122" s="3" t="s">
        <v>29</v>
      </c>
      <c r="I122" s="3" t="n">
        <f aca="false">YEAR(E122)</f>
        <v>2025</v>
      </c>
      <c r="J122" s="3" t="n">
        <f aca="false">MONTH(E122)</f>
        <v>3</v>
      </c>
      <c r="K122" s="3" t="n">
        <f aca="false">COUNTIFS($B$2:$B$4077,B122,$C$2:$C$4077,C122,$I$2:$I$4077,I122)</f>
        <v>1</v>
      </c>
      <c r="L122" s="3" t="n">
        <f aca="false">IF(COUNTIFS($B$2:B122,B122,$C$2:C122,C122,$I$2:I122,I122)=1,1,0)</f>
        <v>1</v>
      </c>
      <c r="M122" s="3" t="n">
        <f aca="false">IF(K122&gt;=Parametri!$B$1,1,0)</f>
        <v>0</v>
      </c>
      <c r="N122" s="3" t="n">
        <f aca="false">L122*M122</f>
        <v>0</v>
      </c>
    </row>
    <row r="123" customFormat="false" ht="15" hidden="false" customHeight="false" outlineLevel="0" collapsed="false">
      <c r="A123" s="0" t="s">
        <v>285</v>
      </c>
      <c r="B123" s="0" t="s">
        <v>41</v>
      </c>
      <c r="C123" s="0" t="s">
        <v>286</v>
      </c>
      <c r="D123" s="0" t="s">
        <v>26</v>
      </c>
      <c r="E123" s="2" t="n">
        <v>45427</v>
      </c>
      <c r="F123" s="3" t="s">
        <v>20</v>
      </c>
      <c r="G123" s="3" t="s">
        <v>43</v>
      </c>
      <c r="H123" s="3" t="s">
        <v>44</v>
      </c>
      <c r="I123" s="3" t="n">
        <f aca="false">YEAR(E123)</f>
        <v>2024</v>
      </c>
      <c r="J123" s="3" t="n">
        <f aca="false">MONTH(E123)</f>
        <v>5</v>
      </c>
      <c r="K123" s="3" t="n">
        <f aca="false">COUNTIFS($B$2:$B$4077,B123,$C$2:$C$4077,C123,$I$2:$I$4077,I123)</f>
        <v>1</v>
      </c>
      <c r="L123" s="3" t="n">
        <f aca="false">IF(COUNTIFS($B$2:B123,B123,$C$2:C123,C123,$I$2:I123,I123)=1,1,0)</f>
        <v>1</v>
      </c>
      <c r="M123" s="3" t="n">
        <f aca="false">IF(K123&gt;=Parametri!$B$1,1,0)</f>
        <v>0</v>
      </c>
      <c r="N123" s="3" t="n">
        <f aca="false">L123*M123</f>
        <v>0</v>
      </c>
    </row>
    <row r="124" customFormat="false" ht="15" hidden="false" customHeight="false" outlineLevel="0" collapsed="false">
      <c r="A124" s="0" t="s">
        <v>287</v>
      </c>
      <c r="B124" s="0" t="s">
        <v>57</v>
      </c>
      <c r="C124" s="0" t="s">
        <v>288</v>
      </c>
      <c r="D124" s="0" t="s">
        <v>33</v>
      </c>
      <c r="E124" s="2" t="n">
        <v>45507</v>
      </c>
      <c r="F124" s="3" t="s">
        <v>27</v>
      </c>
      <c r="G124" s="3" t="s">
        <v>28</v>
      </c>
      <c r="H124" s="3" t="s">
        <v>48</v>
      </c>
      <c r="I124" s="3" t="n">
        <f aca="false">YEAR(E124)</f>
        <v>2024</v>
      </c>
      <c r="J124" s="3" t="n">
        <f aca="false">MONTH(E124)</f>
        <v>8</v>
      </c>
      <c r="K124" s="3" t="n">
        <f aca="false">COUNTIFS($B$2:$B$4077,B124,$C$2:$C$4077,C124,$I$2:$I$4077,I124)</f>
        <v>7</v>
      </c>
      <c r="L124" s="3" t="n">
        <f aca="false">IF(COUNTIFS($B$2:B124,B124,$C$2:C124,C124,$I$2:I124,I124)=1,1,0)</f>
        <v>1</v>
      </c>
      <c r="M124" s="3" t="n">
        <f aca="false">IF(K124&gt;=Parametri!$B$1,1,0)</f>
        <v>1</v>
      </c>
      <c r="N124" s="3" t="n">
        <f aca="false">L124*M124</f>
        <v>1</v>
      </c>
    </row>
    <row r="125" customFormat="false" ht="15" hidden="false" customHeight="false" outlineLevel="0" collapsed="false">
      <c r="A125" s="0" t="s">
        <v>289</v>
      </c>
      <c r="B125" s="0" t="s">
        <v>124</v>
      </c>
      <c r="C125" s="0" t="s">
        <v>290</v>
      </c>
      <c r="D125" s="0" t="s">
        <v>54</v>
      </c>
      <c r="E125" s="2" t="n">
        <v>45469</v>
      </c>
      <c r="F125" s="3" t="s">
        <v>34</v>
      </c>
      <c r="G125" s="3" t="s">
        <v>72</v>
      </c>
      <c r="H125" s="3" t="s">
        <v>44</v>
      </c>
      <c r="I125" s="3" t="n">
        <f aca="false">YEAR(E125)</f>
        <v>2024</v>
      </c>
      <c r="J125" s="3" t="n">
        <f aca="false">MONTH(E125)</f>
        <v>6</v>
      </c>
      <c r="K125" s="3" t="n">
        <f aca="false">COUNTIFS($B$2:$B$4077,B125,$C$2:$C$4077,C125,$I$2:$I$4077,I125)</f>
        <v>1</v>
      </c>
      <c r="L125" s="3" t="n">
        <f aca="false">IF(COUNTIFS($B$2:B125,B125,$C$2:C125,C125,$I$2:I125,I125)=1,1,0)</f>
        <v>1</v>
      </c>
      <c r="M125" s="3" t="n">
        <f aca="false">IF(K125&gt;=Parametri!$B$1,1,0)</f>
        <v>0</v>
      </c>
      <c r="N125" s="3" t="n">
        <f aca="false">L125*M125</f>
        <v>0</v>
      </c>
    </row>
    <row r="126" customFormat="false" ht="15" hidden="false" customHeight="false" outlineLevel="0" collapsed="false">
      <c r="A126" s="0" t="s">
        <v>291</v>
      </c>
      <c r="B126" s="0" t="s">
        <v>124</v>
      </c>
      <c r="C126" s="0" t="s">
        <v>292</v>
      </c>
      <c r="D126" s="0" t="s">
        <v>33</v>
      </c>
      <c r="E126" s="2" t="n">
        <v>45894</v>
      </c>
      <c r="F126" s="3" t="s">
        <v>27</v>
      </c>
      <c r="G126" s="3" t="s">
        <v>35</v>
      </c>
      <c r="H126" s="3" t="s">
        <v>22</v>
      </c>
      <c r="I126" s="3" t="n">
        <f aca="false">YEAR(E126)</f>
        <v>2025</v>
      </c>
      <c r="J126" s="3" t="n">
        <f aca="false">MONTH(E126)</f>
        <v>8</v>
      </c>
      <c r="K126" s="3" t="n">
        <f aca="false">COUNTIFS($B$2:$B$4077,B126,$C$2:$C$4077,C126,$I$2:$I$4077,I126)</f>
        <v>3</v>
      </c>
      <c r="L126" s="3" t="n">
        <f aca="false">IF(COUNTIFS($B$2:B126,B126,$C$2:C126,C126,$I$2:I126,I126)=1,1,0)</f>
        <v>1</v>
      </c>
      <c r="M126" s="3" t="n">
        <f aca="false">IF(K126&gt;=Parametri!$B$1,1,0)</f>
        <v>1</v>
      </c>
      <c r="N126" s="3" t="n">
        <f aca="false">L126*M126</f>
        <v>1</v>
      </c>
    </row>
    <row r="127" customFormat="false" ht="15" hidden="false" customHeight="false" outlineLevel="0" collapsed="false">
      <c r="A127" s="0" t="s">
        <v>293</v>
      </c>
      <c r="B127" s="0" t="s">
        <v>124</v>
      </c>
      <c r="C127" s="0" t="s">
        <v>125</v>
      </c>
      <c r="D127" s="0" t="s">
        <v>54</v>
      </c>
      <c r="E127" s="2" t="n">
        <v>45764</v>
      </c>
      <c r="F127" s="3" t="s">
        <v>27</v>
      </c>
      <c r="G127" s="3" t="s">
        <v>39</v>
      </c>
      <c r="H127" s="3" t="s">
        <v>22</v>
      </c>
      <c r="I127" s="3" t="n">
        <f aca="false">YEAR(E127)</f>
        <v>2025</v>
      </c>
      <c r="J127" s="3" t="n">
        <f aca="false">MONTH(E127)</f>
        <v>4</v>
      </c>
      <c r="K127" s="3" t="n">
        <f aca="false">COUNTIFS($B$2:$B$4077,B127,$C$2:$C$4077,C127,$I$2:$I$4077,I127)</f>
        <v>2</v>
      </c>
      <c r="L127" s="3" t="n">
        <f aca="false">IF(COUNTIFS($B$2:B127,B127,$C$2:C127,C127,$I$2:I127,I127)=1,1,0)</f>
        <v>0</v>
      </c>
      <c r="M127" s="3" t="n">
        <f aca="false">IF(K127&gt;=Parametri!$B$1,1,0)</f>
        <v>1</v>
      </c>
      <c r="N127" s="3" t="n">
        <f aca="false">L127*M127</f>
        <v>0</v>
      </c>
    </row>
    <row r="128" customFormat="false" ht="15" hidden="false" customHeight="false" outlineLevel="0" collapsed="false">
      <c r="A128" s="0" t="s">
        <v>294</v>
      </c>
      <c r="B128" s="0" t="s">
        <v>24</v>
      </c>
      <c r="C128" s="0" t="s">
        <v>295</v>
      </c>
      <c r="D128" s="0" t="s">
        <v>66</v>
      </c>
      <c r="E128" s="2" t="n">
        <v>45664</v>
      </c>
      <c r="F128" s="3" t="s">
        <v>34</v>
      </c>
      <c r="G128" s="3" t="s">
        <v>35</v>
      </c>
      <c r="H128" s="3" t="s">
        <v>44</v>
      </c>
      <c r="I128" s="3" t="n">
        <f aca="false">YEAR(E128)</f>
        <v>2025</v>
      </c>
      <c r="J128" s="3" t="n">
        <f aca="false">MONTH(E128)</f>
        <v>1</v>
      </c>
      <c r="K128" s="3" t="n">
        <f aca="false">COUNTIFS($B$2:$B$4077,B128,$C$2:$C$4077,C128,$I$2:$I$4077,I128)</f>
        <v>1</v>
      </c>
      <c r="L128" s="3" t="n">
        <f aca="false">IF(COUNTIFS($B$2:B128,B128,$C$2:C128,C128,$I$2:I128,I128)=1,1,0)</f>
        <v>1</v>
      </c>
      <c r="M128" s="3" t="n">
        <f aca="false">IF(K128&gt;=Parametri!$B$1,1,0)</f>
        <v>0</v>
      </c>
      <c r="N128" s="3" t="n">
        <f aca="false">L128*M128</f>
        <v>0</v>
      </c>
    </row>
    <row r="129" customFormat="false" ht="15" hidden="false" customHeight="false" outlineLevel="0" collapsed="false">
      <c r="A129" s="0" t="s">
        <v>296</v>
      </c>
      <c r="B129" s="0" t="s">
        <v>57</v>
      </c>
      <c r="C129" s="0" t="s">
        <v>297</v>
      </c>
      <c r="D129" s="0" t="s">
        <v>66</v>
      </c>
      <c r="E129" s="2" t="n">
        <v>46206</v>
      </c>
      <c r="F129" s="3" t="s">
        <v>20</v>
      </c>
      <c r="G129" s="3" t="s">
        <v>55</v>
      </c>
      <c r="H129" s="3" t="s">
        <v>22</v>
      </c>
      <c r="I129" s="3" t="n">
        <f aca="false">YEAR(E129)</f>
        <v>2026</v>
      </c>
      <c r="J129" s="3" t="n">
        <f aca="false">MONTH(E129)</f>
        <v>7</v>
      </c>
      <c r="K129" s="3" t="n">
        <f aca="false">COUNTIFS($B$2:$B$4077,B129,$C$2:$C$4077,C129,$I$2:$I$4077,I129)</f>
        <v>1</v>
      </c>
      <c r="L129" s="3" t="n">
        <f aca="false">IF(COUNTIFS($B$2:B129,B129,$C$2:C129,C129,$I$2:I129,I129)=1,1,0)</f>
        <v>1</v>
      </c>
      <c r="M129" s="3" t="n">
        <f aca="false">IF(K129&gt;=Parametri!$B$1,1,0)</f>
        <v>0</v>
      </c>
      <c r="N129" s="3" t="n">
        <f aca="false">L129*M129</f>
        <v>0</v>
      </c>
    </row>
    <row r="130" customFormat="false" ht="15" hidden="false" customHeight="false" outlineLevel="0" collapsed="false">
      <c r="A130" s="0" t="s">
        <v>298</v>
      </c>
      <c r="B130" s="0" t="s">
        <v>79</v>
      </c>
      <c r="C130" s="0" t="s">
        <v>299</v>
      </c>
      <c r="D130" s="0" t="s">
        <v>66</v>
      </c>
      <c r="E130" s="2" t="n">
        <v>45810</v>
      </c>
      <c r="F130" s="3" t="s">
        <v>27</v>
      </c>
      <c r="G130" s="3" t="s">
        <v>43</v>
      </c>
      <c r="H130" s="3" t="s">
        <v>22</v>
      </c>
      <c r="I130" s="3" t="n">
        <f aca="false">YEAR(E130)</f>
        <v>2025</v>
      </c>
      <c r="J130" s="3" t="n">
        <f aca="false">MONTH(E130)</f>
        <v>6</v>
      </c>
      <c r="K130" s="3" t="n">
        <f aca="false">COUNTIFS($B$2:$B$4077,B130,$C$2:$C$4077,C130,$I$2:$I$4077,I130)</f>
        <v>3</v>
      </c>
      <c r="L130" s="3" t="n">
        <f aca="false">IF(COUNTIFS($B$2:B130,B130,$C$2:C130,C130,$I$2:I130,I130)=1,1,0)</f>
        <v>1</v>
      </c>
      <c r="M130" s="3" t="n">
        <f aca="false">IF(K130&gt;=Parametri!$B$1,1,0)</f>
        <v>1</v>
      </c>
      <c r="N130" s="3" t="n">
        <f aca="false">L130*M130</f>
        <v>1</v>
      </c>
    </row>
    <row r="131" customFormat="false" ht="15" hidden="false" customHeight="false" outlineLevel="0" collapsed="false">
      <c r="A131" s="0" t="s">
        <v>300</v>
      </c>
      <c r="B131" s="0" t="s">
        <v>124</v>
      </c>
      <c r="C131" s="0" t="s">
        <v>301</v>
      </c>
      <c r="D131" s="0" t="s">
        <v>26</v>
      </c>
      <c r="E131" s="2" t="n">
        <v>45990</v>
      </c>
      <c r="F131" s="3" t="s">
        <v>20</v>
      </c>
      <c r="G131" s="3" t="s">
        <v>43</v>
      </c>
      <c r="H131" s="3" t="s">
        <v>48</v>
      </c>
      <c r="I131" s="3" t="n">
        <f aca="false">YEAR(E131)</f>
        <v>2025</v>
      </c>
      <c r="J131" s="3" t="n">
        <f aca="false">MONTH(E131)</f>
        <v>11</v>
      </c>
      <c r="K131" s="3" t="n">
        <f aca="false">COUNTIFS($B$2:$B$4077,B131,$C$2:$C$4077,C131,$I$2:$I$4077,I131)</f>
        <v>1</v>
      </c>
      <c r="L131" s="3" t="n">
        <f aca="false">IF(COUNTIFS($B$2:B131,B131,$C$2:C131,C131,$I$2:I131,I131)=1,1,0)</f>
        <v>1</v>
      </c>
      <c r="M131" s="3" t="n">
        <f aca="false">IF(K131&gt;=Parametri!$B$1,1,0)</f>
        <v>0</v>
      </c>
      <c r="N131" s="3" t="n">
        <f aca="false">L131*M131</f>
        <v>0</v>
      </c>
    </row>
    <row r="132" customFormat="false" ht="15" hidden="false" customHeight="false" outlineLevel="0" collapsed="false">
      <c r="A132" s="0" t="s">
        <v>302</v>
      </c>
      <c r="B132" s="0" t="s">
        <v>124</v>
      </c>
      <c r="C132" s="0" t="s">
        <v>303</v>
      </c>
      <c r="D132" s="0" t="s">
        <v>26</v>
      </c>
      <c r="E132" s="2" t="n">
        <v>46211</v>
      </c>
      <c r="F132" s="3" t="s">
        <v>20</v>
      </c>
      <c r="G132" s="3" t="s">
        <v>21</v>
      </c>
      <c r="H132" s="3" t="s">
        <v>48</v>
      </c>
      <c r="I132" s="3" t="n">
        <f aca="false">YEAR(E132)</f>
        <v>2026</v>
      </c>
      <c r="J132" s="3" t="n">
        <f aca="false">MONTH(E132)</f>
        <v>7</v>
      </c>
      <c r="K132" s="3" t="n">
        <f aca="false">COUNTIFS($B$2:$B$4077,B132,$C$2:$C$4077,C132,$I$2:$I$4077,I132)</f>
        <v>1</v>
      </c>
      <c r="L132" s="3" t="n">
        <f aca="false">IF(COUNTIFS($B$2:B132,B132,$C$2:C132,C132,$I$2:I132,I132)=1,1,0)</f>
        <v>1</v>
      </c>
      <c r="M132" s="3" t="n">
        <f aca="false">IF(K132&gt;=Parametri!$B$1,1,0)</f>
        <v>0</v>
      </c>
      <c r="N132" s="3" t="n">
        <f aca="false">L132*M132</f>
        <v>0</v>
      </c>
    </row>
    <row r="133" customFormat="false" ht="15" hidden="false" customHeight="false" outlineLevel="0" collapsed="false">
      <c r="A133" s="0" t="s">
        <v>304</v>
      </c>
      <c r="B133" s="0" t="s">
        <v>46</v>
      </c>
      <c r="C133" s="0" t="s">
        <v>305</v>
      </c>
      <c r="D133" s="0" t="s">
        <v>77</v>
      </c>
      <c r="E133" s="2" t="n">
        <v>46014</v>
      </c>
      <c r="F133" s="3" t="s">
        <v>27</v>
      </c>
      <c r="G133" s="3" t="s">
        <v>89</v>
      </c>
      <c r="H133" s="3" t="s">
        <v>48</v>
      </c>
      <c r="I133" s="3" t="n">
        <f aca="false">YEAR(E133)</f>
        <v>2025</v>
      </c>
      <c r="J133" s="3" t="n">
        <f aca="false">MONTH(E133)</f>
        <v>12</v>
      </c>
      <c r="K133" s="3" t="n">
        <f aca="false">COUNTIFS($B$2:$B$4077,B133,$C$2:$C$4077,C133,$I$2:$I$4077,I133)</f>
        <v>1</v>
      </c>
      <c r="L133" s="3" t="n">
        <f aca="false">IF(COUNTIFS($B$2:B133,B133,$C$2:C133,C133,$I$2:I133,I133)=1,1,0)</f>
        <v>1</v>
      </c>
      <c r="M133" s="3" t="n">
        <f aca="false">IF(K133&gt;=Parametri!$B$1,1,0)</f>
        <v>0</v>
      </c>
      <c r="N133" s="3" t="n">
        <f aca="false">L133*M133</f>
        <v>0</v>
      </c>
    </row>
    <row r="134" customFormat="false" ht="15" hidden="false" customHeight="false" outlineLevel="0" collapsed="false">
      <c r="A134" s="0" t="s">
        <v>306</v>
      </c>
      <c r="B134" s="0" t="s">
        <v>46</v>
      </c>
      <c r="C134" s="0" t="s">
        <v>307</v>
      </c>
      <c r="D134" s="0" t="s">
        <v>26</v>
      </c>
      <c r="E134" s="2" t="n">
        <v>46167</v>
      </c>
      <c r="F134" s="3" t="s">
        <v>20</v>
      </c>
      <c r="G134" s="3" t="s">
        <v>43</v>
      </c>
      <c r="H134" s="3" t="s">
        <v>29</v>
      </c>
      <c r="I134" s="3" t="n">
        <f aca="false">YEAR(E134)</f>
        <v>2026</v>
      </c>
      <c r="J134" s="3" t="n">
        <f aca="false">MONTH(E134)</f>
        <v>5</v>
      </c>
      <c r="K134" s="3" t="n">
        <f aca="false">COUNTIFS($B$2:$B$4077,B134,$C$2:$C$4077,C134,$I$2:$I$4077,I134)</f>
        <v>1</v>
      </c>
      <c r="L134" s="3" t="n">
        <f aca="false">IF(COUNTIFS($B$2:B134,B134,$C$2:C134,C134,$I$2:I134,I134)=1,1,0)</f>
        <v>1</v>
      </c>
      <c r="M134" s="3" t="n">
        <f aca="false">IF(K134&gt;=Parametri!$B$1,1,0)</f>
        <v>0</v>
      </c>
      <c r="N134" s="3" t="n">
        <f aca="false">L134*M134</f>
        <v>0</v>
      </c>
    </row>
    <row r="135" customFormat="false" ht="15" hidden="false" customHeight="false" outlineLevel="0" collapsed="false">
      <c r="A135" s="0" t="s">
        <v>308</v>
      </c>
      <c r="B135" s="0" t="s">
        <v>17</v>
      </c>
      <c r="C135" s="0" t="s">
        <v>208</v>
      </c>
      <c r="D135" s="0" t="s">
        <v>38</v>
      </c>
      <c r="E135" s="2" t="n">
        <v>45575</v>
      </c>
      <c r="F135" s="3" t="s">
        <v>27</v>
      </c>
      <c r="G135" s="3" t="s">
        <v>72</v>
      </c>
      <c r="H135" s="3" t="s">
        <v>48</v>
      </c>
      <c r="I135" s="3" t="n">
        <f aca="false">YEAR(E135)</f>
        <v>2024</v>
      </c>
      <c r="J135" s="3" t="n">
        <f aca="false">MONTH(E135)</f>
        <v>10</v>
      </c>
      <c r="K135" s="3" t="n">
        <f aca="false">COUNTIFS($B$2:$B$4077,B135,$C$2:$C$4077,C135,$I$2:$I$4077,I135)</f>
        <v>4</v>
      </c>
      <c r="L135" s="3" t="n">
        <f aca="false">IF(COUNTIFS($B$2:B135,B135,$C$2:C135,C135,$I$2:I135,I135)=1,1,0)</f>
        <v>0</v>
      </c>
      <c r="M135" s="3" t="n">
        <f aca="false">IF(K135&gt;=Parametri!$B$1,1,0)</f>
        <v>1</v>
      </c>
      <c r="N135" s="3" t="n">
        <f aca="false">L135*M135</f>
        <v>0</v>
      </c>
    </row>
    <row r="136" customFormat="false" ht="15" hidden="false" customHeight="false" outlineLevel="0" collapsed="false">
      <c r="A136" s="0" t="s">
        <v>309</v>
      </c>
      <c r="B136" s="0" t="s">
        <v>50</v>
      </c>
      <c r="C136" s="0" t="s">
        <v>310</v>
      </c>
      <c r="D136" s="0" t="s">
        <v>54</v>
      </c>
      <c r="E136" s="2" t="n">
        <v>45973</v>
      </c>
      <c r="F136" s="3" t="s">
        <v>20</v>
      </c>
      <c r="G136" s="3" t="s">
        <v>43</v>
      </c>
      <c r="H136" s="3" t="s">
        <v>29</v>
      </c>
      <c r="I136" s="3" t="n">
        <f aca="false">YEAR(E136)</f>
        <v>2025</v>
      </c>
      <c r="J136" s="3" t="n">
        <f aca="false">MONTH(E136)</f>
        <v>11</v>
      </c>
      <c r="K136" s="3" t="n">
        <f aca="false">COUNTIFS($B$2:$B$4077,B136,$C$2:$C$4077,C136,$I$2:$I$4077,I136)</f>
        <v>1</v>
      </c>
      <c r="L136" s="3" t="n">
        <f aca="false">IF(COUNTIFS($B$2:B136,B136,$C$2:C136,C136,$I$2:I136,I136)=1,1,0)</f>
        <v>1</v>
      </c>
      <c r="M136" s="3" t="n">
        <f aca="false">IF(K136&gt;=Parametri!$B$1,1,0)</f>
        <v>0</v>
      </c>
      <c r="N136" s="3" t="n">
        <f aca="false">L136*M136</f>
        <v>0</v>
      </c>
    </row>
    <row r="137" customFormat="false" ht="15" hidden="false" customHeight="false" outlineLevel="0" collapsed="false">
      <c r="A137" s="0" t="s">
        <v>311</v>
      </c>
      <c r="B137" s="0" t="s">
        <v>50</v>
      </c>
      <c r="C137" s="0" t="s">
        <v>312</v>
      </c>
      <c r="D137" s="0" t="s">
        <v>38</v>
      </c>
      <c r="E137" s="2" t="n">
        <v>45862</v>
      </c>
      <c r="F137" s="3" t="s">
        <v>20</v>
      </c>
      <c r="G137" s="3" t="s">
        <v>35</v>
      </c>
      <c r="H137" s="3" t="s">
        <v>44</v>
      </c>
      <c r="I137" s="3" t="n">
        <f aca="false">YEAR(E137)</f>
        <v>2025</v>
      </c>
      <c r="J137" s="3" t="n">
        <f aca="false">MONTH(E137)</f>
        <v>7</v>
      </c>
      <c r="K137" s="3" t="n">
        <f aca="false">COUNTIFS($B$2:$B$4077,B137,$C$2:$C$4077,C137,$I$2:$I$4077,I137)</f>
        <v>2</v>
      </c>
      <c r="L137" s="3" t="n">
        <f aca="false">IF(COUNTIFS($B$2:B137,B137,$C$2:C137,C137,$I$2:I137,I137)=1,1,0)</f>
        <v>1</v>
      </c>
      <c r="M137" s="3" t="n">
        <f aca="false">IF(K137&gt;=Parametri!$B$1,1,0)</f>
        <v>1</v>
      </c>
      <c r="N137" s="3" t="n">
        <f aca="false">L137*M137</f>
        <v>1</v>
      </c>
    </row>
    <row r="138" customFormat="false" ht="15" hidden="false" customHeight="false" outlineLevel="0" collapsed="false">
      <c r="A138" s="0" t="s">
        <v>313</v>
      </c>
      <c r="B138" s="0" t="s">
        <v>79</v>
      </c>
      <c r="C138" s="0" t="s">
        <v>314</v>
      </c>
      <c r="D138" s="0" t="s">
        <v>54</v>
      </c>
      <c r="E138" s="2" t="n">
        <v>45579</v>
      </c>
      <c r="F138" s="3" t="s">
        <v>27</v>
      </c>
      <c r="G138" s="3" t="s">
        <v>21</v>
      </c>
      <c r="H138" s="3" t="s">
        <v>29</v>
      </c>
      <c r="I138" s="3" t="n">
        <f aca="false">YEAR(E138)</f>
        <v>2024</v>
      </c>
      <c r="J138" s="3" t="n">
        <f aca="false">MONTH(E138)</f>
        <v>10</v>
      </c>
      <c r="K138" s="3" t="n">
        <f aca="false">COUNTIFS($B$2:$B$4077,B138,$C$2:$C$4077,C138,$I$2:$I$4077,I138)</f>
        <v>1</v>
      </c>
      <c r="L138" s="3" t="n">
        <f aca="false">IF(COUNTIFS($B$2:B138,B138,$C$2:C138,C138,$I$2:I138,I138)=1,1,0)</f>
        <v>1</v>
      </c>
      <c r="M138" s="3" t="n">
        <f aca="false">IF(K138&gt;=Parametri!$B$1,1,0)</f>
        <v>0</v>
      </c>
      <c r="N138" s="3" t="n">
        <f aca="false">L138*M138</f>
        <v>0</v>
      </c>
    </row>
    <row r="139" customFormat="false" ht="15" hidden="false" customHeight="false" outlineLevel="0" collapsed="false">
      <c r="A139" s="0" t="s">
        <v>315</v>
      </c>
      <c r="B139" s="0" t="s">
        <v>57</v>
      </c>
      <c r="C139" s="0" t="s">
        <v>74</v>
      </c>
      <c r="D139" s="0" t="s">
        <v>54</v>
      </c>
      <c r="E139" s="2" t="n">
        <v>45960</v>
      </c>
      <c r="F139" s="3" t="s">
        <v>20</v>
      </c>
      <c r="G139" s="3" t="s">
        <v>35</v>
      </c>
      <c r="H139" s="3" t="s">
        <v>44</v>
      </c>
      <c r="I139" s="3" t="n">
        <f aca="false">YEAR(E139)</f>
        <v>2025</v>
      </c>
      <c r="J139" s="3" t="n">
        <f aca="false">MONTH(E139)</f>
        <v>10</v>
      </c>
      <c r="K139" s="3" t="n">
        <f aca="false">COUNTIFS($B$2:$B$4077,B139,$C$2:$C$4077,C139,$I$2:$I$4077,I139)</f>
        <v>3</v>
      </c>
      <c r="L139" s="3" t="n">
        <f aca="false">IF(COUNTIFS($B$2:B139,B139,$C$2:C139,C139,$I$2:I139,I139)=1,1,0)</f>
        <v>0</v>
      </c>
      <c r="M139" s="3" t="n">
        <f aca="false">IF(K139&gt;=Parametri!$B$1,1,0)</f>
        <v>1</v>
      </c>
      <c r="N139" s="3" t="n">
        <f aca="false">L139*M139</f>
        <v>0</v>
      </c>
    </row>
    <row r="140" customFormat="false" ht="15" hidden="false" customHeight="false" outlineLevel="0" collapsed="false">
      <c r="A140" s="0" t="s">
        <v>316</v>
      </c>
      <c r="B140" s="0" t="s">
        <v>24</v>
      </c>
      <c r="C140" s="0" t="s">
        <v>317</v>
      </c>
      <c r="D140" s="0" t="s">
        <v>38</v>
      </c>
      <c r="E140" s="2" t="n">
        <v>46207</v>
      </c>
      <c r="F140" s="3" t="s">
        <v>20</v>
      </c>
      <c r="G140" s="3" t="s">
        <v>21</v>
      </c>
      <c r="H140" s="3" t="s">
        <v>22</v>
      </c>
      <c r="I140" s="3" t="n">
        <f aca="false">YEAR(E140)</f>
        <v>2026</v>
      </c>
      <c r="J140" s="3" t="n">
        <f aca="false">MONTH(E140)</f>
        <v>7</v>
      </c>
      <c r="K140" s="3" t="n">
        <f aca="false">COUNTIFS($B$2:$B$4077,B140,$C$2:$C$4077,C140,$I$2:$I$4077,I140)</f>
        <v>2</v>
      </c>
      <c r="L140" s="3" t="n">
        <f aca="false">IF(COUNTIFS($B$2:B140,B140,$C$2:C140,C140,$I$2:I140,I140)=1,1,0)</f>
        <v>1</v>
      </c>
      <c r="M140" s="3" t="n">
        <f aca="false">IF(K140&gt;=Parametri!$B$1,1,0)</f>
        <v>1</v>
      </c>
      <c r="N140" s="3" t="n">
        <f aca="false">L140*M140</f>
        <v>1</v>
      </c>
    </row>
    <row r="141" customFormat="false" ht="15" hidden="false" customHeight="false" outlineLevel="0" collapsed="false">
      <c r="A141" s="0" t="s">
        <v>318</v>
      </c>
      <c r="B141" s="0" t="s">
        <v>50</v>
      </c>
      <c r="C141" s="0" t="s">
        <v>319</v>
      </c>
      <c r="D141" s="0" t="s">
        <v>63</v>
      </c>
      <c r="E141" s="2" t="n">
        <v>46066</v>
      </c>
      <c r="F141" s="3" t="s">
        <v>104</v>
      </c>
      <c r="G141" s="3" t="s">
        <v>104</v>
      </c>
      <c r="H141" s="3" t="s">
        <v>104</v>
      </c>
      <c r="I141" s="3" t="n">
        <f aca="false">YEAR(E141)</f>
        <v>2026</v>
      </c>
      <c r="J141" s="3" t="n">
        <f aca="false">MONTH(E141)</f>
        <v>2</v>
      </c>
      <c r="K141" s="3" t="n">
        <f aca="false">COUNTIFS($B$2:$B$4077,B141,$C$2:$C$4077,C141,$I$2:$I$4077,I141)</f>
        <v>1</v>
      </c>
      <c r="L141" s="3" t="n">
        <f aca="false">IF(COUNTIFS($B$2:B141,B141,$C$2:C141,C141,$I$2:I141,I141)=1,1,0)</f>
        <v>1</v>
      </c>
      <c r="M141" s="3" t="n">
        <f aca="false">IF(K141&gt;=Parametri!$B$1,1,0)</f>
        <v>0</v>
      </c>
      <c r="N141" s="3" t="n">
        <f aca="false">L141*M141</f>
        <v>0</v>
      </c>
    </row>
    <row r="142" customFormat="false" ht="15" hidden="false" customHeight="false" outlineLevel="0" collapsed="false">
      <c r="A142" s="0" t="s">
        <v>320</v>
      </c>
      <c r="B142" s="0" t="s">
        <v>68</v>
      </c>
      <c r="C142" s="0" t="s">
        <v>321</v>
      </c>
      <c r="D142" s="0" t="s">
        <v>66</v>
      </c>
      <c r="E142" s="2" t="n">
        <v>46126</v>
      </c>
      <c r="F142" s="3" t="s">
        <v>20</v>
      </c>
      <c r="G142" s="3" t="s">
        <v>39</v>
      </c>
      <c r="H142" s="3" t="s">
        <v>48</v>
      </c>
      <c r="I142" s="3" t="n">
        <f aca="false">YEAR(E142)</f>
        <v>2026</v>
      </c>
      <c r="J142" s="3" t="n">
        <f aca="false">MONTH(E142)</f>
        <v>4</v>
      </c>
      <c r="K142" s="3" t="n">
        <f aca="false">COUNTIFS($B$2:$B$4077,B142,$C$2:$C$4077,C142,$I$2:$I$4077,I142)</f>
        <v>1</v>
      </c>
      <c r="L142" s="3" t="n">
        <f aca="false">IF(COUNTIFS($B$2:B142,B142,$C$2:C142,C142,$I$2:I142,I142)=1,1,0)</f>
        <v>1</v>
      </c>
      <c r="M142" s="3" t="n">
        <f aca="false">IF(K142&gt;=Parametri!$B$1,1,0)</f>
        <v>0</v>
      </c>
      <c r="N142" s="3" t="n">
        <f aca="false">L142*M142</f>
        <v>0</v>
      </c>
    </row>
    <row r="143" customFormat="false" ht="15" hidden="false" customHeight="false" outlineLevel="0" collapsed="false">
      <c r="A143" s="0" t="s">
        <v>322</v>
      </c>
      <c r="B143" s="0" t="s">
        <v>79</v>
      </c>
      <c r="C143" s="0" t="s">
        <v>323</v>
      </c>
      <c r="D143" s="0" t="s">
        <v>63</v>
      </c>
      <c r="E143" s="2" t="n">
        <v>45316</v>
      </c>
      <c r="F143" s="3" t="s">
        <v>20</v>
      </c>
      <c r="G143" s="3" t="s">
        <v>35</v>
      </c>
      <c r="H143" s="3" t="s">
        <v>44</v>
      </c>
      <c r="I143" s="3" t="n">
        <f aca="false">YEAR(E143)</f>
        <v>2024</v>
      </c>
      <c r="J143" s="3" t="n">
        <f aca="false">MONTH(E143)</f>
        <v>1</v>
      </c>
      <c r="K143" s="3" t="n">
        <f aca="false">COUNTIFS($B$2:$B$4077,B143,$C$2:$C$4077,C143,$I$2:$I$4077,I143)</f>
        <v>1</v>
      </c>
      <c r="L143" s="3" t="n">
        <f aca="false">IF(COUNTIFS($B$2:B143,B143,$C$2:C143,C143,$I$2:I143,I143)=1,1,0)</f>
        <v>1</v>
      </c>
      <c r="M143" s="3" t="n">
        <f aca="false">IF(K143&gt;=Parametri!$B$1,1,0)</f>
        <v>0</v>
      </c>
      <c r="N143" s="3" t="n">
        <f aca="false">L143*M143</f>
        <v>0</v>
      </c>
    </row>
    <row r="144" customFormat="false" ht="15" hidden="false" customHeight="false" outlineLevel="0" collapsed="false">
      <c r="A144" s="0" t="s">
        <v>324</v>
      </c>
      <c r="B144" s="0" t="s">
        <v>24</v>
      </c>
      <c r="C144" s="0" t="s">
        <v>325</v>
      </c>
      <c r="D144" s="0" t="s">
        <v>33</v>
      </c>
      <c r="E144" s="2" t="n">
        <v>46233</v>
      </c>
      <c r="F144" s="3" t="s">
        <v>27</v>
      </c>
      <c r="G144" s="3" t="s">
        <v>35</v>
      </c>
      <c r="H144" s="3" t="s">
        <v>22</v>
      </c>
      <c r="I144" s="3" t="n">
        <f aca="false">YEAR(E144)</f>
        <v>2026</v>
      </c>
      <c r="J144" s="3" t="n">
        <f aca="false">MONTH(E144)</f>
        <v>7</v>
      </c>
      <c r="K144" s="3" t="n">
        <f aca="false">COUNTIFS($B$2:$B$4077,B144,$C$2:$C$4077,C144,$I$2:$I$4077,I144)</f>
        <v>3</v>
      </c>
      <c r="L144" s="3" t="n">
        <f aca="false">IF(COUNTIFS($B$2:B144,B144,$C$2:C144,C144,$I$2:I144,I144)=1,1,0)</f>
        <v>1</v>
      </c>
      <c r="M144" s="3" t="n">
        <f aca="false">IF(K144&gt;=Parametri!$B$1,1,0)</f>
        <v>1</v>
      </c>
      <c r="N144" s="3" t="n">
        <f aca="false">L144*M144</f>
        <v>1</v>
      </c>
    </row>
    <row r="145" customFormat="false" ht="15" hidden="false" customHeight="false" outlineLevel="0" collapsed="false">
      <c r="A145" s="0" t="s">
        <v>326</v>
      </c>
      <c r="B145" s="0" t="s">
        <v>79</v>
      </c>
      <c r="C145" s="0" t="s">
        <v>327</v>
      </c>
      <c r="D145" s="0" t="s">
        <v>26</v>
      </c>
      <c r="E145" s="2" t="n">
        <v>45812</v>
      </c>
      <c r="F145" s="3" t="s">
        <v>20</v>
      </c>
      <c r="G145" s="3" t="s">
        <v>35</v>
      </c>
      <c r="H145" s="3" t="s">
        <v>22</v>
      </c>
      <c r="I145" s="3" t="n">
        <f aca="false">YEAR(E145)</f>
        <v>2025</v>
      </c>
      <c r="J145" s="3" t="n">
        <f aca="false">MONTH(E145)</f>
        <v>6</v>
      </c>
      <c r="K145" s="3" t="n">
        <f aca="false">COUNTIFS($B$2:$B$4077,B145,$C$2:$C$4077,C145,$I$2:$I$4077,I145)</f>
        <v>4</v>
      </c>
      <c r="L145" s="3" t="n">
        <f aca="false">IF(COUNTIFS($B$2:B145,B145,$C$2:C145,C145,$I$2:I145,I145)=1,1,0)</f>
        <v>1</v>
      </c>
      <c r="M145" s="3" t="n">
        <f aca="false">IF(K145&gt;=Parametri!$B$1,1,0)</f>
        <v>1</v>
      </c>
      <c r="N145" s="3" t="n">
        <f aca="false">L145*M145</f>
        <v>1</v>
      </c>
    </row>
    <row r="146" customFormat="false" ht="15" hidden="false" customHeight="false" outlineLevel="0" collapsed="false">
      <c r="A146" s="0" t="s">
        <v>328</v>
      </c>
      <c r="B146" s="0" t="s">
        <v>57</v>
      </c>
      <c r="C146" s="0" t="s">
        <v>329</v>
      </c>
      <c r="D146" s="0" t="s">
        <v>66</v>
      </c>
      <c r="E146" s="2" t="n">
        <v>45707</v>
      </c>
      <c r="F146" s="3" t="s">
        <v>27</v>
      </c>
      <c r="G146" s="3" t="s">
        <v>55</v>
      </c>
      <c r="H146" s="3" t="s">
        <v>48</v>
      </c>
      <c r="I146" s="3" t="n">
        <f aca="false">YEAR(E146)</f>
        <v>2025</v>
      </c>
      <c r="J146" s="3" t="n">
        <f aca="false">MONTH(E146)</f>
        <v>2</v>
      </c>
      <c r="K146" s="3" t="n">
        <f aca="false">COUNTIFS($B$2:$B$4077,B146,$C$2:$C$4077,C146,$I$2:$I$4077,I146)</f>
        <v>1</v>
      </c>
      <c r="L146" s="3" t="n">
        <f aca="false">IF(COUNTIFS($B$2:B146,B146,$C$2:C146,C146,$I$2:I146,I146)=1,1,0)</f>
        <v>1</v>
      </c>
      <c r="M146" s="3" t="n">
        <f aca="false">IF(K146&gt;=Parametri!$B$1,1,0)</f>
        <v>0</v>
      </c>
      <c r="N146" s="3" t="n">
        <f aca="false">L146*M146</f>
        <v>0</v>
      </c>
    </row>
    <row r="147" customFormat="false" ht="15" hidden="false" customHeight="false" outlineLevel="0" collapsed="false">
      <c r="A147" s="0" t="s">
        <v>330</v>
      </c>
      <c r="B147" s="0" t="s">
        <v>79</v>
      </c>
      <c r="C147" s="0" t="s">
        <v>331</v>
      </c>
      <c r="D147" s="0" t="s">
        <v>33</v>
      </c>
      <c r="E147" s="2" t="n">
        <v>45618</v>
      </c>
      <c r="F147" s="3" t="s">
        <v>20</v>
      </c>
      <c r="G147" s="3" t="s">
        <v>43</v>
      </c>
      <c r="H147" s="3" t="s">
        <v>29</v>
      </c>
      <c r="I147" s="3" t="n">
        <f aca="false">YEAR(E147)</f>
        <v>2024</v>
      </c>
      <c r="J147" s="3" t="n">
        <f aca="false">MONTH(E147)</f>
        <v>11</v>
      </c>
      <c r="K147" s="3" t="n">
        <f aca="false">COUNTIFS($B$2:$B$4077,B147,$C$2:$C$4077,C147,$I$2:$I$4077,I147)</f>
        <v>3</v>
      </c>
      <c r="L147" s="3" t="n">
        <f aca="false">IF(COUNTIFS($B$2:B147,B147,$C$2:C147,C147,$I$2:I147,I147)=1,1,0)</f>
        <v>1</v>
      </c>
      <c r="M147" s="3" t="n">
        <f aca="false">IF(K147&gt;=Parametri!$B$1,1,0)</f>
        <v>1</v>
      </c>
      <c r="N147" s="3" t="n">
        <f aca="false">L147*M147</f>
        <v>1</v>
      </c>
    </row>
    <row r="148" customFormat="false" ht="15" hidden="false" customHeight="false" outlineLevel="0" collapsed="false">
      <c r="A148" s="0" t="s">
        <v>332</v>
      </c>
      <c r="B148" s="0" t="s">
        <v>68</v>
      </c>
      <c r="C148" s="0" t="s">
        <v>333</v>
      </c>
      <c r="D148" s="0" t="s">
        <v>38</v>
      </c>
      <c r="E148" s="2" t="n">
        <v>46247</v>
      </c>
      <c r="F148" s="3" t="s">
        <v>20</v>
      </c>
      <c r="G148" s="3" t="s">
        <v>89</v>
      </c>
      <c r="H148" s="3" t="s">
        <v>22</v>
      </c>
      <c r="I148" s="3" t="n">
        <f aca="false">YEAR(E148)</f>
        <v>2026</v>
      </c>
      <c r="J148" s="3" t="n">
        <f aca="false">MONTH(E148)</f>
        <v>8</v>
      </c>
      <c r="K148" s="3" t="n">
        <f aca="false">COUNTIFS($B$2:$B$4077,B148,$C$2:$C$4077,C148,$I$2:$I$4077,I148)</f>
        <v>1</v>
      </c>
      <c r="L148" s="3" t="n">
        <f aca="false">IF(COUNTIFS($B$2:B148,B148,$C$2:C148,C148,$I$2:I148,I148)=1,1,0)</f>
        <v>1</v>
      </c>
      <c r="M148" s="3" t="n">
        <f aca="false">IF(K148&gt;=Parametri!$B$1,1,0)</f>
        <v>0</v>
      </c>
      <c r="N148" s="3" t="n">
        <f aca="false">L148*M148</f>
        <v>0</v>
      </c>
    </row>
    <row r="149" customFormat="false" ht="15" hidden="false" customHeight="false" outlineLevel="0" collapsed="false">
      <c r="A149" s="0" t="s">
        <v>334</v>
      </c>
      <c r="B149" s="0" t="s">
        <v>41</v>
      </c>
      <c r="C149" s="0" t="s">
        <v>335</v>
      </c>
      <c r="D149" s="0" t="s">
        <v>26</v>
      </c>
      <c r="E149" s="2" t="n">
        <v>45953</v>
      </c>
      <c r="F149" s="3" t="s">
        <v>20</v>
      </c>
      <c r="G149" s="3" t="s">
        <v>28</v>
      </c>
      <c r="H149" s="3" t="s">
        <v>22</v>
      </c>
      <c r="I149" s="3" t="n">
        <f aca="false">YEAR(E149)</f>
        <v>2025</v>
      </c>
      <c r="J149" s="3" t="n">
        <f aca="false">MONTH(E149)</f>
        <v>10</v>
      </c>
      <c r="K149" s="3" t="n">
        <f aca="false">COUNTIFS($B$2:$B$4077,B149,$C$2:$C$4077,C149,$I$2:$I$4077,I149)</f>
        <v>2</v>
      </c>
      <c r="L149" s="3" t="n">
        <f aca="false">IF(COUNTIFS($B$2:B149,B149,$C$2:C149,C149,$I$2:I149,I149)=1,1,0)</f>
        <v>1</v>
      </c>
      <c r="M149" s="3" t="n">
        <f aca="false">IF(K149&gt;=Parametri!$B$1,1,0)</f>
        <v>1</v>
      </c>
      <c r="N149" s="3" t="n">
        <f aca="false">L149*M149</f>
        <v>1</v>
      </c>
    </row>
    <row r="150" customFormat="false" ht="15" hidden="false" customHeight="false" outlineLevel="0" collapsed="false">
      <c r="A150" s="0" t="s">
        <v>336</v>
      </c>
      <c r="B150" s="0" t="s">
        <v>50</v>
      </c>
      <c r="C150" s="0" t="s">
        <v>337</v>
      </c>
      <c r="D150" s="0" t="s">
        <v>63</v>
      </c>
      <c r="E150" s="2" t="n">
        <v>45994</v>
      </c>
      <c r="F150" s="3" t="s">
        <v>27</v>
      </c>
      <c r="G150" s="3" t="s">
        <v>21</v>
      </c>
      <c r="H150" s="3" t="s">
        <v>22</v>
      </c>
      <c r="I150" s="3" t="n">
        <f aca="false">YEAR(E150)</f>
        <v>2025</v>
      </c>
      <c r="J150" s="3" t="n">
        <f aca="false">MONTH(E150)</f>
        <v>12</v>
      </c>
      <c r="K150" s="3" t="n">
        <f aca="false">COUNTIFS($B$2:$B$4077,B150,$C$2:$C$4077,C150,$I$2:$I$4077,I150)</f>
        <v>1</v>
      </c>
      <c r="L150" s="3" t="n">
        <f aca="false">IF(COUNTIFS($B$2:B150,B150,$C$2:C150,C150,$I$2:I150,I150)=1,1,0)</f>
        <v>1</v>
      </c>
      <c r="M150" s="3" t="n">
        <f aca="false">IF(K150&gt;=Parametri!$B$1,1,0)</f>
        <v>0</v>
      </c>
      <c r="N150" s="3" t="n">
        <f aca="false">L150*M150</f>
        <v>0</v>
      </c>
    </row>
    <row r="151" customFormat="false" ht="15" hidden="false" customHeight="false" outlineLevel="0" collapsed="false">
      <c r="A151" s="0" t="s">
        <v>338</v>
      </c>
      <c r="B151" s="0" t="s">
        <v>41</v>
      </c>
      <c r="C151" s="0" t="s">
        <v>339</v>
      </c>
      <c r="D151" s="0" t="s">
        <v>77</v>
      </c>
      <c r="E151" s="2" t="n">
        <v>45636</v>
      </c>
      <c r="F151" s="3" t="s">
        <v>34</v>
      </c>
      <c r="G151" s="3" t="s">
        <v>89</v>
      </c>
      <c r="H151" s="3" t="s">
        <v>44</v>
      </c>
      <c r="I151" s="3" t="n">
        <f aca="false">YEAR(E151)</f>
        <v>2024</v>
      </c>
      <c r="J151" s="3" t="n">
        <f aca="false">MONTH(E151)</f>
        <v>12</v>
      </c>
      <c r="K151" s="3" t="n">
        <f aca="false">COUNTIFS($B$2:$B$4077,B151,$C$2:$C$4077,C151,$I$2:$I$4077,I151)</f>
        <v>2</v>
      </c>
      <c r="L151" s="3" t="n">
        <f aca="false">IF(COUNTIFS($B$2:B151,B151,$C$2:C151,C151,$I$2:I151,I151)=1,1,0)</f>
        <v>1</v>
      </c>
      <c r="M151" s="3" t="n">
        <f aca="false">IF(K151&gt;=Parametri!$B$1,1,0)</f>
        <v>1</v>
      </c>
      <c r="N151" s="3" t="n">
        <f aca="false">L151*M151</f>
        <v>1</v>
      </c>
    </row>
    <row r="152" customFormat="false" ht="15" hidden="false" customHeight="false" outlineLevel="0" collapsed="false">
      <c r="A152" s="0" t="s">
        <v>340</v>
      </c>
      <c r="B152" s="0" t="s">
        <v>31</v>
      </c>
      <c r="C152" s="0" t="s">
        <v>341</v>
      </c>
      <c r="D152" s="0" t="s">
        <v>19</v>
      </c>
      <c r="E152" s="2" t="n">
        <v>46099</v>
      </c>
      <c r="F152" s="3" t="s">
        <v>20</v>
      </c>
      <c r="G152" s="3" t="s">
        <v>72</v>
      </c>
      <c r="H152" s="3" t="s">
        <v>29</v>
      </c>
      <c r="I152" s="3" t="n">
        <f aca="false">YEAR(E152)</f>
        <v>2026</v>
      </c>
      <c r="J152" s="3" t="n">
        <f aca="false">MONTH(E152)</f>
        <v>3</v>
      </c>
      <c r="K152" s="3" t="n">
        <f aca="false">COUNTIFS($B$2:$B$4077,B152,$C$2:$C$4077,C152,$I$2:$I$4077,I152)</f>
        <v>1</v>
      </c>
      <c r="L152" s="3" t="n">
        <f aca="false">IF(COUNTIFS($B$2:B152,B152,$C$2:C152,C152,$I$2:I152,I152)=1,1,0)</f>
        <v>1</v>
      </c>
      <c r="M152" s="3" t="n">
        <f aca="false">IF(K152&gt;=Parametri!$B$1,1,0)</f>
        <v>0</v>
      </c>
      <c r="N152" s="3" t="n">
        <f aca="false">L152*M152</f>
        <v>0</v>
      </c>
    </row>
    <row r="153" customFormat="false" ht="15" hidden="false" customHeight="false" outlineLevel="0" collapsed="false">
      <c r="A153" s="0" t="s">
        <v>342</v>
      </c>
      <c r="B153" s="0" t="s">
        <v>41</v>
      </c>
      <c r="C153" s="0" t="s">
        <v>343</v>
      </c>
      <c r="D153" s="0" t="s">
        <v>26</v>
      </c>
      <c r="E153" s="2" t="n">
        <v>45746</v>
      </c>
      <c r="F153" s="3" t="s">
        <v>34</v>
      </c>
      <c r="G153" s="3" t="s">
        <v>28</v>
      </c>
      <c r="H153" s="3" t="s">
        <v>44</v>
      </c>
      <c r="I153" s="3" t="n">
        <f aca="false">YEAR(E153)</f>
        <v>2025</v>
      </c>
      <c r="J153" s="3" t="n">
        <f aca="false">MONTH(E153)</f>
        <v>3</v>
      </c>
      <c r="K153" s="3" t="n">
        <f aca="false">COUNTIFS($B$2:$B$4077,B153,$C$2:$C$4077,C153,$I$2:$I$4077,I153)</f>
        <v>7</v>
      </c>
      <c r="L153" s="3" t="n">
        <f aca="false">IF(COUNTIFS($B$2:B153,B153,$C$2:C153,C153,$I$2:I153,I153)=1,1,0)</f>
        <v>1</v>
      </c>
      <c r="M153" s="3" t="n">
        <f aca="false">IF(K153&gt;=Parametri!$B$1,1,0)</f>
        <v>1</v>
      </c>
      <c r="N153" s="3" t="n">
        <f aca="false">L153*M153</f>
        <v>1</v>
      </c>
    </row>
    <row r="154" customFormat="false" ht="15" hidden="false" customHeight="false" outlineLevel="0" collapsed="false">
      <c r="A154" s="0" t="s">
        <v>344</v>
      </c>
      <c r="B154" s="0" t="s">
        <v>24</v>
      </c>
      <c r="C154" s="0" t="s">
        <v>345</v>
      </c>
      <c r="D154" s="0" t="s">
        <v>38</v>
      </c>
      <c r="E154" s="2" t="n">
        <v>46052</v>
      </c>
      <c r="F154" s="3" t="s">
        <v>20</v>
      </c>
      <c r="G154" s="3" t="s">
        <v>89</v>
      </c>
      <c r="H154" s="3" t="s">
        <v>29</v>
      </c>
      <c r="I154" s="3" t="n">
        <f aca="false">YEAR(E154)</f>
        <v>2026</v>
      </c>
      <c r="J154" s="3" t="n">
        <f aca="false">MONTH(E154)</f>
        <v>1</v>
      </c>
      <c r="K154" s="3" t="n">
        <f aca="false">COUNTIFS($B$2:$B$4077,B154,$C$2:$C$4077,C154,$I$2:$I$4077,I154)</f>
        <v>1</v>
      </c>
      <c r="L154" s="3" t="n">
        <f aca="false">IF(COUNTIFS($B$2:B154,B154,$C$2:C154,C154,$I$2:I154,I154)=1,1,0)</f>
        <v>1</v>
      </c>
      <c r="M154" s="3" t="n">
        <f aca="false">IF(K154&gt;=Parametri!$B$1,1,0)</f>
        <v>0</v>
      </c>
      <c r="N154" s="3" t="n">
        <f aca="false">L154*M154</f>
        <v>0</v>
      </c>
    </row>
    <row r="155" customFormat="false" ht="15" hidden="false" customHeight="false" outlineLevel="0" collapsed="false">
      <c r="A155" s="0" t="s">
        <v>346</v>
      </c>
      <c r="B155" s="0" t="s">
        <v>124</v>
      </c>
      <c r="C155" s="0" t="s">
        <v>129</v>
      </c>
      <c r="D155" s="0" t="s">
        <v>38</v>
      </c>
      <c r="E155" s="2" t="n">
        <v>46138</v>
      </c>
      <c r="F155" s="3" t="s">
        <v>20</v>
      </c>
      <c r="G155" s="3" t="s">
        <v>72</v>
      </c>
      <c r="H155" s="3" t="s">
        <v>22</v>
      </c>
      <c r="I155" s="3" t="n">
        <f aca="false">YEAR(E155)</f>
        <v>2026</v>
      </c>
      <c r="J155" s="3" t="n">
        <f aca="false">MONTH(E155)</f>
        <v>4</v>
      </c>
      <c r="K155" s="3" t="n">
        <f aca="false">COUNTIFS($B$2:$B$4077,B155,$C$2:$C$4077,C155,$I$2:$I$4077,I155)</f>
        <v>2</v>
      </c>
      <c r="L155" s="3" t="n">
        <f aca="false">IF(COUNTIFS($B$2:B155,B155,$C$2:C155,C155,$I$2:I155,I155)=1,1,0)</f>
        <v>1</v>
      </c>
      <c r="M155" s="3" t="n">
        <f aca="false">IF(K155&gt;=Parametri!$B$1,1,0)</f>
        <v>1</v>
      </c>
      <c r="N155" s="3" t="n">
        <f aca="false">L155*M155</f>
        <v>1</v>
      </c>
    </row>
    <row r="156" customFormat="false" ht="15" hidden="false" customHeight="false" outlineLevel="0" collapsed="false">
      <c r="A156" s="0" t="s">
        <v>347</v>
      </c>
      <c r="B156" s="0" t="s">
        <v>46</v>
      </c>
      <c r="C156" s="0" t="s">
        <v>348</v>
      </c>
      <c r="D156" s="0" t="s">
        <v>19</v>
      </c>
      <c r="E156" s="2" t="n">
        <v>46239</v>
      </c>
      <c r="F156" s="3" t="s">
        <v>20</v>
      </c>
      <c r="G156" s="3" t="s">
        <v>39</v>
      </c>
      <c r="H156" s="3" t="s">
        <v>22</v>
      </c>
      <c r="I156" s="3" t="n">
        <f aca="false">YEAR(E156)</f>
        <v>2026</v>
      </c>
      <c r="J156" s="3" t="n">
        <f aca="false">MONTH(E156)</f>
        <v>8</v>
      </c>
      <c r="K156" s="3" t="n">
        <f aca="false">COUNTIFS($B$2:$B$4077,B156,$C$2:$C$4077,C156,$I$2:$I$4077,I156)</f>
        <v>2</v>
      </c>
      <c r="L156" s="3" t="n">
        <f aca="false">IF(COUNTIFS($B$2:B156,B156,$C$2:C156,C156,$I$2:I156,I156)=1,1,0)</f>
        <v>1</v>
      </c>
      <c r="M156" s="3" t="n">
        <f aca="false">IF(K156&gt;=Parametri!$B$1,1,0)</f>
        <v>1</v>
      </c>
      <c r="N156" s="3" t="n">
        <f aca="false">L156*M156</f>
        <v>1</v>
      </c>
    </row>
    <row r="157" customFormat="false" ht="15" hidden="false" customHeight="false" outlineLevel="0" collapsed="false">
      <c r="A157" s="0" t="s">
        <v>349</v>
      </c>
      <c r="B157" s="0" t="s">
        <v>79</v>
      </c>
      <c r="C157" s="0" t="s">
        <v>350</v>
      </c>
      <c r="D157" s="0" t="s">
        <v>19</v>
      </c>
      <c r="E157" s="2" t="n">
        <v>46157</v>
      </c>
      <c r="F157" s="3" t="s">
        <v>27</v>
      </c>
      <c r="G157" s="3" t="s">
        <v>55</v>
      </c>
      <c r="H157" s="3" t="s">
        <v>48</v>
      </c>
      <c r="I157" s="3" t="n">
        <f aca="false">YEAR(E157)</f>
        <v>2026</v>
      </c>
      <c r="J157" s="3" t="n">
        <f aca="false">MONTH(E157)</f>
        <v>5</v>
      </c>
      <c r="K157" s="3" t="n">
        <f aca="false">COUNTIFS($B$2:$B$4077,B157,$C$2:$C$4077,C157,$I$2:$I$4077,I157)</f>
        <v>2</v>
      </c>
      <c r="L157" s="3" t="n">
        <f aca="false">IF(COUNTIFS($B$2:B157,B157,$C$2:C157,C157,$I$2:I157,I157)=1,1,0)</f>
        <v>1</v>
      </c>
      <c r="M157" s="3" t="n">
        <f aca="false">IF(K157&gt;=Parametri!$B$1,1,0)</f>
        <v>1</v>
      </c>
      <c r="N157" s="3" t="n">
        <f aca="false">L157*M157</f>
        <v>1</v>
      </c>
    </row>
    <row r="158" customFormat="false" ht="15" hidden="false" customHeight="false" outlineLevel="0" collapsed="false">
      <c r="A158" s="0" t="s">
        <v>351</v>
      </c>
      <c r="B158" s="0" t="s">
        <v>79</v>
      </c>
      <c r="C158" s="0" t="s">
        <v>352</v>
      </c>
      <c r="D158" s="0" t="s">
        <v>38</v>
      </c>
      <c r="E158" s="2" t="n">
        <v>46158</v>
      </c>
      <c r="F158" s="3" t="s">
        <v>20</v>
      </c>
      <c r="G158" s="3" t="s">
        <v>89</v>
      </c>
      <c r="H158" s="3" t="s">
        <v>44</v>
      </c>
      <c r="I158" s="3" t="n">
        <f aca="false">YEAR(E158)</f>
        <v>2026</v>
      </c>
      <c r="J158" s="3" t="n">
        <f aca="false">MONTH(E158)</f>
        <v>5</v>
      </c>
      <c r="K158" s="3" t="n">
        <f aca="false">COUNTIFS($B$2:$B$4077,B158,$C$2:$C$4077,C158,$I$2:$I$4077,I158)</f>
        <v>1</v>
      </c>
      <c r="L158" s="3" t="n">
        <f aca="false">IF(COUNTIFS($B$2:B158,B158,$C$2:C158,C158,$I$2:I158,I158)=1,1,0)</f>
        <v>1</v>
      </c>
      <c r="M158" s="3" t="n">
        <f aca="false">IF(K158&gt;=Parametri!$B$1,1,0)</f>
        <v>0</v>
      </c>
      <c r="N158" s="3" t="n">
        <f aca="false">L158*M158</f>
        <v>0</v>
      </c>
    </row>
    <row r="159" customFormat="false" ht="15" hidden="false" customHeight="false" outlineLevel="0" collapsed="false">
      <c r="A159" s="0" t="s">
        <v>353</v>
      </c>
      <c r="B159" s="0" t="s">
        <v>31</v>
      </c>
      <c r="C159" s="0" t="s">
        <v>354</v>
      </c>
      <c r="D159" s="0" t="s">
        <v>63</v>
      </c>
      <c r="E159" s="2" t="n">
        <v>46167</v>
      </c>
      <c r="F159" s="3" t="s">
        <v>20</v>
      </c>
      <c r="G159" s="3" t="s">
        <v>21</v>
      </c>
      <c r="H159" s="3" t="s">
        <v>48</v>
      </c>
      <c r="I159" s="3" t="n">
        <f aca="false">YEAR(E159)</f>
        <v>2026</v>
      </c>
      <c r="J159" s="3" t="n">
        <f aca="false">MONTH(E159)</f>
        <v>5</v>
      </c>
      <c r="K159" s="3" t="n">
        <f aca="false">COUNTIFS($B$2:$B$4077,B159,$C$2:$C$4077,C159,$I$2:$I$4077,I159)</f>
        <v>2</v>
      </c>
      <c r="L159" s="3" t="n">
        <f aca="false">IF(COUNTIFS($B$2:B159,B159,$C$2:C159,C159,$I$2:I159,I159)=1,1,0)</f>
        <v>1</v>
      </c>
      <c r="M159" s="3" t="n">
        <f aca="false">IF(K159&gt;=Parametri!$B$1,1,0)</f>
        <v>1</v>
      </c>
      <c r="N159" s="3" t="n">
        <f aca="false">L159*M159</f>
        <v>1</v>
      </c>
    </row>
    <row r="160" customFormat="false" ht="15" hidden="false" customHeight="false" outlineLevel="0" collapsed="false">
      <c r="A160" s="0" t="s">
        <v>355</v>
      </c>
      <c r="B160" s="0" t="s">
        <v>57</v>
      </c>
      <c r="C160" s="0" t="s">
        <v>356</v>
      </c>
      <c r="D160" s="0" t="s">
        <v>77</v>
      </c>
      <c r="E160" s="2" t="n">
        <v>45463</v>
      </c>
      <c r="F160" s="3" t="s">
        <v>27</v>
      </c>
      <c r="G160" s="3" t="s">
        <v>104</v>
      </c>
      <c r="H160" s="3" t="s">
        <v>104</v>
      </c>
      <c r="I160" s="3" t="n">
        <f aca="false">YEAR(E160)</f>
        <v>2024</v>
      </c>
      <c r="J160" s="3" t="n">
        <f aca="false">MONTH(E160)</f>
        <v>6</v>
      </c>
      <c r="K160" s="3" t="n">
        <f aca="false">COUNTIFS($B$2:$B$4077,B160,$C$2:$C$4077,C160,$I$2:$I$4077,I160)</f>
        <v>2</v>
      </c>
      <c r="L160" s="3" t="n">
        <f aca="false">IF(COUNTIFS($B$2:B160,B160,$C$2:C160,C160,$I$2:I160,I160)=1,1,0)</f>
        <v>1</v>
      </c>
      <c r="M160" s="3" t="n">
        <f aca="false">IF(K160&gt;=Parametri!$B$1,1,0)</f>
        <v>1</v>
      </c>
      <c r="N160" s="3" t="n">
        <f aca="false">L160*M160</f>
        <v>1</v>
      </c>
    </row>
    <row r="161" customFormat="false" ht="15" hidden="false" customHeight="false" outlineLevel="0" collapsed="false">
      <c r="A161" s="0" t="s">
        <v>357</v>
      </c>
      <c r="B161" s="0" t="s">
        <v>79</v>
      </c>
      <c r="C161" s="0" t="s">
        <v>358</v>
      </c>
      <c r="D161" s="0" t="s">
        <v>26</v>
      </c>
      <c r="E161" s="2" t="n">
        <v>45935</v>
      </c>
      <c r="F161" s="3" t="s">
        <v>34</v>
      </c>
      <c r="G161" s="3" t="s">
        <v>72</v>
      </c>
      <c r="H161" s="3" t="s">
        <v>22</v>
      </c>
      <c r="I161" s="3" t="n">
        <f aca="false">YEAR(E161)</f>
        <v>2025</v>
      </c>
      <c r="J161" s="3" t="n">
        <f aca="false">MONTH(E161)</f>
        <v>10</v>
      </c>
      <c r="K161" s="3" t="n">
        <f aca="false">COUNTIFS($B$2:$B$4077,B161,$C$2:$C$4077,C161,$I$2:$I$4077,I161)</f>
        <v>1</v>
      </c>
      <c r="L161" s="3" t="n">
        <f aca="false">IF(COUNTIFS($B$2:B161,B161,$C$2:C161,C161,$I$2:I161,I161)=1,1,0)</f>
        <v>1</v>
      </c>
      <c r="M161" s="3" t="n">
        <f aca="false">IF(K161&gt;=Parametri!$B$1,1,0)</f>
        <v>0</v>
      </c>
      <c r="N161" s="3" t="n">
        <f aca="false">L161*M161</f>
        <v>0</v>
      </c>
    </row>
    <row r="162" customFormat="false" ht="15" hidden="false" customHeight="false" outlineLevel="0" collapsed="false">
      <c r="A162" s="0" t="s">
        <v>359</v>
      </c>
      <c r="B162" s="0" t="s">
        <v>57</v>
      </c>
      <c r="C162" s="0" t="s">
        <v>360</v>
      </c>
      <c r="D162" s="0" t="s">
        <v>38</v>
      </c>
      <c r="E162" s="2" t="n">
        <v>46262</v>
      </c>
      <c r="F162" s="3" t="s">
        <v>20</v>
      </c>
      <c r="G162" s="3" t="s">
        <v>39</v>
      </c>
      <c r="H162" s="3" t="s">
        <v>48</v>
      </c>
      <c r="I162" s="3" t="n">
        <f aca="false">YEAR(E162)</f>
        <v>2026</v>
      </c>
      <c r="J162" s="3" t="n">
        <f aca="false">MONTH(E162)</f>
        <v>8</v>
      </c>
      <c r="K162" s="3" t="n">
        <f aca="false">COUNTIFS($B$2:$B$4077,B162,$C$2:$C$4077,C162,$I$2:$I$4077,I162)</f>
        <v>2</v>
      </c>
      <c r="L162" s="3" t="n">
        <f aca="false">IF(COUNTIFS($B$2:B162,B162,$C$2:C162,C162,$I$2:I162,I162)=1,1,0)</f>
        <v>1</v>
      </c>
      <c r="M162" s="3" t="n">
        <f aca="false">IF(K162&gt;=Parametri!$B$1,1,0)</f>
        <v>1</v>
      </c>
      <c r="N162" s="3" t="n">
        <f aca="false">L162*M162</f>
        <v>1</v>
      </c>
    </row>
    <row r="163" customFormat="false" ht="15" hidden="false" customHeight="false" outlineLevel="0" collapsed="false">
      <c r="A163" s="0" t="s">
        <v>361</v>
      </c>
      <c r="B163" s="0" t="s">
        <v>50</v>
      </c>
      <c r="C163" s="0" t="s">
        <v>362</v>
      </c>
      <c r="D163" s="0" t="s">
        <v>33</v>
      </c>
      <c r="E163" s="2" t="n">
        <v>45910</v>
      </c>
      <c r="F163" s="3" t="s">
        <v>27</v>
      </c>
      <c r="G163" s="3" t="s">
        <v>21</v>
      </c>
      <c r="H163" s="3" t="s">
        <v>44</v>
      </c>
      <c r="I163" s="3" t="n">
        <f aca="false">YEAR(E163)</f>
        <v>2025</v>
      </c>
      <c r="J163" s="3" t="n">
        <f aca="false">MONTH(E163)</f>
        <v>9</v>
      </c>
      <c r="K163" s="3" t="n">
        <f aca="false">COUNTIFS($B$2:$B$4077,B163,$C$2:$C$4077,C163,$I$2:$I$4077,I163)</f>
        <v>1</v>
      </c>
      <c r="L163" s="3" t="n">
        <f aca="false">IF(COUNTIFS($B$2:B163,B163,$C$2:C163,C163,$I$2:I163,I163)=1,1,0)</f>
        <v>1</v>
      </c>
      <c r="M163" s="3" t="n">
        <f aca="false">IF(K163&gt;=Parametri!$B$1,1,0)</f>
        <v>0</v>
      </c>
      <c r="N163" s="3" t="n">
        <f aca="false">L163*M163</f>
        <v>0</v>
      </c>
    </row>
    <row r="164" customFormat="false" ht="15" hidden="false" customHeight="false" outlineLevel="0" collapsed="false">
      <c r="A164" s="0" t="s">
        <v>363</v>
      </c>
      <c r="B164" s="0" t="s">
        <v>17</v>
      </c>
      <c r="C164" s="0" t="s">
        <v>364</v>
      </c>
      <c r="D164" s="0" t="s">
        <v>26</v>
      </c>
      <c r="E164" s="2" t="n">
        <v>45774</v>
      </c>
      <c r="F164" s="3" t="s">
        <v>20</v>
      </c>
      <c r="G164" s="3" t="s">
        <v>72</v>
      </c>
      <c r="H164" s="3" t="s">
        <v>22</v>
      </c>
      <c r="I164" s="3" t="n">
        <f aca="false">YEAR(E164)</f>
        <v>2025</v>
      </c>
      <c r="J164" s="3" t="n">
        <f aca="false">MONTH(E164)</f>
        <v>4</v>
      </c>
      <c r="K164" s="3" t="n">
        <f aca="false">COUNTIFS($B$2:$B$4077,B164,$C$2:$C$4077,C164,$I$2:$I$4077,I164)</f>
        <v>1</v>
      </c>
      <c r="L164" s="3" t="n">
        <f aca="false">IF(COUNTIFS($B$2:B164,B164,$C$2:C164,C164,$I$2:I164,I164)=1,1,0)</f>
        <v>1</v>
      </c>
      <c r="M164" s="3" t="n">
        <f aca="false">IF(K164&gt;=Parametri!$B$1,1,0)</f>
        <v>0</v>
      </c>
      <c r="N164" s="3" t="n">
        <f aca="false">L164*M164</f>
        <v>0</v>
      </c>
    </row>
    <row r="165" customFormat="false" ht="15" hidden="false" customHeight="false" outlineLevel="0" collapsed="false">
      <c r="A165" s="0" t="s">
        <v>365</v>
      </c>
      <c r="B165" s="0" t="s">
        <v>68</v>
      </c>
      <c r="C165" s="0" t="s">
        <v>366</v>
      </c>
      <c r="D165" s="0" t="s">
        <v>77</v>
      </c>
      <c r="E165" s="2" t="n">
        <v>46082</v>
      </c>
      <c r="F165" s="3" t="s">
        <v>34</v>
      </c>
      <c r="G165" s="3" t="s">
        <v>89</v>
      </c>
      <c r="H165" s="3" t="s">
        <v>29</v>
      </c>
      <c r="I165" s="3" t="n">
        <f aca="false">YEAR(E165)</f>
        <v>2026</v>
      </c>
      <c r="J165" s="3" t="n">
        <f aca="false">MONTH(E165)</f>
        <v>3</v>
      </c>
      <c r="K165" s="3" t="n">
        <f aca="false">COUNTIFS($B$2:$B$4077,B165,$C$2:$C$4077,C165,$I$2:$I$4077,I165)</f>
        <v>1</v>
      </c>
      <c r="L165" s="3" t="n">
        <f aca="false">IF(COUNTIFS($B$2:B165,B165,$C$2:C165,C165,$I$2:I165,I165)=1,1,0)</f>
        <v>1</v>
      </c>
      <c r="M165" s="3" t="n">
        <f aca="false">IF(K165&gt;=Parametri!$B$1,1,0)</f>
        <v>0</v>
      </c>
      <c r="N165" s="3" t="n">
        <f aca="false">L165*M165</f>
        <v>0</v>
      </c>
    </row>
    <row r="166" customFormat="false" ht="15" hidden="false" customHeight="false" outlineLevel="0" collapsed="false">
      <c r="A166" s="0" t="s">
        <v>367</v>
      </c>
      <c r="B166" s="0" t="s">
        <v>124</v>
      </c>
      <c r="C166" s="0" t="s">
        <v>368</v>
      </c>
      <c r="D166" s="0" t="s">
        <v>66</v>
      </c>
      <c r="E166" s="2" t="n">
        <v>46137</v>
      </c>
      <c r="F166" s="3" t="s">
        <v>20</v>
      </c>
      <c r="G166" s="3" t="s">
        <v>39</v>
      </c>
      <c r="H166" s="3" t="s">
        <v>29</v>
      </c>
      <c r="I166" s="3" t="n">
        <f aca="false">YEAR(E166)</f>
        <v>2026</v>
      </c>
      <c r="J166" s="3" t="n">
        <f aca="false">MONTH(E166)</f>
        <v>4</v>
      </c>
      <c r="K166" s="3" t="n">
        <f aca="false">COUNTIFS($B$2:$B$4077,B166,$C$2:$C$4077,C166,$I$2:$I$4077,I166)</f>
        <v>2</v>
      </c>
      <c r="L166" s="3" t="n">
        <f aca="false">IF(COUNTIFS($B$2:B166,B166,$C$2:C166,C166,$I$2:I166,I166)=1,1,0)</f>
        <v>1</v>
      </c>
      <c r="M166" s="3" t="n">
        <f aca="false">IF(K166&gt;=Parametri!$B$1,1,0)</f>
        <v>1</v>
      </c>
      <c r="N166" s="3" t="n">
        <f aca="false">L166*M166</f>
        <v>1</v>
      </c>
    </row>
    <row r="167" customFormat="false" ht="15" hidden="false" customHeight="false" outlineLevel="0" collapsed="false">
      <c r="A167" s="0" t="s">
        <v>369</v>
      </c>
      <c r="B167" s="0" t="s">
        <v>46</v>
      </c>
      <c r="C167" s="0" t="s">
        <v>370</v>
      </c>
      <c r="D167" s="0" t="s">
        <v>33</v>
      </c>
      <c r="E167" s="2" t="n">
        <v>46132</v>
      </c>
      <c r="F167" s="3" t="s">
        <v>20</v>
      </c>
      <c r="G167" s="3" t="s">
        <v>39</v>
      </c>
      <c r="H167" s="3" t="s">
        <v>22</v>
      </c>
      <c r="I167" s="3" t="n">
        <f aca="false">YEAR(E167)</f>
        <v>2026</v>
      </c>
      <c r="J167" s="3" t="n">
        <f aca="false">MONTH(E167)</f>
        <v>4</v>
      </c>
      <c r="K167" s="3" t="n">
        <f aca="false">COUNTIFS($B$2:$B$4077,B167,$C$2:$C$4077,C167,$I$2:$I$4077,I167)</f>
        <v>1</v>
      </c>
      <c r="L167" s="3" t="n">
        <f aca="false">IF(COUNTIFS($B$2:B167,B167,$C$2:C167,C167,$I$2:I167,I167)=1,1,0)</f>
        <v>1</v>
      </c>
      <c r="M167" s="3" t="n">
        <f aca="false">IF(K167&gt;=Parametri!$B$1,1,0)</f>
        <v>0</v>
      </c>
      <c r="N167" s="3" t="n">
        <f aca="false">L167*M167</f>
        <v>0</v>
      </c>
    </row>
    <row r="168" customFormat="false" ht="15" hidden="false" customHeight="false" outlineLevel="0" collapsed="false">
      <c r="A168" s="0" t="s">
        <v>371</v>
      </c>
      <c r="B168" s="0" t="s">
        <v>17</v>
      </c>
      <c r="C168" s="0" t="s">
        <v>372</v>
      </c>
      <c r="D168" s="0" t="s">
        <v>38</v>
      </c>
      <c r="E168" s="2" t="n">
        <v>45433</v>
      </c>
      <c r="F168" s="3" t="s">
        <v>20</v>
      </c>
      <c r="G168" s="3" t="s">
        <v>35</v>
      </c>
      <c r="H168" s="3" t="s">
        <v>48</v>
      </c>
      <c r="I168" s="3" t="n">
        <f aca="false">YEAR(E168)</f>
        <v>2024</v>
      </c>
      <c r="J168" s="3" t="n">
        <f aca="false">MONTH(E168)</f>
        <v>5</v>
      </c>
      <c r="K168" s="3" t="n">
        <f aca="false">COUNTIFS($B$2:$B$4077,B168,$C$2:$C$4077,C168,$I$2:$I$4077,I168)</f>
        <v>1</v>
      </c>
      <c r="L168" s="3" t="n">
        <f aca="false">IF(COUNTIFS($B$2:B168,B168,$C$2:C168,C168,$I$2:I168,I168)=1,1,0)</f>
        <v>1</v>
      </c>
      <c r="M168" s="3" t="n">
        <f aca="false">IF(K168&gt;=Parametri!$B$1,1,0)</f>
        <v>0</v>
      </c>
      <c r="N168" s="3" t="n">
        <f aca="false">L168*M168</f>
        <v>0</v>
      </c>
    </row>
    <row r="169" customFormat="false" ht="15" hidden="false" customHeight="false" outlineLevel="0" collapsed="false">
      <c r="A169" s="0" t="s">
        <v>373</v>
      </c>
      <c r="B169" s="0" t="s">
        <v>57</v>
      </c>
      <c r="C169" s="0" t="s">
        <v>374</v>
      </c>
      <c r="D169" s="0" t="s">
        <v>77</v>
      </c>
      <c r="E169" s="2" t="n">
        <v>45785</v>
      </c>
      <c r="F169" s="3" t="s">
        <v>27</v>
      </c>
      <c r="G169" s="3" t="s">
        <v>39</v>
      </c>
      <c r="H169" s="3" t="s">
        <v>48</v>
      </c>
      <c r="I169" s="3" t="n">
        <f aca="false">YEAR(E169)</f>
        <v>2025</v>
      </c>
      <c r="J169" s="3" t="n">
        <f aca="false">MONTH(E169)</f>
        <v>5</v>
      </c>
      <c r="K169" s="3" t="n">
        <f aca="false">COUNTIFS($B$2:$B$4077,B169,$C$2:$C$4077,C169,$I$2:$I$4077,I169)</f>
        <v>2</v>
      </c>
      <c r="L169" s="3" t="n">
        <f aca="false">IF(COUNTIFS($B$2:B169,B169,$C$2:C169,C169,$I$2:I169,I169)=1,1,0)</f>
        <v>1</v>
      </c>
      <c r="M169" s="3" t="n">
        <f aca="false">IF(K169&gt;=Parametri!$B$1,1,0)</f>
        <v>1</v>
      </c>
      <c r="N169" s="3" t="n">
        <f aca="false">L169*M169</f>
        <v>1</v>
      </c>
    </row>
    <row r="170" customFormat="false" ht="15" hidden="false" customHeight="false" outlineLevel="0" collapsed="false">
      <c r="A170" s="0" t="s">
        <v>375</v>
      </c>
      <c r="B170" s="0" t="s">
        <v>41</v>
      </c>
      <c r="C170" s="0" t="s">
        <v>376</v>
      </c>
      <c r="D170" s="0" t="s">
        <v>77</v>
      </c>
      <c r="E170" s="2" t="n">
        <v>45338</v>
      </c>
      <c r="F170" s="3" t="s">
        <v>27</v>
      </c>
      <c r="G170" s="3" t="s">
        <v>35</v>
      </c>
      <c r="H170" s="3" t="s">
        <v>44</v>
      </c>
      <c r="I170" s="3" t="n">
        <f aca="false">YEAR(E170)</f>
        <v>2024</v>
      </c>
      <c r="J170" s="3" t="n">
        <f aca="false">MONTH(E170)</f>
        <v>2</v>
      </c>
      <c r="K170" s="3" t="n">
        <f aca="false">COUNTIFS($B$2:$B$4077,B170,$C$2:$C$4077,C170,$I$2:$I$4077,I170)</f>
        <v>1</v>
      </c>
      <c r="L170" s="3" t="n">
        <f aca="false">IF(COUNTIFS($B$2:B170,B170,$C$2:C170,C170,$I$2:I170,I170)=1,1,0)</f>
        <v>1</v>
      </c>
      <c r="M170" s="3" t="n">
        <f aca="false">IF(K170&gt;=Parametri!$B$1,1,0)</f>
        <v>0</v>
      </c>
      <c r="N170" s="3" t="n">
        <f aca="false">L170*M170</f>
        <v>0</v>
      </c>
    </row>
    <row r="171" customFormat="false" ht="15" hidden="false" customHeight="false" outlineLevel="0" collapsed="false">
      <c r="A171" s="0" t="s">
        <v>377</v>
      </c>
      <c r="B171" s="0" t="s">
        <v>124</v>
      </c>
      <c r="C171" s="0" t="s">
        <v>378</v>
      </c>
      <c r="D171" s="0" t="s">
        <v>26</v>
      </c>
      <c r="E171" s="2" t="n">
        <v>45415</v>
      </c>
      <c r="F171" s="3" t="s">
        <v>34</v>
      </c>
      <c r="G171" s="3" t="s">
        <v>72</v>
      </c>
      <c r="H171" s="3" t="s">
        <v>44</v>
      </c>
      <c r="I171" s="3" t="n">
        <f aca="false">YEAR(E171)</f>
        <v>2024</v>
      </c>
      <c r="J171" s="3" t="n">
        <f aca="false">MONTH(E171)</f>
        <v>5</v>
      </c>
      <c r="K171" s="3" t="n">
        <f aca="false">COUNTIFS($B$2:$B$4077,B171,$C$2:$C$4077,C171,$I$2:$I$4077,I171)</f>
        <v>1</v>
      </c>
      <c r="L171" s="3" t="n">
        <f aca="false">IF(COUNTIFS($B$2:B171,B171,$C$2:C171,C171,$I$2:I171,I171)=1,1,0)</f>
        <v>1</v>
      </c>
      <c r="M171" s="3" t="n">
        <f aca="false">IF(K171&gt;=Parametri!$B$1,1,0)</f>
        <v>0</v>
      </c>
      <c r="N171" s="3" t="n">
        <f aca="false">L171*M171</f>
        <v>0</v>
      </c>
    </row>
    <row r="172" customFormat="false" ht="15" hidden="false" customHeight="false" outlineLevel="0" collapsed="false">
      <c r="A172" s="0" t="s">
        <v>379</v>
      </c>
      <c r="B172" s="0" t="s">
        <v>79</v>
      </c>
      <c r="C172" s="0" t="s">
        <v>182</v>
      </c>
      <c r="D172" s="0" t="s">
        <v>77</v>
      </c>
      <c r="E172" s="2" t="n">
        <v>45987</v>
      </c>
      <c r="F172" s="3" t="s">
        <v>34</v>
      </c>
      <c r="G172" s="3" t="s">
        <v>72</v>
      </c>
      <c r="H172" s="3" t="s">
        <v>29</v>
      </c>
      <c r="I172" s="3" t="n">
        <f aca="false">YEAR(E172)</f>
        <v>2025</v>
      </c>
      <c r="J172" s="3" t="n">
        <f aca="false">MONTH(E172)</f>
        <v>11</v>
      </c>
      <c r="K172" s="3" t="n">
        <f aca="false">COUNTIFS($B$2:$B$4077,B172,$C$2:$C$4077,C172,$I$2:$I$4077,I172)</f>
        <v>4</v>
      </c>
      <c r="L172" s="3" t="n">
        <f aca="false">IF(COUNTIFS($B$2:B172,B172,$C$2:C172,C172,$I$2:I172,I172)=1,1,0)</f>
        <v>0</v>
      </c>
      <c r="M172" s="3" t="n">
        <f aca="false">IF(K172&gt;=Parametri!$B$1,1,0)</f>
        <v>1</v>
      </c>
      <c r="N172" s="3" t="n">
        <f aca="false">L172*M172</f>
        <v>0</v>
      </c>
    </row>
    <row r="173" customFormat="false" ht="15" hidden="false" customHeight="false" outlineLevel="0" collapsed="false">
      <c r="A173" s="0" t="s">
        <v>380</v>
      </c>
      <c r="B173" s="0" t="s">
        <v>46</v>
      </c>
      <c r="C173" s="0" t="s">
        <v>381</v>
      </c>
      <c r="D173" s="0" t="s">
        <v>33</v>
      </c>
      <c r="E173" s="2" t="n">
        <v>45756</v>
      </c>
      <c r="F173" s="3" t="s">
        <v>34</v>
      </c>
      <c r="G173" s="3" t="s">
        <v>55</v>
      </c>
      <c r="H173" s="3" t="s">
        <v>48</v>
      </c>
      <c r="I173" s="3" t="n">
        <f aca="false">YEAR(E173)</f>
        <v>2025</v>
      </c>
      <c r="J173" s="3" t="n">
        <f aca="false">MONTH(E173)</f>
        <v>4</v>
      </c>
      <c r="K173" s="3" t="n">
        <f aca="false">COUNTIFS($B$2:$B$4077,B173,$C$2:$C$4077,C173,$I$2:$I$4077,I173)</f>
        <v>1</v>
      </c>
      <c r="L173" s="3" t="n">
        <f aca="false">IF(COUNTIFS($B$2:B173,B173,$C$2:C173,C173,$I$2:I173,I173)=1,1,0)</f>
        <v>1</v>
      </c>
      <c r="M173" s="3" t="n">
        <f aca="false">IF(K173&gt;=Parametri!$B$1,1,0)</f>
        <v>0</v>
      </c>
      <c r="N173" s="3" t="n">
        <f aca="false">L173*M173</f>
        <v>0</v>
      </c>
    </row>
    <row r="174" customFormat="false" ht="15" hidden="false" customHeight="false" outlineLevel="0" collapsed="false">
      <c r="A174" s="0" t="s">
        <v>382</v>
      </c>
      <c r="B174" s="0" t="s">
        <v>24</v>
      </c>
      <c r="C174" s="0" t="s">
        <v>383</v>
      </c>
      <c r="D174" s="0" t="s">
        <v>38</v>
      </c>
      <c r="E174" s="2" t="n">
        <v>45877</v>
      </c>
      <c r="F174" s="3" t="s">
        <v>20</v>
      </c>
      <c r="G174" s="3" t="s">
        <v>39</v>
      </c>
      <c r="H174" s="3" t="s">
        <v>29</v>
      </c>
      <c r="I174" s="3" t="n">
        <f aca="false">YEAR(E174)</f>
        <v>2025</v>
      </c>
      <c r="J174" s="3" t="n">
        <f aca="false">MONTH(E174)</f>
        <v>8</v>
      </c>
      <c r="K174" s="3" t="n">
        <f aca="false">COUNTIFS($B$2:$B$4077,B174,$C$2:$C$4077,C174,$I$2:$I$4077,I174)</f>
        <v>1</v>
      </c>
      <c r="L174" s="3" t="n">
        <f aca="false">IF(COUNTIFS($B$2:B174,B174,$C$2:C174,C174,$I$2:I174,I174)=1,1,0)</f>
        <v>1</v>
      </c>
      <c r="M174" s="3" t="n">
        <f aca="false">IF(K174&gt;=Parametri!$B$1,1,0)</f>
        <v>0</v>
      </c>
      <c r="N174" s="3" t="n">
        <f aca="false">L174*M174</f>
        <v>0</v>
      </c>
    </row>
    <row r="175" customFormat="false" ht="15" hidden="false" customHeight="false" outlineLevel="0" collapsed="false">
      <c r="A175" s="0" t="s">
        <v>384</v>
      </c>
      <c r="B175" s="0" t="s">
        <v>68</v>
      </c>
      <c r="C175" s="0" t="s">
        <v>220</v>
      </c>
      <c r="D175" s="0" t="s">
        <v>19</v>
      </c>
      <c r="E175" s="2" t="n">
        <v>45425</v>
      </c>
      <c r="F175" s="3" t="s">
        <v>20</v>
      </c>
      <c r="G175" s="3" t="s">
        <v>43</v>
      </c>
      <c r="H175" s="3" t="s">
        <v>44</v>
      </c>
      <c r="I175" s="3" t="n">
        <f aca="false">YEAR(E175)</f>
        <v>2024</v>
      </c>
      <c r="J175" s="3" t="n">
        <f aca="false">MONTH(E175)</f>
        <v>5</v>
      </c>
      <c r="K175" s="3" t="n">
        <f aca="false">COUNTIFS($B$2:$B$4077,B175,$C$2:$C$4077,C175,$I$2:$I$4077,I175)</f>
        <v>1</v>
      </c>
      <c r="L175" s="3" t="n">
        <f aca="false">IF(COUNTIFS($B$2:B175,B175,$C$2:C175,C175,$I$2:I175,I175)=1,1,0)</f>
        <v>1</v>
      </c>
      <c r="M175" s="3" t="n">
        <f aca="false">IF(K175&gt;=Parametri!$B$1,1,0)</f>
        <v>0</v>
      </c>
      <c r="N175" s="3" t="n">
        <f aca="false">L175*M175</f>
        <v>0</v>
      </c>
    </row>
    <row r="176" customFormat="false" ht="15" hidden="false" customHeight="false" outlineLevel="0" collapsed="false">
      <c r="A176" s="0" t="s">
        <v>385</v>
      </c>
      <c r="B176" s="0" t="s">
        <v>24</v>
      </c>
      <c r="C176" s="0" t="s">
        <v>386</v>
      </c>
      <c r="D176" s="0" t="s">
        <v>63</v>
      </c>
      <c r="E176" s="2" t="n">
        <v>45506</v>
      </c>
      <c r="F176" s="3" t="s">
        <v>27</v>
      </c>
      <c r="G176" s="3" t="s">
        <v>35</v>
      </c>
      <c r="H176" s="3" t="s">
        <v>29</v>
      </c>
      <c r="I176" s="3" t="n">
        <f aca="false">YEAR(E176)</f>
        <v>2024</v>
      </c>
      <c r="J176" s="3" t="n">
        <f aca="false">MONTH(E176)</f>
        <v>8</v>
      </c>
      <c r="K176" s="3" t="n">
        <f aca="false">COUNTIFS($B$2:$B$4077,B176,$C$2:$C$4077,C176,$I$2:$I$4077,I176)</f>
        <v>1</v>
      </c>
      <c r="L176" s="3" t="n">
        <f aca="false">IF(COUNTIFS($B$2:B176,B176,$C$2:C176,C176,$I$2:I176,I176)=1,1,0)</f>
        <v>1</v>
      </c>
      <c r="M176" s="3" t="n">
        <f aca="false">IF(K176&gt;=Parametri!$B$1,1,0)</f>
        <v>0</v>
      </c>
      <c r="N176" s="3" t="n">
        <f aca="false">L176*M176</f>
        <v>0</v>
      </c>
    </row>
    <row r="177" customFormat="false" ht="15" hidden="false" customHeight="false" outlineLevel="0" collapsed="false">
      <c r="A177" s="0" t="s">
        <v>387</v>
      </c>
      <c r="B177" s="0" t="s">
        <v>57</v>
      </c>
      <c r="C177" s="0" t="s">
        <v>246</v>
      </c>
      <c r="D177" s="0" t="s">
        <v>19</v>
      </c>
      <c r="E177" s="2" t="n">
        <v>45784</v>
      </c>
      <c r="F177" s="3" t="s">
        <v>20</v>
      </c>
      <c r="G177" s="3" t="s">
        <v>55</v>
      </c>
      <c r="H177" s="3" t="s">
        <v>29</v>
      </c>
      <c r="I177" s="3" t="n">
        <f aca="false">YEAR(E177)</f>
        <v>2025</v>
      </c>
      <c r="J177" s="3" t="n">
        <f aca="false">MONTH(E177)</f>
        <v>5</v>
      </c>
      <c r="K177" s="3" t="n">
        <f aca="false">COUNTIFS($B$2:$B$4077,B177,$C$2:$C$4077,C177,$I$2:$I$4077,I177)</f>
        <v>2</v>
      </c>
      <c r="L177" s="3" t="n">
        <f aca="false">IF(COUNTIFS($B$2:B177,B177,$C$2:C177,C177,$I$2:I177,I177)=1,1,0)</f>
        <v>0</v>
      </c>
      <c r="M177" s="3" t="n">
        <f aca="false">IF(K177&gt;=Parametri!$B$1,1,0)</f>
        <v>1</v>
      </c>
      <c r="N177" s="3" t="n">
        <f aca="false">L177*M177</f>
        <v>0</v>
      </c>
    </row>
    <row r="178" customFormat="false" ht="15" hidden="false" customHeight="false" outlineLevel="0" collapsed="false">
      <c r="A178" s="0" t="s">
        <v>388</v>
      </c>
      <c r="B178" s="0" t="s">
        <v>124</v>
      </c>
      <c r="C178" s="0" t="s">
        <v>389</v>
      </c>
      <c r="D178" s="0" t="s">
        <v>38</v>
      </c>
      <c r="E178" s="2" t="n">
        <v>46173</v>
      </c>
      <c r="F178" s="3" t="s">
        <v>20</v>
      </c>
      <c r="G178" s="3" t="s">
        <v>89</v>
      </c>
      <c r="H178" s="3" t="s">
        <v>22</v>
      </c>
      <c r="I178" s="3" t="n">
        <f aca="false">YEAR(E178)</f>
        <v>2026</v>
      </c>
      <c r="J178" s="3" t="n">
        <f aca="false">MONTH(E178)</f>
        <v>5</v>
      </c>
      <c r="K178" s="3" t="n">
        <f aca="false">COUNTIFS($B$2:$B$4077,B178,$C$2:$C$4077,C178,$I$2:$I$4077,I178)</f>
        <v>1</v>
      </c>
      <c r="L178" s="3" t="n">
        <f aca="false">IF(COUNTIFS($B$2:B178,B178,$C$2:C178,C178,$I$2:I178,I178)=1,1,0)</f>
        <v>1</v>
      </c>
      <c r="M178" s="3" t="n">
        <f aca="false">IF(K178&gt;=Parametri!$B$1,1,0)</f>
        <v>0</v>
      </c>
      <c r="N178" s="3" t="n">
        <f aca="false">L178*M178</f>
        <v>0</v>
      </c>
    </row>
    <row r="179" customFormat="false" ht="15" hidden="false" customHeight="false" outlineLevel="0" collapsed="false">
      <c r="A179" s="0" t="s">
        <v>390</v>
      </c>
      <c r="B179" s="0" t="s">
        <v>46</v>
      </c>
      <c r="C179" s="0" t="s">
        <v>391</v>
      </c>
      <c r="D179" s="0" t="s">
        <v>77</v>
      </c>
      <c r="E179" s="2" t="n">
        <v>45543</v>
      </c>
      <c r="F179" s="3" t="s">
        <v>20</v>
      </c>
      <c r="G179" s="3" t="s">
        <v>39</v>
      </c>
      <c r="H179" s="3" t="s">
        <v>29</v>
      </c>
      <c r="I179" s="3" t="n">
        <f aca="false">YEAR(E179)</f>
        <v>2024</v>
      </c>
      <c r="J179" s="3" t="n">
        <f aca="false">MONTH(E179)</f>
        <v>9</v>
      </c>
      <c r="K179" s="3" t="n">
        <f aca="false">COUNTIFS($B$2:$B$4077,B179,$C$2:$C$4077,C179,$I$2:$I$4077,I179)</f>
        <v>1</v>
      </c>
      <c r="L179" s="3" t="n">
        <f aca="false">IF(COUNTIFS($B$2:B179,B179,$C$2:C179,C179,$I$2:I179,I179)=1,1,0)</f>
        <v>1</v>
      </c>
      <c r="M179" s="3" t="n">
        <f aca="false">IF(K179&gt;=Parametri!$B$1,1,0)</f>
        <v>0</v>
      </c>
      <c r="N179" s="3" t="n">
        <f aca="false">L179*M179</f>
        <v>0</v>
      </c>
    </row>
    <row r="180" customFormat="false" ht="15" hidden="false" customHeight="false" outlineLevel="0" collapsed="false">
      <c r="A180" s="0" t="s">
        <v>392</v>
      </c>
      <c r="B180" s="0" t="s">
        <v>124</v>
      </c>
      <c r="C180" s="0" t="s">
        <v>393</v>
      </c>
      <c r="D180" s="0" t="s">
        <v>19</v>
      </c>
      <c r="E180" s="2" t="n">
        <v>46035</v>
      </c>
      <c r="F180" s="3" t="s">
        <v>27</v>
      </c>
      <c r="G180" s="3" t="s">
        <v>35</v>
      </c>
      <c r="H180" s="3" t="s">
        <v>44</v>
      </c>
      <c r="I180" s="3" t="n">
        <f aca="false">YEAR(E180)</f>
        <v>2026</v>
      </c>
      <c r="J180" s="3" t="n">
        <f aca="false">MONTH(E180)</f>
        <v>1</v>
      </c>
      <c r="K180" s="3" t="n">
        <f aca="false">COUNTIFS($B$2:$B$4077,B180,$C$2:$C$4077,C180,$I$2:$I$4077,I180)</f>
        <v>2</v>
      </c>
      <c r="L180" s="3" t="n">
        <f aca="false">IF(COUNTIFS($B$2:B180,B180,$C$2:C180,C180,$I$2:I180,I180)=1,1,0)</f>
        <v>1</v>
      </c>
      <c r="M180" s="3" t="n">
        <f aca="false">IF(K180&gt;=Parametri!$B$1,1,0)</f>
        <v>1</v>
      </c>
      <c r="N180" s="3" t="n">
        <f aca="false">L180*M180</f>
        <v>1</v>
      </c>
    </row>
    <row r="181" customFormat="false" ht="15" hidden="false" customHeight="false" outlineLevel="0" collapsed="false">
      <c r="A181" s="0" t="s">
        <v>394</v>
      </c>
      <c r="B181" s="0" t="s">
        <v>57</v>
      </c>
      <c r="C181" s="0" t="s">
        <v>395</v>
      </c>
      <c r="D181" s="0" t="s">
        <v>77</v>
      </c>
      <c r="E181" s="2" t="n">
        <v>45777</v>
      </c>
      <c r="F181" s="3" t="s">
        <v>27</v>
      </c>
      <c r="G181" s="3" t="s">
        <v>21</v>
      </c>
      <c r="H181" s="3" t="s">
        <v>22</v>
      </c>
      <c r="I181" s="3" t="n">
        <f aca="false">YEAR(E181)</f>
        <v>2025</v>
      </c>
      <c r="J181" s="3" t="n">
        <f aca="false">MONTH(E181)</f>
        <v>4</v>
      </c>
      <c r="K181" s="3" t="n">
        <f aca="false">COUNTIFS($B$2:$B$4077,B181,$C$2:$C$4077,C181,$I$2:$I$4077,I181)</f>
        <v>1</v>
      </c>
      <c r="L181" s="3" t="n">
        <f aca="false">IF(COUNTIFS($B$2:B181,B181,$C$2:C181,C181,$I$2:I181,I181)=1,1,0)</f>
        <v>1</v>
      </c>
      <c r="M181" s="3" t="n">
        <f aca="false">IF(K181&gt;=Parametri!$B$1,1,0)</f>
        <v>0</v>
      </c>
      <c r="N181" s="3" t="n">
        <f aca="false">L181*M181</f>
        <v>0</v>
      </c>
    </row>
    <row r="182" customFormat="false" ht="15" hidden="false" customHeight="false" outlineLevel="0" collapsed="false">
      <c r="A182" s="0" t="s">
        <v>396</v>
      </c>
      <c r="B182" s="0" t="s">
        <v>24</v>
      </c>
      <c r="C182" s="0" t="s">
        <v>397</v>
      </c>
      <c r="D182" s="0" t="s">
        <v>38</v>
      </c>
      <c r="E182" s="2" t="n">
        <v>46216</v>
      </c>
      <c r="F182" s="3" t="s">
        <v>34</v>
      </c>
      <c r="G182" s="3" t="s">
        <v>72</v>
      </c>
      <c r="H182" s="3" t="s">
        <v>44</v>
      </c>
      <c r="I182" s="3" t="n">
        <f aca="false">YEAR(E182)</f>
        <v>2026</v>
      </c>
      <c r="J182" s="3" t="n">
        <f aca="false">MONTH(E182)</f>
        <v>7</v>
      </c>
      <c r="K182" s="3" t="n">
        <f aca="false">COUNTIFS($B$2:$B$4077,B182,$C$2:$C$4077,C182,$I$2:$I$4077,I182)</f>
        <v>2</v>
      </c>
      <c r="L182" s="3" t="n">
        <f aca="false">IF(COUNTIFS($B$2:B182,B182,$C$2:C182,C182,$I$2:I182,I182)=1,1,0)</f>
        <v>1</v>
      </c>
      <c r="M182" s="3" t="n">
        <f aca="false">IF(K182&gt;=Parametri!$B$1,1,0)</f>
        <v>1</v>
      </c>
      <c r="N182" s="3" t="n">
        <f aca="false">L182*M182</f>
        <v>1</v>
      </c>
    </row>
    <row r="183" customFormat="false" ht="15" hidden="false" customHeight="false" outlineLevel="0" collapsed="false">
      <c r="A183" s="0" t="s">
        <v>398</v>
      </c>
      <c r="B183" s="0" t="s">
        <v>17</v>
      </c>
      <c r="C183" s="0" t="s">
        <v>399</v>
      </c>
      <c r="D183" s="0" t="s">
        <v>19</v>
      </c>
      <c r="E183" s="2" t="n">
        <v>45859</v>
      </c>
      <c r="F183" s="3" t="s">
        <v>20</v>
      </c>
      <c r="G183" s="3" t="s">
        <v>35</v>
      </c>
      <c r="H183" s="3" t="s">
        <v>22</v>
      </c>
      <c r="I183" s="3" t="n">
        <f aca="false">YEAR(E183)</f>
        <v>2025</v>
      </c>
      <c r="J183" s="3" t="n">
        <f aca="false">MONTH(E183)</f>
        <v>7</v>
      </c>
      <c r="K183" s="3" t="n">
        <f aca="false">COUNTIFS($B$2:$B$4077,B183,$C$2:$C$4077,C183,$I$2:$I$4077,I183)</f>
        <v>1</v>
      </c>
      <c r="L183" s="3" t="n">
        <f aca="false">IF(COUNTIFS($B$2:B183,B183,$C$2:C183,C183,$I$2:I183,I183)=1,1,0)</f>
        <v>1</v>
      </c>
      <c r="M183" s="3" t="n">
        <f aca="false">IF(K183&gt;=Parametri!$B$1,1,0)</f>
        <v>0</v>
      </c>
      <c r="N183" s="3" t="n">
        <f aca="false">L183*M183</f>
        <v>0</v>
      </c>
    </row>
    <row r="184" customFormat="false" ht="15" hidden="false" customHeight="false" outlineLevel="0" collapsed="false">
      <c r="A184" s="0" t="s">
        <v>400</v>
      </c>
      <c r="B184" s="0" t="s">
        <v>79</v>
      </c>
      <c r="C184" s="0" t="s">
        <v>401</v>
      </c>
      <c r="D184" s="0" t="s">
        <v>77</v>
      </c>
      <c r="E184" s="2" t="n">
        <v>45391</v>
      </c>
      <c r="F184" s="3" t="s">
        <v>20</v>
      </c>
      <c r="G184" s="3" t="s">
        <v>72</v>
      </c>
      <c r="H184" s="3" t="s">
        <v>22</v>
      </c>
      <c r="I184" s="3" t="n">
        <f aca="false">YEAR(E184)</f>
        <v>2024</v>
      </c>
      <c r="J184" s="3" t="n">
        <f aca="false">MONTH(E184)</f>
        <v>4</v>
      </c>
      <c r="K184" s="3" t="n">
        <f aca="false">COUNTIFS($B$2:$B$4077,B184,$C$2:$C$4077,C184,$I$2:$I$4077,I184)</f>
        <v>3</v>
      </c>
      <c r="L184" s="3" t="n">
        <f aca="false">IF(COUNTIFS($B$2:B184,B184,$C$2:C184,C184,$I$2:I184,I184)=1,1,0)</f>
        <v>1</v>
      </c>
      <c r="M184" s="3" t="n">
        <f aca="false">IF(K184&gt;=Parametri!$B$1,1,0)</f>
        <v>1</v>
      </c>
      <c r="N184" s="3" t="n">
        <f aca="false">L184*M184</f>
        <v>1</v>
      </c>
    </row>
    <row r="185" customFormat="false" ht="15" hidden="false" customHeight="false" outlineLevel="0" collapsed="false">
      <c r="A185" s="0" t="s">
        <v>402</v>
      </c>
      <c r="B185" s="0" t="s">
        <v>17</v>
      </c>
      <c r="C185" s="0" t="s">
        <v>403</v>
      </c>
      <c r="D185" s="0" t="s">
        <v>66</v>
      </c>
      <c r="E185" s="2" t="n">
        <v>45305</v>
      </c>
      <c r="F185" s="3" t="s">
        <v>20</v>
      </c>
      <c r="G185" s="3" t="s">
        <v>72</v>
      </c>
      <c r="H185" s="3" t="s">
        <v>48</v>
      </c>
      <c r="I185" s="3" t="n">
        <f aca="false">YEAR(E185)</f>
        <v>2024</v>
      </c>
      <c r="J185" s="3" t="n">
        <f aca="false">MONTH(E185)</f>
        <v>1</v>
      </c>
      <c r="K185" s="3" t="n">
        <f aca="false">COUNTIFS($B$2:$B$4077,B185,$C$2:$C$4077,C185,$I$2:$I$4077,I185)</f>
        <v>2</v>
      </c>
      <c r="L185" s="3" t="n">
        <f aca="false">IF(COUNTIFS($B$2:B185,B185,$C$2:C185,C185,$I$2:I185,I185)=1,1,0)</f>
        <v>1</v>
      </c>
      <c r="M185" s="3" t="n">
        <f aca="false">IF(K185&gt;=Parametri!$B$1,1,0)</f>
        <v>1</v>
      </c>
      <c r="N185" s="3" t="n">
        <f aca="false">L185*M185</f>
        <v>1</v>
      </c>
    </row>
    <row r="186" customFormat="false" ht="15" hidden="false" customHeight="false" outlineLevel="0" collapsed="false">
      <c r="A186" s="0" t="s">
        <v>404</v>
      </c>
      <c r="B186" s="0" t="s">
        <v>79</v>
      </c>
      <c r="C186" s="0" t="s">
        <v>350</v>
      </c>
      <c r="D186" s="0" t="s">
        <v>33</v>
      </c>
      <c r="E186" s="2" t="n">
        <v>45941</v>
      </c>
      <c r="F186" s="3" t="s">
        <v>27</v>
      </c>
      <c r="G186" s="3" t="s">
        <v>55</v>
      </c>
      <c r="H186" s="3" t="s">
        <v>29</v>
      </c>
      <c r="I186" s="3" t="n">
        <f aca="false">YEAR(E186)</f>
        <v>2025</v>
      </c>
      <c r="J186" s="3" t="n">
        <f aca="false">MONTH(E186)</f>
        <v>10</v>
      </c>
      <c r="K186" s="3" t="n">
        <f aca="false">COUNTIFS($B$2:$B$4077,B186,$C$2:$C$4077,C186,$I$2:$I$4077,I186)</f>
        <v>1</v>
      </c>
      <c r="L186" s="3" t="n">
        <f aca="false">IF(COUNTIFS($B$2:B186,B186,$C$2:C186,C186,$I$2:I186,I186)=1,1,0)</f>
        <v>1</v>
      </c>
      <c r="M186" s="3" t="n">
        <f aca="false">IF(K186&gt;=Parametri!$B$1,1,0)</f>
        <v>0</v>
      </c>
      <c r="N186" s="3" t="n">
        <f aca="false">L186*M186</f>
        <v>0</v>
      </c>
    </row>
    <row r="187" customFormat="false" ht="15" hidden="false" customHeight="false" outlineLevel="0" collapsed="false">
      <c r="A187" s="0" t="s">
        <v>405</v>
      </c>
      <c r="B187" s="0" t="s">
        <v>17</v>
      </c>
      <c r="C187" s="0" t="s">
        <v>406</v>
      </c>
      <c r="D187" s="0" t="s">
        <v>38</v>
      </c>
      <c r="E187" s="2" t="n">
        <v>45684</v>
      </c>
      <c r="F187" s="3" t="s">
        <v>27</v>
      </c>
      <c r="G187" s="3" t="s">
        <v>21</v>
      </c>
      <c r="H187" s="3" t="s">
        <v>48</v>
      </c>
      <c r="I187" s="3" t="n">
        <f aca="false">YEAR(E187)</f>
        <v>2025</v>
      </c>
      <c r="J187" s="3" t="n">
        <f aca="false">MONTH(E187)</f>
        <v>1</v>
      </c>
      <c r="K187" s="3" t="n">
        <f aca="false">COUNTIFS($B$2:$B$4077,B187,$C$2:$C$4077,C187,$I$2:$I$4077,I187)</f>
        <v>4</v>
      </c>
      <c r="L187" s="3" t="n">
        <f aca="false">IF(COUNTIFS($B$2:B187,B187,$C$2:C187,C187,$I$2:I187,I187)=1,1,0)</f>
        <v>1</v>
      </c>
      <c r="M187" s="3" t="n">
        <f aca="false">IF(K187&gt;=Parametri!$B$1,1,0)</f>
        <v>1</v>
      </c>
      <c r="N187" s="3" t="n">
        <f aca="false">L187*M187</f>
        <v>1</v>
      </c>
    </row>
    <row r="188" customFormat="false" ht="15" hidden="false" customHeight="false" outlineLevel="0" collapsed="false">
      <c r="A188" s="0" t="s">
        <v>407</v>
      </c>
      <c r="B188" s="0" t="s">
        <v>41</v>
      </c>
      <c r="C188" s="0" t="s">
        <v>408</v>
      </c>
      <c r="D188" s="0" t="s">
        <v>33</v>
      </c>
      <c r="E188" s="2" t="n">
        <v>45819</v>
      </c>
      <c r="F188" s="3" t="s">
        <v>20</v>
      </c>
      <c r="G188" s="3" t="s">
        <v>39</v>
      </c>
      <c r="H188" s="3" t="s">
        <v>44</v>
      </c>
      <c r="I188" s="3" t="n">
        <f aca="false">YEAR(E188)</f>
        <v>2025</v>
      </c>
      <c r="J188" s="3" t="n">
        <f aca="false">MONTH(E188)</f>
        <v>6</v>
      </c>
      <c r="K188" s="3" t="n">
        <f aca="false">COUNTIFS($B$2:$B$4077,B188,$C$2:$C$4077,C188,$I$2:$I$4077,I188)</f>
        <v>2</v>
      </c>
      <c r="L188" s="3" t="n">
        <f aca="false">IF(COUNTIFS($B$2:B188,B188,$C$2:C188,C188,$I$2:I188,I188)=1,1,0)</f>
        <v>1</v>
      </c>
      <c r="M188" s="3" t="n">
        <f aca="false">IF(K188&gt;=Parametri!$B$1,1,0)</f>
        <v>1</v>
      </c>
      <c r="N188" s="3" t="n">
        <f aca="false">L188*M188</f>
        <v>1</v>
      </c>
    </row>
    <row r="189" customFormat="false" ht="15" hidden="false" customHeight="false" outlineLevel="0" collapsed="false">
      <c r="A189" s="0" t="s">
        <v>409</v>
      </c>
      <c r="B189" s="0" t="s">
        <v>124</v>
      </c>
      <c r="C189" s="0" t="s">
        <v>410</v>
      </c>
      <c r="D189" s="0" t="s">
        <v>38</v>
      </c>
      <c r="E189" s="2" t="n">
        <v>46088</v>
      </c>
      <c r="F189" s="3" t="s">
        <v>20</v>
      </c>
      <c r="G189" s="3" t="s">
        <v>39</v>
      </c>
      <c r="H189" s="3" t="s">
        <v>29</v>
      </c>
      <c r="I189" s="3" t="n">
        <f aca="false">YEAR(E189)</f>
        <v>2026</v>
      </c>
      <c r="J189" s="3" t="n">
        <f aca="false">MONTH(E189)</f>
        <v>3</v>
      </c>
      <c r="K189" s="3" t="n">
        <f aca="false">COUNTIFS($B$2:$B$4077,B189,$C$2:$C$4077,C189,$I$2:$I$4077,I189)</f>
        <v>6</v>
      </c>
      <c r="L189" s="3" t="n">
        <f aca="false">IF(COUNTIFS($B$2:B189,B189,$C$2:C189,C189,$I$2:I189,I189)=1,1,0)</f>
        <v>1</v>
      </c>
      <c r="M189" s="3" t="n">
        <f aca="false">IF(K189&gt;=Parametri!$B$1,1,0)</f>
        <v>1</v>
      </c>
      <c r="N189" s="3" t="n">
        <f aca="false">L189*M189</f>
        <v>1</v>
      </c>
    </row>
    <row r="190" customFormat="false" ht="15" hidden="false" customHeight="false" outlineLevel="0" collapsed="false">
      <c r="A190" s="0" t="s">
        <v>411</v>
      </c>
      <c r="B190" s="0" t="s">
        <v>24</v>
      </c>
      <c r="C190" s="0" t="s">
        <v>412</v>
      </c>
      <c r="D190" s="0" t="s">
        <v>33</v>
      </c>
      <c r="E190" s="2" t="n">
        <v>45639</v>
      </c>
      <c r="F190" s="3" t="s">
        <v>27</v>
      </c>
      <c r="G190" s="3" t="s">
        <v>89</v>
      </c>
      <c r="H190" s="3" t="s">
        <v>22</v>
      </c>
      <c r="I190" s="3" t="n">
        <f aca="false">YEAR(E190)</f>
        <v>2024</v>
      </c>
      <c r="J190" s="3" t="n">
        <f aca="false">MONTH(E190)</f>
        <v>12</v>
      </c>
      <c r="K190" s="3" t="n">
        <f aca="false">COUNTIFS($B$2:$B$4077,B190,$C$2:$C$4077,C190,$I$2:$I$4077,I190)</f>
        <v>2</v>
      </c>
      <c r="L190" s="3" t="n">
        <f aca="false">IF(COUNTIFS($B$2:B190,B190,$C$2:C190,C190,$I$2:I190,I190)=1,1,0)</f>
        <v>1</v>
      </c>
      <c r="M190" s="3" t="n">
        <f aca="false">IF(K190&gt;=Parametri!$B$1,1,0)</f>
        <v>1</v>
      </c>
      <c r="N190" s="3" t="n">
        <f aca="false">L190*M190</f>
        <v>1</v>
      </c>
    </row>
    <row r="191" customFormat="false" ht="15" hidden="false" customHeight="false" outlineLevel="0" collapsed="false">
      <c r="A191" s="0" t="s">
        <v>413</v>
      </c>
      <c r="B191" s="0" t="s">
        <v>24</v>
      </c>
      <c r="C191" s="0" t="s">
        <v>229</v>
      </c>
      <c r="D191" s="0" t="s">
        <v>26</v>
      </c>
      <c r="E191" s="2" t="n">
        <v>45955</v>
      </c>
      <c r="F191" s="3" t="s">
        <v>20</v>
      </c>
      <c r="G191" s="3" t="s">
        <v>28</v>
      </c>
      <c r="H191" s="3" t="s">
        <v>48</v>
      </c>
      <c r="I191" s="3" t="n">
        <f aca="false">YEAR(E191)</f>
        <v>2025</v>
      </c>
      <c r="J191" s="3" t="n">
        <f aca="false">MONTH(E191)</f>
        <v>10</v>
      </c>
      <c r="K191" s="3" t="n">
        <f aca="false">COUNTIFS($B$2:$B$4077,B191,$C$2:$C$4077,C191,$I$2:$I$4077,I191)</f>
        <v>2</v>
      </c>
      <c r="L191" s="3" t="n">
        <f aca="false">IF(COUNTIFS($B$2:B191,B191,$C$2:C191,C191,$I$2:I191,I191)=1,1,0)</f>
        <v>0</v>
      </c>
      <c r="M191" s="3" t="n">
        <f aca="false">IF(K191&gt;=Parametri!$B$1,1,0)</f>
        <v>1</v>
      </c>
      <c r="N191" s="3" t="n">
        <f aca="false">L191*M191</f>
        <v>0</v>
      </c>
    </row>
    <row r="192" customFormat="false" ht="15" hidden="false" customHeight="false" outlineLevel="0" collapsed="false">
      <c r="A192" s="0" t="s">
        <v>414</v>
      </c>
      <c r="B192" s="0" t="s">
        <v>31</v>
      </c>
      <c r="C192" s="0" t="s">
        <v>415</v>
      </c>
      <c r="D192" s="0" t="s">
        <v>66</v>
      </c>
      <c r="E192" s="2" t="n">
        <v>46094</v>
      </c>
      <c r="F192" s="3" t="s">
        <v>20</v>
      </c>
      <c r="G192" s="3" t="s">
        <v>89</v>
      </c>
      <c r="H192" s="3" t="s">
        <v>29</v>
      </c>
      <c r="I192" s="3" t="n">
        <f aca="false">YEAR(E192)</f>
        <v>2026</v>
      </c>
      <c r="J192" s="3" t="n">
        <f aca="false">MONTH(E192)</f>
        <v>3</v>
      </c>
      <c r="K192" s="3" t="n">
        <f aca="false">COUNTIFS($B$2:$B$4077,B192,$C$2:$C$4077,C192,$I$2:$I$4077,I192)</f>
        <v>1</v>
      </c>
      <c r="L192" s="3" t="n">
        <f aca="false">IF(COUNTIFS($B$2:B192,B192,$C$2:C192,C192,$I$2:I192,I192)=1,1,0)</f>
        <v>1</v>
      </c>
      <c r="M192" s="3" t="n">
        <f aca="false">IF(K192&gt;=Parametri!$B$1,1,0)</f>
        <v>0</v>
      </c>
      <c r="N192" s="3" t="n">
        <f aca="false">L192*M192</f>
        <v>0</v>
      </c>
    </row>
    <row r="193" customFormat="false" ht="15" hidden="false" customHeight="false" outlineLevel="0" collapsed="false">
      <c r="A193" s="0" t="s">
        <v>416</v>
      </c>
      <c r="B193" s="0" t="s">
        <v>79</v>
      </c>
      <c r="C193" s="0" t="s">
        <v>417</v>
      </c>
      <c r="D193" s="0" t="s">
        <v>33</v>
      </c>
      <c r="E193" s="2" t="n">
        <v>46113</v>
      </c>
      <c r="F193" s="3" t="s">
        <v>27</v>
      </c>
      <c r="G193" s="3" t="s">
        <v>89</v>
      </c>
      <c r="H193" s="3" t="s">
        <v>48</v>
      </c>
      <c r="I193" s="3" t="n">
        <f aca="false">YEAR(E193)</f>
        <v>2026</v>
      </c>
      <c r="J193" s="3" t="n">
        <f aca="false">MONTH(E193)</f>
        <v>4</v>
      </c>
      <c r="K193" s="3" t="n">
        <f aca="false">COUNTIFS($B$2:$B$4077,B193,$C$2:$C$4077,C193,$I$2:$I$4077,I193)</f>
        <v>2</v>
      </c>
      <c r="L193" s="3" t="n">
        <f aca="false">IF(COUNTIFS($B$2:B193,B193,$C$2:C193,C193,$I$2:I193,I193)=1,1,0)</f>
        <v>1</v>
      </c>
      <c r="M193" s="3" t="n">
        <f aca="false">IF(K193&gt;=Parametri!$B$1,1,0)</f>
        <v>1</v>
      </c>
      <c r="N193" s="3" t="n">
        <f aca="false">L193*M193</f>
        <v>1</v>
      </c>
    </row>
    <row r="194" customFormat="false" ht="15" hidden="false" customHeight="false" outlineLevel="0" collapsed="false">
      <c r="A194" s="0" t="s">
        <v>418</v>
      </c>
      <c r="B194" s="0" t="s">
        <v>57</v>
      </c>
      <c r="C194" s="0" t="s">
        <v>419</v>
      </c>
      <c r="D194" s="0" t="s">
        <v>66</v>
      </c>
      <c r="E194" s="2" t="n">
        <v>45325</v>
      </c>
      <c r="F194" s="3" t="s">
        <v>20</v>
      </c>
      <c r="G194" s="3" t="s">
        <v>21</v>
      </c>
      <c r="H194" s="3" t="s">
        <v>29</v>
      </c>
      <c r="I194" s="3" t="n">
        <f aca="false">YEAR(E194)</f>
        <v>2024</v>
      </c>
      <c r="J194" s="3" t="n">
        <f aca="false">MONTH(E194)</f>
        <v>2</v>
      </c>
      <c r="K194" s="3" t="n">
        <f aca="false">COUNTIFS($B$2:$B$4077,B194,$C$2:$C$4077,C194,$I$2:$I$4077,I194)</f>
        <v>3</v>
      </c>
      <c r="L194" s="3" t="n">
        <f aca="false">IF(COUNTIFS($B$2:B194,B194,$C$2:C194,C194,$I$2:I194,I194)=1,1,0)</f>
        <v>1</v>
      </c>
      <c r="M194" s="3" t="n">
        <f aca="false">IF(K194&gt;=Parametri!$B$1,1,0)</f>
        <v>1</v>
      </c>
      <c r="N194" s="3" t="n">
        <f aca="false">L194*M194</f>
        <v>1</v>
      </c>
    </row>
    <row r="195" customFormat="false" ht="15" hidden="false" customHeight="false" outlineLevel="0" collapsed="false">
      <c r="A195" s="0" t="s">
        <v>420</v>
      </c>
      <c r="B195" s="0" t="s">
        <v>41</v>
      </c>
      <c r="C195" s="0" t="s">
        <v>421</v>
      </c>
      <c r="D195" s="0" t="s">
        <v>26</v>
      </c>
      <c r="E195" s="2" t="n">
        <v>45409</v>
      </c>
      <c r="F195" s="3" t="s">
        <v>34</v>
      </c>
      <c r="G195" s="3" t="s">
        <v>72</v>
      </c>
      <c r="H195" s="3" t="s">
        <v>48</v>
      </c>
      <c r="I195" s="3" t="n">
        <f aca="false">YEAR(E195)</f>
        <v>2024</v>
      </c>
      <c r="J195" s="3" t="n">
        <f aca="false">MONTH(E195)</f>
        <v>4</v>
      </c>
      <c r="K195" s="3" t="n">
        <f aca="false">COUNTIFS($B$2:$B$4077,B195,$C$2:$C$4077,C195,$I$2:$I$4077,I195)</f>
        <v>3</v>
      </c>
      <c r="L195" s="3" t="n">
        <f aca="false">IF(COUNTIFS($B$2:B195,B195,$C$2:C195,C195,$I$2:I195,I195)=1,1,0)</f>
        <v>1</v>
      </c>
      <c r="M195" s="3" t="n">
        <f aca="false">IF(K195&gt;=Parametri!$B$1,1,0)</f>
        <v>1</v>
      </c>
      <c r="N195" s="3" t="n">
        <f aca="false">L195*M195</f>
        <v>1</v>
      </c>
    </row>
    <row r="196" customFormat="false" ht="15" hidden="false" customHeight="false" outlineLevel="0" collapsed="false">
      <c r="A196" s="0" t="s">
        <v>422</v>
      </c>
      <c r="B196" s="0" t="s">
        <v>46</v>
      </c>
      <c r="C196" s="0" t="s">
        <v>423</v>
      </c>
      <c r="D196" s="0" t="s">
        <v>19</v>
      </c>
      <c r="E196" s="2" t="n">
        <v>46060</v>
      </c>
      <c r="F196" s="3" t="s">
        <v>20</v>
      </c>
      <c r="G196" s="3" t="s">
        <v>28</v>
      </c>
      <c r="H196" s="3" t="s">
        <v>29</v>
      </c>
      <c r="I196" s="3" t="n">
        <f aca="false">YEAR(E196)</f>
        <v>2026</v>
      </c>
      <c r="J196" s="3" t="n">
        <f aca="false">MONTH(E196)</f>
        <v>2</v>
      </c>
      <c r="K196" s="3" t="n">
        <f aca="false">COUNTIFS($B$2:$B$4077,B196,$C$2:$C$4077,C196,$I$2:$I$4077,I196)</f>
        <v>1</v>
      </c>
      <c r="L196" s="3" t="n">
        <f aca="false">IF(COUNTIFS($B$2:B196,B196,$C$2:C196,C196,$I$2:I196,I196)=1,1,0)</f>
        <v>1</v>
      </c>
      <c r="M196" s="3" t="n">
        <f aca="false">IF(K196&gt;=Parametri!$B$1,1,0)</f>
        <v>0</v>
      </c>
      <c r="N196" s="3" t="n">
        <f aca="false">L196*M196</f>
        <v>0</v>
      </c>
    </row>
    <row r="197" customFormat="false" ht="15" hidden="false" customHeight="false" outlineLevel="0" collapsed="false">
      <c r="A197" s="0" t="s">
        <v>424</v>
      </c>
      <c r="B197" s="0" t="s">
        <v>57</v>
      </c>
      <c r="C197" s="0" t="s">
        <v>425</v>
      </c>
      <c r="D197" s="0" t="s">
        <v>38</v>
      </c>
      <c r="E197" s="2" t="n">
        <v>46220</v>
      </c>
      <c r="F197" s="3" t="s">
        <v>34</v>
      </c>
      <c r="G197" s="3" t="s">
        <v>89</v>
      </c>
      <c r="H197" s="3" t="s">
        <v>44</v>
      </c>
      <c r="I197" s="3" t="n">
        <f aca="false">YEAR(E197)</f>
        <v>2026</v>
      </c>
      <c r="J197" s="3" t="n">
        <f aca="false">MONTH(E197)</f>
        <v>7</v>
      </c>
      <c r="K197" s="3" t="n">
        <f aca="false">COUNTIFS($B$2:$B$4077,B197,$C$2:$C$4077,C197,$I$2:$I$4077,I197)</f>
        <v>1</v>
      </c>
      <c r="L197" s="3" t="n">
        <f aca="false">IF(COUNTIFS($B$2:B197,B197,$C$2:C197,C197,$I$2:I197,I197)=1,1,0)</f>
        <v>1</v>
      </c>
      <c r="M197" s="3" t="n">
        <f aca="false">IF(K197&gt;=Parametri!$B$1,1,0)</f>
        <v>0</v>
      </c>
      <c r="N197" s="3" t="n">
        <f aca="false">L197*M197</f>
        <v>0</v>
      </c>
    </row>
    <row r="198" customFormat="false" ht="15" hidden="false" customHeight="false" outlineLevel="0" collapsed="false">
      <c r="A198" s="0" t="s">
        <v>426</v>
      </c>
      <c r="B198" s="0" t="s">
        <v>41</v>
      </c>
      <c r="C198" s="0" t="s">
        <v>427</v>
      </c>
      <c r="D198" s="0" t="s">
        <v>66</v>
      </c>
      <c r="E198" s="2" t="n">
        <v>45822</v>
      </c>
      <c r="F198" s="3" t="s">
        <v>20</v>
      </c>
      <c r="G198" s="3" t="s">
        <v>39</v>
      </c>
      <c r="H198" s="3" t="s">
        <v>48</v>
      </c>
      <c r="I198" s="3" t="n">
        <f aca="false">YEAR(E198)</f>
        <v>2025</v>
      </c>
      <c r="J198" s="3" t="n">
        <f aca="false">MONTH(E198)</f>
        <v>6</v>
      </c>
      <c r="K198" s="3" t="n">
        <f aca="false">COUNTIFS($B$2:$B$4077,B198,$C$2:$C$4077,C198,$I$2:$I$4077,I198)</f>
        <v>1</v>
      </c>
      <c r="L198" s="3" t="n">
        <f aca="false">IF(COUNTIFS($B$2:B198,B198,$C$2:C198,C198,$I$2:I198,I198)=1,1,0)</f>
        <v>1</v>
      </c>
      <c r="M198" s="3" t="n">
        <f aca="false">IF(K198&gt;=Parametri!$B$1,1,0)</f>
        <v>0</v>
      </c>
      <c r="N198" s="3" t="n">
        <f aca="false">L198*M198</f>
        <v>0</v>
      </c>
    </row>
    <row r="199" customFormat="false" ht="15" hidden="false" customHeight="false" outlineLevel="0" collapsed="false">
      <c r="A199" s="0" t="s">
        <v>428</v>
      </c>
      <c r="B199" s="0" t="s">
        <v>68</v>
      </c>
      <c r="C199" s="0" t="s">
        <v>429</v>
      </c>
      <c r="D199" s="0" t="s">
        <v>19</v>
      </c>
      <c r="E199" s="2" t="n">
        <v>45520</v>
      </c>
      <c r="F199" s="3" t="s">
        <v>34</v>
      </c>
      <c r="G199" s="3" t="s">
        <v>28</v>
      </c>
      <c r="H199" s="3" t="s">
        <v>48</v>
      </c>
      <c r="I199" s="3" t="n">
        <f aca="false">YEAR(E199)</f>
        <v>2024</v>
      </c>
      <c r="J199" s="3" t="n">
        <f aca="false">MONTH(E199)</f>
        <v>8</v>
      </c>
      <c r="K199" s="3" t="n">
        <f aca="false">COUNTIFS($B$2:$B$4077,B199,$C$2:$C$4077,C199,$I$2:$I$4077,I199)</f>
        <v>1</v>
      </c>
      <c r="L199" s="3" t="n">
        <f aca="false">IF(COUNTIFS($B$2:B199,B199,$C$2:C199,C199,$I$2:I199,I199)=1,1,0)</f>
        <v>1</v>
      </c>
      <c r="M199" s="3" t="n">
        <f aca="false">IF(K199&gt;=Parametri!$B$1,1,0)</f>
        <v>0</v>
      </c>
      <c r="N199" s="3" t="n">
        <f aca="false">L199*M199</f>
        <v>0</v>
      </c>
    </row>
    <row r="200" customFormat="false" ht="15" hidden="false" customHeight="false" outlineLevel="0" collapsed="false">
      <c r="A200" s="0" t="s">
        <v>430</v>
      </c>
      <c r="B200" s="0" t="s">
        <v>46</v>
      </c>
      <c r="C200" s="0" t="s">
        <v>348</v>
      </c>
      <c r="D200" s="0" t="s">
        <v>63</v>
      </c>
      <c r="E200" s="2" t="n">
        <v>46091</v>
      </c>
      <c r="F200" s="3" t="s">
        <v>27</v>
      </c>
      <c r="G200" s="3" t="s">
        <v>21</v>
      </c>
      <c r="H200" s="3" t="s">
        <v>44</v>
      </c>
      <c r="I200" s="3" t="n">
        <f aca="false">YEAR(E200)</f>
        <v>2026</v>
      </c>
      <c r="J200" s="3" t="n">
        <f aca="false">MONTH(E200)</f>
        <v>3</v>
      </c>
      <c r="K200" s="3" t="n">
        <f aca="false">COUNTIFS($B$2:$B$4077,B200,$C$2:$C$4077,C200,$I$2:$I$4077,I200)</f>
        <v>2</v>
      </c>
      <c r="L200" s="3" t="n">
        <f aca="false">IF(COUNTIFS($B$2:B200,B200,$C$2:C200,C200,$I$2:I200,I200)=1,1,0)</f>
        <v>0</v>
      </c>
      <c r="M200" s="3" t="n">
        <f aca="false">IF(K200&gt;=Parametri!$B$1,1,0)</f>
        <v>1</v>
      </c>
      <c r="N200" s="3" t="n">
        <f aca="false">L200*M200</f>
        <v>0</v>
      </c>
    </row>
    <row r="201" customFormat="false" ht="15" hidden="false" customHeight="false" outlineLevel="0" collapsed="false">
      <c r="A201" s="0" t="s">
        <v>431</v>
      </c>
      <c r="B201" s="0" t="s">
        <v>68</v>
      </c>
      <c r="C201" s="0" t="s">
        <v>432</v>
      </c>
      <c r="D201" s="0" t="s">
        <v>66</v>
      </c>
      <c r="E201" s="2" t="n">
        <v>45375</v>
      </c>
      <c r="F201" s="3" t="s">
        <v>27</v>
      </c>
      <c r="G201" s="3" t="s">
        <v>39</v>
      </c>
      <c r="H201" s="3" t="s">
        <v>48</v>
      </c>
      <c r="I201" s="3" t="n">
        <f aca="false">YEAR(E201)</f>
        <v>2024</v>
      </c>
      <c r="J201" s="3" t="n">
        <f aca="false">MONTH(E201)</f>
        <v>3</v>
      </c>
      <c r="K201" s="3" t="n">
        <f aca="false">COUNTIFS($B$2:$B$4077,B201,$C$2:$C$4077,C201,$I$2:$I$4077,I201)</f>
        <v>1</v>
      </c>
      <c r="L201" s="3" t="n">
        <f aca="false">IF(COUNTIFS($B$2:B201,B201,$C$2:C201,C201,$I$2:I201,I201)=1,1,0)</f>
        <v>1</v>
      </c>
      <c r="M201" s="3" t="n">
        <f aca="false">IF(K201&gt;=Parametri!$B$1,1,0)</f>
        <v>0</v>
      </c>
      <c r="N201" s="3" t="n">
        <f aca="false">L201*M201</f>
        <v>0</v>
      </c>
    </row>
    <row r="202" customFormat="false" ht="15" hidden="false" customHeight="false" outlineLevel="0" collapsed="false">
      <c r="A202" s="0" t="s">
        <v>433</v>
      </c>
      <c r="B202" s="0" t="s">
        <v>31</v>
      </c>
      <c r="C202" s="0" t="s">
        <v>434</v>
      </c>
      <c r="D202" s="0" t="s">
        <v>54</v>
      </c>
      <c r="E202" s="2" t="n">
        <v>45553</v>
      </c>
      <c r="F202" s="3" t="s">
        <v>34</v>
      </c>
      <c r="G202" s="3" t="s">
        <v>21</v>
      </c>
      <c r="H202" s="3" t="s">
        <v>22</v>
      </c>
      <c r="I202" s="3" t="n">
        <f aca="false">YEAR(E202)</f>
        <v>2024</v>
      </c>
      <c r="J202" s="3" t="n">
        <f aca="false">MONTH(E202)</f>
        <v>9</v>
      </c>
      <c r="K202" s="3" t="n">
        <f aca="false">COUNTIFS($B$2:$B$4077,B202,$C$2:$C$4077,C202,$I$2:$I$4077,I202)</f>
        <v>2</v>
      </c>
      <c r="L202" s="3" t="n">
        <f aca="false">IF(COUNTIFS($B$2:B202,B202,$C$2:C202,C202,$I$2:I202,I202)=1,1,0)</f>
        <v>1</v>
      </c>
      <c r="M202" s="3" t="n">
        <f aca="false">IF(K202&gt;=Parametri!$B$1,1,0)</f>
        <v>1</v>
      </c>
      <c r="N202" s="3" t="n">
        <f aca="false">L202*M202</f>
        <v>1</v>
      </c>
    </row>
    <row r="203" customFormat="false" ht="15" hidden="false" customHeight="false" outlineLevel="0" collapsed="false">
      <c r="A203" s="0" t="s">
        <v>435</v>
      </c>
      <c r="B203" s="0" t="s">
        <v>57</v>
      </c>
      <c r="C203" s="0" t="s">
        <v>436</v>
      </c>
      <c r="D203" s="0" t="s">
        <v>19</v>
      </c>
      <c r="E203" s="2" t="n">
        <v>45987</v>
      </c>
      <c r="F203" s="3" t="s">
        <v>34</v>
      </c>
      <c r="G203" s="3" t="s">
        <v>35</v>
      </c>
      <c r="H203" s="3" t="s">
        <v>48</v>
      </c>
      <c r="I203" s="3" t="n">
        <f aca="false">YEAR(E203)</f>
        <v>2025</v>
      </c>
      <c r="J203" s="3" t="n">
        <f aca="false">MONTH(E203)</f>
        <v>11</v>
      </c>
      <c r="K203" s="3" t="n">
        <f aca="false">COUNTIFS($B$2:$B$4077,B203,$C$2:$C$4077,C203,$I$2:$I$4077,I203)</f>
        <v>1</v>
      </c>
      <c r="L203" s="3" t="n">
        <f aca="false">IF(COUNTIFS($B$2:B203,B203,$C$2:C203,C203,$I$2:I203,I203)=1,1,0)</f>
        <v>1</v>
      </c>
      <c r="M203" s="3" t="n">
        <f aca="false">IF(K203&gt;=Parametri!$B$1,1,0)</f>
        <v>0</v>
      </c>
      <c r="N203" s="3" t="n">
        <f aca="false">L203*M203</f>
        <v>0</v>
      </c>
    </row>
    <row r="204" customFormat="false" ht="15" hidden="false" customHeight="false" outlineLevel="0" collapsed="false">
      <c r="A204" s="0" t="s">
        <v>437</v>
      </c>
      <c r="B204" s="0" t="s">
        <v>68</v>
      </c>
      <c r="C204" s="0" t="s">
        <v>438</v>
      </c>
      <c r="D204" s="0" t="s">
        <v>26</v>
      </c>
      <c r="E204" s="2" t="n">
        <v>45559</v>
      </c>
      <c r="F204" s="3" t="s">
        <v>20</v>
      </c>
      <c r="G204" s="3" t="s">
        <v>35</v>
      </c>
      <c r="H204" s="3" t="s">
        <v>29</v>
      </c>
      <c r="I204" s="3" t="n">
        <f aca="false">YEAR(E204)</f>
        <v>2024</v>
      </c>
      <c r="J204" s="3" t="n">
        <f aca="false">MONTH(E204)</f>
        <v>9</v>
      </c>
      <c r="K204" s="3" t="n">
        <f aca="false">COUNTIFS($B$2:$B$4077,B204,$C$2:$C$4077,C204,$I$2:$I$4077,I204)</f>
        <v>5</v>
      </c>
      <c r="L204" s="3" t="n">
        <f aca="false">IF(COUNTIFS($B$2:B204,B204,$C$2:C204,C204,$I$2:I204,I204)=1,1,0)</f>
        <v>1</v>
      </c>
      <c r="M204" s="3" t="n">
        <f aca="false">IF(K204&gt;=Parametri!$B$1,1,0)</f>
        <v>1</v>
      </c>
      <c r="N204" s="3" t="n">
        <f aca="false">L204*M204</f>
        <v>1</v>
      </c>
    </row>
    <row r="205" customFormat="false" ht="15" hidden="false" customHeight="false" outlineLevel="0" collapsed="false">
      <c r="A205" s="0" t="s">
        <v>439</v>
      </c>
      <c r="B205" s="0" t="s">
        <v>31</v>
      </c>
      <c r="C205" s="0" t="s">
        <v>440</v>
      </c>
      <c r="D205" s="0" t="s">
        <v>38</v>
      </c>
      <c r="E205" s="2" t="n">
        <v>45295</v>
      </c>
      <c r="F205" s="3" t="s">
        <v>34</v>
      </c>
      <c r="G205" s="3" t="s">
        <v>39</v>
      </c>
      <c r="H205" s="3" t="s">
        <v>44</v>
      </c>
      <c r="I205" s="3" t="n">
        <f aca="false">YEAR(E205)</f>
        <v>2024</v>
      </c>
      <c r="J205" s="3" t="n">
        <f aca="false">MONTH(E205)</f>
        <v>1</v>
      </c>
      <c r="K205" s="3" t="n">
        <f aca="false">COUNTIFS($B$2:$B$4077,B205,$C$2:$C$4077,C205,$I$2:$I$4077,I205)</f>
        <v>1</v>
      </c>
      <c r="L205" s="3" t="n">
        <f aca="false">IF(COUNTIFS($B$2:B205,B205,$C$2:C205,C205,$I$2:I205,I205)=1,1,0)</f>
        <v>1</v>
      </c>
      <c r="M205" s="3" t="n">
        <f aca="false">IF(K205&gt;=Parametri!$B$1,1,0)</f>
        <v>0</v>
      </c>
      <c r="N205" s="3" t="n">
        <f aca="false">L205*M205</f>
        <v>0</v>
      </c>
    </row>
    <row r="206" customFormat="false" ht="15" hidden="false" customHeight="false" outlineLevel="0" collapsed="false">
      <c r="A206" s="0" t="s">
        <v>441</v>
      </c>
      <c r="B206" s="0" t="s">
        <v>57</v>
      </c>
      <c r="C206" s="0" t="s">
        <v>442</v>
      </c>
      <c r="D206" s="0" t="s">
        <v>54</v>
      </c>
      <c r="E206" s="2" t="n">
        <v>46117</v>
      </c>
      <c r="F206" s="3" t="s">
        <v>27</v>
      </c>
      <c r="G206" s="3" t="s">
        <v>72</v>
      </c>
      <c r="H206" s="3" t="s">
        <v>48</v>
      </c>
      <c r="I206" s="3" t="n">
        <f aca="false">YEAR(E206)</f>
        <v>2026</v>
      </c>
      <c r="J206" s="3" t="n">
        <f aca="false">MONTH(E206)</f>
        <v>4</v>
      </c>
      <c r="K206" s="3" t="n">
        <f aca="false">COUNTIFS($B$2:$B$4077,B206,$C$2:$C$4077,C206,$I$2:$I$4077,I206)</f>
        <v>2</v>
      </c>
      <c r="L206" s="3" t="n">
        <f aca="false">IF(COUNTIFS($B$2:B206,B206,$C$2:C206,C206,$I$2:I206,I206)=1,1,0)</f>
        <v>1</v>
      </c>
      <c r="M206" s="3" t="n">
        <f aca="false">IF(K206&gt;=Parametri!$B$1,1,0)</f>
        <v>1</v>
      </c>
      <c r="N206" s="3" t="n">
        <f aca="false">L206*M206</f>
        <v>1</v>
      </c>
    </row>
    <row r="207" customFormat="false" ht="15" hidden="false" customHeight="false" outlineLevel="0" collapsed="false">
      <c r="A207" s="0" t="s">
        <v>443</v>
      </c>
      <c r="B207" s="0" t="s">
        <v>24</v>
      </c>
      <c r="C207" s="0" t="s">
        <v>444</v>
      </c>
      <c r="D207" s="0" t="s">
        <v>63</v>
      </c>
      <c r="E207" s="2" t="n">
        <v>46215</v>
      </c>
      <c r="F207" s="3" t="s">
        <v>20</v>
      </c>
      <c r="G207" s="3" t="s">
        <v>39</v>
      </c>
      <c r="H207" s="3" t="s">
        <v>29</v>
      </c>
      <c r="I207" s="3" t="n">
        <f aca="false">YEAR(E207)</f>
        <v>2026</v>
      </c>
      <c r="J207" s="3" t="n">
        <f aca="false">MONTH(E207)</f>
        <v>7</v>
      </c>
      <c r="K207" s="3" t="n">
        <f aca="false">COUNTIFS($B$2:$B$4077,B207,$C$2:$C$4077,C207,$I$2:$I$4077,I207)</f>
        <v>2</v>
      </c>
      <c r="L207" s="3" t="n">
        <f aca="false">IF(COUNTIFS($B$2:B207,B207,$C$2:C207,C207,$I$2:I207,I207)=1,1,0)</f>
        <v>1</v>
      </c>
      <c r="M207" s="3" t="n">
        <f aca="false">IF(K207&gt;=Parametri!$B$1,1,0)</f>
        <v>1</v>
      </c>
      <c r="N207" s="3" t="n">
        <f aca="false">L207*M207</f>
        <v>1</v>
      </c>
    </row>
    <row r="208" customFormat="false" ht="15" hidden="false" customHeight="false" outlineLevel="0" collapsed="false">
      <c r="A208" s="0" t="s">
        <v>445</v>
      </c>
      <c r="B208" s="0" t="s">
        <v>24</v>
      </c>
      <c r="C208" s="0" t="s">
        <v>325</v>
      </c>
      <c r="D208" s="0" t="s">
        <v>19</v>
      </c>
      <c r="E208" s="2" t="n">
        <v>45368</v>
      </c>
      <c r="F208" s="3" t="s">
        <v>27</v>
      </c>
      <c r="G208" s="3" t="s">
        <v>39</v>
      </c>
      <c r="H208" s="3" t="s">
        <v>22</v>
      </c>
      <c r="I208" s="3" t="n">
        <f aca="false">YEAR(E208)</f>
        <v>2024</v>
      </c>
      <c r="J208" s="3" t="n">
        <f aca="false">MONTH(E208)</f>
        <v>3</v>
      </c>
      <c r="K208" s="3" t="n">
        <f aca="false">COUNTIFS($B$2:$B$4077,B208,$C$2:$C$4077,C208,$I$2:$I$4077,I208)</f>
        <v>7</v>
      </c>
      <c r="L208" s="3" t="n">
        <f aca="false">IF(COUNTIFS($B$2:B208,B208,$C$2:C208,C208,$I$2:I208,I208)=1,1,0)</f>
        <v>1</v>
      </c>
      <c r="M208" s="3" t="n">
        <f aca="false">IF(K208&gt;=Parametri!$B$1,1,0)</f>
        <v>1</v>
      </c>
      <c r="N208" s="3" t="n">
        <f aca="false">L208*M208</f>
        <v>1</v>
      </c>
    </row>
    <row r="209" customFormat="false" ht="15" hidden="false" customHeight="false" outlineLevel="0" collapsed="false">
      <c r="A209" s="0" t="s">
        <v>446</v>
      </c>
      <c r="B209" s="0" t="s">
        <v>24</v>
      </c>
      <c r="C209" s="0" t="s">
        <v>447</v>
      </c>
      <c r="D209" s="0" t="s">
        <v>66</v>
      </c>
      <c r="E209" s="2" t="n">
        <v>45576</v>
      </c>
      <c r="F209" s="3" t="s">
        <v>27</v>
      </c>
      <c r="G209" s="3" t="s">
        <v>35</v>
      </c>
      <c r="H209" s="3" t="s">
        <v>29</v>
      </c>
      <c r="I209" s="3" t="n">
        <f aca="false">YEAR(E209)</f>
        <v>2024</v>
      </c>
      <c r="J209" s="3" t="n">
        <f aca="false">MONTH(E209)</f>
        <v>10</v>
      </c>
      <c r="K209" s="3" t="n">
        <f aca="false">COUNTIFS($B$2:$B$4077,B209,$C$2:$C$4077,C209,$I$2:$I$4077,I209)</f>
        <v>1</v>
      </c>
      <c r="L209" s="3" t="n">
        <f aca="false">IF(COUNTIFS($B$2:B209,B209,$C$2:C209,C209,$I$2:I209,I209)=1,1,0)</f>
        <v>1</v>
      </c>
      <c r="M209" s="3" t="n">
        <f aca="false">IF(K209&gt;=Parametri!$B$1,1,0)</f>
        <v>0</v>
      </c>
      <c r="N209" s="3" t="n">
        <f aca="false">L209*M209</f>
        <v>0</v>
      </c>
    </row>
    <row r="210" customFormat="false" ht="15" hidden="false" customHeight="false" outlineLevel="0" collapsed="false">
      <c r="A210" s="0" t="s">
        <v>448</v>
      </c>
      <c r="B210" s="0" t="s">
        <v>79</v>
      </c>
      <c r="C210" s="0" t="s">
        <v>327</v>
      </c>
      <c r="D210" s="0" t="s">
        <v>54</v>
      </c>
      <c r="E210" s="2" t="n">
        <v>45843</v>
      </c>
      <c r="F210" s="3" t="s">
        <v>20</v>
      </c>
      <c r="G210" s="3" t="s">
        <v>72</v>
      </c>
      <c r="H210" s="3" t="s">
        <v>44</v>
      </c>
      <c r="I210" s="3" t="n">
        <f aca="false">YEAR(E210)</f>
        <v>2025</v>
      </c>
      <c r="J210" s="3" t="n">
        <f aca="false">MONTH(E210)</f>
        <v>7</v>
      </c>
      <c r="K210" s="3" t="n">
        <f aca="false">COUNTIFS($B$2:$B$4077,B210,$C$2:$C$4077,C210,$I$2:$I$4077,I210)</f>
        <v>4</v>
      </c>
      <c r="L210" s="3" t="n">
        <f aca="false">IF(COUNTIFS($B$2:B210,B210,$C$2:C210,C210,$I$2:I210,I210)=1,1,0)</f>
        <v>0</v>
      </c>
      <c r="M210" s="3" t="n">
        <f aca="false">IF(K210&gt;=Parametri!$B$1,1,0)</f>
        <v>1</v>
      </c>
      <c r="N210" s="3" t="n">
        <f aca="false">L210*M210</f>
        <v>0</v>
      </c>
    </row>
    <row r="211" customFormat="false" ht="15" hidden="false" customHeight="false" outlineLevel="0" collapsed="false">
      <c r="A211" s="0" t="s">
        <v>449</v>
      </c>
      <c r="B211" s="0" t="s">
        <v>68</v>
      </c>
      <c r="C211" s="0" t="s">
        <v>450</v>
      </c>
      <c r="D211" s="0" t="s">
        <v>33</v>
      </c>
      <c r="E211" s="2" t="n">
        <v>45859</v>
      </c>
      <c r="F211" s="3" t="s">
        <v>27</v>
      </c>
      <c r="G211" s="3" t="s">
        <v>39</v>
      </c>
      <c r="H211" s="3" t="s">
        <v>22</v>
      </c>
      <c r="I211" s="3" t="n">
        <f aca="false">YEAR(E211)</f>
        <v>2025</v>
      </c>
      <c r="J211" s="3" t="n">
        <f aca="false">MONTH(E211)</f>
        <v>7</v>
      </c>
      <c r="K211" s="3" t="n">
        <f aca="false">COUNTIFS($B$2:$B$4077,B211,$C$2:$C$4077,C211,$I$2:$I$4077,I211)</f>
        <v>1</v>
      </c>
      <c r="L211" s="3" t="n">
        <f aca="false">IF(COUNTIFS($B$2:B211,B211,$C$2:C211,C211,$I$2:I211,I211)=1,1,0)</f>
        <v>1</v>
      </c>
      <c r="M211" s="3" t="n">
        <f aca="false">IF(K211&gt;=Parametri!$B$1,1,0)</f>
        <v>0</v>
      </c>
      <c r="N211" s="3" t="n">
        <f aca="false">L211*M211</f>
        <v>0</v>
      </c>
    </row>
    <row r="212" customFormat="false" ht="15" hidden="false" customHeight="false" outlineLevel="0" collapsed="false">
      <c r="A212" s="0" t="s">
        <v>451</v>
      </c>
      <c r="B212" s="0" t="s">
        <v>17</v>
      </c>
      <c r="C212" s="0" t="s">
        <v>452</v>
      </c>
      <c r="D212" s="0" t="s">
        <v>63</v>
      </c>
      <c r="E212" s="2" t="n">
        <v>45735</v>
      </c>
      <c r="F212" s="3" t="s">
        <v>34</v>
      </c>
      <c r="G212" s="3" t="s">
        <v>55</v>
      </c>
      <c r="H212" s="3" t="s">
        <v>44</v>
      </c>
      <c r="I212" s="3" t="n">
        <f aca="false">YEAR(E212)</f>
        <v>2025</v>
      </c>
      <c r="J212" s="3" t="n">
        <f aca="false">MONTH(E212)</f>
        <v>3</v>
      </c>
      <c r="K212" s="3" t="n">
        <f aca="false">COUNTIFS($B$2:$B$4077,B212,$C$2:$C$4077,C212,$I$2:$I$4077,I212)</f>
        <v>2</v>
      </c>
      <c r="L212" s="3" t="n">
        <f aca="false">IF(COUNTIFS($B$2:B212,B212,$C$2:C212,C212,$I$2:I212,I212)=1,1,0)</f>
        <v>1</v>
      </c>
      <c r="M212" s="3" t="n">
        <f aca="false">IF(K212&gt;=Parametri!$B$1,1,0)</f>
        <v>1</v>
      </c>
      <c r="N212" s="3" t="n">
        <f aca="false">L212*M212</f>
        <v>1</v>
      </c>
    </row>
    <row r="213" customFormat="false" ht="15" hidden="false" customHeight="false" outlineLevel="0" collapsed="false">
      <c r="A213" s="0" t="s">
        <v>453</v>
      </c>
      <c r="B213" s="0" t="s">
        <v>46</v>
      </c>
      <c r="C213" s="0" t="s">
        <v>454</v>
      </c>
      <c r="D213" s="0" t="s">
        <v>19</v>
      </c>
      <c r="E213" s="2" t="n">
        <v>45950</v>
      </c>
      <c r="F213" s="3" t="s">
        <v>27</v>
      </c>
      <c r="G213" s="3" t="s">
        <v>89</v>
      </c>
      <c r="H213" s="3" t="s">
        <v>48</v>
      </c>
      <c r="I213" s="3" t="n">
        <f aca="false">YEAR(E213)</f>
        <v>2025</v>
      </c>
      <c r="J213" s="3" t="n">
        <f aca="false">MONTH(E213)</f>
        <v>10</v>
      </c>
      <c r="K213" s="3" t="n">
        <f aca="false">COUNTIFS($B$2:$B$4077,B213,$C$2:$C$4077,C213,$I$2:$I$4077,I213)</f>
        <v>1</v>
      </c>
      <c r="L213" s="3" t="n">
        <f aca="false">IF(COUNTIFS($B$2:B213,B213,$C$2:C213,C213,$I$2:I213,I213)=1,1,0)</f>
        <v>1</v>
      </c>
      <c r="M213" s="3" t="n">
        <f aca="false">IF(K213&gt;=Parametri!$B$1,1,0)</f>
        <v>0</v>
      </c>
      <c r="N213" s="3" t="n">
        <f aca="false">L213*M213</f>
        <v>0</v>
      </c>
    </row>
    <row r="214" customFormat="false" ht="15" hidden="false" customHeight="false" outlineLevel="0" collapsed="false">
      <c r="A214" s="0" t="s">
        <v>455</v>
      </c>
      <c r="B214" s="0" t="s">
        <v>41</v>
      </c>
      <c r="C214" s="0" t="s">
        <v>456</v>
      </c>
      <c r="D214" s="0" t="s">
        <v>66</v>
      </c>
      <c r="E214" s="2" t="n">
        <v>46196</v>
      </c>
      <c r="F214" s="3" t="s">
        <v>20</v>
      </c>
      <c r="G214" s="3" t="s">
        <v>21</v>
      </c>
      <c r="H214" s="3" t="s">
        <v>48</v>
      </c>
      <c r="I214" s="3" t="n">
        <f aca="false">YEAR(E214)</f>
        <v>2026</v>
      </c>
      <c r="J214" s="3" t="n">
        <f aca="false">MONTH(E214)</f>
        <v>6</v>
      </c>
      <c r="K214" s="3" t="n">
        <f aca="false">COUNTIFS($B$2:$B$4077,B214,$C$2:$C$4077,C214,$I$2:$I$4077,I214)</f>
        <v>2</v>
      </c>
      <c r="L214" s="3" t="n">
        <f aca="false">IF(COUNTIFS($B$2:B214,B214,$C$2:C214,C214,$I$2:I214,I214)=1,1,0)</f>
        <v>1</v>
      </c>
      <c r="M214" s="3" t="n">
        <f aca="false">IF(K214&gt;=Parametri!$B$1,1,0)</f>
        <v>1</v>
      </c>
      <c r="N214" s="3" t="n">
        <f aca="false">L214*M214</f>
        <v>1</v>
      </c>
    </row>
    <row r="215" customFormat="false" ht="15" hidden="false" customHeight="false" outlineLevel="0" collapsed="false">
      <c r="A215" s="0" t="s">
        <v>457</v>
      </c>
      <c r="B215" s="0" t="s">
        <v>17</v>
      </c>
      <c r="C215" s="0" t="s">
        <v>458</v>
      </c>
      <c r="D215" s="0" t="s">
        <v>19</v>
      </c>
      <c r="E215" s="2" t="n">
        <v>45733</v>
      </c>
      <c r="F215" s="3" t="s">
        <v>27</v>
      </c>
      <c r="G215" s="3" t="s">
        <v>28</v>
      </c>
      <c r="H215" s="3" t="s">
        <v>44</v>
      </c>
      <c r="I215" s="3" t="n">
        <f aca="false">YEAR(E215)</f>
        <v>2025</v>
      </c>
      <c r="J215" s="3" t="n">
        <f aca="false">MONTH(E215)</f>
        <v>3</v>
      </c>
      <c r="K215" s="3" t="n">
        <f aca="false">COUNTIFS($B$2:$B$4077,B215,$C$2:$C$4077,C215,$I$2:$I$4077,I215)</f>
        <v>6</v>
      </c>
      <c r="L215" s="3" t="n">
        <f aca="false">IF(COUNTIFS($B$2:B215,B215,$C$2:C215,C215,$I$2:I215,I215)=1,1,0)</f>
        <v>1</v>
      </c>
      <c r="M215" s="3" t="n">
        <f aca="false">IF(K215&gt;=Parametri!$B$1,1,0)</f>
        <v>1</v>
      </c>
      <c r="N215" s="3" t="n">
        <f aca="false">L215*M215</f>
        <v>1</v>
      </c>
    </row>
    <row r="216" customFormat="false" ht="15" hidden="false" customHeight="false" outlineLevel="0" collapsed="false">
      <c r="A216" s="0" t="s">
        <v>459</v>
      </c>
      <c r="B216" s="0" t="s">
        <v>24</v>
      </c>
      <c r="C216" s="0" t="s">
        <v>460</v>
      </c>
      <c r="D216" s="0" t="s">
        <v>77</v>
      </c>
      <c r="E216" s="2" t="n">
        <v>45704</v>
      </c>
      <c r="F216" s="3" t="s">
        <v>27</v>
      </c>
      <c r="G216" s="3" t="s">
        <v>39</v>
      </c>
      <c r="H216" s="3" t="s">
        <v>22</v>
      </c>
      <c r="I216" s="3" t="n">
        <f aca="false">YEAR(E216)</f>
        <v>2025</v>
      </c>
      <c r="J216" s="3" t="n">
        <f aca="false">MONTH(E216)</f>
        <v>2</v>
      </c>
      <c r="K216" s="3" t="n">
        <f aca="false">COUNTIFS($B$2:$B$4077,B216,$C$2:$C$4077,C216,$I$2:$I$4077,I216)</f>
        <v>1</v>
      </c>
      <c r="L216" s="3" t="n">
        <f aca="false">IF(COUNTIFS($B$2:B216,B216,$C$2:C216,C216,$I$2:I216,I216)=1,1,0)</f>
        <v>1</v>
      </c>
      <c r="M216" s="3" t="n">
        <f aca="false">IF(K216&gt;=Parametri!$B$1,1,0)</f>
        <v>0</v>
      </c>
      <c r="N216" s="3" t="n">
        <f aca="false">L216*M216</f>
        <v>0</v>
      </c>
    </row>
    <row r="217" customFormat="false" ht="15" hidden="false" customHeight="false" outlineLevel="0" collapsed="false">
      <c r="A217" s="0" t="s">
        <v>461</v>
      </c>
      <c r="B217" s="0" t="s">
        <v>24</v>
      </c>
      <c r="C217" s="0" t="s">
        <v>204</v>
      </c>
      <c r="D217" s="0" t="s">
        <v>54</v>
      </c>
      <c r="E217" s="2" t="n">
        <v>46183</v>
      </c>
      <c r="F217" s="3" t="s">
        <v>34</v>
      </c>
      <c r="G217" s="3" t="s">
        <v>43</v>
      </c>
      <c r="H217" s="3" t="s">
        <v>48</v>
      </c>
      <c r="I217" s="3" t="n">
        <f aca="false">YEAR(E217)</f>
        <v>2026</v>
      </c>
      <c r="J217" s="3" t="n">
        <f aca="false">MONTH(E217)</f>
        <v>6</v>
      </c>
      <c r="K217" s="3" t="n">
        <f aca="false">COUNTIFS($B$2:$B$4077,B217,$C$2:$C$4077,C217,$I$2:$I$4077,I217)</f>
        <v>2</v>
      </c>
      <c r="L217" s="3" t="n">
        <f aca="false">IF(COUNTIFS($B$2:B217,B217,$C$2:C217,C217,$I$2:I217,I217)=1,1,0)</f>
        <v>1</v>
      </c>
      <c r="M217" s="3" t="n">
        <f aca="false">IF(K217&gt;=Parametri!$B$1,1,0)</f>
        <v>1</v>
      </c>
      <c r="N217" s="3" t="n">
        <f aca="false">L217*M217</f>
        <v>1</v>
      </c>
    </row>
    <row r="218" customFormat="false" ht="15" hidden="false" customHeight="false" outlineLevel="0" collapsed="false">
      <c r="A218" s="0" t="s">
        <v>462</v>
      </c>
      <c r="B218" s="0" t="s">
        <v>79</v>
      </c>
      <c r="C218" s="0" t="s">
        <v>463</v>
      </c>
      <c r="D218" s="0" t="s">
        <v>77</v>
      </c>
      <c r="E218" s="2" t="n">
        <v>45722</v>
      </c>
      <c r="F218" s="3" t="s">
        <v>20</v>
      </c>
      <c r="G218" s="3" t="s">
        <v>28</v>
      </c>
      <c r="H218" s="3" t="s">
        <v>48</v>
      </c>
      <c r="I218" s="3" t="n">
        <f aca="false">YEAR(E218)</f>
        <v>2025</v>
      </c>
      <c r="J218" s="3" t="n">
        <f aca="false">MONTH(E218)</f>
        <v>3</v>
      </c>
      <c r="K218" s="3" t="n">
        <f aca="false">COUNTIFS($B$2:$B$4077,B218,$C$2:$C$4077,C218,$I$2:$I$4077,I218)</f>
        <v>2</v>
      </c>
      <c r="L218" s="3" t="n">
        <f aca="false">IF(COUNTIFS($B$2:B218,B218,$C$2:C218,C218,$I$2:I218,I218)=1,1,0)</f>
        <v>1</v>
      </c>
      <c r="M218" s="3" t="n">
        <f aca="false">IF(K218&gt;=Parametri!$B$1,1,0)</f>
        <v>1</v>
      </c>
      <c r="N218" s="3" t="n">
        <f aca="false">L218*M218</f>
        <v>1</v>
      </c>
    </row>
    <row r="219" customFormat="false" ht="15" hidden="false" customHeight="false" outlineLevel="0" collapsed="false">
      <c r="A219" s="0" t="s">
        <v>464</v>
      </c>
      <c r="B219" s="0" t="s">
        <v>57</v>
      </c>
      <c r="C219" s="0" t="s">
        <v>465</v>
      </c>
      <c r="D219" s="0" t="s">
        <v>54</v>
      </c>
      <c r="E219" s="2" t="n">
        <v>45656</v>
      </c>
      <c r="F219" s="3" t="s">
        <v>34</v>
      </c>
      <c r="G219" s="3" t="s">
        <v>43</v>
      </c>
      <c r="H219" s="3" t="s">
        <v>44</v>
      </c>
      <c r="I219" s="3" t="n">
        <f aca="false">YEAR(E219)</f>
        <v>2024</v>
      </c>
      <c r="J219" s="3" t="n">
        <f aca="false">MONTH(E219)</f>
        <v>12</v>
      </c>
      <c r="K219" s="3" t="n">
        <f aca="false">COUNTIFS($B$2:$B$4077,B219,$C$2:$C$4077,C219,$I$2:$I$4077,I219)</f>
        <v>2</v>
      </c>
      <c r="L219" s="3" t="n">
        <f aca="false">IF(COUNTIFS($B$2:B219,B219,$C$2:C219,C219,$I$2:I219,I219)=1,1,0)</f>
        <v>1</v>
      </c>
      <c r="M219" s="3" t="n">
        <f aca="false">IF(K219&gt;=Parametri!$B$1,1,0)</f>
        <v>1</v>
      </c>
      <c r="N219" s="3" t="n">
        <f aca="false">L219*M219</f>
        <v>1</v>
      </c>
    </row>
    <row r="220" customFormat="false" ht="15" hidden="false" customHeight="false" outlineLevel="0" collapsed="false">
      <c r="A220" s="0" t="s">
        <v>466</v>
      </c>
      <c r="B220" s="0" t="s">
        <v>68</v>
      </c>
      <c r="C220" s="0" t="s">
        <v>467</v>
      </c>
      <c r="D220" s="0" t="s">
        <v>54</v>
      </c>
      <c r="E220" s="2" t="n">
        <v>46208</v>
      </c>
      <c r="F220" s="3" t="s">
        <v>20</v>
      </c>
      <c r="G220" s="3" t="s">
        <v>35</v>
      </c>
      <c r="H220" s="3" t="s">
        <v>22</v>
      </c>
      <c r="I220" s="3" t="n">
        <f aca="false">YEAR(E220)</f>
        <v>2026</v>
      </c>
      <c r="J220" s="3" t="n">
        <f aca="false">MONTH(E220)</f>
        <v>7</v>
      </c>
      <c r="K220" s="3" t="n">
        <f aca="false">COUNTIFS($B$2:$B$4077,B220,$C$2:$C$4077,C220,$I$2:$I$4077,I220)</f>
        <v>1</v>
      </c>
      <c r="L220" s="3" t="n">
        <f aca="false">IF(COUNTIFS($B$2:B220,B220,$C$2:C220,C220,$I$2:I220,I220)=1,1,0)</f>
        <v>1</v>
      </c>
      <c r="M220" s="3" t="n">
        <f aca="false">IF(K220&gt;=Parametri!$B$1,1,0)</f>
        <v>0</v>
      </c>
      <c r="N220" s="3" t="n">
        <f aca="false">L220*M220</f>
        <v>0</v>
      </c>
    </row>
    <row r="221" customFormat="false" ht="15" hidden="false" customHeight="false" outlineLevel="0" collapsed="false">
      <c r="A221" s="0" t="s">
        <v>468</v>
      </c>
      <c r="B221" s="0" t="s">
        <v>17</v>
      </c>
      <c r="C221" s="0" t="s">
        <v>469</v>
      </c>
      <c r="D221" s="0" t="s">
        <v>33</v>
      </c>
      <c r="E221" s="2" t="n">
        <v>45742</v>
      </c>
      <c r="F221" s="3" t="s">
        <v>20</v>
      </c>
      <c r="G221" s="3" t="s">
        <v>43</v>
      </c>
      <c r="H221" s="3" t="s">
        <v>44</v>
      </c>
      <c r="I221" s="3" t="n">
        <f aca="false">YEAR(E221)</f>
        <v>2025</v>
      </c>
      <c r="J221" s="3" t="n">
        <f aca="false">MONTH(E221)</f>
        <v>3</v>
      </c>
      <c r="K221" s="3" t="n">
        <f aca="false">COUNTIFS($B$2:$B$4077,B221,$C$2:$C$4077,C221,$I$2:$I$4077,I221)</f>
        <v>1</v>
      </c>
      <c r="L221" s="3" t="n">
        <f aca="false">IF(COUNTIFS($B$2:B221,B221,$C$2:C221,C221,$I$2:I221,I221)=1,1,0)</f>
        <v>1</v>
      </c>
      <c r="M221" s="3" t="n">
        <f aca="false">IF(K221&gt;=Parametri!$B$1,1,0)</f>
        <v>0</v>
      </c>
      <c r="N221" s="3" t="n">
        <f aca="false">L221*M221</f>
        <v>0</v>
      </c>
    </row>
    <row r="222" customFormat="false" ht="15" hidden="false" customHeight="false" outlineLevel="0" collapsed="false">
      <c r="A222" s="0" t="s">
        <v>470</v>
      </c>
      <c r="B222" s="0" t="s">
        <v>79</v>
      </c>
      <c r="C222" s="0" t="s">
        <v>471</v>
      </c>
      <c r="D222" s="0" t="s">
        <v>77</v>
      </c>
      <c r="E222" s="2" t="n">
        <v>45645</v>
      </c>
      <c r="F222" s="3" t="s">
        <v>20</v>
      </c>
      <c r="G222" s="3" t="s">
        <v>43</v>
      </c>
      <c r="H222" s="3" t="s">
        <v>22</v>
      </c>
      <c r="I222" s="3" t="n">
        <f aca="false">YEAR(E222)</f>
        <v>2024</v>
      </c>
      <c r="J222" s="3" t="n">
        <f aca="false">MONTH(E222)</f>
        <v>12</v>
      </c>
      <c r="K222" s="3" t="n">
        <f aca="false">COUNTIFS($B$2:$B$4077,B222,$C$2:$C$4077,C222,$I$2:$I$4077,I222)</f>
        <v>2</v>
      </c>
      <c r="L222" s="3" t="n">
        <f aca="false">IF(COUNTIFS($B$2:B222,B222,$C$2:C222,C222,$I$2:I222,I222)=1,1,0)</f>
        <v>1</v>
      </c>
      <c r="M222" s="3" t="n">
        <f aca="false">IF(K222&gt;=Parametri!$B$1,1,0)</f>
        <v>1</v>
      </c>
      <c r="N222" s="3" t="n">
        <f aca="false">L222*M222</f>
        <v>1</v>
      </c>
    </row>
    <row r="223" customFormat="false" ht="15" hidden="false" customHeight="false" outlineLevel="0" collapsed="false">
      <c r="A223" s="0" t="s">
        <v>472</v>
      </c>
      <c r="B223" s="0" t="s">
        <v>41</v>
      </c>
      <c r="C223" s="0" t="s">
        <v>473</v>
      </c>
      <c r="D223" s="0" t="s">
        <v>63</v>
      </c>
      <c r="E223" s="2" t="n">
        <v>45462</v>
      </c>
      <c r="F223" s="3" t="s">
        <v>20</v>
      </c>
      <c r="G223" s="3" t="s">
        <v>35</v>
      </c>
      <c r="H223" s="3" t="s">
        <v>48</v>
      </c>
      <c r="I223" s="3" t="n">
        <f aca="false">YEAR(E223)</f>
        <v>2024</v>
      </c>
      <c r="J223" s="3" t="n">
        <f aca="false">MONTH(E223)</f>
        <v>6</v>
      </c>
      <c r="K223" s="3" t="n">
        <f aca="false">COUNTIFS($B$2:$B$4077,B223,$C$2:$C$4077,C223,$I$2:$I$4077,I223)</f>
        <v>1</v>
      </c>
      <c r="L223" s="3" t="n">
        <f aca="false">IF(COUNTIFS($B$2:B223,B223,$C$2:C223,C223,$I$2:I223,I223)=1,1,0)</f>
        <v>1</v>
      </c>
      <c r="M223" s="3" t="n">
        <f aca="false">IF(K223&gt;=Parametri!$B$1,1,0)</f>
        <v>0</v>
      </c>
      <c r="N223" s="3" t="n">
        <f aca="false">L223*M223</f>
        <v>0</v>
      </c>
    </row>
    <row r="224" customFormat="false" ht="15" hidden="false" customHeight="false" outlineLevel="0" collapsed="false">
      <c r="A224" s="0" t="s">
        <v>474</v>
      </c>
      <c r="B224" s="0" t="s">
        <v>31</v>
      </c>
      <c r="C224" s="0" t="s">
        <v>475</v>
      </c>
      <c r="D224" s="0" t="s">
        <v>63</v>
      </c>
      <c r="E224" s="2" t="n">
        <v>45468</v>
      </c>
      <c r="F224" s="3" t="s">
        <v>34</v>
      </c>
      <c r="G224" s="3" t="s">
        <v>43</v>
      </c>
      <c r="H224" s="3" t="s">
        <v>48</v>
      </c>
      <c r="I224" s="3" t="n">
        <f aca="false">YEAR(E224)</f>
        <v>2024</v>
      </c>
      <c r="J224" s="3" t="n">
        <f aca="false">MONTH(E224)</f>
        <v>6</v>
      </c>
      <c r="K224" s="3" t="n">
        <f aca="false">COUNTIFS($B$2:$B$4077,B224,$C$2:$C$4077,C224,$I$2:$I$4077,I224)</f>
        <v>3</v>
      </c>
      <c r="L224" s="3" t="n">
        <f aca="false">IF(COUNTIFS($B$2:B224,B224,$C$2:C224,C224,$I$2:I224,I224)=1,1,0)</f>
        <v>1</v>
      </c>
      <c r="M224" s="3" t="n">
        <f aca="false">IF(K224&gt;=Parametri!$B$1,1,0)</f>
        <v>1</v>
      </c>
      <c r="N224" s="3" t="n">
        <f aca="false">L224*M224</f>
        <v>1</v>
      </c>
    </row>
    <row r="225" customFormat="false" ht="15" hidden="false" customHeight="false" outlineLevel="0" collapsed="false">
      <c r="A225" s="0" t="s">
        <v>476</v>
      </c>
      <c r="B225" s="0" t="s">
        <v>24</v>
      </c>
      <c r="C225" s="0" t="s">
        <v>271</v>
      </c>
      <c r="D225" s="0" t="s">
        <v>26</v>
      </c>
      <c r="E225" s="2" t="n">
        <v>45362</v>
      </c>
      <c r="F225" s="3" t="s">
        <v>27</v>
      </c>
      <c r="G225" s="3" t="s">
        <v>55</v>
      </c>
      <c r="H225" s="3" t="s">
        <v>44</v>
      </c>
      <c r="I225" s="3" t="n">
        <f aca="false">YEAR(E225)</f>
        <v>2024</v>
      </c>
      <c r="J225" s="3" t="n">
        <f aca="false">MONTH(E225)</f>
        <v>3</v>
      </c>
      <c r="K225" s="3" t="n">
        <f aca="false">COUNTIFS($B$2:$B$4077,B225,$C$2:$C$4077,C225,$I$2:$I$4077,I225)</f>
        <v>6</v>
      </c>
      <c r="L225" s="3" t="n">
        <f aca="false">IF(COUNTIFS($B$2:B225,B225,$C$2:C225,C225,$I$2:I225,I225)=1,1,0)</f>
        <v>0</v>
      </c>
      <c r="M225" s="3" t="n">
        <f aca="false">IF(K225&gt;=Parametri!$B$1,1,0)</f>
        <v>1</v>
      </c>
      <c r="N225" s="3" t="n">
        <f aca="false">L225*M225</f>
        <v>0</v>
      </c>
    </row>
    <row r="226" customFormat="false" ht="15" hidden="false" customHeight="false" outlineLevel="0" collapsed="false">
      <c r="A226" s="0" t="s">
        <v>477</v>
      </c>
      <c r="B226" s="0" t="s">
        <v>24</v>
      </c>
      <c r="C226" s="0" t="s">
        <v>478</v>
      </c>
      <c r="D226" s="0" t="s">
        <v>66</v>
      </c>
      <c r="E226" s="2" t="n">
        <v>45680</v>
      </c>
      <c r="F226" s="3" t="s">
        <v>27</v>
      </c>
      <c r="G226" s="3" t="s">
        <v>35</v>
      </c>
      <c r="H226" s="3" t="s">
        <v>29</v>
      </c>
      <c r="I226" s="3" t="n">
        <f aca="false">YEAR(E226)</f>
        <v>2025</v>
      </c>
      <c r="J226" s="3" t="n">
        <f aca="false">MONTH(E226)</f>
        <v>1</v>
      </c>
      <c r="K226" s="3" t="n">
        <f aca="false">COUNTIFS($B$2:$B$4077,B226,$C$2:$C$4077,C226,$I$2:$I$4077,I226)</f>
        <v>1</v>
      </c>
      <c r="L226" s="3" t="n">
        <f aca="false">IF(COUNTIFS($B$2:B226,B226,$C$2:C226,C226,$I$2:I226,I226)=1,1,0)</f>
        <v>1</v>
      </c>
      <c r="M226" s="3" t="n">
        <f aca="false">IF(K226&gt;=Parametri!$B$1,1,0)</f>
        <v>0</v>
      </c>
      <c r="N226" s="3" t="n">
        <f aca="false">L226*M226</f>
        <v>0</v>
      </c>
    </row>
    <row r="227" customFormat="false" ht="15" hidden="false" customHeight="false" outlineLevel="0" collapsed="false">
      <c r="A227" s="0" t="s">
        <v>479</v>
      </c>
      <c r="B227" s="0" t="s">
        <v>124</v>
      </c>
      <c r="C227" s="0" t="s">
        <v>393</v>
      </c>
      <c r="D227" s="0" t="s">
        <v>77</v>
      </c>
      <c r="E227" s="2" t="n">
        <v>45964</v>
      </c>
      <c r="F227" s="3" t="s">
        <v>20</v>
      </c>
      <c r="G227" s="3" t="s">
        <v>72</v>
      </c>
      <c r="H227" s="3" t="s">
        <v>48</v>
      </c>
      <c r="I227" s="3" t="n">
        <f aca="false">YEAR(E227)</f>
        <v>2025</v>
      </c>
      <c r="J227" s="3" t="n">
        <f aca="false">MONTH(E227)</f>
        <v>11</v>
      </c>
      <c r="K227" s="3" t="n">
        <f aca="false">COUNTIFS($B$2:$B$4077,B227,$C$2:$C$4077,C227,$I$2:$I$4077,I227)</f>
        <v>1</v>
      </c>
      <c r="L227" s="3" t="n">
        <f aca="false">IF(COUNTIFS($B$2:B227,B227,$C$2:C227,C227,$I$2:I227,I227)=1,1,0)</f>
        <v>1</v>
      </c>
      <c r="M227" s="3" t="n">
        <f aca="false">IF(K227&gt;=Parametri!$B$1,1,0)</f>
        <v>0</v>
      </c>
      <c r="N227" s="3" t="n">
        <f aca="false">L227*M227</f>
        <v>0</v>
      </c>
    </row>
    <row r="228" customFormat="false" ht="15" hidden="false" customHeight="false" outlineLevel="0" collapsed="false">
      <c r="A228" s="0" t="s">
        <v>480</v>
      </c>
      <c r="B228" s="0" t="s">
        <v>17</v>
      </c>
      <c r="C228" s="0" t="s">
        <v>481</v>
      </c>
      <c r="D228" s="0" t="s">
        <v>19</v>
      </c>
      <c r="E228" s="2" t="n">
        <v>46163</v>
      </c>
      <c r="F228" s="3" t="s">
        <v>34</v>
      </c>
      <c r="G228" s="3" t="s">
        <v>35</v>
      </c>
      <c r="H228" s="3" t="s">
        <v>22</v>
      </c>
      <c r="I228" s="3" t="n">
        <f aca="false">YEAR(E228)</f>
        <v>2026</v>
      </c>
      <c r="J228" s="3" t="n">
        <f aca="false">MONTH(E228)</f>
        <v>5</v>
      </c>
      <c r="K228" s="3" t="n">
        <f aca="false">COUNTIFS($B$2:$B$4077,B228,$C$2:$C$4077,C228,$I$2:$I$4077,I228)</f>
        <v>5</v>
      </c>
      <c r="L228" s="3" t="n">
        <f aca="false">IF(COUNTIFS($B$2:B228,B228,$C$2:C228,C228,$I$2:I228,I228)=1,1,0)</f>
        <v>1</v>
      </c>
      <c r="M228" s="3" t="n">
        <f aca="false">IF(K228&gt;=Parametri!$B$1,1,0)</f>
        <v>1</v>
      </c>
      <c r="N228" s="3" t="n">
        <f aca="false">L228*M228</f>
        <v>1</v>
      </c>
    </row>
    <row r="229" customFormat="false" ht="15" hidden="false" customHeight="false" outlineLevel="0" collapsed="false">
      <c r="A229" s="0" t="s">
        <v>482</v>
      </c>
      <c r="B229" s="0" t="s">
        <v>124</v>
      </c>
      <c r="C229" s="0" t="s">
        <v>483</v>
      </c>
      <c r="D229" s="0" t="s">
        <v>19</v>
      </c>
      <c r="E229" s="2" t="n">
        <v>45573</v>
      </c>
      <c r="F229" s="3" t="s">
        <v>20</v>
      </c>
      <c r="G229" s="3" t="s">
        <v>43</v>
      </c>
      <c r="H229" s="3" t="s">
        <v>22</v>
      </c>
      <c r="I229" s="3" t="n">
        <f aca="false">YEAR(E229)</f>
        <v>2024</v>
      </c>
      <c r="J229" s="3" t="n">
        <f aca="false">MONTH(E229)</f>
        <v>10</v>
      </c>
      <c r="K229" s="3" t="n">
        <f aca="false">COUNTIFS($B$2:$B$4077,B229,$C$2:$C$4077,C229,$I$2:$I$4077,I229)</f>
        <v>3</v>
      </c>
      <c r="L229" s="3" t="n">
        <f aca="false">IF(COUNTIFS($B$2:B229,B229,$C$2:C229,C229,$I$2:I229,I229)=1,1,0)</f>
        <v>1</v>
      </c>
      <c r="M229" s="3" t="n">
        <f aca="false">IF(K229&gt;=Parametri!$B$1,1,0)</f>
        <v>1</v>
      </c>
      <c r="N229" s="3" t="n">
        <f aca="false">L229*M229</f>
        <v>1</v>
      </c>
    </row>
    <row r="230" customFormat="false" ht="15" hidden="false" customHeight="false" outlineLevel="0" collapsed="false">
      <c r="A230" s="0" t="s">
        <v>484</v>
      </c>
      <c r="B230" s="0" t="s">
        <v>41</v>
      </c>
      <c r="C230" s="0" t="s">
        <v>485</v>
      </c>
      <c r="D230" s="0" t="s">
        <v>19</v>
      </c>
      <c r="E230" s="2" t="n">
        <v>46262</v>
      </c>
      <c r="F230" s="3" t="s">
        <v>27</v>
      </c>
      <c r="G230" s="3" t="s">
        <v>89</v>
      </c>
      <c r="H230" s="3" t="s">
        <v>22</v>
      </c>
      <c r="I230" s="3" t="n">
        <f aca="false">YEAR(E230)</f>
        <v>2026</v>
      </c>
      <c r="J230" s="3" t="n">
        <f aca="false">MONTH(E230)</f>
        <v>8</v>
      </c>
      <c r="K230" s="3" t="n">
        <f aca="false">COUNTIFS($B$2:$B$4077,B230,$C$2:$C$4077,C230,$I$2:$I$4077,I230)</f>
        <v>1</v>
      </c>
      <c r="L230" s="3" t="n">
        <f aca="false">IF(COUNTIFS($B$2:B230,B230,$C$2:C230,C230,$I$2:I230,I230)=1,1,0)</f>
        <v>1</v>
      </c>
      <c r="M230" s="3" t="n">
        <f aca="false">IF(K230&gt;=Parametri!$B$1,1,0)</f>
        <v>0</v>
      </c>
      <c r="N230" s="3" t="n">
        <f aca="false">L230*M230</f>
        <v>0</v>
      </c>
    </row>
    <row r="231" customFormat="false" ht="15" hidden="false" customHeight="false" outlineLevel="0" collapsed="false">
      <c r="A231" s="0" t="s">
        <v>486</v>
      </c>
      <c r="B231" s="0" t="s">
        <v>17</v>
      </c>
      <c r="C231" s="0" t="s">
        <v>487</v>
      </c>
      <c r="D231" s="0" t="s">
        <v>54</v>
      </c>
      <c r="E231" s="2" t="n">
        <v>46257</v>
      </c>
      <c r="F231" s="3" t="s">
        <v>27</v>
      </c>
      <c r="G231" s="3" t="s">
        <v>35</v>
      </c>
      <c r="H231" s="3" t="s">
        <v>22</v>
      </c>
      <c r="I231" s="3" t="n">
        <f aca="false">YEAR(E231)</f>
        <v>2026</v>
      </c>
      <c r="J231" s="3" t="n">
        <f aca="false">MONTH(E231)</f>
        <v>8</v>
      </c>
      <c r="K231" s="3" t="n">
        <f aca="false">COUNTIFS($B$2:$B$4077,B231,$C$2:$C$4077,C231,$I$2:$I$4077,I231)</f>
        <v>1</v>
      </c>
      <c r="L231" s="3" t="n">
        <f aca="false">IF(COUNTIFS($B$2:B231,B231,$C$2:C231,C231,$I$2:I231,I231)=1,1,0)</f>
        <v>1</v>
      </c>
      <c r="M231" s="3" t="n">
        <f aca="false">IF(K231&gt;=Parametri!$B$1,1,0)</f>
        <v>0</v>
      </c>
      <c r="N231" s="3" t="n">
        <f aca="false">L231*M231</f>
        <v>0</v>
      </c>
    </row>
    <row r="232" customFormat="false" ht="15" hidden="false" customHeight="false" outlineLevel="0" collapsed="false">
      <c r="A232" s="0" t="s">
        <v>488</v>
      </c>
      <c r="B232" s="0" t="s">
        <v>50</v>
      </c>
      <c r="C232" s="0" t="s">
        <v>489</v>
      </c>
      <c r="D232" s="0" t="s">
        <v>38</v>
      </c>
      <c r="E232" s="2" t="n">
        <v>46046</v>
      </c>
      <c r="F232" s="3" t="s">
        <v>34</v>
      </c>
      <c r="G232" s="3" t="s">
        <v>39</v>
      </c>
      <c r="H232" s="3" t="s">
        <v>22</v>
      </c>
      <c r="I232" s="3" t="n">
        <f aca="false">YEAR(E232)</f>
        <v>2026</v>
      </c>
      <c r="J232" s="3" t="n">
        <f aca="false">MONTH(E232)</f>
        <v>1</v>
      </c>
      <c r="K232" s="3" t="n">
        <f aca="false">COUNTIFS($B$2:$B$4077,B232,$C$2:$C$4077,C232,$I$2:$I$4077,I232)</f>
        <v>1</v>
      </c>
      <c r="L232" s="3" t="n">
        <f aca="false">IF(COUNTIFS($B$2:B232,B232,$C$2:C232,C232,$I$2:I232,I232)=1,1,0)</f>
        <v>1</v>
      </c>
      <c r="M232" s="3" t="n">
        <f aca="false">IF(K232&gt;=Parametri!$B$1,1,0)</f>
        <v>0</v>
      </c>
      <c r="N232" s="3" t="n">
        <f aca="false">L232*M232</f>
        <v>0</v>
      </c>
    </row>
    <row r="233" customFormat="false" ht="15" hidden="false" customHeight="false" outlineLevel="0" collapsed="false">
      <c r="A233" s="0" t="s">
        <v>490</v>
      </c>
      <c r="B233" s="0" t="s">
        <v>50</v>
      </c>
      <c r="C233" s="0" t="s">
        <v>491</v>
      </c>
      <c r="D233" s="0" t="s">
        <v>19</v>
      </c>
      <c r="E233" s="2" t="n">
        <v>46052</v>
      </c>
      <c r="F233" s="3" t="s">
        <v>20</v>
      </c>
      <c r="G233" s="3" t="s">
        <v>21</v>
      </c>
      <c r="H233" s="3" t="s">
        <v>44</v>
      </c>
      <c r="I233" s="3" t="n">
        <f aca="false">YEAR(E233)</f>
        <v>2026</v>
      </c>
      <c r="J233" s="3" t="n">
        <f aca="false">MONTH(E233)</f>
        <v>1</v>
      </c>
      <c r="K233" s="3" t="n">
        <f aca="false">COUNTIFS($B$2:$B$4077,B233,$C$2:$C$4077,C233,$I$2:$I$4077,I233)</f>
        <v>1</v>
      </c>
      <c r="L233" s="3" t="n">
        <f aca="false">IF(COUNTIFS($B$2:B233,B233,$C$2:C233,C233,$I$2:I233,I233)=1,1,0)</f>
        <v>1</v>
      </c>
      <c r="M233" s="3" t="n">
        <f aca="false">IF(K233&gt;=Parametri!$B$1,1,0)</f>
        <v>0</v>
      </c>
      <c r="N233" s="3" t="n">
        <f aca="false">L233*M233</f>
        <v>0</v>
      </c>
    </row>
    <row r="234" customFormat="false" ht="15" hidden="false" customHeight="false" outlineLevel="0" collapsed="false">
      <c r="A234" s="0" t="s">
        <v>492</v>
      </c>
      <c r="B234" s="0" t="s">
        <v>41</v>
      </c>
      <c r="C234" s="0" t="s">
        <v>493</v>
      </c>
      <c r="D234" s="0" t="s">
        <v>77</v>
      </c>
      <c r="E234" s="2" t="n">
        <v>45763</v>
      </c>
      <c r="F234" s="3" t="s">
        <v>20</v>
      </c>
      <c r="G234" s="3" t="s">
        <v>21</v>
      </c>
      <c r="H234" s="3" t="s">
        <v>44</v>
      </c>
      <c r="I234" s="3" t="n">
        <f aca="false">YEAR(E234)</f>
        <v>2025</v>
      </c>
      <c r="J234" s="3" t="n">
        <f aca="false">MONTH(E234)</f>
        <v>4</v>
      </c>
      <c r="K234" s="3" t="n">
        <f aca="false">COUNTIFS($B$2:$B$4077,B234,$C$2:$C$4077,C234,$I$2:$I$4077,I234)</f>
        <v>4</v>
      </c>
      <c r="L234" s="3" t="n">
        <f aca="false">IF(COUNTIFS($B$2:B234,B234,$C$2:C234,C234,$I$2:I234,I234)=1,1,0)</f>
        <v>1</v>
      </c>
      <c r="M234" s="3" t="n">
        <f aca="false">IF(K234&gt;=Parametri!$B$1,1,0)</f>
        <v>1</v>
      </c>
      <c r="N234" s="3" t="n">
        <f aca="false">L234*M234</f>
        <v>1</v>
      </c>
    </row>
    <row r="235" customFormat="false" ht="15" hidden="false" customHeight="false" outlineLevel="0" collapsed="false">
      <c r="A235" s="0" t="s">
        <v>494</v>
      </c>
      <c r="B235" s="0" t="s">
        <v>46</v>
      </c>
      <c r="C235" s="0" t="s">
        <v>495</v>
      </c>
      <c r="D235" s="0" t="s">
        <v>26</v>
      </c>
      <c r="E235" s="2" t="n">
        <v>46144</v>
      </c>
      <c r="F235" s="3" t="s">
        <v>20</v>
      </c>
      <c r="G235" s="3" t="s">
        <v>72</v>
      </c>
      <c r="H235" s="3" t="s">
        <v>48</v>
      </c>
      <c r="I235" s="3" t="n">
        <f aca="false">YEAR(E235)</f>
        <v>2026</v>
      </c>
      <c r="J235" s="3" t="n">
        <f aca="false">MONTH(E235)</f>
        <v>5</v>
      </c>
      <c r="K235" s="3" t="n">
        <f aca="false">COUNTIFS($B$2:$B$4077,B235,$C$2:$C$4077,C235,$I$2:$I$4077,I235)</f>
        <v>1</v>
      </c>
      <c r="L235" s="3" t="n">
        <f aca="false">IF(COUNTIFS($B$2:B235,B235,$C$2:C235,C235,$I$2:I235,I235)=1,1,0)</f>
        <v>1</v>
      </c>
      <c r="M235" s="3" t="n">
        <f aca="false">IF(K235&gt;=Parametri!$B$1,1,0)</f>
        <v>0</v>
      </c>
      <c r="N235" s="3" t="n">
        <f aca="false">L235*M235</f>
        <v>0</v>
      </c>
    </row>
    <row r="236" customFormat="false" ht="15" hidden="false" customHeight="false" outlineLevel="0" collapsed="false">
      <c r="A236" s="0" t="s">
        <v>496</v>
      </c>
      <c r="B236" s="0" t="s">
        <v>79</v>
      </c>
      <c r="C236" s="0" t="s">
        <v>497</v>
      </c>
      <c r="D236" s="0" t="s">
        <v>54</v>
      </c>
      <c r="E236" s="2" t="n">
        <v>45425</v>
      </c>
      <c r="F236" s="3" t="s">
        <v>20</v>
      </c>
      <c r="G236" s="3" t="s">
        <v>89</v>
      </c>
      <c r="H236" s="3" t="s">
        <v>48</v>
      </c>
      <c r="I236" s="3" t="n">
        <f aca="false">YEAR(E236)</f>
        <v>2024</v>
      </c>
      <c r="J236" s="3" t="n">
        <f aca="false">MONTH(E236)</f>
        <v>5</v>
      </c>
      <c r="K236" s="3" t="n">
        <f aca="false">COUNTIFS($B$2:$B$4077,B236,$C$2:$C$4077,C236,$I$2:$I$4077,I236)</f>
        <v>2</v>
      </c>
      <c r="L236" s="3" t="n">
        <f aca="false">IF(COUNTIFS($B$2:B236,B236,$C$2:C236,C236,$I$2:I236,I236)=1,1,0)</f>
        <v>1</v>
      </c>
      <c r="M236" s="3" t="n">
        <f aca="false">IF(K236&gt;=Parametri!$B$1,1,0)</f>
        <v>1</v>
      </c>
      <c r="N236" s="3" t="n">
        <f aca="false">L236*M236</f>
        <v>1</v>
      </c>
    </row>
    <row r="237" customFormat="false" ht="15" hidden="false" customHeight="false" outlineLevel="0" collapsed="false">
      <c r="A237" s="0" t="s">
        <v>498</v>
      </c>
      <c r="B237" s="0" t="s">
        <v>41</v>
      </c>
      <c r="C237" s="0" t="s">
        <v>499</v>
      </c>
      <c r="D237" s="0" t="s">
        <v>63</v>
      </c>
      <c r="E237" s="2" t="n">
        <v>46005</v>
      </c>
      <c r="F237" s="3" t="s">
        <v>20</v>
      </c>
      <c r="G237" s="3" t="s">
        <v>35</v>
      </c>
      <c r="H237" s="3" t="s">
        <v>48</v>
      </c>
      <c r="I237" s="3" t="n">
        <f aca="false">YEAR(E237)</f>
        <v>2025</v>
      </c>
      <c r="J237" s="3" t="n">
        <f aca="false">MONTH(E237)</f>
        <v>12</v>
      </c>
      <c r="K237" s="3" t="n">
        <f aca="false">COUNTIFS($B$2:$B$4077,B237,$C$2:$C$4077,C237,$I$2:$I$4077,I237)</f>
        <v>1</v>
      </c>
      <c r="L237" s="3" t="n">
        <f aca="false">IF(COUNTIFS($B$2:B237,B237,$C$2:C237,C237,$I$2:I237,I237)=1,1,0)</f>
        <v>1</v>
      </c>
      <c r="M237" s="3" t="n">
        <f aca="false">IF(K237&gt;=Parametri!$B$1,1,0)</f>
        <v>0</v>
      </c>
      <c r="N237" s="3" t="n">
        <f aca="false">L237*M237</f>
        <v>0</v>
      </c>
    </row>
    <row r="238" customFormat="false" ht="15" hidden="false" customHeight="false" outlineLevel="0" collapsed="false">
      <c r="A238" s="0" t="s">
        <v>500</v>
      </c>
      <c r="B238" s="0" t="s">
        <v>57</v>
      </c>
      <c r="C238" s="0" t="s">
        <v>501</v>
      </c>
      <c r="D238" s="0" t="s">
        <v>66</v>
      </c>
      <c r="E238" s="2" t="n">
        <v>45541</v>
      </c>
      <c r="F238" s="3" t="s">
        <v>27</v>
      </c>
      <c r="G238" s="3" t="s">
        <v>35</v>
      </c>
      <c r="H238" s="3" t="s">
        <v>22</v>
      </c>
      <c r="I238" s="3" t="n">
        <f aca="false">YEAR(E238)</f>
        <v>2024</v>
      </c>
      <c r="J238" s="3" t="n">
        <f aca="false">MONTH(E238)</f>
        <v>9</v>
      </c>
      <c r="K238" s="3" t="n">
        <f aca="false">COUNTIFS($B$2:$B$4077,B238,$C$2:$C$4077,C238,$I$2:$I$4077,I238)</f>
        <v>1</v>
      </c>
      <c r="L238" s="3" t="n">
        <f aca="false">IF(COUNTIFS($B$2:B238,B238,$C$2:C238,C238,$I$2:I238,I238)=1,1,0)</f>
        <v>1</v>
      </c>
      <c r="M238" s="3" t="n">
        <f aca="false">IF(K238&gt;=Parametri!$B$1,1,0)</f>
        <v>0</v>
      </c>
      <c r="N238" s="3" t="n">
        <f aca="false">L238*M238</f>
        <v>0</v>
      </c>
    </row>
    <row r="239" customFormat="false" ht="15" hidden="false" customHeight="false" outlineLevel="0" collapsed="false">
      <c r="A239" s="0" t="s">
        <v>502</v>
      </c>
      <c r="B239" s="0" t="s">
        <v>41</v>
      </c>
      <c r="C239" s="0" t="s">
        <v>503</v>
      </c>
      <c r="D239" s="0" t="s">
        <v>26</v>
      </c>
      <c r="E239" s="2" t="n">
        <v>45432</v>
      </c>
      <c r="F239" s="3" t="s">
        <v>20</v>
      </c>
      <c r="G239" s="3" t="s">
        <v>72</v>
      </c>
      <c r="H239" s="3" t="s">
        <v>48</v>
      </c>
      <c r="I239" s="3" t="n">
        <f aca="false">YEAR(E239)</f>
        <v>2024</v>
      </c>
      <c r="J239" s="3" t="n">
        <f aca="false">MONTH(E239)</f>
        <v>5</v>
      </c>
      <c r="K239" s="3" t="n">
        <f aca="false">COUNTIFS($B$2:$B$4077,B239,$C$2:$C$4077,C239,$I$2:$I$4077,I239)</f>
        <v>1</v>
      </c>
      <c r="L239" s="3" t="n">
        <f aca="false">IF(COUNTIFS($B$2:B239,B239,$C$2:C239,C239,$I$2:I239,I239)=1,1,0)</f>
        <v>1</v>
      </c>
      <c r="M239" s="3" t="n">
        <f aca="false">IF(K239&gt;=Parametri!$B$1,1,0)</f>
        <v>0</v>
      </c>
      <c r="N239" s="3" t="n">
        <f aca="false">L239*M239</f>
        <v>0</v>
      </c>
    </row>
    <row r="240" customFormat="false" ht="15" hidden="false" customHeight="false" outlineLevel="0" collapsed="false">
      <c r="A240" s="0" t="s">
        <v>504</v>
      </c>
      <c r="B240" s="0" t="s">
        <v>50</v>
      </c>
      <c r="C240" s="0" t="s">
        <v>505</v>
      </c>
      <c r="D240" s="0" t="s">
        <v>77</v>
      </c>
      <c r="E240" s="2" t="n">
        <v>45657</v>
      </c>
      <c r="F240" s="3" t="s">
        <v>34</v>
      </c>
      <c r="G240" s="3" t="s">
        <v>55</v>
      </c>
      <c r="H240" s="3" t="s">
        <v>48</v>
      </c>
      <c r="I240" s="3" t="n">
        <f aca="false">YEAR(E240)</f>
        <v>2024</v>
      </c>
      <c r="J240" s="3" t="n">
        <f aca="false">MONTH(E240)</f>
        <v>12</v>
      </c>
      <c r="K240" s="3" t="n">
        <f aca="false">COUNTIFS($B$2:$B$4077,B240,$C$2:$C$4077,C240,$I$2:$I$4077,I240)</f>
        <v>1</v>
      </c>
      <c r="L240" s="3" t="n">
        <f aca="false">IF(COUNTIFS($B$2:B240,B240,$C$2:C240,C240,$I$2:I240,I240)=1,1,0)</f>
        <v>1</v>
      </c>
      <c r="M240" s="3" t="n">
        <f aca="false">IF(K240&gt;=Parametri!$B$1,1,0)</f>
        <v>0</v>
      </c>
      <c r="N240" s="3" t="n">
        <f aca="false">L240*M240</f>
        <v>0</v>
      </c>
    </row>
    <row r="241" customFormat="false" ht="15" hidden="false" customHeight="false" outlineLevel="0" collapsed="false">
      <c r="A241" s="0" t="s">
        <v>506</v>
      </c>
      <c r="B241" s="0" t="s">
        <v>57</v>
      </c>
      <c r="C241" s="0" t="s">
        <v>507</v>
      </c>
      <c r="D241" s="0" t="s">
        <v>38</v>
      </c>
      <c r="E241" s="2" t="n">
        <v>45606</v>
      </c>
      <c r="F241" s="3" t="s">
        <v>20</v>
      </c>
      <c r="G241" s="3" t="s">
        <v>28</v>
      </c>
      <c r="H241" s="3" t="s">
        <v>44</v>
      </c>
      <c r="I241" s="3" t="n">
        <f aca="false">YEAR(E241)</f>
        <v>2024</v>
      </c>
      <c r="J241" s="3" t="n">
        <f aca="false">MONTH(E241)</f>
        <v>11</v>
      </c>
      <c r="K241" s="3" t="n">
        <f aca="false">COUNTIFS($B$2:$B$4077,B241,$C$2:$C$4077,C241,$I$2:$I$4077,I241)</f>
        <v>2</v>
      </c>
      <c r="L241" s="3" t="n">
        <f aca="false">IF(COUNTIFS($B$2:B241,B241,$C$2:C241,C241,$I$2:I241,I241)=1,1,0)</f>
        <v>1</v>
      </c>
      <c r="M241" s="3" t="n">
        <f aca="false">IF(K241&gt;=Parametri!$B$1,1,0)</f>
        <v>1</v>
      </c>
      <c r="N241" s="3" t="n">
        <f aca="false">L241*M241</f>
        <v>1</v>
      </c>
    </row>
    <row r="242" customFormat="false" ht="15" hidden="false" customHeight="false" outlineLevel="0" collapsed="false">
      <c r="A242" s="0" t="s">
        <v>508</v>
      </c>
      <c r="B242" s="0" t="s">
        <v>68</v>
      </c>
      <c r="C242" s="0" t="s">
        <v>509</v>
      </c>
      <c r="D242" s="0" t="s">
        <v>77</v>
      </c>
      <c r="E242" s="2" t="n">
        <v>45399</v>
      </c>
      <c r="F242" s="3" t="s">
        <v>34</v>
      </c>
      <c r="G242" s="3" t="s">
        <v>43</v>
      </c>
      <c r="H242" s="3" t="s">
        <v>22</v>
      </c>
      <c r="I242" s="3" t="n">
        <f aca="false">YEAR(E242)</f>
        <v>2024</v>
      </c>
      <c r="J242" s="3" t="n">
        <f aca="false">MONTH(E242)</f>
        <v>4</v>
      </c>
      <c r="K242" s="3" t="n">
        <f aca="false">COUNTIFS($B$2:$B$4077,B242,$C$2:$C$4077,C242,$I$2:$I$4077,I242)</f>
        <v>1</v>
      </c>
      <c r="L242" s="3" t="n">
        <f aca="false">IF(COUNTIFS($B$2:B242,B242,$C$2:C242,C242,$I$2:I242,I242)=1,1,0)</f>
        <v>1</v>
      </c>
      <c r="M242" s="3" t="n">
        <f aca="false">IF(K242&gt;=Parametri!$B$1,1,0)</f>
        <v>0</v>
      </c>
      <c r="N242" s="3" t="n">
        <f aca="false">L242*M242</f>
        <v>0</v>
      </c>
    </row>
    <row r="243" customFormat="false" ht="15" hidden="false" customHeight="false" outlineLevel="0" collapsed="false">
      <c r="A243" s="0" t="s">
        <v>510</v>
      </c>
      <c r="B243" s="0" t="s">
        <v>57</v>
      </c>
      <c r="C243" s="0" t="s">
        <v>511</v>
      </c>
      <c r="D243" s="0" t="s">
        <v>33</v>
      </c>
      <c r="E243" s="2" t="n">
        <v>46165</v>
      </c>
      <c r="F243" s="3" t="s">
        <v>27</v>
      </c>
      <c r="G243" s="3" t="s">
        <v>39</v>
      </c>
      <c r="H243" s="3" t="s">
        <v>48</v>
      </c>
      <c r="I243" s="3" t="n">
        <f aca="false">YEAR(E243)</f>
        <v>2026</v>
      </c>
      <c r="J243" s="3" t="n">
        <f aca="false">MONTH(E243)</f>
        <v>5</v>
      </c>
      <c r="K243" s="3" t="n">
        <f aca="false">COUNTIFS($B$2:$B$4077,B243,$C$2:$C$4077,C243,$I$2:$I$4077,I243)</f>
        <v>1</v>
      </c>
      <c r="L243" s="3" t="n">
        <f aca="false">IF(COUNTIFS($B$2:B243,B243,$C$2:C243,C243,$I$2:I243,I243)=1,1,0)</f>
        <v>1</v>
      </c>
      <c r="M243" s="3" t="n">
        <f aca="false">IF(K243&gt;=Parametri!$B$1,1,0)</f>
        <v>0</v>
      </c>
      <c r="N243" s="3" t="n">
        <f aca="false">L243*M243</f>
        <v>0</v>
      </c>
    </row>
    <row r="244" customFormat="false" ht="15" hidden="false" customHeight="false" outlineLevel="0" collapsed="false">
      <c r="A244" s="0" t="s">
        <v>512</v>
      </c>
      <c r="B244" s="0" t="s">
        <v>31</v>
      </c>
      <c r="C244" s="0" t="s">
        <v>513</v>
      </c>
      <c r="D244" s="0" t="s">
        <v>54</v>
      </c>
      <c r="E244" s="2" t="n">
        <v>45689</v>
      </c>
      <c r="F244" s="3" t="s">
        <v>20</v>
      </c>
      <c r="G244" s="3" t="s">
        <v>55</v>
      </c>
      <c r="H244" s="3" t="s">
        <v>22</v>
      </c>
      <c r="I244" s="3" t="n">
        <f aca="false">YEAR(E244)</f>
        <v>2025</v>
      </c>
      <c r="J244" s="3" t="n">
        <f aca="false">MONTH(E244)</f>
        <v>2</v>
      </c>
      <c r="K244" s="3" t="n">
        <f aca="false">COUNTIFS($B$2:$B$4077,B244,$C$2:$C$4077,C244,$I$2:$I$4077,I244)</f>
        <v>1</v>
      </c>
      <c r="L244" s="3" t="n">
        <f aca="false">IF(COUNTIFS($B$2:B244,B244,$C$2:C244,C244,$I$2:I244,I244)=1,1,0)</f>
        <v>1</v>
      </c>
      <c r="M244" s="3" t="n">
        <f aca="false">IF(K244&gt;=Parametri!$B$1,1,0)</f>
        <v>0</v>
      </c>
      <c r="N244" s="3" t="n">
        <f aca="false">L244*M244</f>
        <v>0</v>
      </c>
    </row>
    <row r="245" customFormat="false" ht="15" hidden="false" customHeight="false" outlineLevel="0" collapsed="false">
      <c r="A245" s="0" t="s">
        <v>514</v>
      </c>
      <c r="B245" s="0" t="s">
        <v>68</v>
      </c>
      <c r="C245" s="0" t="s">
        <v>515</v>
      </c>
      <c r="D245" s="0" t="s">
        <v>77</v>
      </c>
      <c r="E245" s="2" t="n">
        <v>45303</v>
      </c>
      <c r="F245" s="3" t="s">
        <v>20</v>
      </c>
      <c r="G245" s="3" t="s">
        <v>28</v>
      </c>
      <c r="H245" s="3" t="s">
        <v>44</v>
      </c>
      <c r="I245" s="3" t="n">
        <f aca="false">YEAR(E245)</f>
        <v>2024</v>
      </c>
      <c r="J245" s="3" t="n">
        <f aca="false">MONTH(E245)</f>
        <v>1</v>
      </c>
      <c r="K245" s="3" t="n">
        <f aca="false">COUNTIFS($B$2:$B$4077,B245,$C$2:$C$4077,C245,$I$2:$I$4077,I245)</f>
        <v>2</v>
      </c>
      <c r="L245" s="3" t="n">
        <f aca="false">IF(COUNTIFS($B$2:B245,B245,$C$2:C245,C245,$I$2:I245,I245)=1,1,0)</f>
        <v>1</v>
      </c>
      <c r="M245" s="3" t="n">
        <f aca="false">IF(K245&gt;=Parametri!$B$1,1,0)</f>
        <v>1</v>
      </c>
      <c r="N245" s="3" t="n">
        <f aca="false">L245*M245</f>
        <v>1</v>
      </c>
    </row>
    <row r="246" customFormat="false" ht="15" hidden="false" customHeight="false" outlineLevel="0" collapsed="false">
      <c r="A246" s="0" t="s">
        <v>516</v>
      </c>
      <c r="B246" s="0" t="s">
        <v>50</v>
      </c>
      <c r="C246" s="0" t="s">
        <v>517</v>
      </c>
      <c r="D246" s="0" t="s">
        <v>19</v>
      </c>
      <c r="E246" s="2" t="n">
        <v>46045</v>
      </c>
      <c r="F246" s="3" t="s">
        <v>34</v>
      </c>
      <c r="G246" s="3" t="s">
        <v>43</v>
      </c>
      <c r="H246" s="3" t="s">
        <v>22</v>
      </c>
      <c r="I246" s="3" t="n">
        <f aca="false">YEAR(E246)</f>
        <v>2026</v>
      </c>
      <c r="J246" s="3" t="n">
        <f aca="false">MONTH(E246)</f>
        <v>1</v>
      </c>
      <c r="K246" s="3" t="n">
        <f aca="false">COUNTIFS($B$2:$B$4077,B246,$C$2:$C$4077,C246,$I$2:$I$4077,I246)</f>
        <v>1</v>
      </c>
      <c r="L246" s="3" t="n">
        <f aca="false">IF(COUNTIFS($B$2:B246,B246,$C$2:C246,C246,$I$2:I246,I246)=1,1,0)</f>
        <v>1</v>
      </c>
      <c r="M246" s="3" t="n">
        <f aca="false">IF(K246&gt;=Parametri!$B$1,1,0)</f>
        <v>0</v>
      </c>
      <c r="N246" s="3" t="n">
        <f aca="false">L246*M246</f>
        <v>0</v>
      </c>
    </row>
    <row r="247" customFormat="false" ht="15" hidden="false" customHeight="false" outlineLevel="0" collapsed="false">
      <c r="A247" s="0" t="s">
        <v>518</v>
      </c>
      <c r="B247" s="0" t="s">
        <v>57</v>
      </c>
      <c r="C247" s="0" t="s">
        <v>519</v>
      </c>
      <c r="D247" s="0" t="s">
        <v>63</v>
      </c>
      <c r="E247" s="2" t="n">
        <v>46162</v>
      </c>
      <c r="F247" s="3" t="s">
        <v>20</v>
      </c>
      <c r="G247" s="3" t="s">
        <v>43</v>
      </c>
      <c r="H247" s="3" t="s">
        <v>48</v>
      </c>
      <c r="I247" s="3" t="n">
        <f aca="false">YEAR(E247)</f>
        <v>2026</v>
      </c>
      <c r="J247" s="3" t="n">
        <f aca="false">MONTH(E247)</f>
        <v>5</v>
      </c>
      <c r="K247" s="3" t="n">
        <f aca="false">COUNTIFS($B$2:$B$4077,B247,$C$2:$C$4077,C247,$I$2:$I$4077,I247)</f>
        <v>1</v>
      </c>
      <c r="L247" s="3" t="n">
        <f aca="false">IF(COUNTIFS($B$2:B247,B247,$C$2:C247,C247,$I$2:I247,I247)=1,1,0)</f>
        <v>1</v>
      </c>
      <c r="M247" s="3" t="n">
        <f aca="false">IF(K247&gt;=Parametri!$B$1,1,0)</f>
        <v>0</v>
      </c>
      <c r="N247" s="3" t="n">
        <f aca="false">L247*M247</f>
        <v>0</v>
      </c>
    </row>
    <row r="248" customFormat="false" ht="15" hidden="false" customHeight="false" outlineLevel="0" collapsed="false">
      <c r="A248" s="0" t="s">
        <v>520</v>
      </c>
      <c r="B248" s="0" t="s">
        <v>17</v>
      </c>
      <c r="C248" s="0" t="s">
        <v>521</v>
      </c>
      <c r="D248" s="0" t="s">
        <v>26</v>
      </c>
      <c r="E248" s="2" t="n">
        <v>45910</v>
      </c>
      <c r="F248" s="3" t="s">
        <v>20</v>
      </c>
      <c r="G248" s="3" t="s">
        <v>35</v>
      </c>
      <c r="H248" s="3" t="s">
        <v>44</v>
      </c>
      <c r="I248" s="3" t="n">
        <f aca="false">YEAR(E248)</f>
        <v>2025</v>
      </c>
      <c r="J248" s="3" t="n">
        <f aca="false">MONTH(E248)</f>
        <v>9</v>
      </c>
      <c r="K248" s="3" t="n">
        <f aca="false">COUNTIFS($B$2:$B$4077,B248,$C$2:$C$4077,C248,$I$2:$I$4077,I248)</f>
        <v>1</v>
      </c>
      <c r="L248" s="3" t="n">
        <f aca="false">IF(COUNTIFS($B$2:B248,B248,$C$2:C248,C248,$I$2:I248,I248)=1,1,0)</f>
        <v>1</v>
      </c>
      <c r="M248" s="3" t="n">
        <f aca="false">IF(K248&gt;=Parametri!$B$1,1,0)</f>
        <v>0</v>
      </c>
      <c r="N248" s="3" t="n">
        <f aca="false">L248*M248</f>
        <v>0</v>
      </c>
    </row>
    <row r="249" customFormat="false" ht="15" hidden="false" customHeight="false" outlineLevel="0" collapsed="false">
      <c r="A249" s="0" t="s">
        <v>522</v>
      </c>
      <c r="B249" s="0" t="s">
        <v>79</v>
      </c>
      <c r="C249" s="0" t="s">
        <v>523</v>
      </c>
      <c r="D249" s="0" t="s">
        <v>33</v>
      </c>
      <c r="E249" s="2" t="n">
        <v>45654</v>
      </c>
      <c r="F249" s="3" t="s">
        <v>20</v>
      </c>
      <c r="G249" s="3" t="s">
        <v>28</v>
      </c>
      <c r="H249" s="3" t="s">
        <v>44</v>
      </c>
      <c r="I249" s="3" t="n">
        <f aca="false">YEAR(E249)</f>
        <v>2024</v>
      </c>
      <c r="J249" s="3" t="n">
        <f aca="false">MONTH(E249)</f>
        <v>12</v>
      </c>
      <c r="K249" s="3" t="n">
        <f aca="false">COUNTIFS($B$2:$B$4077,B249,$C$2:$C$4077,C249,$I$2:$I$4077,I249)</f>
        <v>2</v>
      </c>
      <c r="L249" s="3" t="n">
        <f aca="false">IF(COUNTIFS($B$2:B249,B249,$C$2:C249,C249,$I$2:I249,I249)=1,1,0)</f>
        <v>1</v>
      </c>
      <c r="M249" s="3" t="n">
        <f aca="false">IF(K249&gt;=Parametri!$B$1,1,0)</f>
        <v>1</v>
      </c>
      <c r="N249" s="3" t="n">
        <f aca="false">L249*M249</f>
        <v>1</v>
      </c>
    </row>
    <row r="250" customFormat="false" ht="15" hidden="false" customHeight="false" outlineLevel="0" collapsed="false">
      <c r="A250" s="0" t="s">
        <v>524</v>
      </c>
      <c r="B250" s="0" t="s">
        <v>17</v>
      </c>
      <c r="C250" s="0" t="s">
        <v>525</v>
      </c>
      <c r="D250" s="0" t="s">
        <v>66</v>
      </c>
      <c r="E250" s="2" t="n">
        <v>46142</v>
      </c>
      <c r="F250" s="3" t="s">
        <v>20</v>
      </c>
      <c r="G250" s="3" t="s">
        <v>21</v>
      </c>
      <c r="H250" s="3" t="s">
        <v>29</v>
      </c>
      <c r="I250" s="3" t="n">
        <f aca="false">YEAR(E250)</f>
        <v>2026</v>
      </c>
      <c r="J250" s="3" t="n">
        <f aca="false">MONTH(E250)</f>
        <v>4</v>
      </c>
      <c r="K250" s="3" t="n">
        <f aca="false">COUNTIFS($B$2:$B$4077,B250,$C$2:$C$4077,C250,$I$2:$I$4077,I250)</f>
        <v>1</v>
      </c>
      <c r="L250" s="3" t="n">
        <f aca="false">IF(COUNTIFS($B$2:B250,B250,$C$2:C250,C250,$I$2:I250,I250)=1,1,0)</f>
        <v>1</v>
      </c>
      <c r="M250" s="3" t="n">
        <f aca="false">IF(K250&gt;=Parametri!$B$1,1,0)</f>
        <v>0</v>
      </c>
      <c r="N250" s="3" t="n">
        <f aca="false">L250*M250</f>
        <v>0</v>
      </c>
    </row>
    <row r="251" customFormat="false" ht="15" hidden="false" customHeight="false" outlineLevel="0" collapsed="false">
      <c r="A251" s="0" t="s">
        <v>526</v>
      </c>
      <c r="B251" s="0" t="s">
        <v>57</v>
      </c>
      <c r="C251" s="0" t="s">
        <v>527</v>
      </c>
      <c r="D251" s="0" t="s">
        <v>26</v>
      </c>
      <c r="E251" s="2" t="n">
        <v>45506</v>
      </c>
      <c r="F251" s="3" t="s">
        <v>27</v>
      </c>
      <c r="G251" s="3" t="s">
        <v>35</v>
      </c>
      <c r="H251" s="3" t="s">
        <v>48</v>
      </c>
      <c r="I251" s="3" t="n">
        <f aca="false">YEAR(E251)</f>
        <v>2024</v>
      </c>
      <c r="J251" s="3" t="n">
        <f aca="false">MONTH(E251)</f>
        <v>8</v>
      </c>
      <c r="K251" s="3" t="n">
        <f aca="false">COUNTIFS($B$2:$B$4077,B251,$C$2:$C$4077,C251,$I$2:$I$4077,I251)</f>
        <v>4</v>
      </c>
      <c r="L251" s="3" t="n">
        <f aca="false">IF(COUNTIFS($B$2:B251,B251,$C$2:C251,C251,$I$2:I251,I251)=1,1,0)</f>
        <v>1</v>
      </c>
      <c r="M251" s="3" t="n">
        <f aca="false">IF(K251&gt;=Parametri!$B$1,1,0)</f>
        <v>1</v>
      </c>
      <c r="N251" s="3" t="n">
        <f aca="false">L251*M251</f>
        <v>1</v>
      </c>
    </row>
    <row r="252" customFormat="false" ht="15" hidden="false" customHeight="false" outlineLevel="0" collapsed="false">
      <c r="A252" s="0" t="s">
        <v>528</v>
      </c>
      <c r="B252" s="0" t="s">
        <v>79</v>
      </c>
      <c r="C252" s="0" t="s">
        <v>529</v>
      </c>
      <c r="D252" s="0" t="s">
        <v>33</v>
      </c>
      <c r="E252" s="2" t="n">
        <v>46099</v>
      </c>
      <c r="F252" s="3" t="s">
        <v>34</v>
      </c>
      <c r="G252" s="3" t="s">
        <v>35</v>
      </c>
      <c r="H252" s="3" t="s">
        <v>22</v>
      </c>
      <c r="I252" s="3" t="n">
        <f aca="false">YEAR(E252)</f>
        <v>2026</v>
      </c>
      <c r="J252" s="3" t="n">
        <f aca="false">MONTH(E252)</f>
        <v>3</v>
      </c>
      <c r="K252" s="3" t="n">
        <f aca="false">COUNTIFS($B$2:$B$4077,B252,$C$2:$C$4077,C252,$I$2:$I$4077,I252)</f>
        <v>2</v>
      </c>
      <c r="L252" s="3" t="n">
        <f aca="false">IF(COUNTIFS($B$2:B252,B252,$C$2:C252,C252,$I$2:I252,I252)=1,1,0)</f>
        <v>1</v>
      </c>
      <c r="M252" s="3" t="n">
        <f aca="false">IF(K252&gt;=Parametri!$B$1,1,0)</f>
        <v>1</v>
      </c>
      <c r="N252" s="3" t="n">
        <f aca="false">L252*M252</f>
        <v>1</v>
      </c>
    </row>
    <row r="253" customFormat="false" ht="15" hidden="false" customHeight="false" outlineLevel="0" collapsed="false">
      <c r="A253" s="0" t="s">
        <v>530</v>
      </c>
      <c r="B253" s="0" t="s">
        <v>17</v>
      </c>
      <c r="C253" s="0" t="s">
        <v>531</v>
      </c>
      <c r="D253" s="0" t="s">
        <v>19</v>
      </c>
      <c r="E253" s="2" t="n">
        <v>45920</v>
      </c>
      <c r="F253" s="3" t="s">
        <v>20</v>
      </c>
      <c r="G253" s="3" t="s">
        <v>39</v>
      </c>
      <c r="H253" s="3" t="s">
        <v>44</v>
      </c>
      <c r="I253" s="3" t="n">
        <f aca="false">YEAR(E253)</f>
        <v>2025</v>
      </c>
      <c r="J253" s="3" t="n">
        <f aca="false">MONTH(E253)</f>
        <v>9</v>
      </c>
      <c r="K253" s="3" t="n">
        <f aca="false">COUNTIFS($B$2:$B$4077,B253,$C$2:$C$4077,C253,$I$2:$I$4077,I253)</f>
        <v>3</v>
      </c>
      <c r="L253" s="3" t="n">
        <f aca="false">IF(COUNTIFS($B$2:B253,B253,$C$2:C253,C253,$I$2:I253,I253)=1,1,0)</f>
        <v>1</v>
      </c>
      <c r="M253" s="3" t="n">
        <f aca="false">IF(K253&gt;=Parametri!$B$1,1,0)</f>
        <v>1</v>
      </c>
      <c r="N253" s="3" t="n">
        <f aca="false">L253*M253</f>
        <v>1</v>
      </c>
    </row>
    <row r="254" customFormat="false" ht="15" hidden="false" customHeight="false" outlineLevel="0" collapsed="false">
      <c r="A254" s="0" t="s">
        <v>532</v>
      </c>
      <c r="B254" s="0" t="s">
        <v>50</v>
      </c>
      <c r="C254" s="0" t="s">
        <v>533</v>
      </c>
      <c r="D254" s="0" t="s">
        <v>77</v>
      </c>
      <c r="E254" s="2" t="n">
        <v>45495</v>
      </c>
      <c r="F254" s="3" t="s">
        <v>20</v>
      </c>
      <c r="G254" s="3" t="s">
        <v>21</v>
      </c>
      <c r="H254" s="3" t="s">
        <v>22</v>
      </c>
      <c r="I254" s="3" t="n">
        <f aca="false">YEAR(E254)</f>
        <v>2024</v>
      </c>
      <c r="J254" s="3" t="n">
        <f aca="false">MONTH(E254)</f>
        <v>7</v>
      </c>
      <c r="K254" s="3" t="n">
        <f aca="false">COUNTIFS($B$2:$B$4077,B254,$C$2:$C$4077,C254,$I$2:$I$4077,I254)</f>
        <v>2</v>
      </c>
      <c r="L254" s="3" t="n">
        <f aca="false">IF(COUNTIFS($B$2:B254,B254,$C$2:C254,C254,$I$2:I254,I254)=1,1,0)</f>
        <v>1</v>
      </c>
      <c r="M254" s="3" t="n">
        <f aca="false">IF(K254&gt;=Parametri!$B$1,1,0)</f>
        <v>1</v>
      </c>
      <c r="N254" s="3" t="n">
        <f aca="false">L254*M254</f>
        <v>1</v>
      </c>
    </row>
    <row r="255" customFormat="false" ht="15" hidden="false" customHeight="false" outlineLevel="0" collapsed="false">
      <c r="A255" s="0" t="s">
        <v>534</v>
      </c>
      <c r="B255" s="0" t="s">
        <v>124</v>
      </c>
      <c r="C255" s="0" t="s">
        <v>535</v>
      </c>
      <c r="D255" s="0" t="s">
        <v>33</v>
      </c>
      <c r="E255" s="2" t="n">
        <v>45376</v>
      </c>
      <c r="F255" s="3" t="s">
        <v>20</v>
      </c>
      <c r="G255" s="3" t="s">
        <v>28</v>
      </c>
      <c r="H255" s="3" t="s">
        <v>22</v>
      </c>
      <c r="I255" s="3" t="n">
        <f aca="false">YEAR(E255)</f>
        <v>2024</v>
      </c>
      <c r="J255" s="3" t="n">
        <f aca="false">MONTH(E255)</f>
        <v>3</v>
      </c>
      <c r="K255" s="3" t="n">
        <f aca="false">COUNTIFS($B$2:$B$4077,B255,$C$2:$C$4077,C255,$I$2:$I$4077,I255)</f>
        <v>1</v>
      </c>
      <c r="L255" s="3" t="n">
        <f aca="false">IF(COUNTIFS($B$2:B255,B255,$C$2:C255,C255,$I$2:I255,I255)=1,1,0)</f>
        <v>1</v>
      </c>
      <c r="M255" s="3" t="n">
        <f aca="false">IF(K255&gt;=Parametri!$B$1,1,0)</f>
        <v>0</v>
      </c>
      <c r="N255" s="3" t="n">
        <f aca="false">L255*M255</f>
        <v>0</v>
      </c>
    </row>
    <row r="256" customFormat="false" ht="15" hidden="false" customHeight="false" outlineLevel="0" collapsed="false">
      <c r="A256" s="0" t="s">
        <v>536</v>
      </c>
      <c r="B256" s="0" t="s">
        <v>68</v>
      </c>
      <c r="C256" s="0" t="s">
        <v>537</v>
      </c>
      <c r="D256" s="0" t="s">
        <v>19</v>
      </c>
      <c r="E256" s="2" t="n">
        <v>45469</v>
      </c>
      <c r="F256" s="3" t="s">
        <v>20</v>
      </c>
      <c r="G256" s="3" t="s">
        <v>55</v>
      </c>
      <c r="H256" s="3" t="s">
        <v>22</v>
      </c>
      <c r="I256" s="3" t="n">
        <f aca="false">YEAR(E256)</f>
        <v>2024</v>
      </c>
      <c r="J256" s="3" t="n">
        <f aca="false">MONTH(E256)</f>
        <v>6</v>
      </c>
      <c r="K256" s="3" t="n">
        <f aca="false">COUNTIFS($B$2:$B$4077,B256,$C$2:$C$4077,C256,$I$2:$I$4077,I256)</f>
        <v>1</v>
      </c>
      <c r="L256" s="3" t="n">
        <f aca="false">IF(COUNTIFS($B$2:B256,B256,$C$2:C256,C256,$I$2:I256,I256)=1,1,0)</f>
        <v>1</v>
      </c>
      <c r="M256" s="3" t="n">
        <f aca="false">IF(K256&gt;=Parametri!$B$1,1,0)</f>
        <v>0</v>
      </c>
      <c r="N256" s="3" t="n">
        <f aca="false">L256*M256</f>
        <v>0</v>
      </c>
    </row>
    <row r="257" customFormat="false" ht="15" hidden="false" customHeight="false" outlineLevel="0" collapsed="false">
      <c r="A257" s="0" t="s">
        <v>538</v>
      </c>
      <c r="B257" s="0" t="s">
        <v>31</v>
      </c>
      <c r="C257" s="0" t="s">
        <v>539</v>
      </c>
      <c r="D257" s="0" t="s">
        <v>63</v>
      </c>
      <c r="E257" s="2" t="n">
        <v>45858</v>
      </c>
      <c r="F257" s="3" t="s">
        <v>20</v>
      </c>
      <c r="G257" s="3" t="s">
        <v>28</v>
      </c>
      <c r="H257" s="3" t="s">
        <v>44</v>
      </c>
      <c r="I257" s="3" t="n">
        <f aca="false">YEAR(E257)</f>
        <v>2025</v>
      </c>
      <c r="J257" s="3" t="n">
        <f aca="false">MONTH(E257)</f>
        <v>7</v>
      </c>
      <c r="K257" s="3" t="n">
        <f aca="false">COUNTIFS($B$2:$B$4077,B257,$C$2:$C$4077,C257,$I$2:$I$4077,I257)</f>
        <v>3</v>
      </c>
      <c r="L257" s="3" t="n">
        <f aca="false">IF(COUNTIFS($B$2:B257,B257,$C$2:C257,C257,$I$2:I257,I257)=1,1,0)</f>
        <v>1</v>
      </c>
      <c r="M257" s="3" t="n">
        <f aca="false">IF(K257&gt;=Parametri!$B$1,1,0)</f>
        <v>1</v>
      </c>
      <c r="N257" s="3" t="n">
        <f aca="false">L257*M257</f>
        <v>1</v>
      </c>
    </row>
    <row r="258" customFormat="false" ht="15" hidden="false" customHeight="false" outlineLevel="0" collapsed="false">
      <c r="A258" s="0" t="s">
        <v>540</v>
      </c>
      <c r="B258" s="0" t="s">
        <v>79</v>
      </c>
      <c r="C258" s="0" t="s">
        <v>541</v>
      </c>
      <c r="D258" s="0" t="s">
        <v>77</v>
      </c>
      <c r="E258" s="2" t="n">
        <v>45481</v>
      </c>
      <c r="F258" s="3" t="s">
        <v>20</v>
      </c>
      <c r="G258" s="3" t="s">
        <v>28</v>
      </c>
      <c r="H258" s="3" t="s">
        <v>22</v>
      </c>
      <c r="I258" s="3" t="n">
        <f aca="false">YEAR(E258)</f>
        <v>2024</v>
      </c>
      <c r="J258" s="3" t="n">
        <f aca="false">MONTH(E258)</f>
        <v>7</v>
      </c>
      <c r="K258" s="3" t="n">
        <f aca="false">COUNTIFS($B$2:$B$4077,B258,$C$2:$C$4077,C258,$I$2:$I$4077,I258)</f>
        <v>1</v>
      </c>
      <c r="L258" s="3" t="n">
        <f aca="false">IF(COUNTIFS($B$2:B258,B258,$C$2:C258,C258,$I$2:I258,I258)=1,1,0)</f>
        <v>1</v>
      </c>
      <c r="M258" s="3" t="n">
        <f aca="false">IF(K258&gt;=Parametri!$B$1,1,0)</f>
        <v>0</v>
      </c>
      <c r="N258" s="3" t="n">
        <f aca="false">L258*M258</f>
        <v>0</v>
      </c>
    </row>
    <row r="259" customFormat="false" ht="15" hidden="false" customHeight="false" outlineLevel="0" collapsed="false">
      <c r="A259" s="0" t="s">
        <v>542</v>
      </c>
      <c r="B259" s="0" t="s">
        <v>68</v>
      </c>
      <c r="C259" s="0" t="s">
        <v>220</v>
      </c>
      <c r="D259" s="0" t="s">
        <v>77</v>
      </c>
      <c r="E259" s="2" t="n">
        <v>45936</v>
      </c>
      <c r="F259" s="3" t="s">
        <v>20</v>
      </c>
      <c r="G259" s="3" t="s">
        <v>89</v>
      </c>
      <c r="H259" s="3" t="s">
        <v>44</v>
      </c>
      <c r="I259" s="3" t="n">
        <f aca="false">YEAR(E259)</f>
        <v>2025</v>
      </c>
      <c r="J259" s="3" t="n">
        <f aca="false">MONTH(E259)</f>
        <v>10</v>
      </c>
      <c r="K259" s="3" t="n">
        <f aca="false">COUNTIFS($B$2:$B$4077,B259,$C$2:$C$4077,C259,$I$2:$I$4077,I259)</f>
        <v>3</v>
      </c>
      <c r="L259" s="3" t="n">
        <f aca="false">IF(COUNTIFS($B$2:B259,B259,$C$2:C259,C259,$I$2:I259,I259)=1,1,0)</f>
        <v>0</v>
      </c>
      <c r="M259" s="3" t="n">
        <f aca="false">IF(K259&gt;=Parametri!$B$1,1,0)</f>
        <v>1</v>
      </c>
      <c r="N259" s="3" t="n">
        <f aca="false">L259*M259</f>
        <v>0</v>
      </c>
    </row>
    <row r="260" customFormat="false" ht="15" hidden="false" customHeight="false" outlineLevel="0" collapsed="false">
      <c r="A260" s="0" t="s">
        <v>543</v>
      </c>
      <c r="B260" s="0" t="s">
        <v>68</v>
      </c>
      <c r="C260" s="0" t="s">
        <v>544</v>
      </c>
      <c r="D260" s="0" t="s">
        <v>54</v>
      </c>
      <c r="E260" s="2" t="n">
        <v>45689</v>
      </c>
      <c r="F260" s="3" t="s">
        <v>20</v>
      </c>
      <c r="G260" s="3" t="s">
        <v>28</v>
      </c>
      <c r="H260" s="3" t="s">
        <v>22</v>
      </c>
      <c r="I260" s="3" t="n">
        <f aca="false">YEAR(E260)</f>
        <v>2025</v>
      </c>
      <c r="J260" s="3" t="n">
        <f aca="false">MONTH(E260)</f>
        <v>2</v>
      </c>
      <c r="K260" s="3" t="n">
        <f aca="false">COUNTIFS($B$2:$B$4077,B260,$C$2:$C$4077,C260,$I$2:$I$4077,I260)</f>
        <v>1</v>
      </c>
      <c r="L260" s="3" t="n">
        <f aca="false">IF(COUNTIFS($B$2:B260,B260,$C$2:C260,C260,$I$2:I260,I260)=1,1,0)</f>
        <v>1</v>
      </c>
      <c r="M260" s="3" t="n">
        <f aca="false">IF(K260&gt;=Parametri!$B$1,1,0)</f>
        <v>0</v>
      </c>
      <c r="N260" s="3" t="n">
        <f aca="false">L260*M260</f>
        <v>0</v>
      </c>
    </row>
    <row r="261" customFormat="false" ht="15" hidden="false" customHeight="false" outlineLevel="0" collapsed="false">
      <c r="A261" s="0" t="s">
        <v>545</v>
      </c>
      <c r="B261" s="0" t="s">
        <v>17</v>
      </c>
      <c r="C261" s="0" t="s">
        <v>546</v>
      </c>
      <c r="D261" s="0" t="s">
        <v>77</v>
      </c>
      <c r="E261" s="2" t="n">
        <v>45988</v>
      </c>
      <c r="F261" s="3" t="s">
        <v>20</v>
      </c>
      <c r="G261" s="3" t="s">
        <v>89</v>
      </c>
      <c r="H261" s="3" t="s">
        <v>48</v>
      </c>
      <c r="I261" s="3" t="n">
        <f aca="false">YEAR(E261)</f>
        <v>2025</v>
      </c>
      <c r="J261" s="3" t="n">
        <f aca="false">MONTH(E261)</f>
        <v>11</v>
      </c>
      <c r="K261" s="3" t="n">
        <f aca="false">COUNTIFS($B$2:$B$4077,B261,$C$2:$C$4077,C261,$I$2:$I$4077,I261)</f>
        <v>2</v>
      </c>
      <c r="L261" s="3" t="n">
        <f aca="false">IF(COUNTIFS($B$2:B261,B261,$C$2:C261,C261,$I$2:I261,I261)=1,1,0)</f>
        <v>1</v>
      </c>
      <c r="M261" s="3" t="n">
        <f aca="false">IF(K261&gt;=Parametri!$B$1,1,0)</f>
        <v>1</v>
      </c>
      <c r="N261" s="3" t="n">
        <f aca="false">L261*M261</f>
        <v>1</v>
      </c>
    </row>
    <row r="262" customFormat="false" ht="15" hidden="false" customHeight="false" outlineLevel="0" collapsed="false">
      <c r="A262" s="0" t="s">
        <v>547</v>
      </c>
      <c r="B262" s="0" t="s">
        <v>124</v>
      </c>
      <c r="C262" s="0" t="s">
        <v>548</v>
      </c>
      <c r="D262" s="0" t="s">
        <v>38</v>
      </c>
      <c r="E262" s="2" t="n">
        <v>46216</v>
      </c>
      <c r="F262" s="3" t="s">
        <v>27</v>
      </c>
      <c r="G262" s="3" t="s">
        <v>89</v>
      </c>
      <c r="H262" s="3" t="s">
        <v>44</v>
      </c>
      <c r="I262" s="3" t="n">
        <f aca="false">YEAR(E262)</f>
        <v>2026</v>
      </c>
      <c r="J262" s="3" t="n">
        <f aca="false">MONTH(E262)</f>
        <v>7</v>
      </c>
      <c r="K262" s="3" t="n">
        <f aca="false">COUNTIFS($B$2:$B$4077,B262,$C$2:$C$4077,C262,$I$2:$I$4077,I262)</f>
        <v>1</v>
      </c>
      <c r="L262" s="3" t="n">
        <f aca="false">IF(COUNTIFS($B$2:B262,B262,$C$2:C262,C262,$I$2:I262,I262)=1,1,0)</f>
        <v>1</v>
      </c>
      <c r="M262" s="3" t="n">
        <f aca="false">IF(K262&gt;=Parametri!$B$1,1,0)</f>
        <v>0</v>
      </c>
      <c r="N262" s="3" t="n">
        <f aca="false">L262*M262</f>
        <v>0</v>
      </c>
    </row>
    <row r="263" customFormat="false" ht="15" hidden="false" customHeight="false" outlineLevel="0" collapsed="false">
      <c r="A263" s="0" t="s">
        <v>549</v>
      </c>
      <c r="B263" s="0" t="s">
        <v>68</v>
      </c>
      <c r="C263" s="0" t="s">
        <v>550</v>
      </c>
      <c r="D263" s="0" t="s">
        <v>63</v>
      </c>
      <c r="E263" s="2" t="n">
        <v>45379</v>
      </c>
      <c r="F263" s="3" t="s">
        <v>27</v>
      </c>
      <c r="G263" s="3" t="s">
        <v>55</v>
      </c>
      <c r="H263" s="3" t="s">
        <v>22</v>
      </c>
      <c r="I263" s="3" t="n">
        <f aca="false">YEAR(E263)</f>
        <v>2024</v>
      </c>
      <c r="J263" s="3" t="n">
        <f aca="false">MONTH(E263)</f>
        <v>3</v>
      </c>
      <c r="K263" s="3" t="n">
        <f aca="false">COUNTIFS($B$2:$B$4077,B263,$C$2:$C$4077,C263,$I$2:$I$4077,I263)</f>
        <v>1</v>
      </c>
      <c r="L263" s="3" t="n">
        <f aca="false">IF(COUNTIFS($B$2:B263,B263,$C$2:C263,C263,$I$2:I263,I263)=1,1,0)</f>
        <v>1</v>
      </c>
      <c r="M263" s="3" t="n">
        <f aca="false">IF(K263&gt;=Parametri!$B$1,1,0)</f>
        <v>0</v>
      </c>
      <c r="N263" s="3" t="n">
        <f aca="false">L263*M263</f>
        <v>0</v>
      </c>
    </row>
    <row r="264" customFormat="false" ht="15" hidden="false" customHeight="false" outlineLevel="0" collapsed="false">
      <c r="A264" s="0" t="s">
        <v>551</v>
      </c>
      <c r="B264" s="0" t="s">
        <v>17</v>
      </c>
      <c r="C264" s="0" t="s">
        <v>552</v>
      </c>
      <c r="D264" s="0" t="s">
        <v>33</v>
      </c>
      <c r="E264" s="2" t="n">
        <v>45710</v>
      </c>
      <c r="F264" s="3" t="s">
        <v>27</v>
      </c>
      <c r="G264" s="3" t="s">
        <v>21</v>
      </c>
      <c r="H264" s="3" t="s">
        <v>48</v>
      </c>
      <c r="I264" s="3" t="n">
        <f aca="false">YEAR(E264)</f>
        <v>2025</v>
      </c>
      <c r="J264" s="3" t="n">
        <f aca="false">MONTH(E264)</f>
        <v>2</v>
      </c>
      <c r="K264" s="3" t="n">
        <f aca="false">COUNTIFS($B$2:$B$4077,B264,$C$2:$C$4077,C264,$I$2:$I$4077,I264)</f>
        <v>3</v>
      </c>
      <c r="L264" s="3" t="n">
        <f aca="false">IF(COUNTIFS($B$2:B264,B264,$C$2:C264,C264,$I$2:I264,I264)=1,1,0)</f>
        <v>1</v>
      </c>
      <c r="M264" s="3" t="n">
        <f aca="false">IF(K264&gt;=Parametri!$B$1,1,0)</f>
        <v>1</v>
      </c>
      <c r="N264" s="3" t="n">
        <f aca="false">L264*M264</f>
        <v>1</v>
      </c>
    </row>
    <row r="265" customFormat="false" ht="15" hidden="false" customHeight="false" outlineLevel="0" collapsed="false">
      <c r="A265" s="0" t="s">
        <v>553</v>
      </c>
      <c r="B265" s="0" t="s">
        <v>124</v>
      </c>
      <c r="C265" s="0" t="s">
        <v>554</v>
      </c>
      <c r="D265" s="0" t="s">
        <v>33</v>
      </c>
      <c r="E265" s="2" t="n">
        <v>46005</v>
      </c>
      <c r="F265" s="3" t="s">
        <v>20</v>
      </c>
      <c r="G265" s="3" t="s">
        <v>39</v>
      </c>
      <c r="H265" s="3" t="s">
        <v>44</v>
      </c>
      <c r="I265" s="3" t="n">
        <f aca="false">YEAR(E265)</f>
        <v>2025</v>
      </c>
      <c r="J265" s="3" t="n">
        <f aca="false">MONTH(E265)</f>
        <v>12</v>
      </c>
      <c r="K265" s="3" t="n">
        <f aca="false">COUNTIFS($B$2:$B$4077,B265,$C$2:$C$4077,C265,$I$2:$I$4077,I265)</f>
        <v>1</v>
      </c>
      <c r="L265" s="3" t="n">
        <f aca="false">IF(COUNTIFS($B$2:B265,B265,$C$2:C265,C265,$I$2:I265,I265)=1,1,0)</f>
        <v>1</v>
      </c>
      <c r="M265" s="3" t="n">
        <f aca="false">IF(K265&gt;=Parametri!$B$1,1,0)</f>
        <v>0</v>
      </c>
      <c r="N265" s="3" t="n">
        <f aca="false">L265*M265</f>
        <v>0</v>
      </c>
    </row>
    <row r="266" customFormat="false" ht="15" hidden="false" customHeight="false" outlineLevel="0" collapsed="false">
      <c r="A266" s="0" t="s">
        <v>555</v>
      </c>
      <c r="B266" s="0" t="s">
        <v>17</v>
      </c>
      <c r="C266" s="0" t="s">
        <v>556</v>
      </c>
      <c r="D266" s="0" t="s">
        <v>33</v>
      </c>
      <c r="E266" s="2" t="n">
        <v>45294</v>
      </c>
      <c r="F266" s="3" t="s">
        <v>20</v>
      </c>
      <c r="G266" s="3" t="s">
        <v>72</v>
      </c>
      <c r="H266" s="3" t="s">
        <v>44</v>
      </c>
      <c r="I266" s="3" t="n">
        <f aca="false">YEAR(E266)</f>
        <v>2024</v>
      </c>
      <c r="J266" s="3" t="n">
        <f aca="false">MONTH(E266)</f>
        <v>1</v>
      </c>
      <c r="K266" s="3" t="n">
        <f aca="false">COUNTIFS($B$2:$B$4077,B266,$C$2:$C$4077,C266,$I$2:$I$4077,I266)</f>
        <v>2</v>
      </c>
      <c r="L266" s="3" t="n">
        <f aca="false">IF(COUNTIFS($B$2:B266,B266,$C$2:C266,C266,$I$2:I266,I266)=1,1,0)</f>
        <v>1</v>
      </c>
      <c r="M266" s="3" t="n">
        <f aca="false">IF(K266&gt;=Parametri!$B$1,1,0)</f>
        <v>1</v>
      </c>
      <c r="N266" s="3" t="n">
        <f aca="false">L266*M266</f>
        <v>1</v>
      </c>
    </row>
    <row r="267" customFormat="false" ht="15" hidden="false" customHeight="false" outlineLevel="0" collapsed="false">
      <c r="A267" s="0" t="s">
        <v>557</v>
      </c>
      <c r="B267" s="0" t="s">
        <v>31</v>
      </c>
      <c r="C267" s="0" t="s">
        <v>558</v>
      </c>
      <c r="D267" s="0" t="s">
        <v>19</v>
      </c>
      <c r="E267" s="2" t="n">
        <v>45475</v>
      </c>
      <c r="F267" s="3" t="s">
        <v>20</v>
      </c>
      <c r="G267" s="3" t="s">
        <v>28</v>
      </c>
      <c r="H267" s="3" t="s">
        <v>48</v>
      </c>
      <c r="I267" s="3" t="n">
        <f aca="false">YEAR(E267)</f>
        <v>2024</v>
      </c>
      <c r="J267" s="3" t="n">
        <f aca="false">MONTH(E267)</f>
        <v>7</v>
      </c>
      <c r="K267" s="3" t="n">
        <f aca="false">COUNTIFS($B$2:$B$4077,B267,$C$2:$C$4077,C267,$I$2:$I$4077,I267)</f>
        <v>1</v>
      </c>
      <c r="L267" s="3" t="n">
        <f aca="false">IF(COUNTIFS($B$2:B267,B267,$C$2:C267,C267,$I$2:I267,I267)=1,1,0)</f>
        <v>1</v>
      </c>
      <c r="M267" s="3" t="n">
        <f aca="false">IF(K267&gt;=Parametri!$B$1,1,0)</f>
        <v>0</v>
      </c>
      <c r="N267" s="3" t="n">
        <f aca="false">L267*M267</f>
        <v>0</v>
      </c>
    </row>
    <row r="268" customFormat="false" ht="15" hidden="false" customHeight="false" outlineLevel="0" collapsed="false">
      <c r="A268" s="0" t="s">
        <v>559</v>
      </c>
      <c r="B268" s="0" t="s">
        <v>57</v>
      </c>
      <c r="C268" s="0" t="s">
        <v>560</v>
      </c>
      <c r="D268" s="0" t="s">
        <v>19</v>
      </c>
      <c r="E268" s="2" t="n">
        <v>45758</v>
      </c>
      <c r="F268" s="3" t="s">
        <v>20</v>
      </c>
      <c r="G268" s="3" t="s">
        <v>35</v>
      </c>
      <c r="H268" s="3" t="s">
        <v>48</v>
      </c>
      <c r="I268" s="3" t="n">
        <f aca="false">YEAR(E268)</f>
        <v>2025</v>
      </c>
      <c r="J268" s="3" t="n">
        <f aca="false">MONTH(E268)</f>
        <v>4</v>
      </c>
      <c r="K268" s="3" t="n">
        <f aca="false">COUNTIFS($B$2:$B$4077,B268,$C$2:$C$4077,C268,$I$2:$I$4077,I268)</f>
        <v>1</v>
      </c>
      <c r="L268" s="3" t="n">
        <f aca="false">IF(COUNTIFS($B$2:B268,B268,$C$2:C268,C268,$I$2:I268,I268)=1,1,0)</f>
        <v>1</v>
      </c>
      <c r="M268" s="3" t="n">
        <f aca="false">IF(K268&gt;=Parametri!$B$1,1,0)</f>
        <v>0</v>
      </c>
      <c r="N268" s="3" t="n">
        <f aca="false">L268*M268</f>
        <v>0</v>
      </c>
    </row>
    <row r="269" customFormat="false" ht="15" hidden="false" customHeight="false" outlineLevel="0" collapsed="false">
      <c r="A269" s="0" t="s">
        <v>561</v>
      </c>
      <c r="B269" s="0" t="s">
        <v>46</v>
      </c>
      <c r="C269" s="0" t="s">
        <v>93</v>
      </c>
      <c r="D269" s="0" t="s">
        <v>19</v>
      </c>
      <c r="E269" s="2" t="n">
        <v>46057</v>
      </c>
      <c r="F269" s="3" t="s">
        <v>34</v>
      </c>
      <c r="G269" s="3" t="s">
        <v>55</v>
      </c>
      <c r="H269" s="3" t="s">
        <v>48</v>
      </c>
      <c r="I269" s="3" t="n">
        <f aca="false">YEAR(E269)</f>
        <v>2026</v>
      </c>
      <c r="J269" s="3" t="n">
        <f aca="false">MONTH(E269)</f>
        <v>2</v>
      </c>
      <c r="K269" s="3" t="n">
        <f aca="false">COUNTIFS($B$2:$B$4077,B269,$C$2:$C$4077,C269,$I$2:$I$4077,I269)</f>
        <v>3</v>
      </c>
      <c r="L269" s="3" t="n">
        <f aca="false">IF(COUNTIFS($B$2:B269,B269,$C$2:C269,C269,$I$2:I269,I269)=1,1,0)</f>
        <v>1</v>
      </c>
      <c r="M269" s="3" t="n">
        <f aca="false">IF(K269&gt;=Parametri!$B$1,1,0)</f>
        <v>1</v>
      </c>
      <c r="N269" s="3" t="n">
        <f aca="false">L269*M269</f>
        <v>1</v>
      </c>
    </row>
    <row r="270" customFormat="false" ht="15" hidden="false" customHeight="false" outlineLevel="0" collapsed="false">
      <c r="A270" s="0" t="s">
        <v>562</v>
      </c>
      <c r="B270" s="0" t="s">
        <v>68</v>
      </c>
      <c r="C270" s="0" t="s">
        <v>563</v>
      </c>
      <c r="D270" s="0" t="s">
        <v>77</v>
      </c>
      <c r="E270" s="2" t="n">
        <v>45400</v>
      </c>
      <c r="F270" s="3" t="s">
        <v>20</v>
      </c>
      <c r="G270" s="3" t="s">
        <v>72</v>
      </c>
      <c r="H270" s="3" t="s">
        <v>48</v>
      </c>
      <c r="I270" s="3" t="n">
        <f aca="false">YEAR(E270)</f>
        <v>2024</v>
      </c>
      <c r="J270" s="3" t="n">
        <f aca="false">MONTH(E270)</f>
        <v>4</v>
      </c>
      <c r="K270" s="3" t="n">
        <f aca="false">COUNTIFS($B$2:$B$4077,B270,$C$2:$C$4077,C270,$I$2:$I$4077,I270)</f>
        <v>2</v>
      </c>
      <c r="L270" s="3" t="n">
        <f aca="false">IF(COUNTIFS($B$2:B270,B270,$C$2:C270,C270,$I$2:I270,I270)=1,1,0)</f>
        <v>1</v>
      </c>
      <c r="M270" s="3" t="n">
        <f aca="false">IF(K270&gt;=Parametri!$B$1,1,0)</f>
        <v>1</v>
      </c>
      <c r="N270" s="3" t="n">
        <f aca="false">L270*M270</f>
        <v>1</v>
      </c>
    </row>
    <row r="271" customFormat="false" ht="15" hidden="false" customHeight="false" outlineLevel="0" collapsed="false">
      <c r="A271" s="0" t="s">
        <v>564</v>
      </c>
      <c r="B271" s="0" t="s">
        <v>31</v>
      </c>
      <c r="C271" s="0" t="s">
        <v>76</v>
      </c>
      <c r="D271" s="0" t="s">
        <v>63</v>
      </c>
      <c r="E271" s="2" t="n">
        <v>45913</v>
      </c>
      <c r="F271" s="3" t="s">
        <v>27</v>
      </c>
      <c r="G271" s="3" t="s">
        <v>21</v>
      </c>
      <c r="H271" s="3" t="s">
        <v>48</v>
      </c>
      <c r="I271" s="3" t="n">
        <f aca="false">YEAR(E271)</f>
        <v>2025</v>
      </c>
      <c r="J271" s="3" t="n">
        <f aca="false">MONTH(E271)</f>
        <v>9</v>
      </c>
      <c r="K271" s="3" t="n">
        <f aca="false">COUNTIFS($B$2:$B$4077,B271,$C$2:$C$4077,C271,$I$2:$I$4077,I271)</f>
        <v>2</v>
      </c>
      <c r="L271" s="3" t="n">
        <f aca="false">IF(COUNTIFS($B$2:B271,B271,$C$2:C271,C271,$I$2:I271,I271)=1,1,0)</f>
        <v>0</v>
      </c>
      <c r="M271" s="3" t="n">
        <f aca="false">IF(K271&gt;=Parametri!$B$1,1,0)</f>
        <v>1</v>
      </c>
      <c r="N271" s="3" t="n">
        <f aca="false">L271*M271</f>
        <v>0</v>
      </c>
    </row>
    <row r="272" customFormat="false" ht="15" hidden="false" customHeight="false" outlineLevel="0" collapsed="false">
      <c r="A272" s="0" t="s">
        <v>565</v>
      </c>
      <c r="B272" s="0" t="s">
        <v>24</v>
      </c>
      <c r="C272" s="0" t="s">
        <v>566</v>
      </c>
      <c r="D272" s="0" t="s">
        <v>19</v>
      </c>
      <c r="E272" s="2" t="n">
        <v>45928</v>
      </c>
      <c r="F272" s="3" t="s">
        <v>27</v>
      </c>
      <c r="G272" s="3" t="s">
        <v>21</v>
      </c>
      <c r="H272" s="3" t="s">
        <v>44</v>
      </c>
      <c r="I272" s="3" t="n">
        <f aca="false">YEAR(E272)</f>
        <v>2025</v>
      </c>
      <c r="J272" s="3" t="n">
        <f aca="false">MONTH(E272)</f>
        <v>9</v>
      </c>
      <c r="K272" s="3" t="n">
        <f aca="false">COUNTIFS($B$2:$B$4077,B272,$C$2:$C$4077,C272,$I$2:$I$4077,I272)</f>
        <v>3</v>
      </c>
      <c r="L272" s="3" t="n">
        <f aca="false">IF(COUNTIFS($B$2:B272,B272,$C$2:C272,C272,$I$2:I272,I272)=1,1,0)</f>
        <v>1</v>
      </c>
      <c r="M272" s="3" t="n">
        <f aca="false">IF(K272&gt;=Parametri!$B$1,1,0)</f>
        <v>1</v>
      </c>
      <c r="N272" s="3" t="n">
        <f aca="false">L272*M272</f>
        <v>1</v>
      </c>
    </row>
    <row r="273" customFormat="false" ht="15" hidden="false" customHeight="false" outlineLevel="0" collapsed="false">
      <c r="A273" s="0" t="s">
        <v>567</v>
      </c>
      <c r="B273" s="0" t="s">
        <v>46</v>
      </c>
      <c r="C273" s="0" t="s">
        <v>568</v>
      </c>
      <c r="D273" s="0" t="s">
        <v>19</v>
      </c>
      <c r="E273" s="2" t="n">
        <v>45320</v>
      </c>
      <c r="F273" s="3" t="s">
        <v>20</v>
      </c>
      <c r="G273" s="3" t="s">
        <v>89</v>
      </c>
      <c r="H273" s="3" t="s">
        <v>22</v>
      </c>
      <c r="I273" s="3" t="n">
        <f aca="false">YEAR(E273)</f>
        <v>2024</v>
      </c>
      <c r="J273" s="3" t="n">
        <f aca="false">MONTH(E273)</f>
        <v>1</v>
      </c>
      <c r="K273" s="3" t="n">
        <f aca="false">COUNTIFS($B$2:$B$4077,B273,$C$2:$C$4077,C273,$I$2:$I$4077,I273)</f>
        <v>1</v>
      </c>
      <c r="L273" s="3" t="n">
        <f aca="false">IF(COUNTIFS($B$2:B273,B273,$C$2:C273,C273,$I$2:I273,I273)=1,1,0)</f>
        <v>1</v>
      </c>
      <c r="M273" s="3" t="n">
        <f aca="false">IF(K273&gt;=Parametri!$B$1,1,0)</f>
        <v>0</v>
      </c>
      <c r="N273" s="3" t="n">
        <f aca="false">L273*M273</f>
        <v>0</v>
      </c>
    </row>
    <row r="274" customFormat="false" ht="15" hidden="false" customHeight="false" outlineLevel="0" collapsed="false">
      <c r="A274" s="0" t="s">
        <v>569</v>
      </c>
      <c r="B274" s="0" t="s">
        <v>79</v>
      </c>
      <c r="C274" s="0" t="s">
        <v>570</v>
      </c>
      <c r="D274" s="0" t="s">
        <v>19</v>
      </c>
      <c r="E274" s="2" t="n">
        <v>46233</v>
      </c>
      <c r="F274" s="3" t="s">
        <v>34</v>
      </c>
      <c r="G274" s="3" t="s">
        <v>28</v>
      </c>
      <c r="H274" s="3" t="s">
        <v>48</v>
      </c>
      <c r="I274" s="3" t="n">
        <f aca="false">YEAR(E274)</f>
        <v>2026</v>
      </c>
      <c r="J274" s="3" t="n">
        <f aca="false">MONTH(E274)</f>
        <v>7</v>
      </c>
      <c r="K274" s="3" t="n">
        <f aca="false">COUNTIFS($B$2:$B$4077,B274,$C$2:$C$4077,C274,$I$2:$I$4077,I274)</f>
        <v>1</v>
      </c>
      <c r="L274" s="3" t="n">
        <f aca="false">IF(COUNTIFS($B$2:B274,B274,$C$2:C274,C274,$I$2:I274,I274)=1,1,0)</f>
        <v>1</v>
      </c>
      <c r="M274" s="3" t="n">
        <f aca="false">IF(K274&gt;=Parametri!$B$1,1,0)</f>
        <v>0</v>
      </c>
      <c r="N274" s="3" t="n">
        <f aca="false">L274*M274</f>
        <v>0</v>
      </c>
    </row>
    <row r="275" customFormat="false" ht="15" hidden="false" customHeight="false" outlineLevel="0" collapsed="false">
      <c r="A275" s="0" t="s">
        <v>571</v>
      </c>
      <c r="B275" s="0" t="s">
        <v>17</v>
      </c>
      <c r="C275" s="0" t="s">
        <v>572</v>
      </c>
      <c r="D275" s="0" t="s">
        <v>26</v>
      </c>
      <c r="E275" s="2" t="n">
        <v>46051</v>
      </c>
      <c r="F275" s="3" t="s">
        <v>27</v>
      </c>
      <c r="G275" s="3" t="s">
        <v>35</v>
      </c>
      <c r="H275" s="3" t="s">
        <v>48</v>
      </c>
      <c r="I275" s="3" t="n">
        <f aca="false">YEAR(E275)</f>
        <v>2026</v>
      </c>
      <c r="J275" s="3" t="n">
        <f aca="false">MONTH(E275)</f>
        <v>1</v>
      </c>
      <c r="K275" s="3" t="n">
        <f aca="false">COUNTIFS($B$2:$B$4077,B275,$C$2:$C$4077,C275,$I$2:$I$4077,I275)</f>
        <v>2</v>
      </c>
      <c r="L275" s="3" t="n">
        <f aca="false">IF(COUNTIFS($B$2:B275,B275,$C$2:C275,C275,$I$2:I275,I275)=1,1,0)</f>
        <v>1</v>
      </c>
      <c r="M275" s="3" t="n">
        <f aca="false">IF(K275&gt;=Parametri!$B$1,1,0)</f>
        <v>1</v>
      </c>
      <c r="N275" s="3" t="n">
        <f aca="false">L275*M275</f>
        <v>1</v>
      </c>
    </row>
    <row r="276" customFormat="false" ht="15" hidden="false" customHeight="false" outlineLevel="0" collapsed="false">
      <c r="A276" s="0" t="s">
        <v>573</v>
      </c>
      <c r="B276" s="0" t="s">
        <v>31</v>
      </c>
      <c r="C276" s="0" t="s">
        <v>574</v>
      </c>
      <c r="D276" s="0" t="s">
        <v>33</v>
      </c>
      <c r="E276" s="2" t="n">
        <v>45572</v>
      </c>
      <c r="F276" s="3" t="s">
        <v>20</v>
      </c>
      <c r="G276" s="3" t="s">
        <v>28</v>
      </c>
      <c r="H276" s="3" t="s">
        <v>48</v>
      </c>
      <c r="I276" s="3" t="n">
        <f aca="false">YEAR(E276)</f>
        <v>2024</v>
      </c>
      <c r="J276" s="3" t="n">
        <f aca="false">MONTH(E276)</f>
        <v>10</v>
      </c>
      <c r="K276" s="3" t="n">
        <f aca="false">COUNTIFS($B$2:$B$4077,B276,$C$2:$C$4077,C276,$I$2:$I$4077,I276)</f>
        <v>1</v>
      </c>
      <c r="L276" s="3" t="n">
        <f aca="false">IF(COUNTIFS($B$2:B276,B276,$C$2:C276,C276,$I$2:I276,I276)=1,1,0)</f>
        <v>1</v>
      </c>
      <c r="M276" s="3" t="n">
        <f aca="false">IF(K276&gt;=Parametri!$B$1,1,0)</f>
        <v>0</v>
      </c>
      <c r="N276" s="3" t="n">
        <f aca="false">L276*M276</f>
        <v>0</v>
      </c>
    </row>
    <row r="277" customFormat="false" ht="15" hidden="false" customHeight="false" outlineLevel="0" collapsed="false">
      <c r="A277" s="0" t="s">
        <v>575</v>
      </c>
      <c r="B277" s="0" t="s">
        <v>46</v>
      </c>
      <c r="C277" s="0" t="s">
        <v>576</v>
      </c>
      <c r="D277" s="0" t="s">
        <v>54</v>
      </c>
      <c r="E277" s="2" t="n">
        <v>45583</v>
      </c>
      <c r="F277" s="3" t="s">
        <v>20</v>
      </c>
      <c r="G277" s="3" t="s">
        <v>104</v>
      </c>
      <c r="H277" s="3" t="s">
        <v>104</v>
      </c>
      <c r="I277" s="3" t="n">
        <f aca="false">YEAR(E277)</f>
        <v>2024</v>
      </c>
      <c r="J277" s="3" t="n">
        <f aca="false">MONTH(E277)</f>
        <v>10</v>
      </c>
      <c r="K277" s="3" t="n">
        <f aca="false">COUNTIFS($B$2:$B$4077,B277,$C$2:$C$4077,C277,$I$2:$I$4077,I277)</f>
        <v>1</v>
      </c>
      <c r="L277" s="3" t="n">
        <f aca="false">IF(COUNTIFS($B$2:B277,B277,$C$2:C277,C277,$I$2:I277,I277)=1,1,0)</f>
        <v>1</v>
      </c>
      <c r="M277" s="3" t="n">
        <f aca="false">IF(K277&gt;=Parametri!$B$1,1,0)</f>
        <v>0</v>
      </c>
      <c r="N277" s="3" t="n">
        <f aca="false">L277*M277</f>
        <v>0</v>
      </c>
    </row>
    <row r="278" customFormat="false" ht="15" hidden="false" customHeight="false" outlineLevel="0" collapsed="false">
      <c r="A278" s="0" t="s">
        <v>577</v>
      </c>
      <c r="B278" s="0" t="s">
        <v>17</v>
      </c>
      <c r="C278" s="0" t="s">
        <v>231</v>
      </c>
      <c r="D278" s="0" t="s">
        <v>19</v>
      </c>
      <c r="E278" s="2" t="n">
        <v>45367</v>
      </c>
      <c r="F278" s="3" t="s">
        <v>20</v>
      </c>
      <c r="G278" s="3" t="s">
        <v>89</v>
      </c>
      <c r="H278" s="3" t="s">
        <v>22</v>
      </c>
      <c r="I278" s="3" t="n">
        <f aca="false">YEAR(E278)</f>
        <v>2024</v>
      </c>
      <c r="J278" s="3" t="n">
        <f aca="false">MONTH(E278)</f>
        <v>3</v>
      </c>
      <c r="K278" s="3" t="n">
        <f aca="false">COUNTIFS($B$2:$B$4077,B278,$C$2:$C$4077,C278,$I$2:$I$4077,I278)</f>
        <v>4</v>
      </c>
      <c r="L278" s="3" t="n">
        <f aca="false">IF(COUNTIFS($B$2:B278,B278,$C$2:C278,C278,$I$2:I278,I278)=1,1,0)</f>
        <v>0</v>
      </c>
      <c r="M278" s="3" t="n">
        <f aca="false">IF(K278&gt;=Parametri!$B$1,1,0)</f>
        <v>1</v>
      </c>
      <c r="N278" s="3" t="n">
        <f aca="false">L278*M278</f>
        <v>0</v>
      </c>
    </row>
    <row r="279" customFormat="false" ht="15" hidden="false" customHeight="false" outlineLevel="0" collapsed="false">
      <c r="A279" s="0" t="s">
        <v>578</v>
      </c>
      <c r="B279" s="0" t="s">
        <v>124</v>
      </c>
      <c r="C279" s="0" t="s">
        <v>301</v>
      </c>
      <c r="D279" s="0" t="s">
        <v>63</v>
      </c>
      <c r="E279" s="2" t="n">
        <v>45422</v>
      </c>
      <c r="F279" s="3" t="s">
        <v>20</v>
      </c>
      <c r="G279" s="3" t="s">
        <v>35</v>
      </c>
      <c r="H279" s="3" t="s">
        <v>48</v>
      </c>
      <c r="I279" s="3" t="n">
        <f aca="false">YEAR(E279)</f>
        <v>2024</v>
      </c>
      <c r="J279" s="3" t="n">
        <f aca="false">MONTH(E279)</f>
        <v>5</v>
      </c>
      <c r="K279" s="3" t="n">
        <f aca="false">COUNTIFS($B$2:$B$4077,B279,$C$2:$C$4077,C279,$I$2:$I$4077,I279)</f>
        <v>2</v>
      </c>
      <c r="L279" s="3" t="n">
        <f aca="false">IF(COUNTIFS($B$2:B279,B279,$C$2:C279,C279,$I$2:I279,I279)=1,1,0)</f>
        <v>1</v>
      </c>
      <c r="M279" s="3" t="n">
        <f aca="false">IF(K279&gt;=Parametri!$B$1,1,0)</f>
        <v>1</v>
      </c>
      <c r="N279" s="3" t="n">
        <f aca="false">L279*M279</f>
        <v>1</v>
      </c>
    </row>
    <row r="280" customFormat="false" ht="15" hidden="false" customHeight="false" outlineLevel="0" collapsed="false">
      <c r="A280" s="0" t="s">
        <v>579</v>
      </c>
      <c r="B280" s="0" t="s">
        <v>124</v>
      </c>
      <c r="C280" s="0" t="s">
        <v>580</v>
      </c>
      <c r="D280" s="0" t="s">
        <v>33</v>
      </c>
      <c r="E280" s="2" t="n">
        <v>45480</v>
      </c>
      <c r="F280" s="3" t="s">
        <v>34</v>
      </c>
      <c r="G280" s="3" t="s">
        <v>72</v>
      </c>
      <c r="H280" s="3" t="s">
        <v>29</v>
      </c>
      <c r="I280" s="3" t="n">
        <f aca="false">YEAR(E280)</f>
        <v>2024</v>
      </c>
      <c r="J280" s="3" t="n">
        <f aca="false">MONTH(E280)</f>
        <v>7</v>
      </c>
      <c r="K280" s="3" t="n">
        <f aca="false">COUNTIFS($B$2:$B$4077,B280,$C$2:$C$4077,C280,$I$2:$I$4077,I280)</f>
        <v>2</v>
      </c>
      <c r="L280" s="3" t="n">
        <f aca="false">IF(COUNTIFS($B$2:B280,B280,$C$2:C280,C280,$I$2:I280,I280)=1,1,0)</f>
        <v>1</v>
      </c>
      <c r="M280" s="3" t="n">
        <f aca="false">IF(K280&gt;=Parametri!$B$1,1,0)</f>
        <v>1</v>
      </c>
      <c r="N280" s="3" t="n">
        <f aca="false">L280*M280</f>
        <v>1</v>
      </c>
    </row>
    <row r="281" customFormat="false" ht="15" hidden="false" customHeight="false" outlineLevel="0" collapsed="false">
      <c r="A281" s="0" t="s">
        <v>581</v>
      </c>
      <c r="B281" s="0" t="s">
        <v>31</v>
      </c>
      <c r="C281" s="0" t="s">
        <v>214</v>
      </c>
      <c r="D281" s="0" t="s">
        <v>26</v>
      </c>
      <c r="E281" s="2" t="n">
        <v>45985</v>
      </c>
      <c r="F281" s="3" t="s">
        <v>20</v>
      </c>
      <c r="G281" s="3" t="s">
        <v>21</v>
      </c>
      <c r="H281" s="3" t="s">
        <v>29</v>
      </c>
      <c r="I281" s="3" t="n">
        <f aca="false">YEAR(E281)</f>
        <v>2025</v>
      </c>
      <c r="J281" s="3" t="n">
        <f aca="false">MONTH(E281)</f>
        <v>11</v>
      </c>
      <c r="K281" s="3" t="n">
        <f aca="false">COUNTIFS($B$2:$B$4077,B281,$C$2:$C$4077,C281,$I$2:$I$4077,I281)</f>
        <v>3</v>
      </c>
      <c r="L281" s="3" t="n">
        <f aca="false">IF(COUNTIFS($B$2:B281,B281,$C$2:C281,C281,$I$2:I281,I281)=1,1,0)</f>
        <v>1</v>
      </c>
      <c r="M281" s="3" t="n">
        <f aca="false">IF(K281&gt;=Parametri!$B$1,1,0)</f>
        <v>1</v>
      </c>
      <c r="N281" s="3" t="n">
        <f aca="false">L281*M281</f>
        <v>1</v>
      </c>
    </row>
    <row r="282" customFormat="false" ht="15" hidden="false" customHeight="false" outlineLevel="0" collapsed="false">
      <c r="A282" s="0" t="s">
        <v>582</v>
      </c>
      <c r="B282" s="0" t="s">
        <v>57</v>
      </c>
      <c r="C282" s="0" t="s">
        <v>583</v>
      </c>
      <c r="D282" s="0" t="s">
        <v>77</v>
      </c>
      <c r="E282" s="2" t="n">
        <v>45354</v>
      </c>
      <c r="F282" s="3" t="s">
        <v>20</v>
      </c>
      <c r="G282" s="3" t="s">
        <v>72</v>
      </c>
      <c r="H282" s="3" t="s">
        <v>29</v>
      </c>
      <c r="I282" s="3" t="n">
        <f aca="false">YEAR(E282)</f>
        <v>2024</v>
      </c>
      <c r="J282" s="3" t="n">
        <f aca="false">MONTH(E282)</f>
        <v>3</v>
      </c>
      <c r="K282" s="3" t="n">
        <f aca="false">COUNTIFS($B$2:$B$4077,B282,$C$2:$C$4077,C282,$I$2:$I$4077,I282)</f>
        <v>2</v>
      </c>
      <c r="L282" s="3" t="n">
        <f aca="false">IF(COUNTIFS($B$2:B282,B282,$C$2:C282,C282,$I$2:I282,I282)=1,1,0)</f>
        <v>1</v>
      </c>
      <c r="M282" s="3" t="n">
        <f aca="false">IF(K282&gt;=Parametri!$B$1,1,0)</f>
        <v>1</v>
      </c>
      <c r="N282" s="3" t="n">
        <f aca="false">L282*M282</f>
        <v>1</v>
      </c>
    </row>
    <row r="283" customFormat="false" ht="15" hidden="false" customHeight="false" outlineLevel="0" collapsed="false">
      <c r="A283" s="0" t="s">
        <v>584</v>
      </c>
      <c r="B283" s="0" t="s">
        <v>79</v>
      </c>
      <c r="C283" s="0" t="s">
        <v>585</v>
      </c>
      <c r="D283" s="0" t="s">
        <v>63</v>
      </c>
      <c r="E283" s="2" t="n">
        <v>45489</v>
      </c>
      <c r="F283" s="3" t="s">
        <v>20</v>
      </c>
      <c r="G283" s="3" t="s">
        <v>39</v>
      </c>
      <c r="H283" s="3" t="s">
        <v>48</v>
      </c>
      <c r="I283" s="3" t="n">
        <f aca="false">YEAR(E283)</f>
        <v>2024</v>
      </c>
      <c r="J283" s="3" t="n">
        <f aca="false">MONTH(E283)</f>
        <v>7</v>
      </c>
      <c r="K283" s="3" t="n">
        <f aca="false">COUNTIFS($B$2:$B$4077,B283,$C$2:$C$4077,C283,$I$2:$I$4077,I283)</f>
        <v>3</v>
      </c>
      <c r="L283" s="3" t="n">
        <f aca="false">IF(COUNTIFS($B$2:B283,B283,$C$2:C283,C283,$I$2:I283,I283)=1,1,0)</f>
        <v>1</v>
      </c>
      <c r="M283" s="3" t="n">
        <f aca="false">IF(K283&gt;=Parametri!$B$1,1,0)</f>
        <v>1</v>
      </c>
      <c r="N283" s="3" t="n">
        <f aca="false">L283*M283</f>
        <v>1</v>
      </c>
    </row>
    <row r="284" customFormat="false" ht="15" hidden="false" customHeight="false" outlineLevel="0" collapsed="false">
      <c r="A284" s="0" t="s">
        <v>586</v>
      </c>
      <c r="B284" s="0" t="s">
        <v>41</v>
      </c>
      <c r="C284" s="0" t="s">
        <v>408</v>
      </c>
      <c r="D284" s="0" t="s">
        <v>77</v>
      </c>
      <c r="E284" s="2" t="n">
        <v>45904</v>
      </c>
      <c r="F284" s="3" t="s">
        <v>34</v>
      </c>
      <c r="G284" s="3" t="s">
        <v>55</v>
      </c>
      <c r="H284" s="3" t="s">
        <v>29</v>
      </c>
      <c r="I284" s="3" t="n">
        <f aca="false">YEAR(E284)</f>
        <v>2025</v>
      </c>
      <c r="J284" s="3" t="n">
        <f aca="false">MONTH(E284)</f>
        <v>9</v>
      </c>
      <c r="K284" s="3" t="n">
        <f aca="false">COUNTIFS($B$2:$B$4077,B284,$C$2:$C$4077,C284,$I$2:$I$4077,I284)</f>
        <v>2</v>
      </c>
      <c r="L284" s="3" t="n">
        <f aca="false">IF(COUNTIFS($B$2:B284,B284,$C$2:C284,C284,$I$2:I284,I284)=1,1,0)</f>
        <v>0</v>
      </c>
      <c r="M284" s="3" t="n">
        <f aca="false">IF(K284&gt;=Parametri!$B$1,1,0)</f>
        <v>1</v>
      </c>
      <c r="N284" s="3" t="n">
        <f aca="false">L284*M284</f>
        <v>0</v>
      </c>
    </row>
    <row r="285" customFormat="false" ht="15" hidden="false" customHeight="false" outlineLevel="0" collapsed="false">
      <c r="A285" s="0" t="s">
        <v>587</v>
      </c>
      <c r="B285" s="0" t="s">
        <v>31</v>
      </c>
      <c r="C285" s="0" t="s">
        <v>108</v>
      </c>
      <c r="D285" s="0" t="s">
        <v>77</v>
      </c>
      <c r="E285" s="2" t="n">
        <v>45746</v>
      </c>
      <c r="F285" s="3" t="s">
        <v>20</v>
      </c>
      <c r="G285" s="3" t="s">
        <v>89</v>
      </c>
      <c r="H285" s="3" t="s">
        <v>44</v>
      </c>
      <c r="I285" s="3" t="n">
        <f aca="false">YEAR(E285)</f>
        <v>2025</v>
      </c>
      <c r="J285" s="3" t="n">
        <f aca="false">MONTH(E285)</f>
        <v>3</v>
      </c>
      <c r="K285" s="3" t="n">
        <f aca="false">COUNTIFS($B$2:$B$4077,B285,$C$2:$C$4077,C285,$I$2:$I$4077,I285)</f>
        <v>5</v>
      </c>
      <c r="L285" s="3" t="n">
        <f aca="false">IF(COUNTIFS($B$2:B285,B285,$C$2:C285,C285,$I$2:I285,I285)=1,1,0)</f>
        <v>1</v>
      </c>
      <c r="M285" s="3" t="n">
        <f aca="false">IF(K285&gt;=Parametri!$B$1,1,0)</f>
        <v>1</v>
      </c>
      <c r="N285" s="3" t="n">
        <f aca="false">L285*M285</f>
        <v>1</v>
      </c>
    </row>
    <row r="286" customFormat="false" ht="15" hidden="false" customHeight="false" outlineLevel="0" collapsed="false">
      <c r="A286" s="0" t="s">
        <v>588</v>
      </c>
      <c r="B286" s="0" t="s">
        <v>17</v>
      </c>
      <c r="C286" s="0" t="s">
        <v>589</v>
      </c>
      <c r="D286" s="0" t="s">
        <v>63</v>
      </c>
      <c r="E286" s="2" t="n">
        <v>45607</v>
      </c>
      <c r="F286" s="3" t="s">
        <v>20</v>
      </c>
      <c r="G286" s="3" t="s">
        <v>72</v>
      </c>
      <c r="H286" s="3" t="s">
        <v>29</v>
      </c>
      <c r="I286" s="3" t="n">
        <f aca="false">YEAR(E286)</f>
        <v>2024</v>
      </c>
      <c r="J286" s="3" t="n">
        <f aca="false">MONTH(E286)</f>
        <v>11</v>
      </c>
      <c r="K286" s="3" t="n">
        <f aca="false">COUNTIFS($B$2:$B$4077,B286,$C$2:$C$4077,C286,$I$2:$I$4077,I286)</f>
        <v>1</v>
      </c>
      <c r="L286" s="3" t="n">
        <f aca="false">IF(COUNTIFS($B$2:B286,B286,$C$2:C286,C286,$I$2:I286,I286)=1,1,0)</f>
        <v>1</v>
      </c>
      <c r="M286" s="3" t="n">
        <f aca="false">IF(K286&gt;=Parametri!$B$1,1,0)</f>
        <v>0</v>
      </c>
      <c r="N286" s="3" t="n">
        <f aca="false">L286*M286</f>
        <v>0</v>
      </c>
    </row>
    <row r="287" customFormat="false" ht="15" hidden="false" customHeight="false" outlineLevel="0" collapsed="false">
      <c r="A287" s="0" t="s">
        <v>590</v>
      </c>
      <c r="B287" s="0" t="s">
        <v>50</v>
      </c>
      <c r="C287" s="0" t="s">
        <v>533</v>
      </c>
      <c r="D287" s="0" t="s">
        <v>54</v>
      </c>
      <c r="E287" s="2" t="n">
        <v>45767</v>
      </c>
      <c r="F287" s="3" t="s">
        <v>20</v>
      </c>
      <c r="G287" s="3" t="s">
        <v>72</v>
      </c>
      <c r="H287" s="3" t="s">
        <v>44</v>
      </c>
      <c r="I287" s="3" t="n">
        <f aca="false">YEAR(E287)</f>
        <v>2025</v>
      </c>
      <c r="J287" s="3" t="n">
        <f aca="false">MONTH(E287)</f>
        <v>4</v>
      </c>
      <c r="K287" s="3" t="n">
        <f aca="false">COUNTIFS($B$2:$B$4077,B287,$C$2:$C$4077,C287,$I$2:$I$4077,I287)</f>
        <v>7</v>
      </c>
      <c r="L287" s="3" t="n">
        <f aca="false">IF(COUNTIFS($B$2:B287,B287,$C$2:C287,C287,$I$2:I287,I287)=1,1,0)</f>
        <v>1</v>
      </c>
      <c r="M287" s="3" t="n">
        <f aca="false">IF(K287&gt;=Parametri!$B$1,1,0)</f>
        <v>1</v>
      </c>
      <c r="N287" s="3" t="n">
        <f aca="false">L287*M287</f>
        <v>1</v>
      </c>
    </row>
    <row r="288" customFormat="false" ht="15" hidden="false" customHeight="false" outlineLevel="0" collapsed="false">
      <c r="A288" s="0" t="s">
        <v>591</v>
      </c>
      <c r="B288" s="0" t="s">
        <v>79</v>
      </c>
      <c r="C288" s="0" t="s">
        <v>592</v>
      </c>
      <c r="D288" s="0" t="s">
        <v>63</v>
      </c>
      <c r="E288" s="2" t="n">
        <v>46059</v>
      </c>
      <c r="F288" s="3" t="s">
        <v>20</v>
      </c>
      <c r="G288" s="3" t="s">
        <v>39</v>
      </c>
      <c r="H288" s="3" t="s">
        <v>48</v>
      </c>
      <c r="I288" s="3" t="n">
        <f aca="false">YEAR(E288)</f>
        <v>2026</v>
      </c>
      <c r="J288" s="3" t="n">
        <f aca="false">MONTH(E288)</f>
        <v>2</v>
      </c>
      <c r="K288" s="3" t="n">
        <f aca="false">COUNTIFS($B$2:$B$4077,B288,$C$2:$C$4077,C288,$I$2:$I$4077,I288)</f>
        <v>2</v>
      </c>
      <c r="L288" s="3" t="n">
        <f aca="false">IF(COUNTIFS($B$2:B288,B288,$C$2:C288,C288,$I$2:I288,I288)=1,1,0)</f>
        <v>1</v>
      </c>
      <c r="M288" s="3" t="n">
        <f aca="false">IF(K288&gt;=Parametri!$B$1,1,0)</f>
        <v>1</v>
      </c>
      <c r="N288" s="3" t="n">
        <f aca="false">L288*M288</f>
        <v>1</v>
      </c>
    </row>
    <row r="289" customFormat="false" ht="15" hidden="false" customHeight="false" outlineLevel="0" collapsed="false">
      <c r="A289" s="0" t="s">
        <v>593</v>
      </c>
      <c r="B289" s="0" t="s">
        <v>24</v>
      </c>
      <c r="C289" s="0" t="s">
        <v>594</v>
      </c>
      <c r="D289" s="0" t="s">
        <v>77</v>
      </c>
      <c r="E289" s="2" t="n">
        <v>45517</v>
      </c>
      <c r="F289" s="3" t="s">
        <v>20</v>
      </c>
      <c r="G289" s="3" t="s">
        <v>21</v>
      </c>
      <c r="H289" s="3" t="s">
        <v>22</v>
      </c>
      <c r="I289" s="3" t="n">
        <f aca="false">YEAR(E289)</f>
        <v>2024</v>
      </c>
      <c r="J289" s="3" t="n">
        <f aca="false">MONTH(E289)</f>
        <v>8</v>
      </c>
      <c r="K289" s="3" t="n">
        <f aca="false">COUNTIFS($B$2:$B$4077,B289,$C$2:$C$4077,C289,$I$2:$I$4077,I289)</f>
        <v>1</v>
      </c>
      <c r="L289" s="3" t="n">
        <f aca="false">IF(COUNTIFS($B$2:B289,B289,$C$2:C289,C289,$I$2:I289,I289)=1,1,0)</f>
        <v>1</v>
      </c>
      <c r="M289" s="3" t="n">
        <f aca="false">IF(K289&gt;=Parametri!$B$1,1,0)</f>
        <v>0</v>
      </c>
      <c r="N289" s="3" t="n">
        <f aca="false">L289*M289</f>
        <v>0</v>
      </c>
    </row>
    <row r="290" customFormat="false" ht="15" hidden="false" customHeight="false" outlineLevel="0" collapsed="false">
      <c r="A290" s="0" t="s">
        <v>595</v>
      </c>
      <c r="B290" s="0" t="s">
        <v>46</v>
      </c>
      <c r="C290" s="0" t="s">
        <v>596</v>
      </c>
      <c r="D290" s="0" t="s">
        <v>54</v>
      </c>
      <c r="E290" s="2" t="n">
        <v>45763</v>
      </c>
      <c r="F290" s="3" t="s">
        <v>20</v>
      </c>
      <c r="G290" s="3" t="s">
        <v>43</v>
      </c>
      <c r="H290" s="3" t="s">
        <v>29</v>
      </c>
      <c r="I290" s="3" t="n">
        <f aca="false">YEAR(E290)</f>
        <v>2025</v>
      </c>
      <c r="J290" s="3" t="n">
        <f aca="false">MONTH(E290)</f>
        <v>4</v>
      </c>
      <c r="K290" s="3" t="n">
        <f aca="false">COUNTIFS($B$2:$B$4077,B290,$C$2:$C$4077,C290,$I$2:$I$4077,I290)</f>
        <v>2</v>
      </c>
      <c r="L290" s="3" t="n">
        <f aca="false">IF(COUNTIFS($B$2:B290,B290,$C$2:C290,C290,$I$2:I290,I290)=1,1,0)</f>
        <v>1</v>
      </c>
      <c r="M290" s="3" t="n">
        <f aca="false">IF(K290&gt;=Parametri!$B$1,1,0)</f>
        <v>1</v>
      </c>
      <c r="N290" s="3" t="n">
        <f aca="false">L290*M290</f>
        <v>1</v>
      </c>
    </row>
    <row r="291" customFormat="false" ht="15" hidden="false" customHeight="false" outlineLevel="0" collapsed="false">
      <c r="A291" s="0" t="s">
        <v>597</v>
      </c>
      <c r="B291" s="0" t="s">
        <v>41</v>
      </c>
      <c r="C291" s="0" t="s">
        <v>598</v>
      </c>
      <c r="D291" s="0" t="s">
        <v>66</v>
      </c>
      <c r="E291" s="2" t="n">
        <v>46214</v>
      </c>
      <c r="F291" s="3" t="s">
        <v>20</v>
      </c>
      <c r="G291" s="3" t="s">
        <v>72</v>
      </c>
      <c r="H291" s="3" t="s">
        <v>29</v>
      </c>
      <c r="I291" s="3" t="n">
        <f aca="false">YEAR(E291)</f>
        <v>2026</v>
      </c>
      <c r="J291" s="3" t="n">
        <f aca="false">MONTH(E291)</f>
        <v>7</v>
      </c>
      <c r="K291" s="3" t="n">
        <f aca="false">COUNTIFS($B$2:$B$4077,B291,$C$2:$C$4077,C291,$I$2:$I$4077,I291)</f>
        <v>4</v>
      </c>
      <c r="L291" s="3" t="n">
        <f aca="false">IF(COUNTIFS($B$2:B291,B291,$C$2:C291,C291,$I$2:I291,I291)=1,1,0)</f>
        <v>1</v>
      </c>
      <c r="M291" s="3" t="n">
        <f aca="false">IF(K291&gt;=Parametri!$B$1,1,0)</f>
        <v>1</v>
      </c>
      <c r="N291" s="3" t="n">
        <f aca="false">L291*M291</f>
        <v>1</v>
      </c>
    </row>
    <row r="292" customFormat="false" ht="15" hidden="false" customHeight="false" outlineLevel="0" collapsed="false">
      <c r="A292" s="0" t="s">
        <v>599</v>
      </c>
      <c r="B292" s="0" t="s">
        <v>31</v>
      </c>
      <c r="C292" s="0" t="s">
        <v>600</v>
      </c>
      <c r="D292" s="0" t="s">
        <v>26</v>
      </c>
      <c r="E292" s="2" t="n">
        <v>45888</v>
      </c>
      <c r="F292" s="3" t="s">
        <v>34</v>
      </c>
      <c r="G292" s="3" t="s">
        <v>21</v>
      </c>
      <c r="H292" s="3" t="s">
        <v>29</v>
      </c>
      <c r="I292" s="3" t="n">
        <f aca="false">YEAR(E292)</f>
        <v>2025</v>
      </c>
      <c r="J292" s="3" t="n">
        <f aca="false">MONTH(E292)</f>
        <v>8</v>
      </c>
      <c r="K292" s="3" t="n">
        <f aca="false">COUNTIFS($B$2:$B$4077,B292,$C$2:$C$4077,C292,$I$2:$I$4077,I292)</f>
        <v>1</v>
      </c>
      <c r="L292" s="3" t="n">
        <f aca="false">IF(COUNTIFS($B$2:B292,B292,$C$2:C292,C292,$I$2:I292,I292)=1,1,0)</f>
        <v>1</v>
      </c>
      <c r="M292" s="3" t="n">
        <f aca="false">IF(K292&gt;=Parametri!$B$1,1,0)</f>
        <v>0</v>
      </c>
      <c r="N292" s="3" t="n">
        <f aca="false">L292*M292</f>
        <v>0</v>
      </c>
    </row>
    <row r="293" customFormat="false" ht="15" hidden="false" customHeight="false" outlineLevel="0" collapsed="false">
      <c r="A293" s="0" t="s">
        <v>601</v>
      </c>
      <c r="B293" s="0" t="s">
        <v>41</v>
      </c>
      <c r="C293" s="0" t="s">
        <v>602</v>
      </c>
      <c r="D293" s="0" t="s">
        <v>66</v>
      </c>
      <c r="E293" s="2" t="n">
        <v>45888</v>
      </c>
      <c r="F293" s="3" t="s">
        <v>20</v>
      </c>
      <c r="G293" s="3" t="s">
        <v>43</v>
      </c>
      <c r="H293" s="3" t="s">
        <v>48</v>
      </c>
      <c r="I293" s="3" t="n">
        <f aca="false">YEAR(E293)</f>
        <v>2025</v>
      </c>
      <c r="J293" s="3" t="n">
        <f aca="false">MONTH(E293)</f>
        <v>8</v>
      </c>
      <c r="K293" s="3" t="n">
        <f aca="false">COUNTIFS($B$2:$B$4077,B293,$C$2:$C$4077,C293,$I$2:$I$4077,I293)</f>
        <v>2</v>
      </c>
      <c r="L293" s="3" t="n">
        <f aca="false">IF(COUNTIFS($B$2:B293,B293,$C$2:C293,C293,$I$2:I293,I293)=1,1,0)</f>
        <v>1</v>
      </c>
      <c r="M293" s="3" t="n">
        <f aca="false">IF(K293&gt;=Parametri!$B$1,1,0)</f>
        <v>1</v>
      </c>
      <c r="N293" s="3" t="n">
        <f aca="false">L293*M293</f>
        <v>1</v>
      </c>
    </row>
    <row r="294" customFormat="false" ht="15" hidden="false" customHeight="false" outlineLevel="0" collapsed="false">
      <c r="A294" s="0" t="s">
        <v>603</v>
      </c>
      <c r="B294" s="0" t="s">
        <v>41</v>
      </c>
      <c r="C294" s="0" t="s">
        <v>604</v>
      </c>
      <c r="D294" s="0" t="s">
        <v>33</v>
      </c>
      <c r="E294" s="2" t="n">
        <v>46037</v>
      </c>
      <c r="F294" s="3" t="s">
        <v>27</v>
      </c>
      <c r="G294" s="3" t="s">
        <v>43</v>
      </c>
      <c r="H294" s="3" t="s">
        <v>29</v>
      </c>
      <c r="I294" s="3" t="n">
        <f aca="false">YEAR(E294)</f>
        <v>2026</v>
      </c>
      <c r="J294" s="3" t="n">
        <f aca="false">MONTH(E294)</f>
        <v>1</v>
      </c>
      <c r="K294" s="3" t="n">
        <f aca="false">COUNTIFS($B$2:$B$4077,B294,$C$2:$C$4077,C294,$I$2:$I$4077,I294)</f>
        <v>1</v>
      </c>
      <c r="L294" s="3" t="n">
        <f aca="false">IF(COUNTIFS($B$2:B294,B294,$C$2:C294,C294,$I$2:I294,I294)=1,1,0)</f>
        <v>1</v>
      </c>
      <c r="M294" s="3" t="n">
        <f aca="false">IF(K294&gt;=Parametri!$B$1,1,0)</f>
        <v>0</v>
      </c>
      <c r="N294" s="3" t="n">
        <f aca="false">L294*M294</f>
        <v>0</v>
      </c>
    </row>
    <row r="295" customFormat="false" ht="15" hidden="false" customHeight="false" outlineLevel="0" collapsed="false">
      <c r="A295" s="0" t="s">
        <v>605</v>
      </c>
      <c r="B295" s="0" t="s">
        <v>79</v>
      </c>
      <c r="C295" s="0" t="s">
        <v>606</v>
      </c>
      <c r="D295" s="0" t="s">
        <v>26</v>
      </c>
      <c r="E295" s="2" t="n">
        <v>45940</v>
      </c>
      <c r="F295" s="3" t="s">
        <v>20</v>
      </c>
      <c r="G295" s="3" t="s">
        <v>21</v>
      </c>
      <c r="H295" s="3" t="s">
        <v>29</v>
      </c>
      <c r="I295" s="3" t="n">
        <f aca="false">YEAR(E295)</f>
        <v>2025</v>
      </c>
      <c r="J295" s="3" t="n">
        <f aca="false">MONTH(E295)</f>
        <v>10</v>
      </c>
      <c r="K295" s="3" t="n">
        <f aca="false">COUNTIFS($B$2:$B$4077,B295,$C$2:$C$4077,C295,$I$2:$I$4077,I295)</f>
        <v>2</v>
      </c>
      <c r="L295" s="3" t="n">
        <f aca="false">IF(COUNTIFS($B$2:B295,B295,$C$2:C295,C295,$I$2:I295,I295)=1,1,0)</f>
        <v>1</v>
      </c>
      <c r="M295" s="3" t="n">
        <f aca="false">IF(K295&gt;=Parametri!$B$1,1,0)</f>
        <v>1</v>
      </c>
      <c r="N295" s="3" t="n">
        <f aca="false">L295*M295</f>
        <v>1</v>
      </c>
    </row>
    <row r="296" customFormat="false" ht="15" hidden="false" customHeight="false" outlineLevel="0" collapsed="false">
      <c r="A296" s="0" t="s">
        <v>607</v>
      </c>
      <c r="B296" s="0" t="s">
        <v>31</v>
      </c>
      <c r="C296" s="0" t="s">
        <v>608</v>
      </c>
      <c r="D296" s="0" t="s">
        <v>63</v>
      </c>
      <c r="E296" s="2" t="n">
        <v>45695</v>
      </c>
      <c r="F296" s="3" t="s">
        <v>34</v>
      </c>
      <c r="G296" s="3" t="s">
        <v>21</v>
      </c>
      <c r="H296" s="3" t="s">
        <v>22</v>
      </c>
      <c r="I296" s="3" t="n">
        <f aca="false">YEAR(E296)</f>
        <v>2025</v>
      </c>
      <c r="J296" s="3" t="n">
        <f aca="false">MONTH(E296)</f>
        <v>2</v>
      </c>
      <c r="K296" s="3" t="n">
        <f aca="false">COUNTIFS($B$2:$B$4077,B296,$C$2:$C$4077,C296,$I$2:$I$4077,I296)</f>
        <v>1</v>
      </c>
      <c r="L296" s="3" t="n">
        <f aca="false">IF(COUNTIFS($B$2:B296,B296,$C$2:C296,C296,$I$2:I296,I296)=1,1,0)</f>
        <v>1</v>
      </c>
      <c r="M296" s="3" t="n">
        <f aca="false">IF(K296&gt;=Parametri!$B$1,1,0)</f>
        <v>0</v>
      </c>
      <c r="N296" s="3" t="n">
        <f aca="false">L296*M296</f>
        <v>0</v>
      </c>
    </row>
    <row r="297" customFormat="false" ht="15" hidden="false" customHeight="false" outlineLevel="0" collapsed="false">
      <c r="A297" s="0" t="s">
        <v>609</v>
      </c>
      <c r="B297" s="0" t="s">
        <v>79</v>
      </c>
      <c r="C297" s="0" t="s">
        <v>610</v>
      </c>
      <c r="D297" s="0" t="s">
        <v>66</v>
      </c>
      <c r="E297" s="2" t="n">
        <v>45652</v>
      </c>
      <c r="F297" s="3" t="s">
        <v>27</v>
      </c>
      <c r="G297" s="3" t="s">
        <v>43</v>
      </c>
      <c r="H297" s="3" t="s">
        <v>22</v>
      </c>
      <c r="I297" s="3" t="n">
        <f aca="false">YEAR(E297)</f>
        <v>2024</v>
      </c>
      <c r="J297" s="3" t="n">
        <f aca="false">MONTH(E297)</f>
        <v>12</v>
      </c>
      <c r="K297" s="3" t="n">
        <f aca="false">COUNTIFS($B$2:$B$4077,B297,$C$2:$C$4077,C297,$I$2:$I$4077,I297)</f>
        <v>3</v>
      </c>
      <c r="L297" s="3" t="n">
        <f aca="false">IF(COUNTIFS($B$2:B297,B297,$C$2:C297,C297,$I$2:I297,I297)=1,1,0)</f>
        <v>1</v>
      </c>
      <c r="M297" s="3" t="n">
        <f aca="false">IF(K297&gt;=Parametri!$B$1,1,0)</f>
        <v>1</v>
      </c>
      <c r="N297" s="3" t="n">
        <f aca="false">L297*M297</f>
        <v>1</v>
      </c>
    </row>
    <row r="298" customFormat="false" ht="15" hidden="false" customHeight="false" outlineLevel="0" collapsed="false">
      <c r="A298" s="0" t="s">
        <v>611</v>
      </c>
      <c r="B298" s="0" t="s">
        <v>17</v>
      </c>
      <c r="C298" s="0" t="s">
        <v>458</v>
      </c>
      <c r="D298" s="0" t="s">
        <v>19</v>
      </c>
      <c r="E298" s="2" t="n">
        <v>45792</v>
      </c>
      <c r="F298" s="3" t="s">
        <v>27</v>
      </c>
      <c r="G298" s="3" t="s">
        <v>35</v>
      </c>
      <c r="H298" s="3" t="s">
        <v>48</v>
      </c>
      <c r="I298" s="3" t="n">
        <f aca="false">YEAR(E298)</f>
        <v>2025</v>
      </c>
      <c r="J298" s="3" t="n">
        <f aca="false">MONTH(E298)</f>
        <v>5</v>
      </c>
      <c r="K298" s="3" t="n">
        <f aca="false">COUNTIFS($B$2:$B$4077,B298,$C$2:$C$4077,C298,$I$2:$I$4077,I298)</f>
        <v>6</v>
      </c>
      <c r="L298" s="3" t="n">
        <f aca="false">IF(COUNTIFS($B$2:B298,B298,$C$2:C298,C298,$I$2:I298,I298)=1,1,0)</f>
        <v>0</v>
      </c>
      <c r="M298" s="3" t="n">
        <f aca="false">IF(K298&gt;=Parametri!$B$1,1,0)</f>
        <v>1</v>
      </c>
      <c r="N298" s="3" t="n">
        <f aca="false">L298*M298</f>
        <v>0</v>
      </c>
    </row>
    <row r="299" customFormat="false" ht="15" hidden="false" customHeight="false" outlineLevel="0" collapsed="false">
      <c r="A299" s="0" t="s">
        <v>612</v>
      </c>
      <c r="B299" s="0" t="s">
        <v>31</v>
      </c>
      <c r="C299" s="0" t="s">
        <v>613</v>
      </c>
      <c r="D299" s="0" t="s">
        <v>33</v>
      </c>
      <c r="E299" s="2" t="n">
        <v>45437</v>
      </c>
      <c r="F299" s="3" t="s">
        <v>27</v>
      </c>
      <c r="G299" s="3" t="s">
        <v>72</v>
      </c>
      <c r="H299" s="3" t="s">
        <v>44</v>
      </c>
      <c r="I299" s="3" t="n">
        <f aca="false">YEAR(E299)</f>
        <v>2024</v>
      </c>
      <c r="J299" s="3" t="n">
        <f aca="false">MONTH(E299)</f>
        <v>5</v>
      </c>
      <c r="K299" s="3" t="n">
        <f aca="false">COUNTIFS($B$2:$B$4077,B299,$C$2:$C$4077,C299,$I$2:$I$4077,I299)</f>
        <v>2</v>
      </c>
      <c r="L299" s="3" t="n">
        <f aca="false">IF(COUNTIFS($B$2:B299,B299,$C$2:C299,C299,$I$2:I299,I299)=1,1,0)</f>
        <v>1</v>
      </c>
      <c r="M299" s="3" t="n">
        <f aca="false">IF(K299&gt;=Parametri!$B$1,1,0)</f>
        <v>1</v>
      </c>
      <c r="N299" s="3" t="n">
        <f aca="false">L299*M299</f>
        <v>1</v>
      </c>
    </row>
    <row r="300" customFormat="false" ht="15" hidden="false" customHeight="false" outlineLevel="0" collapsed="false">
      <c r="A300" s="0" t="s">
        <v>614</v>
      </c>
      <c r="B300" s="0" t="s">
        <v>31</v>
      </c>
      <c r="C300" s="0" t="s">
        <v>615</v>
      </c>
      <c r="D300" s="0" t="s">
        <v>54</v>
      </c>
      <c r="E300" s="2" t="n">
        <v>46063</v>
      </c>
      <c r="F300" s="3" t="s">
        <v>27</v>
      </c>
      <c r="G300" s="3" t="s">
        <v>39</v>
      </c>
      <c r="H300" s="3" t="s">
        <v>48</v>
      </c>
      <c r="I300" s="3" t="n">
        <f aca="false">YEAR(E300)</f>
        <v>2026</v>
      </c>
      <c r="J300" s="3" t="n">
        <f aca="false">MONTH(E300)</f>
        <v>2</v>
      </c>
      <c r="K300" s="3" t="n">
        <f aca="false">COUNTIFS($B$2:$B$4077,B300,$C$2:$C$4077,C300,$I$2:$I$4077,I300)</f>
        <v>1</v>
      </c>
      <c r="L300" s="3" t="n">
        <f aca="false">IF(COUNTIFS($B$2:B300,B300,$C$2:C300,C300,$I$2:I300,I300)=1,1,0)</f>
        <v>1</v>
      </c>
      <c r="M300" s="3" t="n">
        <f aca="false">IF(K300&gt;=Parametri!$B$1,1,0)</f>
        <v>0</v>
      </c>
      <c r="N300" s="3" t="n">
        <f aca="false">L300*M300</f>
        <v>0</v>
      </c>
    </row>
    <row r="301" customFormat="false" ht="15" hidden="false" customHeight="false" outlineLevel="0" collapsed="false">
      <c r="A301" s="0" t="s">
        <v>616</v>
      </c>
      <c r="B301" s="0" t="s">
        <v>24</v>
      </c>
      <c r="C301" s="0" t="s">
        <v>617</v>
      </c>
      <c r="D301" s="0" t="s">
        <v>54</v>
      </c>
      <c r="E301" s="2" t="n">
        <v>45475</v>
      </c>
      <c r="F301" s="3" t="s">
        <v>27</v>
      </c>
      <c r="G301" s="3" t="s">
        <v>21</v>
      </c>
      <c r="H301" s="3" t="s">
        <v>29</v>
      </c>
      <c r="I301" s="3" t="n">
        <f aca="false">YEAR(E301)</f>
        <v>2024</v>
      </c>
      <c r="J301" s="3" t="n">
        <f aca="false">MONTH(E301)</f>
        <v>7</v>
      </c>
      <c r="K301" s="3" t="n">
        <f aca="false">COUNTIFS($B$2:$B$4077,B301,$C$2:$C$4077,C301,$I$2:$I$4077,I301)</f>
        <v>1</v>
      </c>
      <c r="L301" s="3" t="n">
        <f aca="false">IF(COUNTIFS($B$2:B301,B301,$C$2:C301,C301,$I$2:I301,I301)=1,1,0)</f>
        <v>1</v>
      </c>
      <c r="M301" s="3" t="n">
        <f aca="false">IF(K301&gt;=Parametri!$B$1,1,0)</f>
        <v>0</v>
      </c>
      <c r="N301" s="3" t="n">
        <f aca="false">L301*M301</f>
        <v>0</v>
      </c>
    </row>
    <row r="302" customFormat="false" ht="15" hidden="false" customHeight="false" outlineLevel="0" collapsed="false">
      <c r="A302" s="0" t="s">
        <v>618</v>
      </c>
      <c r="B302" s="0" t="s">
        <v>124</v>
      </c>
      <c r="C302" s="0" t="s">
        <v>619</v>
      </c>
      <c r="D302" s="0" t="s">
        <v>54</v>
      </c>
      <c r="E302" s="2" t="n">
        <v>46026</v>
      </c>
      <c r="F302" s="3" t="s">
        <v>20</v>
      </c>
      <c r="G302" s="3" t="s">
        <v>55</v>
      </c>
      <c r="H302" s="3" t="s">
        <v>29</v>
      </c>
      <c r="I302" s="3" t="n">
        <f aca="false">YEAR(E302)</f>
        <v>2026</v>
      </c>
      <c r="J302" s="3" t="n">
        <f aca="false">MONTH(E302)</f>
        <v>1</v>
      </c>
      <c r="K302" s="3" t="n">
        <f aca="false">COUNTIFS($B$2:$B$4077,B302,$C$2:$C$4077,C302,$I$2:$I$4077,I302)</f>
        <v>2</v>
      </c>
      <c r="L302" s="3" t="n">
        <f aca="false">IF(COUNTIFS($B$2:B302,B302,$C$2:C302,C302,$I$2:I302,I302)=1,1,0)</f>
        <v>1</v>
      </c>
      <c r="M302" s="3" t="n">
        <f aca="false">IF(K302&gt;=Parametri!$B$1,1,0)</f>
        <v>1</v>
      </c>
      <c r="N302" s="3" t="n">
        <f aca="false">L302*M302</f>
        <v>1</v>
      </c>
    </row>
    <row r="303" customFormat="false" ht="15" hidden="false" customHeight="false" outlineLevel="0" collapsed="false">
      <c r="A303" s="0" t="s">
        <v>620</v>
      </c>
      <c r="B303" s="0" t="s">
        <v>124</v>
      </c>
      <c r="C303" s="0" t="s">
        <v>621</v>
      </c>
      <c r="D303" s="0" t="s">
        <v>54</v>
      </c>
      <c r="E303" s="2" t="n">
        <v>45946</v>
      </c>
      <c r="F303" s="3" t="s">
        <v>20</v>
      </c>
      <c r="G303" s="3" t="s">
        <v>28</v>
      </c>
      <c r="H303" s="3" t="s">
        <v>44</v>
      </c>
      <c r="I303" s="3" t="n">
        <f aca="false">YEAR(E303)</f>
        <v>2025</v>
      </c>
      <c r="J303" s="3" t="n">
        <f aca="false">MONTH(E303)</f>
        <v>10</v>
      </c>
      <c r="K303" s="3" t="n">
        <f aca="false">COUNTIFS($B$2:$B$4077,B303,$C$2:$C$4077,C303,$I$2:$I$4077,I303)</f>
        <v>4</v>
      </c>
      <c r="L303" s="3" t="n">
        <f aca="false">IF(COUNTIFS($B$2:B303,B303,$C$2:C303,C303,$I$2:I303,I303)=1,1,0)</f>
        <v>1</v>
      </c>
      <c r="M303" s="3" t="n">
        <f aca="false">IF(K303&gt;=Parametri!$B$1,1,0)</f>
        <v>1</v>
      </c>
      <c r="N303" s="3" t="n">
        <f aca="false">L303*M303</f>
        <v>1</v>
      </c>
    </row>
    <row r="304" customFormat="false" ht="15" hidden="false" customHeight="false" outlineLevel="0" collapsed="false">
      <c r="A304" s="0" t="s">
        <v>622</v>
      </c>
      <c r="B304" s="0" t="s">
        <v>41</v>
      </c>
      <c r="C304" s="0" t="s">
        <v>623</v>
      </c>
      <c r="D304" s="0" t="s">
        <v>38</v>
      </c>
      <c r="E304" s="2" t="n">
        <v>45327</v>
      </c>
      <c r="F304" s="3" t="s">
        <v>20</v>
      </c>
      <c r="G304" s="3" t="s">
        <v>43</v>
      </c>
      <c r="H304" s="3" t="s">
        <v>29</v>
      </c>
      <c r="I304" s="3" t="n">
        <f aca="false">YEAR(E304)</f>
        <v>2024</v>
      </c>
      <c r="J304" s="3" t="n">
        <f aca="false">MONTH(E304)</f>
        <v>2</v>
      </c>
      <c r="K304" s="3" t="n">
        <f aca="false">COUNTIFS($B$2:$B$4077,B304,$C$2:$C$4077,C304,$I$2:$I$4077,I304)</f>
        <v>4</v>
      </c>
      <c r="L304" s="3" t="n">
        <f aca="false">IF(COUNTIFS($B$2:B304,B304,$C$2:C304,C304,$I$2:I304,I304)=1,1,0)</f>
        <v>1</v>
      </c>
      <c r="M304" s="3" t="n">
        <f aca="false">IF(K304&gt;=Parametri!$B$1,1,0)</f>
        <v>1</v>
      </c>
      <c r="N304" s="3" t="n">
        <f aca="false">L304*M304</f>
        <v>1</v>
      </c>
    </row>
    <row r="305" customFormat="false" ht="15" hidden="false" customHeight="false" outlineLevel="0" collapsed="false">
      <c r="A305" s="0" t="s">
        <v>624</v>
      </c>
      <c r="B305" s="0" t="s">
        <v>46</v>
      </c>
      <c r="C305" s="0" t="s">
        <v>625</v>
      </c>
      <c r="D305" s="0" t="s">
        <v>26</v>
      </c>
      <c r="E305" s="2" t="n">
        <v>45366</v>
      </c>
      <c r="F305" s="3" t="s">
        <v>20</v>
      </c>
      <c r="G305" s="3" t="s">
        <v>21</v>
      </c>
      <c r="H305" s="3" t="s">
        <v>44</v>
      </c>
      <c r="I305" s="3" t="n">
        <f aca="false">YEAR(E305)</f>
        <v>2024</v>
      </c>
      <c r="J305" s="3" t="n">
        <f aca="false">MONTH(E305)</f>
        <v>3</v>
      </c>
      <c r="K305" s="3" t="n">
        <f aca="false">COUNTIFS($B$2:$B$4077,B305,$C$2:$C$4077,C305,$I$2:$I$4077,I305)</f>
        <v>3</v>
      </c>
      <c r="L305" s="3" t="n">
        <f aca="false">IF(COUNTIFS($B$2:B305,B305,$C$2:C305,C305,$I$2:I305,I305)=1,1,0)</f>
        <v>1</v>
      </c>
      <c r="M305" s="3" t="n">
        <f aca="false">IF(K305&gt;=Parametri!$B$1,1,0)</f>
        <v>1</v>
      </c>
      <c r="N305" s="3" t="n">
        <f aca="false">L305*M305</f>
        <v>1</v>
      </c>
    </row>
    <row r="306" customFormat="false" ht="15" hidden="false" customHeight="false" outlineLevel="0" collapsed="false">
      <c r="A306" s="0" t="s">
        <v>626</v>
      </c>
      <c r="B306" s="0" t="s">
        <v>50</v>
      </c>
      <c r="C306" s="0" t="s">
        <v>627</v>
      </c>
      <c r="D306" s="0" t="s">
        <v>26</v>
      </c>
      <c r="E306" s="2" t="n">
        <v>45618</v>
      </c>
      <c r="F306" s="3" t="s">
        <v>20</v>
      </c>
      <c r="G306" s="3" t="s">
        <v>39</v>
      </c>
      <c r="H306" s="3" t="s">
        <v>48</v>
      </c>
      <c r="I306" s="3" t="n">
        <f aca="false">YEAR(E306)</f>
        <v>2024</v>
      </c>
      <c r="J306" s="3" t="n">
        <f aca="false">MONTH(E306)</f>
        <v>11</v>
      </c>
      <c r="K306" s="3" t="n">
        <f aca="false">COUNTIFS($B$2:$B$4077,B306,$C$2:$C$4077,C306,$I$2:$I$4077,I306)</f>
        <v>1</v>
      </c>
      <c r="L306" s="3" t="n">
        <f aca="false">IF(COUNTIFS($B$2:B306,B306,$C$2:C306,C306,$I$2:I306,I306)=1,1,0)</f>
        <v>1</v>
      </c>
      <c r="M306" s="3" t="n">
        <f aca="false">IF(K306&gt;=Parametri!$B$1,1,0)</f>
        <v>0</v>
      </c>
      <c r="N306" s="3" t="n">
        <f aca="false">L306*M306</f>
        <v>0</v>
      </c>
    </row>
    <row r="307" customFormat="false" ht="15" hidden="false" customHeight="false" outlineLevel="0" collapsed="false">
      <c r="A307" s="0" t="s">
        <v>628</v>
      </c>
      <c r="B307" s="0" t="s">
        <v>57</v>
      </c>
      <c r="C307" s="0" t="s">
        <v>58</v>
      </c>
      <c r="D307" s="0" t="s">
        <v>26</v>
      </c>
      <c r="E307" s="2" t="n">
        <v>46237</v>
      </c>
      <c r="F307" s="3" t="s">
        <v>20</v>
      </c>
      <c r="G307" s="3" t="s">
        <v>55</v>
      </c>
      <c r="H307" s="3" t="s">
        <v>22</v>
      </c>
      <c r="I307" s="3" t="n">
        <f aca="false">YEAR(E307)</f>
        <v>2026</v>
      </c>
      <c r="J307" s="3" t="n">
        <f aca="false">MONTH(E307)</f>
        <v>8</v>
      </c>
      <c r="K307" s="3" t="n">
        <f aca="false">COUNTIFS($B$2:$B$4077,B307,$C$2:$C$4077,C307,$I$2:$I$4077,I307)</f>
        <v>2</v>
      </c>
      <c r="L307" s="3" t="n">
        <f aca="false">IF(COUNTIFS($B$2:B307,B307,$C$2:C307,C307,$I$2:I307,I307)=1,1,0)</f>
        <v>0</v>
      </c>
      <c r="M307" s="3" t="n">
        <f aca="false">IF(K307&gt;=Parametri!$B$1,1,0)</f>
        <v>1</v>
      </c>
      <c r="N307" s="3" t="n">
        <f aca="false">L307*M307</f>
        <v>0</v>
      </c>
    </row>
    <row r="308" customFormat="false" ht="15" hidden="false" customHeight="false" outlineLevel="0" collapsed="false">
      <c r="A308" s="0" t="s">
        <v>629</v>
      </c>
      <c r="B308" s="0" t="s">
        <v>31</v>
      </c>
      <c r="C308" s="0" t="s">
        <v>630</v>
      </c>
      <c r="D308" s="0" t="s">
        <v>54</v>
      </c>
      <c r="E308" s="2" t="n">
        <v>45462</v>
      </c>
      <c r="F308" s="3" t="s">
        <v>20</v>
      </c>
      <c r="G308" s="3" t="s">
        <v>28</v>
      </c>
      <c r="H308" s="3" t="s">
        <v>44</v>
      </c>
      <c r="I308" s="3" t="n">
        <f aca="false">YEAR(E308)</f>
        <v>2024</v>
      </c>
      <c r="J308" s="3" t="n">
        <f aca="false">MONTH(E308)</f>
        <v>6</v>
      </c>
      <c r="K308" s="3" t="n">
        <f aca="false">COUNTIFS($B$2:$B$4077,B308,$C$2:$C$4077,C308,$I$2:$I$4077,I308)</f>
        <v>1</v>
      </c>
      <c r="L308" s="3" t="n">
        <f aca="false">IF(COUNTIFS($B$2:B308,B308,$C$2:C308,C308,$I$2:I308,I308)=1,1,0)</f>
        <v>1</v>
      </c>
      <c r="M308" s="3" t="n">
        <f aca="false">IF(K308&gt;=Parametri!$B$1,1,0)</f>
        <v>0</v>
      </c>
      <c r="N308" s="3" t="n">
        <f aca="false">L308*M308</f>
        <v>0</v>
      </c>
    </row>
    <row r="309" customFormat="false" ht="15" hidden="false" customHeight="false" outlineLevel="0" collapsed="false">
      <c r="A309" s="0" t="s">
        <v>631</v>
      </c>
      <c r="B309" s="0" t="s">
        <v>31</v>
      </c>
      <c r="C309" s="0" t="s">
        <v>632</v>
      </c>
      <c r="D309" s="0" t="s">
        <v>26</v>
      </c>
      <c r="E309" s="2" t="n">
        <v>45657</v>
      </c>
      <c r="F309" s="3" t="s">
        <v>27</v>
      </c>
      <c r="G309" s="3" t="s">
        <v>55</v>
      </c>
      <c r="H309" s="3" t="s">
        <v>22</v>
      </c>
      <c r="I309" s="3" t="n">
        <f aca="false">YEAR(E309)</f>
        <v>2024</v>
      </c>
      <c r="J309" s="3" t="n">
        <f aca="false">MONTH(E309)</f>
        <v>12</v>
      </c>
      <c r="K309" s="3" t="n">
        <f aca="false">COUNTIFS($B$2:$B$4077,B309,$C$2:$C$4077,C309,$I$2:$I$4077,I309)</f>
        <v>1</v>
      </c>
      <c r="L309" s="3" t="n">
        <f aca="false">IF(COUNTIFS($B$2:B309,B309,$C$2:C309,C309,$I$2:I309,I309)=1,1,0)</f>
        <v>1</v>
      </c>
      <c r="M309" s="3" t="n">
        <f aca="false">IF(K309&gt;=Parametri!$B$1,1,0)</f>
        <v>0</v>
      </c>
      <c r="N309" s="3" t="n">
        <f aca="false">L309*M309</f>
        <v>0</v>
      </c>
    </row>
    <row r="310" customFormat="false" ht="15" hidden="false" customHeight="false" outlineLevel="0" collapsed="false">
      <c r="A310" s="0" t="s">
        <v>633</v>
      </c>
      <c r="B310" s="0" t="s">
        <v>68</v>
      </c>
      <c r="C310" s="0" t="s">
        <v>634</v>
      </c>
      <c r="D310" s="0" t="s">
        <v>77</v>
      </c>
      <c r="E310" s="2" t="n">
        <v>45412</v>
      </c>
      <c r="F310" s="3" t="s">
        <v>27</v>
      </c>
      <c r="G310" s="3" t="s">
        <v>43</v>
      </c>
      <c r="H310" s="3" t="s">
        <v>44</v>
      </c>
      <c r="I310" s="3" t="n">
        <f aca="false">YEAR(E310)</f>
        <v>2024</v>
      </c>
      <c r="J310" s="3" t="n">
        <f aca="false">MONTH(E310)</f>
        <v>4</v>
      </c>
      <c r="K310" s="3" t="n">
        <f aca="false">COUNTIFS($B$2:$B$4077,B310,$C$2:$C$4077,C310,$I$2:$I$4077,I310)</f>
        <v>1</v>
      </c>
      <c r="L310" s="3" t="n">
        <f aca="false">IF(COUNTIFS($B$2:B310,B310,$C$2:C310,C310,$I$2:I310,I310)=1,1,0)</f>
        <v>1</v>
      </c>
      <c r="M310" s="3" t="n">
        <f aca="false">IF(K310&gt;=Parametri!$B$1,1,0)</f>
        <v>0</v>
      </c>
      <c r="N310" s="3" t="n">
        <f aca="false">L310*M310</f>
        <v>0</v>
      </c>
    </row>
    <row r="311" customFormat="false" ht="15" hidden="false" customHeight="false" outlineLevel="0" collapsed="false">
      <c r="A311" s="0" t="s">
        <v>635</v>
      </c>
      <c r="B311" s="0" t="s">
        <v>24</v>
      </c>
      <c r="C311" s="0" t="s">
        <v>636</v>
      </c>
      <c r="D311" s="0" t="s">
        <v>26</v>
      </c>
      <c r="E311" s="2" t="n">
        <v>45430</v>
      </c>
      <c r="F311" s="3" t="s">
        <v>27</v>
      </c>
      <c r="G311" s="3" t="s">
        <v>35</v>
      </c>
      <c r="H311" s="3" t="s">
        <v>29</v>
      </c>
      <c r="I311" s="3" t="n">
        <f aca="false">YEAR(E311)</f>
        <v>2024</v>
      </c>
      <c r="J311" s="3" t="n">
        <f aca="false">MONTH(E311)</f>
        <v>5</v>
      </c>
      <c r="K311" s="3" t="n">
        <f aca="false">COUNTIFS($B$2:$B$4077,B311,$C$2:$C$4077,C311,$I$2:$I$4077,I311)</f>
        <v>2</v>
      </c>
      <c r="L311" s="3" t="n">
        <f aca="false">IF(COUNTIFS($B$2:B311,B311,$C$2:C311,C311,$I$2:I311,I311)=1,1,0)</f>
        <v>1</v>
      </c>
      <c r="M311" s="3" t="n">
        <f aca="false">IF(K311&gt;=Parametri!$B$1,1,0)</f>
        <v>1</v>
      </c>
      <c r="N311" s="3" t="n">
        <f aca="false">L311*M311</f>
        <v>1</v>
      </c>
    </row>
    <row r="312" customFormat="false" ht="15" hidden="false" customHeight="false" outlineLevel="0" collapsed="false">
      <c r="A312" s="0" t="s">
        <v>637</v>
      </c>
      <c r="B312" s="0" t="s">
        <v>31</v>
      </c>
      <c r="C312" s="0" t="s">
        <v>638</v>
      </c>
      <c r="D312" s="0" t="s">
        <v>54</v>
      </c>
      <c r="E312" s="2" t="n">
        <v>45791</v>
      </c>
      <c r="F312" s="3" t="s">
        <v>20</v>
      </c>
      <c r="G312" s="3" t="s">
        <v>55</v>
      </c>
      <c r="H312" s="3" t="s">
        <v>22</v>
      </c>
      <c r="I312" s="3" t="n">
        <f aca="false">YEAR(E312)</f>
        <v>2025</v>
      </c>
      <c r="J312" s="3" t="n">
        <f aca="false">MONTH(E312)</f>
        <v>5</v>
      </c>
      <c r="K312" s="3" t="n">
        <f aca="false">COUNTIFS($B$2:$B$4077,B312,$C$2:$C$4077,C312,$I$2:$I$4077,I312)</f>
        <v>1</v>
      </c>
      <c r="L312" s="3" t="n">
        <f aca="false">IF(COUNTIFS($B$2:B312,B312,$C$2:C312,C312,$I$2:I312,I312)=1,1,0)</f>
        <v>1</v>
      </c>
      <c r="M312" s="3" t="n">
        <f aca="false">IF(K312&gt;=Parametri!$B$1,1,0)</f>
        <v>0</v>
      </c>
      <c r="N312" s="3" t="n">
        <f aca="false">L312*M312</f>
        <v>0</v>
      </c>
    </row>
    <row r="313" customFormat="false" ht="15" hidden="false" customHeight="false" outlineLevel="0" collapsed="false">
      <c r="A313" s="0" t="s">
        <v>639</v>
      </c>
      <c r="B313" s="0" t="s">
        <v>31</v>
      </c>
      <c r="C313" s="0" t="s">
        <v>640</v>
      </c>
      <c r="D313" s="0" t="s">
        <v>77</v>
      </c>
      <c r="E313" s="2" t="n">
        <v>45534</v>
      </c>
      <c r="F313" s="3" t="s">
        <v>20</v>
      </c>
      <c r="G313" s="3" t="s">
        <v>43</v>
      </c>
      <c r="H313" s="3" t="s">
        <v>48</v>
      </c>
      <c r="I313" s="3" t="n">
        <f aca="false">YEAR(E313)</f>
        <v>2024</v>
      </c>
      <c r="J313" s="3" t="n">
        <f aca="false">MONTH(E313)</f>
        <v>8</v>
      </c>
      <c r="K313" s="3" t="n">
        <f aca="false">COUNTIFS($B$2:$B$4077,B313,$C$2:$C$4077,C313,$I$2:$I$4077,I313)</f>
        <v>2</v>
      </c>
      <c r="L313" s="3" t="n">
        <f aca="false">IF(COUNTIFS($B$2:B313,B313,$C$2:C313,C313,$I$2:I313,I313)=1,1,0)</f>
        <v>1</v>
      </c>
      <c r="M313" s="3" t="n">
        <f aca="false">IF(K313&gt;=Parametri!$B$1,1,0)</f>
        <v>1</v>
      </c>
      <c r="N313" s="3" t="n">
        <f aca="false">L313*M313</f>
        <v>1</v>
      </c>
    </row>
    <row r="314" customFormat="false" ht="15" hidden="false" customHeight="false" outlineLevel="0" collapsed="false">
      <c r="A314" s="0" t="s">
        <v>641</v>
      </c>
      <c r="B314" s="0" t="s">
        <v>79</v>
      </c>
      <c r="C314" s="0" t="s">
        <v>149</v>
      </c>
      <c r="D314" s="0" t="s">
        <v>26</v>
      </c>
      <c r="E314" s="2" t="n">
        <v>45899</v>
      </c>
      <c r="F314" s="3" t="s">
        <v>20</v>
      </c>
      <c r="G314" s="3" t="s">
        <v>21</v>
      </c>
      <c r="H314" s="3" t="s">
        <v>44</v>
      </c>
      <c r="I314" s="3" t="n">
        <f aca="false">YEAR(E314)</f>
        <v>2025</v>
      </c>
      <c r="J314" s="3" t="n">
        <f aca="false">MONTH(E314)</f>
        <v>8</v>
      </c>
      <c r="K314" s="3" t="n">
        <f aca="false">COUNTIFS($B$2:$B$4077,B314,$C$2:$C$4077,C314,$I$2:$I$4077,I314)</f>
        <v>5</v>
      </c>
      <c r="L314" s="3" t="n">
        <f aca="false">IF(COUNTIFS($B$2:B314,B314,$C$2:C314,C314,$I$2:I314,I314)=1,1,0)</f>
        <v>0</v>
      </c>
      <c r="M314" s="3" t="n">
        <f aca="false">IF(K314&gt;=Parametri!$B$1,1,0)</f>
        <v>1</v>
      </c>
      <c r="N314" s="3" t="n">
        <f aca="false">L314*M314</f>
        <v>0</v>
      </c>
    </row>
    <row r="315" customFormat="false" ht="15" hidden="false" customHeight="false" outlineLevel="0" collapsed="false">
      <c r="A315" s="0" t="s">
        <v>642</v>
      </c>
      <c r="B315" s="0" t="s">
        <v>124</v>
      </c>
      <c r="C315" s="0" t="s">
        <v>643</v>
      </c>
      <c r="D315" s="0" t="s">
        <v>63</v>
      </c>
      <c r="E315" s="2" t="n">
        <v>45568</v>
      </c>
      <c r="F315" s="3" t="s">
        <v>34</v>
      </c>
      <c r="G315" s="3" t="s">
        <v>72</v>
      </c>
      <c r="H315" s="3" t="s">
        <v>44</v>
      </c>
      <c r="I315" s="3" t="n">
        <f aca="false">YEAR(E315)</f>
        <v>2024</v>
      </c>
      <c r="J315" s="3" t="n">
        <f aca="false">MONTH(E315)</f>
        <v>10</v>
      </c>
      <c r="K315" s="3" t="n">
        <f aca="false">COUNTIFS($B$2:$B$4077,B315,$C$2:$C$4077,C315,$I$2:$I$4077,I315)</f>
        <v>1</v>
      </c>
      <c r="L315" s="3" t="n">
        <f aca="false">IF(COUNTIFS($B$2:B315,B315,$C$2:C315,C315,$I$2:I315,I315)=1,1,0)</f>
        <v>1</v>
      </c>
      <c r="M315" s="3" t="n">
        <f aca="false">IF(K315&gt;=Parametri!$B$1,1,0)</f>
        <v>0</v>
      </c>
      <c r="N315" s="3" t="n">
        <f aca="false">L315*M315</f>
        <v>0</v>
      </c>
    </row>
    <row r="316" customFormat="false" ht="15" hidden="false" customHeight="false" outlineLevel="0" collapsed="false">
      <c r="A316" s="0" t="s">
        <v>644</v>
      </c>
      <c r="B316" s="0" t="s">
        <v>50</v>
      </c>
      <c r="C316" s="0" t="s">
        <v>645</v>
      </c>
      <c r="D316" s="0" t="s">
        <v>66</v>
      </c>
      <c r="E316" s="2" t="n">
        <v>45802</v>
      </c>
      <c r="F316" s="3" t="s">
        <v>34</v>
      </c>
      <c r="G316" s="3" t="s">
        <v>55</v>
      </c>
      <c r="H316" s="3" t="s">
        <v>44</v>
      </c>
      <c r="I316" s="3" t="n">
        <f aca="false">YEAR(E316)</f>
        <v>2025</v>
      </c>
      <c r="J316" s="3" t="n">
        <f aca="false">MONTH(E316)</f>
        <v>5</v>
      </c>
      <c r="K316" s="3" t="n">
        <f aca="false">COUNTIFS($B$2:$B$4077,B316,$C$2:$C$4077,C316,$I$2:$I$4077,I316)</f>
        <v>1</v>
      </c>
      <c r="L316" s="3" t="n">
        <f aca="false">IF(COUNTIFS($B$2:B316,B316,$C$2:C316,C316,$I$2:I316,I316)=1,1,0)</f>
        <v>1</v>
      </c>
      <c r="M316" s="3" t="n">
        <f aca="false">IF(K316&gt;=Parametri!$B$1,1,0)</f>
        <v>0</v>
      </c>
      <c r="N316" s="3" t="n">
        <f aca="false">L316*M316</f>
        <v>0</v>
      </c>
    </row>
    <row r="317" customFormat="false" ht="15" hidden="false" customHeight="false" outlineLevel="0" collapsed="false">
      <c r="A317" s="0" t="s">
        <v>646</v>
      </c>
      <c r="B317" s="0" t="s">
        <v>124</v>
      </c>
      <c r="C317" s="0" t="s">
        <v>647</v>
      </c>
      <c r="D317" s="0" t="s">
        <v>77</v>
      </c>
      <c r="E317" s="2" t="n">
        <v>46230</v>
      </c>
      <c r="F317" s="3" t="s">
        <v>20</v>
      </c>
      <c r="G317" s="3" t="s">
        <v>39</v>
      </c>
      <c r="H317" s="3" t="s">
        <v>29</v>
      </c>
      <c r="I317" s="3" t="n">
        <f aca="false">YEAR(E317)</f>
        <v>2026</v>
      </c>
      <c r="J317" s="3" t="n">
        <f aca="false">MONTH(E317)</f>
        <v>7</v>
      </c>
      <c r="K317" s="3" t="n">
        <f aca="false">COUNTIFS($B$2:$B$4077,B317,$C$2:$C$4077,C317,$I$2:$I$4077,I317)</f>
        <v>1</v>
      </c>
      <c r="L317" s="3" t="n">
        <f aca="false">IF(COUNTIFS($B$2:B317,B317,$C$2:C317,C317,$I$2:I317,I317)=1,1,0)</f>
        <v>1</v>
      </c>
      <c r="M317" s="3" t="n">
        <f aca="false">IF(K317&gt;=Parametri!$B$1,1,0)</f>
        <v>0</v>
      </c>
      <c r="N317" s="3" t="n">
        <f aca="false">L317*M317</f>
        <v>0</v>
      </c>
    </row>
    <row r="318" customFormat="false" ht="15" hidden="false" customHeight="false" outlineLevel="0" collapsed="false">
      <c r="A318" s="0" t="s">
        <v>648</v>
      </c>
      <c r="B318" s="0" t="s">
        <v>57</v>
      </c>
      <c r="C318" s="0" t="s">
        <v>649</v>
      </c>
      <c r="D318" s="0" t="s">
        <v>38</v>
      </c>
      <c r="E318" s="2" t="n">
        <v>46125</v>
      </c>
      <c r="F318" s="3" t="s">
        <v>20</v>
      </c>
      <c r="G318" s="3" t="s">
        <v>39</v>
      </c>
      <c r="H318" s="3" t="s">
        <v>48</v>
      </c>
      <c r="I318" s="3" t="n">
        <f aca="false">YEAR(E318)</f>
        <v>2026</v>
      </c>
      <c r="J318" s="3" t="n">
        <f aca="false">MONTH(E318)</f>
        <v>4</v>
      </c>
      <c r="K318" s="3" t="n">
        <f aca="false">COUNTIFS($B$2:$B$4077,B318,$C$2:$C$4077,C318,$I$2:$I$4077,I318)</f>
        <v>1</v>
      </c>
      <c r="L318" s="3" t="n">
        <f aca="false">IF(COUNTIFS($B$2:B318,B318,$C$2:C318,C318,$I$2:I318,I318)=1,1,0)</f>
        <v>1</v>
      </c>
      <c r="M318" s="3" t="n">
        <f aca="false">IF(K318&gt;=Parametri!$B$1,1,0)</f>
        <v>0</v>
      </c>
      <c r="N318" s="3" t="n">
        <f aca="false">L318*M318</f>
        <v>0</v>
      </c>
    </row>
    <row r="319" customFormat="false" ht="15" hidden="false" customHeight="false" outlineLevel="0" collapsed="false">
      <c r="A319" s="0" t="s">
        <v>650</v>
      </c>
      <c r="B319" s="0" t="s">
        <v>79</v>
      </c>
      <c r="C319" s="0" t="s">
        <v>651</v>
      </c>
      <c r="D319" s="0" t="s">
        <v>66</v>
      </c>
      <c r="E319" s="2" t="n">
        <v>46050</v>
      </c>
      <c r="F319" s="3" t="s">
        <v>34</v>
      </c>
      <c r="G319" s="3" t="s">
        <v>35</v>
      </c>
      <c r="H319" s="3" t="s">
        <v>48</v>
      </c>
      <c r="I319" s="3" t="n">
        <f aca="false">YEAR(E319)</f>
        <v>2026</v>
      </c>
      <c r="J319" s="3" t="n">
        <f aca="false">MONTH(E319)</f>
        <v>1</v>
      </c>
      <c r="K319" s="3" t="n">
        <f aca="false">COUNTIFS($B$2:$B$4077,B319,$C$2:$C$4077,C319,$I$2:$I$4077,I319)</f>
        <v>1</v>
      </c>
      <c r="L319" s="3" t="n">
        <f aca="false">IF(COUNTIFS($B$2:B319,B319,$C$2:C319,C319,$I$2:I319,I319)=1,1,0)</f>
        <v>1</v>
      </c>
      <c r="M319" s="3" t="n">
        <f aca="false">IF(K319&gt;=Parametri!$B$1,1,0)</f>
        <v>0</v>
      </c>
      <c r="N319" s="3" t="n">
        <f aca="false">L319*M319</f>
        <v>0</v>
      </c>
    </row>
    <row r="320" customFormat="false" ht="15" hidden="false" customHeight="false" outlineLevel="0" collapsed="false">
      <c r="A320" s="0" t="s">
        <v>652</v>
      </c>
      <c r="B320" s="0" t="s">
        <v>41</v>
      </c>
      <c r="C320" s="0" t="s">
        <v>653</v>
      </c>
      <c r="D320" s="0" t="s">
        <v>66</v>
      </c>
      <c r="E320" s="2" t="n">
        <v>45441</v>
      </c>
      <c r="F320" s="3" t="s">
        <v>34</v>
      </c>
      <c r="G320" s="3" t="s">
        <v>72</v>
      </c>
      <c r="H320" s="3" t="s">
        <v>44</v>
      </c>
      <c r="I320" s="3" t="n">
        <f aca="false">YEAR(E320)</f>
        <v>2024</v>
      </c>
      <c r="J320" s="3" t="n">
        <f aca="false">MONTH(E320)</f>
        <v>5</v>
      </c>
      <c r="K320" s="3" t="n">
        <f aca="false">COUNTIFS($B$2:$B$4077,B320,$C$2:$C$4077,C320,$I$2:$I$4077,I320)</f>
        <v>2</v>
      </c>
      <c r="L320" s="3" t="n">
        <f aca="false">IF(COUNTIFS($B$2:B320,B320,$C$2:C320,C320,$I$2:I320,I320)=1,1,0)</f>
        <v>1</v>
      </c>
      <c r="M320" s="3" t="n">
        <f aca="false">IF(K320&gt;=Parametri!$B$1,1,0)</f>
        <v>1</v>
      </c>
      <c r="N320" s="3" t="n">
        <f aca="false">L320*M320</f>
        <v>1</v>
      </c>
    </row>
    <row r="321" customFormat="false" ht="15" hidden="false" customHeight="false" outlineLevel="0" collapsed="false">
      <c r="A321" s="0" t="s">
        <v>654</v>
      </c>
      <c r="B321" s="0" t="s">
        <v>41</v>
      </c>
      <c r="C321" s="0" t="s">
        <v>655</v>
      </c>
      <c r="D321" s="0" t="s">
        <v>26</v>
      </c>
      <c r="E321" s="2" t="n">
        <v>45440</v>
      </c>
      <c r="F321" s="3" t="s">
        <v>20</v>
      </c>
      <c r="G321" s="3" t="s">
        <v>35</v>
      </c>
      <c r="H321" s="3" t="s">
        <v>48</v>
      </c>
      <c r="I321" s="3" t="n">
        <f aca="false">YEAR(E321)</f>
        <v>2024</v>
      </c>
      <c r="J321" s="3" t="n">
        <f aca="false">MONTH(E321)</f>
        <v>5</v>
      </c>
      <c r="K321" s="3" t="n">
        <f aca="false">COUNTIFS($B$2:$B$4077,B321,$C$2:$C$4077,C321,$I$2:$I$4077,I321)</f>
        <v>1</v>
      </c>
      <c r="L321" s="3" t="n">
        <f aca="false">IF(COUNTIFS($B$2:B321,B321,$C$2:C321,C321,$I$2:I321,I321)=1,1,0)</f>
        <v>1</v>
      </c>
      <c r="M321" s="3" t="n">
        <f aca="false">IF(K321&gt;=Parametri!$B$1,1,0)</f>
        <v>0</v>
      </c>
      <c r="N321" s="3" t="n">
        <f aca="false">L321*M321</f>
        <v>0</v>
      </c>
    </row>
    <row r="322" customFormat="false" ht="15" hidden="false" customHeight="false" outlineLevel="0" collapsed="false">
      <c r="A322" s="0" t="s">
        <v>656</v>
      </c>
      <c r="B322" s="0" t="s">
        <v>124</v>
      </c>
      <c r="C322" s="0" t="s">
        <v>657</v>
      </c>
      <c r="D322" s="0" t="s">
        <v>63</v>
      </c>
      <c r="E322" s="2" t="n">
        <v>46240</v>
      </c>
      <c r="F322" s="3" t="s">
        <v>34</v>
      </c>
      <c r="G322" s="3" t="s">
        <v>72</v>
      </c>
      <c r="H322" s="3" t="s">
        <v>22</v>
      </c>
      <c r="I322" s="3" t="n">
        <f aca="false">YEAR(E322)</f>
        <v>2026</v>
      </c>
      <c r="J322" s="3" t="n">
        <f aca="false">MONTH(E322)</f>
        <v>8</v>
      </c>
      <c r="K322" s="3" t="n">
        <f aca="false">COUNTIFS($B$2:$B$4077,B322,$C$2:$C$4077,C322,$I$2:$I$4077,I322)</f>
        <v>2</v>
      </c>
      <c r="L322" s="3" t="n">
        <f aca="false">IF(COUNTIFS($B$2:B322,B322,$C$2:C322,C322,$I$2:I322,I322)=1,1,0)</f>
        <v>1</v>
      </c>
      <c r="M322" s="3" t="n">
        <f aca="false">IF(K322&gt;=Parametri!$B$1,1,0)</f>
        <v>1</v>
      </c>
      <c r="N322" s="3" t="n">
        <f aca="false">L322*M322</f>
        <v>1</v>
      </c>
    </row>
    <row r="323" customFormat="false" ht="15" hidden="false" customHeight="false" outlineLevel="0" collapsed="false">
      <c r="A323" s="0" t="s">
        <v>658</v>
      </c>
      <c r="B323" s="0" t="s">
        <v>46</v>
      </c>
      <c r="C323" s="0" t="s">
        <v>659</v>
      </c>
      <c r="D323" s="0" t="s">
        <v>26</v>
      </c>
      <c r="E323" s="2" t="n">
        <v>46122</v>
      </c>
      <c r="F323" s="3" t="s">
        <v>34</v>
      </c>
      <c r="G323" s="3" t="s">
        <v>39</v>
      </c>
      <c r="H323" s="3" t="s">
        <v>29</v>
      </c>
      <c r="I323" s="3" t="n">
        <f aca="false">YEAR(E323)</f>
        <v>2026</v>
      </c>
      <c r="J323" s="3" t="n">
        <f aca="false">MONTH(E323)</f>
        <v>4</v>
      </c>
      <c r="K323" s="3" t="n">
        <f aca="false">COUNTIFS($B$2:$B$4077,B323,$C$2:$C$4077,C323,$I$2:$I$4077,I323)</f>
        <v>1</v>
      </c>
      <c r="L323" s="3" t="n">
        <f aca="false">IF(COUNTIFS($B$2:B323,B323,$C$2:C323,C323,$I$2:I323,I323)=1,1,0)</f>
        <v>1</v>
      </c>
      <c r="M323" s="3" t="n">
        <f aca="false">IF(K323&gt;=Parametri!$B$1,1,0)</f>
        <v>0</v>
      </c>
      <c r="N323" s="3" t="n">
        <f aca="false">L323*M323</f>
        <v>0</v>
      </c>
    </row>
    <row r="324" customFormat="false" ht="15" hidden="false" customHeight="false" outlineLevel="0" collapsed="false">
      <c r="A324" s="0" t="s">
        <v>660</v>
      </c>
      <c r="B324" s="0" t="s">
        <v>24</v>
      </c>
      <c r="C324" s="0" t="s">
        <v>204</v>
      </c>
      <c r="D324" s="0" t="s">
        <v>66</v>
      </c>
      <c r="E324" s="2" t="n">
        <v>45473</v>
      </c>
      <c r="F324" s="3" t="s">
        <v>20</v>
      </c>
      <c r="G324" s="3" t="s">
        <v>35</v>
      </c>
      <c r="H324" s="3" t="s">
        <v>29</v>
      </c>
      <c r="I324" s="3" t="n">
        <f aca="false">YEAR(E324)</f>
        <v>2024</v>
      </c>
      <c r="J324" s="3" t="n">
        <f aca="false">MONTH(E324)</f>
        <v>6</v>
      </c>
      <c r="K324" s="3" t="n">
        <f aca="false">COUNTIFS($B$2:$B$4077,B324,$C$2:$C$4077,C324,$I$2:$I$4077,I324)</f>
        <v>5</v>
      </c>
      <c r="L324" s="3" t="n">
        <f aca="false">IF(COUNTIFS($B$2:B324,B324,$C$2:C324,C324,$I$2:I324,I324)=1,1,0)</f>
        <v>1</v>
      </c>
      <c r="M324" s="3" t="n">
        <f aca="false">IF(K324&gt;=Parametri!$B$1,1,0)</f>
        <v>1</v>
      </c>
      <c r="N324" s="3" t="n">
        <f aca="false">L324*M324</f>
        <v>1</v>
      </c>
    </row>
    <row r="325" customFormat="false" ht="15" hidden="false" customHeight="false" outlineLevel="0" collapsed="false">
      <c r="A325" s="0" t="s">
        <v>661</v>
      </c>
      <c r="B325" s="0" t="s">
        <v>68</v>
      </c>
      <c r="C325" s="0" t="s">
        <v>662</v>
      </c>
      <c r="D325" s="0" t="s">
        <v>19</v>
      </c>
      <c r="E325" s="2" t="n">
        <v>45725</v>
      </c>
      <c r="F325" s="3" t="s">
        <v>20</v>
      </c>
      <c r="G325" s="3" t="s">
        <v>43</v>
      </c>
      <c r="H325" s="3" t="s">
        <v>48</v>
      </c>
      <c r="I325" s="3" t="n">
        <f aca="false">YEAR(E325)</f>
        <v>2025</v>
      </c>
      <c r="J325" s="3" t="n">
        <f aca="false">MONTH(E325)</f>
        <v>3</v>
      </c>
      <c r="K325" s="3" t="n">
        <f aca="false">COUNTIFS($B$2:$B$4077,B325,$C$2:$C$4077,C325,$I$2:$I$4077,I325)</f>
        <v>1</v>
      </c>
      <c r="L325" s="3" t="n">
        <f aca="false">IF(COUNTIFS($B$2:B325,B325,$C$2:C325,C325,$I$2:I325,I325)=1,1,0)</f>
        <v>1</v>
      </c>
      <c r="M325" s="3" t="n">
        <f aca="false">IF(K325&gt;=Parametri!$B$1,1,0)</f>
        <v>0</v>
      </c>
      <c r="N325" s="3" t="n">
        <f aca="false">L325*M325</f>
        <v>0</v>
      </c>
    </row>
    <row r="326" customFormat="false" ht="15" hidden="false" customHeight="false" outlineLevel="0" collapsed="false">
      <c r="A326" s="0" t="s">
        <v>663</v>
      </c>
      <c r="B326" s="0" t="s">
        <v>79</v>
      </c>
      <c r="C326" s="0" t="s">
        <v>523</v>
      </c>
      <c r="D326" s="0" t="s">
        <v>26</v>
      </c>
      <c r="E326" s="2" t="n">
        <v>45418</v>
      </c>
      <c r="F326" s="3" t="s">
        <v>20</v>
      </c>
      <c r="G326" s="3" t="s">
        <v>72</v>
      </c>
      <c r="H326" s="3" t="s">
        <v>44</v>
      </c>
      <c r="I326" s="3" t="n">
        <f aca="false">YEAR(E326)</f>
        <v>2024</v>
      </c>
      <c r="J326" s="3" t="n">
        <f aca="false">MONTH(E326)</f>
        <v>5</v>
      </c>
      <c r="K326" s="3" t="n">
        <f aca="false">COUNTIFS($B$2:$B$4077,B326,$C$2:$C$4077,C326,$I$2:$I$4077,I326)</f>
        <v>2</v>
      </c>
      <c r="L326" s="3" t="n">
        <f aca="false">IF(COUNTIFS($B$2:B326,B326,$C$2:C326,C326,$I$2:I326,I326)=1,1,0)</f>
        <v>0</v>
      </c>
      <c r="M326" s="3" t="n">
        <f aca="false">IF(K326&gt;=Parametri!$B$1,1,0)</f>
        <v>1</v>
      </c>
      <c r="N326" s="3" t="n">
        <f aca="false">L326*M326</f>
        <v>0</v>
      </c>
    </row>
    <row r="327" customFormat="false" ht="15" hidden="false" customHeight="false" outlineLevel="0" collapsed="false">
      <c r="A327" s="0" t="s">
        <v>664</v>
      </c>
      <c r="B327" s="0" t="s">
        <v>57</v>
      </c>
      <c r="C327" s="0" t="s">
        <v>665</v>
      </c>
      <c r="D327" s="0" t="s">
        <v>33</v>
      </c>
      <c r="E327" s="2" t="n">
        <v>46165</v>
      </c>
      <c r="F327" s="3" t="s">
        <v>20</v>
      </c>
      <c r="G327" s="3" t="s">
        <v>35</v>
      </c>
      <c r="H327" s="3" t="s">
        <v>22</v>
      </c>
      <c r="I327" s="3" t="n">
        <f aca="false">YEAR(E327)</f>
        <v>2026</v>
      </c>
      <c r="J327" s="3" t="n">
        <f aca="false">MONTH(E327)</f>
        <v>5</v>
      </c>
      <c r="K327" s="3" t="n">
        <f aca="false">COUNTIFS($B$2:$B$4077,B327,$C$2:$C$4077,C327,$I$2:$I$4077,I327)</f>
        <v>1</v>
      </c>
      <c r="L327" s="3" t="n">
        <f aca="false">IF(COUNTIFS($B$2:B327,B327,$C$2:C327,C327,$I$2:I327,I327)=1,1,0)</f>
        <v>1</v>
      </c>
      <c r="M327" s="3" t="n">
        <f aca="false">IF(K327&gt;=Parametri!$B$1,1,0)</f>
        <v>0</v>
      </c>
      <c r="N327" s="3" t="n">
        <f aca="false">L327*M327</f>
        <v>0</v>
      </c>
    </row>
    <row r="328" customFormat="false" ht="15" hidden="false" customHeight="false" outlineLevel="0" collapsed="false">
      <c r="A328" s="0" t="s">
        <v>666</v>
      </c>
      <c r="B328" s="0" t="s">
        <v>17</v>
      </c>
      <c r="C328" s="0" t="s">
        <v>667</v>
      </c>
      <c r="D328" s="0" t="s">
        <v>66</v>
      </c>
      <c r="E328" s="2" t="n">
        <v>45983</v>
      </c>
      <c r="F328" s="3" t="s">
        <v>20</v>
      </c>
      <c r="G328" s="3" t="s">
        <v>39</v>
      </c>
      <c r="H328" s="3" t="s">
        <v>44</v>
      </c>
      <c r="I328" s="3" t="n">
        <f aca="false">YEAR(E328)</f>
        <v>2025</v>
      </c>
      <c r="J328" s="3" t="n">
        <f aca="false">MONTH(E328)</f>
        <v>11</v>
      </c>
      <c r="K328" s="3" t="n">
        <f aca="false">COUNTIFS($B$2:$B$4077,B328,$C$2:$C$4077,C328,$I$2:$I$4077,I328)</f>
        <v>1</v>
      </c>
      <c r="L328" s="3" t="n">
        <f aca="false">IF(COUNTIFS($B$2:B328,B328,$C$2:C328,C328,$I$2:I328,I328)=1,1,0)</f>
        <v>1</v>
      </c>
      <c r="M328" s="3" t="n">
        <f aca="false">IF(K328&gt;=Parametri!$B$1,1,0)</f>
        <v>0</v>
      </c>
      <c r="N328" s="3" t="n">
        <f aca="false">L328*M328</f>
        <v>0</v>
      </c>
    </row>
    <row r="329" customFormat="false" ht="15" hidden="false" customHeight="false" outlineLevel="0" collapsed="false">
      <c r="A329" s="0" t="s">
        <v>668</v>
      </c>
      <c r="B329" s="0" t="s">
        <v>24</v>
      </c>
      <c r="C329" s="0" t="s">
        <v>669</v>
      </c>
      <c r="D329" s="0" t="s">
        <v>26</v>
      </c>
      <c r="E329" s="2" t="n">
        <v>45589</v>
      </c>
      <c r="F329" s="3" t="s">
        <v>20</v>
      </c>
      <c r="G329" s="3" t="s">
        <v>72</v>
      </c>
      <c r="H329" s="3" t="s">
        <v>48</v>
      </c>
      <c r="I329" s="3" t="n">
        <f aca="false">YEAR(E329)</f>
        <v>2024</v>
      </c>
      <c r="J329" s="3" t="n">
        <f aca="false">MONTH(E329)</f>
        <v>10</v>
      </c>
      <c r="K329" s="3" t="n">
        <f aca="false">COUNTIFS($B$2:$B$4077,B329,$C$2:$C$4077,C329,$I$2:$I$4077,I329)</f>
        <v>4</v>
      </c>
      <c r="L329" s="3" t="n">
        <f aca="false">IF(COUNTIFS($B$2:B329,B329,$C$2:C329,C329,$I$2:I329,I329)=1,1,0)</f>
        <v>1</v>
      </c>
      <c r="M329" s="3" t="n">
        <f aca="false">IF(K329&gt;=Parametri!$B$1,1,0)</f>
        <v>1</v>
      </c>
      <c r="N329" s="3" t="n">
        <f aca="false">L329*M329</f>
        <v>1</v>
      </c>
    </row>
    <row r="330" customFormat="false" ht="15" hidden="false" customHeight="false" outlineLevel="0" collapsed="false">
      <c r="A330" s="0" t="s">
        <v>670</v>
      </c>
      <c r="B330" s="0" t="s">
        <v>17</v>
      </c>
      <c r="C330" s="0" t="s">
        <v>671</v>
      </c>
      <c r="D330" s="0" t="s">
        <v>54</v>
      </c>
      <c r="E330" s="2" t="n">
        <v>45597</v>
      </c>
      <c r="F330" s="3" t="s">
        <v>27</v>
      </c>
      <c r="G330" s="3" t="s">
        <v>89</v>
      </c>
      <c r="H330" s="3" t="s">
        <v>22</v>
      </c>
      <c r="I330" s="3" t="n">
        <f aca="false">YEAR(E330)</f>
        <v>2024</v>
      </c>
      <c r="J330" s="3" t="n">
        <f aca="false">MONTH(E330)</f>
        <v>11</v>
      </c>
      <c r="K330" s="3" t="n">
        <f aca="false">COUNTIFS($B$2:$B$4077,B330,$C$2:$C$4077,C330,$I$2:$I$4077,I330)</f>
        <v>4</v>
      </c>
      <c r="L330" s="3" t="n">
        <f aca="false">IF(COUNTIFS($B$2:B330,B330,$C$2:C330,C330,$I$2:I330,I330)=1,1,0)</f>
        <v>1</v>
      </c>
      <c r="M330" s="3" t="n">
        <f aca="false">IF(K330&gt;=Parametri!$B$1,1,0)</f>
        <v>1</v>
      </c>
      <c r="N330" s="3" t="n">
        <f aca="false">L330*M330</f>
        <v>1</v>
      </c>
    </row>
    <row r="331" customFormat="false" ht="15" hidden="false" customHeight="false" outlineLevel="0" collapsed="false">
      <c r="A331" s="0" t="s">
        <v>672</v>
      </c>
      <c r="B331" s="0" t="s">
        <v>79</v>
      </c>
      <c r="C331" s="0" t="s">
        <v>673</v>
      </c>
      <c r="D331" s="0" t="s">
        <v>33</v>
      </c>
      <c r="E331" s="2" t="n">
        <v>45485</v>
      </c>
      <c r="F331" s="3" t="s">
        <v>27</v>
      </c>
      <c r="G331" s="3" t="s">
        <v>39</v>
      </c>
      <c r="H331" s="3" t="s">
        <v>44</v>
      </c>
      <c r="I331" s="3" t="n">
        <f aca="false">YEAR(E331)</f>
        <v>2024</v>
      </c>
      <c r="J331" s="3" t="n">
        <f aca="false">MONTH(E331)</f>
        <v>7</v>
      </c>
      <c r="K331" s="3" t="n">
        <f aca="false">COUNTIFS($B$2:$B$4077,B331,$C$2:$C$4077,C331,$I$2:$I$4077,I331)</f>
        <v>2</v>
      </c>
      <c r="L331" s="3" t="n">
        <f aca="false">IF(COUNTIFS($B$2:B331,B331,$C$2:C331,C331,$I$2:I331,I331)=1,1,0)</f>
        <v>1</v>
      </c>
      <c r="M331" s="3" t="n">
        <f aca="false">IF(K331&gt;=Parametri!$B$1,1,0)</f>
        <v>1</v>
      </c>
      <c r="N331" s="3" t="n">
        <f aca="false">L331*M331</f>
        <v>1</v>
      </c>
    </row>
    <row r="332" customFormat="false" ht="15" hidden="false" customHeight="false" outlineLevel="0" collapsed="false">
      <c r="A332" s="0" t="s">
        <v>674</v>
      </c>
      <c r="B332" s="0" t="s">
        <v>41</v>
      </c>
      <c r="C332" s="0" t="s">
        <v>675</v>
      </c>
      <c r="D332" s="0" t="s">
        <v>33</v>
      </c>
      <c r="E332" s="2" t="n">
        <v>45718</v>
      </c>
      <c r="F332" s="3" t="s">
        <v>20</v>
      </c>
      <c r="G332" s="3" t="s">
        <v>89</v>
      </c>
      <c r="H332" s="3" t="s">
        <v>22</v>
      </c>
      <c r="I332" s="3" t="n">
        <f aca="false">YEAR(E332)</f>
        <v>2025</v>
      </c>
      <c r="J332" s="3" t="n">
        <f aca="false">MONTH(E332)</f>
        <v>3</v>
      </c>
      <c r="K332" s="3" t="n">
        <f aca="false">COUNTIFS($B$2:$B$4077,B332,$C$2:$C$4077,C332,$I$2:$I$4077,I332)</f>
        <v>5</v>
      </c>
      <c r="L332" s="3" t="n">
        <f aca="false">IF(COUNTIFS($B$2:B332,B332,$C$2:C332,C332,$I$2:I332,I332)=1,1,0)</f>
        <v>1</v>
      </c>
      <c r="M332" s="3" t="n">
        <f aca="false">IF(K332&gt;=Parametri!$B$1,1,0)</f>
        <v>1</v>
      </c>
      <c r="N332" s="3" t="n">
        <f aca="false">L332*M332</f>
        <v>1</v>
      </c>
    </row>
    <row r="333" customFormat="false" ht="15" hidden="false" customHeight="false" outlineLevel="0" collapsed="false">
      <c r="A333" s="0" t="s">
        <v>676</v>
      </c>
      <c r="B333" s="0" t="s">
        <v>124</v>
      </c>
      <c r="C333" s="0" t="s">
        <v>677</v>
      </c>
      <c r="D333" s="0" t="s">
        <v>33</v>
      </c>
      <c r="E333" s="2" t="n">
        <v>45842</v>
      </c>
      <c r="F333" s="3" t="s">
        <v>27</v>
      </c>
      <c r="G333" s="3" t="s">
        <v>39</v>
      </c>
      <c r="H333" s="3" t="s">
        <v>29</v>
      </c>
      <c r="I333" s="3" t="n">
        <f aca="false">YEAR(E333)</f>
        <v>2025</v>
      </c>
      <c r="J333" s="3" t="n">
        <f aca="false">MONTH(E333)</f>
        <v>7</v>
      </c>
      <c r="K333" s="3" t="n">
        <f aca="false">COUNTIFS($B$2:$B$4077,B333,$C$2:$C$4077,C333,$I$2:$I$4077,I333)</f>
        <v>2</v>
      </c>
      <c r="L333" s="3" t="n">
        <f aca="false">IF(COUNTIFS($B$2:B333,B333,$C$2:C333,C333,$I$2:I333,I333)=1,1,0)</f>
        <v>1</v>
      </c>
      <c r="M333" s="3" t="n">
        <f aca="false">IF(K333&gt;=Parametri!$B$1,1,0)</f>
        <v>1</v>
      </c>
      <c r="N333" s="3" t="n">
        <f aca="false">L333*M333</f>
        <v>1</v>
      </c>
    </row>
    <row r="334" customFormat="false" ht="15" hidden="false" customHeight="false" outlineLevel="0" collapsed="false">
      <c r="A334" s="0" t="s">
        <v>678</v>
      </c>
      <c r="B334" s="0" t="s">
        <v>24</v>
      </c>
      <c r="C334" s="0" t="s">
        <v>679</v>
      </c>
      <c r="D334" s="0" t="s">
        <v>54</v>
      </c>
      <c r="E334" s="2" t="n">
        <v>45408</v>
      </c>
      <c r="F334" s="3" t="s">
        <v>20</v>
      </c>
      <c r="G334" s="3" t="s">
        <v>21</v>
      </c>
      <c r="H334" s="3" t="s">
        <v>22</v>
      </c>
      <c r="I334" s="3" t="n">
        <f aca="false">YEAR(E334)</f>
        <v>2024</v>
      </c>
      <c r="J334" s="3" t="n">
        <f aca="false">MONTH(E334)</f>
        <v>4</v>
      </c>
      <c r="K334" s="3" t="n">
        <f aca="false">COUNTIFS($B$2:$B$4077,B334,$C$2:$C$4077,C334,$I$2:$I$4077,I334)</f>
        <v>2</v>
      </c>
      <c r="L334" s="3" t="n">
        <f aca="false">IF(COUNTIFS($B$2:B334,B334,$C$2:C334,C334,$I$2:I334,I334)=1,1,0)</f>
        <v>1</v>
      </c>
      <c r="M334" s="3" t="n">
        <f aca="false">IF(K334&gt;=Parametri!$B$1,1,0)</f>
        <v>1</v>
      </c>
      <c r="N334" s="3" t="n">
        <f aca="false">L334*M334</f>
        <v>1</v>
      </c>
    </row>
    <row r="335" customFormat="false" ht="15" hidden="false" customHeight="false" outlineLevel="0" collapsed="false">
      <c r="A335" s="0" t="s">
        <v>680</v>
      </c>
      <c r="B335" s="0" t="s">
        <v>24</v>
      </c>
      <c r="C335" s="0" t="s">
        <v>681</v>
      </c>
      <c r="D335" s="0" t="s">
        <v>66</v>
      </c>
      <c r="E335" s="2" t="n">
        <v>45936</v>
      </c>
      <c r="F335" s="3" t="s">
        <v>20</v>
      </c>
      <c r="G335" s="3" t="s">
        <v>89</v>
      </c>
      <c r="H335" s="3" t="s">
        <v>48</v>
      </c>
      <c r="I335" s="3" t="n">
        <f aca="false">YEAR(E335)</f>
        <v>2025</v>
      </c>
      <c r="J335" s="3" t="n">
        <f aca="false">MONTH(E335)</f>
        <v>10</v>
      </c>
      <c r="K335" s="3" t="n">
        <f aca="false">COUNTIFS($B$2:$B$4077,B335,$C$2:$C$4077,C335,$I$2:$I$4077,I335)</f>
        <v>1</v>
      </c>
      <c r="L335" s="3" t="n">
        <f aca="false">IF(COUNTIFS($B$2:B335,B335,$C$2:C335,C335,$I$2:I335,I335)=1,1,0)</f>
        <v>1</v>
      </c>
      <c r="M335" s="3" t="n">
        <f aca="false">IF(K335&gt;=Parametri!$B$1,1,0)</f>
        <v>0</v>
      </c>
      <c r="N335" s="3" t="n">
        <f aca="false">L335*M335</f>
        <v>0</v>
      </c>
    </row>
    <row r="336" customFormat="false" ht="15" hidden="false" customHeight="false" outlineLevel="0" collapsed="false">
      <c r="A336" s="0" t="s">
        <v>682</v>
      </c>
      <c r="B336" s="0" t="s">
        <v>124</v>
      </c>
      <c r="C336" s="0" t="s">
        <v>683</v>
      </c>
      <c r="D336" s="0" t="s">
        <v>77</v>
      </c>
      <c r="E336" s="2" t="n">
        <v>45775</v>
      </c>
      <c r="F336" s="3" t="s">
        <v>27</v>
      </c>
      <c r="G336" s="3" t="s">
        <v>35</v>
      </c>
      <c r="H336" s="3" t="s">
        <v>44</v>
      </c>
      <c r="I336" s="3" t="n">
        <f aca="false">YEAR(E336)</f>
        <v>2025</v>
      </c>
      <c r="J336" s="3" t="n">
        <f aca="false">MONTH(E336)</f>
        <v>4</v>
      </c>
      <c r="K336" s="3" t="n">
        <f aca="false">COUNTIFS($B$2:$B$4077,B336,$C$2:$C$4077,C336,$I$2:$I$4077,I336)</f>
        <v>2</v>
      </c>
      <c r="L336" s="3" t="n">
        <f aca="false">IF(COUNTIFS($B$2:B336,B336,$C$2:C336,C336,$I$2:I336,I336)=1,1,0)</f>
        <v>1</v>
      </c>
      <c r="M336" s="3" t="n">
        <f aca="false">IF(K336&gt;=Parametri!$B$1,1,0)</f>
        <v>1</v>
      </c>
      <c r="N336" s="3" t="n">
        <f aca="false">L336*M336</f>
        <v>1</v>
      </c>
    </row>
    <row r="337" customFormat="false" ht="15" hidden="false" customHeight="false" outlineLevel="0" collapsed="false">
      <c r="A337" s="0" t="s">
        <v>684</v>
      </c>
      <c r="B337" s="0" t="s">
        <v>41</v>
      </c>
      <c r="C337" s="0" t="s">
        <v>685</v>
      </c>
      <c r="D337" s="0" t="s">
        <v>33</v>
      </c>
      <c r="E337" s="2" t="n">
        <v>45884</v>
      </c>
      <c r="F337" s="3" t="s">
        <v>34</v>
      </c>
      <c r="G337" s="3" t="s">
        <v>39</v>
      </c>
      <c r="H337" s="3" t="s">
        <v>22</v>
      </c>
      <c r="I337" s="3" t="n">
        <f aca="false">YEAR(E337)</f>
        <v>2025</v>
      </c>
      <c r="J337" s="3" t="n">
        <f aca="false">MONTH(E337)</f>
        <v>8</v>
      </c>
      <c r="K337" s="3" t="n">
        <f aca="false">COUNTIFS($B$2:$B$4077,B337,$C$2:$C$4077,C337,$I$2:$I$4077,I337)</f>
        <v>2</v>
      </c>
      <c r="L337" s="3" t="n">
        <f aca="false">IF(COUNTIFS($B$2:B337,B337,$C$2:C337,C337,$I$2:I337,I337)=1,1,0)</f>
        <v>1</v>
      </c>
      <c r="M337" s="3" t="n">
        <f aca="false">IF(K337&gt;=Parametri!$B$1,1,0)</f>
        <v>1</v>
      </c>
      <c r="N337" s="3" t="n">
        <f aca="false">L337*M337</f>
        <v>1</v>
      </c>
    </row>
    <row r="338" customFormat="false" ht="15" hidden="false" customHeight="false" outlineLevel="0" collapsed="false">
      <c r="A338" s="0" t="s">
        <v>686</v>
      </c>
      <c r="B338" s="0" t="s">
        <v>46</v>
      </c>
      <c r="C338" s="0" t="s">
        <v>687</v>
      </c>
      <c r="D338" s="0" t="s">
        <v>54</v>
      </c>
      <c r="E338" s="2" t="n">
        <v>46168</v>
      </c>
      <c r="F338" s="3" t="s">
        <v>27</v>
      </c>
      <c r="G338" s="3" t="s">
        <v>89</v>
      </c>
      <c r="H338" s="3" t="s">
        <v>44</v>
      </c>
      <c r="I338" s="3" t="n">
        <f aca="false">YEAR(E338)</f>
        <v>2026</v>
      </c>
      <c r="J338" s="3" t="n">
        <f aca="false">MONTH(E338)</f>
        <v>5</v>
      </c>
      <c r="K338" s="3" t="n">
        <f aca="false">COUNTIFS($B$2:$B$4077,B338,$C$2:$C$4077,C338,$I$2:$I$4077,I338)</f>
        <v>1</v>
      </c>
      <c r="L338" s="3" t="n">
        <f aca="false">IF(COUNTIFS($B$2:B338,B338,$C$2:C338,C338,$I$2:I338,I338)=1,1,0)</f>
        <v>1</v>
      </c>
      <c r="M338" s="3" t="n">
        <f aca="false">IF(K338&gt;=Parametri!$B$1,1,0)</f>
        <v>0</v>
      </c>
      <c r="N338" s="3" t="n">
        <f aca="false">L338*M338</f>
        <v>0</v>
      </c>
    </row>
    <row r="339" customFormat="false" ht="15" hidden="false" customHeight="false" outlineLevel="0" collapsed="false">
      <c r="A339" s="0" t="s">
        <v>688</v>
      </c>
      <c r="B339" s="0" t="s">
        <v>31</v>
      </c>
      <c r="C339" s="0" t="s">
        <v>689</v>
      </c>
      <c r="D339" s="0" t="s">
        <v>26</v>
      </c>
      <c r="E339" s="2" t="n">
        <v>45680</v>
      </c>
      <c r="F339" s="3" t="s">
        <v>20</v>
      </c>
      <c r="G339" s="3" t="s">
        <v>72</v>
      </c>
      <c r="H339" s="3" t="s">
        <v>44</v>
      </c>
      <c r="I339" s="3" t="n">
        <f aca="false">YEAR(E339)</f>
        <v>2025</v>
      </c>
      <c r="J339" s="3" t="n">
        <f aca="false">MONTH(E339)</f>
        <v>1</v>
      </c>
      <c r="K339" s="3" t="n">
        <f aca="false">COUNTIFS($B$2:$B$4077,B339,$C$2:$C$4077,C339,$I$2:$I$4077,I339)</f>
        <v>1</v>
      </c>
      <c r="L339" s="3" t="n">
        <f aca="false">IF(COUNTIFS($B$2:B339,B339,$C$2:C339,C339,$I$2:I339,I339)=1,1,0)</f>
        <v>1</v>
      </c>
      <c r="M339" s="3" t="n">
        <f aca="false">IF(K339&gt;=Parametri!$B$1,1,0)</f>
        <v>0</v>
      </c>
      <c r="N339" s="3" t="n">
        <f aca="false">L339*M339</f>
        <v>0</v>
      </c>
    </row>
    <row r="340" customFormat="false" ht="15" hidden="false" customHeight="false" outlineLevel="0" collapsed="false">
      <c r="A340" s="0" t="s">
        <v>690</v>
      </c>
      <c r="B340" s="0" t="s">
        <v>46</v>
      </c>
      <c r="C340" s="0" t="s">
        <v>691</v>
      </c>
      <c r="D340" s="0" t="s">
        <v>63</v>
      </c>
      <c r="E340" s="2" t="n">
        <v>45873</v>
      </c>
      <c r="F340" s="3" t="s">
        <v>20</v>
      </c>
      <c r="G340" s="3" t="s">
        <v>35</v>
      </c>
      <c r="H340" s="3" t="s">
        <v>22</v>
      </c>
      <c r="I340" s="3" t="n">
        <f aca="false">YEAR(E340)</f>
        <v>2025</v>
      </c>
      <c r="J340" s="3" t="n">
        <f aca="false">MONTH(E340)</f>
        <v>8</v>
      </c>
      <c r="K340" s="3" t="n">
        <f aca="false">COUNTIFS($B$2:$B$4077,B340,$C$2:$C$4077,C340,$I$2:$I$4077,I340)</f>
        <v>1</v>
      </c>
      <c r="L340" s="3" t="n">
        <f aca="false">IF(COUNTIFS($B$2:B340,B340,$C$2:C340,C340,$I$2:I340,I340)=1,1,0)</f>
        <v>1</v>
      </c>
      <c r="M340" s="3" t="n">
        <f aca="false">IF(K340&gt;=Parametri!$B$1,1,0)</f>
        <v>0</v>
      </c>
      <c r="N340" s="3" t="n">
        <f aca="false">L340*M340</f>
        <v>0</v>
      </c>
    </row>
    <row r="341" customFormat="false" ht="15" hidden="false" customHeight="false" outlineLevel="0" collapsed="false">
      <c r="A341" s="0" t="s">
        <v>692</v>
      </c>
      <c r="B341" s="0" t="s">
        <v>68</v>
      </c>
      <c r="C341" s="0" t="s">
        <v>693</v>
      </c>
      <c r="D341" s="0" t="s">
        <v>77</v>
      </c>
      <c r="E341" s="2" t="n">
        <v>46086</v>
      </c>
      <c r="F341" s="3" t="s">
        <v>20</v>
      </c>
      <c r="G341" s="3" t="s">
        <v>72</v>
      </c>
      <c r="H341" s="3" t="s">
        <v>29</v>
      </c>
      <c r="I341" s="3" t="n">
        <f aca="false">YEAR(E341)</f>
        <v>2026</v>
      </c>
      <c r="J341" s="3" t="n">
        <f aca="false">MONTH(E341)</f>
        <v>3</v>
      </c>
      <c r="K341" s="3" t="n">
        <f aca="false">COUNTIFS($B$2:$B$4077,B341,$C$2:$C$4077,C341,$I$2:$I$4077,I341)</f>
        <v>1</v>
      </c>
      <c r="L341" s="3" t="n">
        <f aca="false">IF(COUNTIFS($B$2:B341,B341,$C$2:C341,C341,$I$2:I341,I341)=1,1,0)</f>
        <v>1</v>
      </c>
      <c r="M341" s="3" t="n">
        <f aca="false">IF(K341&gt;=Parametri!$B$1,1,0)</f>
        <v>0</v>
      </c>
      <c r="N341" s="3" t="n">
        <f aca="false">L341*M341</f>
        <v>0</v>
      </c>
    </row>
    <row r="342" customFormat="false" ht="15" hidden="false" customHeight="false" outlineLevel="0" collapsed="false">
      <c r="A342" s="0" t="s">
        <v>694</v>
      </c>
      <c r="B342" s="0" t="s">
        <v>68</v>
      </c>
      <c r="C342" s="0" t="s">
        <v>438</v>
      </c>
      <c r="D342" s="0" t="s">
        <v>66</v>
      </c>
      <c r="E342" s="2" t="n">
        <v>45922</v>
      </c>
      <c r="F342" s="3" t="s">
        <v>20</v>
      </c>
      <c r="G342" s="3" t="s">
        <v>21</v>
      </c>
      <c r="H342" s="3" t="s">
        <v>48</v>
      </c>
      <c r="I342" s="3" t="n">
        <f aca="false">YEAR(E342)</f>
        <v>2025</v>
      </c>
      <c r="J342" s="3" t="n">
        <f aca="false">MONTH(E342)</f>
        <v>9</v>
      </c>
      <c r="K342" s="3" t="n">
        <f aca="false">COUNTIFS($B$2:$B$4077,B342,$C$2:$C$4077,C342,$I$2:$I$4077,I342)</f>
        <v>4</v>
      </c>
      <c r="L342" s="3" t="n">
        <f aca="false">IF(COUNTIFS($B$2:B342,B342,$C$2:C342,C342,$I$2:I342,I342)=1,1,0)</f>
        <v>1</v>
      </c>
      <c r="M342" s="3" t="n">
        <f aca="false">IF(K342&gt;=Parametri!$B$1,1,0)</f>
        <v>1</v>
      </c>
      <c r="N342" s="3" t="n">
        <f aca="false">L342*M342</f>
        <v>1</v>
      </c>
    </row>
    <row r="343" customFormat="false" ht="15" hidden="false" customHeight="false" outlineLevel="0" collapsed="false">
      <c r="A343" s="0" t="s">
        <v>695</v>
      </c>
      <c r="B343" s="0" t="s">
        <v>50</v>
      </c>
      <c r="C343" s="0" t="s">
        <v>696</v>
      </c>
      <c r="D343" s="0" t="s">
        <v>77</v>
      </c>
      <c r="E343" s="2" t="n">
        <v>46196</v>
      </c>
      <c r="F343" s="3" t="s">
        <v>20</v>
      </c>
      <c r="G343" s="3" t="s">
        <v>28</v>
      </c>
      <c r="H343" s="3" t="s">
        <v>22</v>
      </c>
      <c r="I343" s="3" t="n">
        <f aca="false">YEAR(E343)</f>
        <v>2026</v>
      </c>
      <c r="J343" s="3" t="n">
        <f aca="false">MONTH(E343)</f>
        <v>6</v>
      </c>
      <c r="K343" s="3" t="n">
        <f aca="false">COUNTIFS($B$2:$B$4077,B343,$C$2:$C$4077,C343,$I$2:$I$4077,I343)</f>
        <v>1</v>
      </c>
      <c r="L343" s="3" t="n">
        <f aca="false">IF(COUNTIFS($B$2:B343,B343,$C$2:C343,C343,$I$2:I343,I343)=1,1,0)</f>
        <v>1</v>
      </c>
      <c r="M343" s="3" t="n">
        <f aca="false">IF(K343&gt;=Parametri!$B$1,1,0)</f>
        <v>0</v>
      </c>
      <c r="N343" s="3" t="n">
        <f aca="false">L343*M343</f>
        <v>0</v>
      </c>
    </row>
    <row r="344" customFormat="false" ht="15" hidden="false" customHeight="false" outlineLevel="0" collapsed="false">
      <c r="A344" s="0" t="s">
        <v>697</v>
      </c>
      <c r="B344" s="0" t="s">
        <v>46</v>
      </c>
      <c r="C344" s="0" t="s">
        <v>698</v>
      </c>
      <c r="D344" s="0" t="s">
        <v>38</v>
      </c>
      <c r="E344" s="2" t="n">
        <v>45545</v>
      </c>
      <c r="F344" s="3" t="s">
        <v>20</v>
      </c>
      <c r="G344" s="3" t="s">
        <v>43</v>
      </c>
      <c r="H344" s="3" t="s">
        <v>48</v>
      </c>
      <c r="I344" s="3" t="n">
        <f aca="false">YEAR(E344)</f>
        <v>2024</v>
      </c>
      <c r="J344" s="3" t="n">
        <f aca="false">MONTH(E344)</f>
        <v>9</v>
      </c>
      <c r="K344" s="3" t="n">
        <f aca="false">COUNTIFS($B$2:$B$4077,B344,$C$2:$C$4077,C344,$I$2:$I$4077,I344)</f>
        <v>1</v>
      </c>
      <c r="L344" s="3" t="n">
        <f aca="false">IF(COUNTIFS($B$2:B344,B344,$C$2:C344,C344,$I$2:I344,I344)=1,1,0)</f>
        <v>1</v>
      </c>
      <c r="M344" s="3" t="n">
        <f aca="false">IF(K344&gt;=Parametri!$B$1,1,0)</f>
        <v>0</v>
      </c>
      <c r="N344" s="3" t="n">
        <f aca="false">L344*M344</f>
        <v>0</v>
      </c>
    </row>
    <row r="345" customFormat="false" ht="15" hidden="false" customHeight="false" outlineLevel="0" collapsed="false">
      <c r="A345" s="0" t="s">
        <v>699</v>
      </c>
      <c r="B345" s="0" t="s">
        <v>68</v>
      </c>
      <c r="C345" s="0" t="s">
        <v>700</v>
      </c>
      <c r="D345" s="0" t="s">
        <v>19</v>
      </c>
      <c r="E345" s="2" t="n">
        <v>45726</v>
      </c>
      <c r="F345" s="3" t="s">
        <v>20</v>
      </c>
      <c r="G345" s="3" t="s">
        <v>21</v>
      </c>
      <c r="H345" s="3" t="s">
        <v>48</v>
      </c>
      <c r="I345" s="3" t="n">
        <f aca="false">YEAR(E345)</f>
        <v>2025</v>
      </c>
      <c r="J345" s="3" t="n">
        <f aca="false">MONTH(E345)</f>
        <v>3</v>
      </c>
      <c r="K345" s="3" t="n">
        <f aca="false">COUNTIFS($B$2:$B$4077,B345,$C$2:$C$4077,C345,$I$2:$I$4077,I345)</f>
        <v>1</v>
      </c>
      <c r="L345" s="3" t="n">
        <f aca="false">IF(COUNTIFS($B$2:B345,B345,$C$2:C345,C345,$I$2:I345,I345)=1,1,0)</f>
        <v>1</v>
      </c>
      <c r="M345" s="3" t="n">
        <f aca="false">IF(K345&gt;=Parametri!$B$1,1,0)</f>
        <v>0</v>
      </c>
      <c r="N345" s="3" t="n">
        <f aca="false">L345*M345</f>
        <v>0</v>
      </c>
    </row>
    <row r="346" customFormat="false" ht="15" hidden="false" customHeight="false" outlineLevel="0" collapsed="false">
      <c r="A346" s="0" t="s">
        <v>701</v>
      </c>
      <c r="B346" s="0" t="s">
        <v>57</v>
      </c>
      <c r="C346" s="0" t="s">
        <v>702</v>
      </c>
      <c r="D346" s="0" t="s">
        <v>19</v>
      </c>
      <c r="E346" s="2" t="n">
        <v>45581</v>
      </c>
      <c r="F346" s="3" t="s">
        <v>20</v>
      </c>
      <c r="G346" s="3" t="s">
        <v>55</v>
      </c>
      <c r="H346" s="3" t="s">
        <v>29</v>
      </c>
      <c r="I346" s="3" t="n">
        <f aca="false">YEAR(E346)</f>
        <v>2024</v>
      </c>
      <c r="J346" s="3" t="n">
        <f aca="false">MONTH(E346)</f>
        <v>10</v>
      </c>
      <c r="K346" s="3" t="n">
        <f aca="false">COUNTIFS($B$2:$B$4077,B346,$C$2:$C$4077,C346,$I$2:$I$4077,I346)</f>
        <v>1</v>
      </c>
      <c r="L346" s="3" t="n">
        <f aca="false">IF(COUNTIFS($B$2:B346,B346,$C$2:C346,C346,$I$2:I346,I346)=1,1,0)</f>
        <v>1</v>
      </c>
      <c r="M346" s="3" t="n">
        <f aca="false">IF(K346&gt;=Parametri!$B$1,1,0)</f>
        <v>0</v>
      </c>
      <c r="N346" s="3" t="n">
        <f aca="false">L346*M346</f>
        <v>0</v>
      </c>
    </row>
    <row r="347" customFormat="false" ht="15" hidden="false" customHeight="false" outlineLevel="0" collapsed="false">
      <c r="A347" s="0" t="s">
        <v>703</v>
      </c>
      <c r="B347" s="0" t="s">
        <v>57</v>
      </c>
      <c r="C347" s="0" t="s">
        <v>704</v>
      </c>
      <c r="D347" s="0" t="s">
        <v>19</v>
      </c>
      <c r="E347" s="2" t="n">
        <v>46034</v>
      </c>
      <c r="F347" s="3" t="s">
        <v>20</v>
      </c>
      <c r="G347" s="3" t="s">
        <v>55</v>
      </c>
      <c r="H347" s="3" t="s">
        <v>22</v>
      </c>
      <c r="I347" s="3" t="n">
        <f aca="false">YEAR(E347)</f>
        <v>2026</v>
      </c>
      <c r="J347" s="3" t="n">
        <f aca="false">MONTH(E347)</f>
        <v>1</v>
      </c>
      <c r="K347" s="3" t="n">
        <f aca="false">COUNTIFS($B$2:$B$4077,B347,$C$2:$C$4077,C347,$I$2:$I$4077,I347)</f>
        <v>1</v>
      </c>
      <c r="L347" s="3" t="n">
        <f aca="false">IF(COUNTIFS($B$2:B347,B347,$C$2:C347,C347,$I$2:I347,I347)=1,1,0)</f>
        <v>1</v>
      </c>
      <c r="M347" s="3" t="n">
        <f aca="false">IF(K347&gt;=Parametri!$B$1,1,0)</f>
        <v>0</v>
      </c>
      <c r="N347" s="3" t="n">
        <f aca="false">L347*M347</f>
        <v>0</v>
      </c>
    </row>
    <row r="348" customFormat="false" ht="15" hidden="false" customHeight="false" outlineLevel="0" collapsed="false">
      <c r="A348" s="0" t="s">
        <v>705</v>
      </c>
      <c r="B348" s="0" t="s">
        <v>57</v>
      </c>
      <c r="C348" s="0" t="s">
        <v>706</v>
      </c>
      <c r="D348" s="0" t="s">
        <v>33</v>
      </c>
      <c r="E348" s="2" t="n">
        <v>45936</v>
      </c>
      <c r="F348" s="3" t="s">
        <v>34</v>
      </c>
      <c r="G348" s="3" t="s">
        <v>43</v>
      </c>
      <c r="H348" s="3" t="s">
        <v>29</v>
      </c>
      <c r="I348" s="3" t="n">
        <f aca="false">YEAR(E348)</f>
        <v>2025</v>
      </c>
      <c r="J348" s="3" t="n">
        <f aca="false">MONTH(E348)</f>
        <v>10</v>
      </c>
      <c r="K348" s="3" t="n">
        <f aca="false">COUNTIFS($B$2:$B$4077,B348,$C$2:$C$4077,C348,$I$2:$I$4077,I348)</f>
        <v>1</v>
      </c>
      <c r="L348" s="3" t="n">
        <f aca="false">IF(COUNTIFS($B$2:B348,B348,$C$2:C348,C348,$I$2:I348,I348)=1,1,0)</f>
        <v>1</v>
      </c>
      <c r="M348" s="3" t="n">
        <f aca="false">IF(K348&gt;=Parametri!$B$1,1,0)</f>
        <v>0</v>
      </c>
      <c r="N348" s="3" t="n">
        <f aca="false">L348*M348</f>
        <v>0</v>
      </c>
    </row>
    <row r="349" customFormat="false" ht="15" hidden="false" customHeight="false" outlineLevel="0" collapsed="false">
      <c r="A349" s="0" t="s">
        <v>707</v>
      </c>
      <c r="B349" s="0" t="s">
        <v>46</v>
      </c>
      <c r="C349" s="0" t="s">
        <v>708</v>
      </c>
      <c r="D349" s="0" t="s">
        <v>66</v>
      </c>
      <c r="E349" s="2" t="n">
        <v>46135</v>
      </c>
      <c r="F349" s="3" t="s">
        <v>20</v>
      </c>
      <c r="G349" s="3" t="s">
        <v>55</v>
      </c>
      <c r="H349" s="3" t="s">
        <v>22</v>
      </c>
      <c r="I349" s="3" t="n">
        <f aca="false">YEAR(E349)</f>
        <v>2026</v>
      </c>
      <c r="J349" s="3" t="n">
        <f aca="false">MONTH(E349)</f>
        <v>4</v>
      </c>
      <c r="K349" s="3" t="n">
        <f aca="false">COUNTIFS($B$2:$B$4077,B349,$C$2:$C$4077,C349,$I$2:$I$4077,I349)</f>
        <v>1</v>
      </c>
      <c r="L349" s="3" t="n">
        <f aca="false">IF(COUNTIFS($B$2:B349,B349,$C$2:C349,C349,$I$2:I349,I349)=1,1,0)</f>
        <v>1</v>
      </c>
      <c r="M349" s="3" t="n">
        <f aca="false">IF(K349&gt;=Parametri!$B$1,1,0)</f>
        <v>0</v>
      </c>
      <c r="N349" s="3" t="n">
        <f aca="false">L349*M349</f>
        <v>0</v>
      </c>
    </row>
    <row r="350" customFormat="false" ht="15" hidden="false" customHeight="false" outlineLevel="0" collapsed="false">
      <c r="A350" s="0" t="s">
        <v>709</v>
      </c>
      <c r="B350" s="0" t="s">
        <v>124</v>
      </c>
      <c r="C350" s="0" t="s">
        <v>710</v>
      </c>
      <c r="D350" s="0" t="s">
        <v>66</v>
      </c>
      <c r="E350" s="2" t="n">
        <v>45725</v>
      </c>
      <c r="F350" s="3" t="s">
        <v>20</v>
      </c>
      <c r="G350" s="3" t="s">
        <v>72</v>
      </c>
      <c r="H350" s="3" t="s">
        <v>44</v>
      </c>
      <c r="I350" s="3" t="n">
        <f aca="false">YEAR(E350)</f>
        <v>2025</v>
      </c>
      <c r="J350" s="3" t="n">
        <f aca="false">MONTH(E350)</f>
        <v>3</v>
      </c>
      <c r="K350" s="3" t="n">
        <f aca="false">COUNTIFS($B$2:$B$4077,B350,$C$2:$C$4077,C350,$I$2:$I$4077,I350)</f>
        <v>8</v>
      </c>
      <c r="L350" s="3" t="n">
        <f aca="false">IF(COUNTIFS($B$2:B350,B350,$C$2:C350,C350,$I$2:I350,I350)=1,1,0)</f>
        <v>1</v>
      </c>
      <c r="M350" s="3" t="n">
        <f aca="false">IF(K350&gt;=Parametri!$B$1,1,0)</f>
        <v>1</v>
      </c>
      <c r="N350" s="3" t="n">
        <f aca="false">L350*M350</f>
        <v>1</v>
      </c>
    </row>
    <row r="351" customFormat="false" ht="15" hidden="false" customHeight="false" outlineLevel="0" collapsed="false">
      <c r="A351" s="0" t="s">
        <v>711</v>
      </c>
      <c r="B351" s="0" t="s">
        <v>31</v>
      </c>
      <c r="C351" s="0" t="s">
        <v>712</v>
      </c>
      <c r="D351" s="0" t="s">
        <v>33</v>
      </c>
      <c r="E351" s="2" t="n">
        <v>45526</v>
      </c>
      <c r="F351" s="3" t="s">
        <v>27</v>
      </c>
      <c r="G351" s="3" t="s">
        <v>28</v>
      </c>
      <c r="H351" s="3" t="s">
        <v>22</v>
      </c>
      <c r="I351" s="3" t="n">
        <f aca="false">YEAR(E351)</f>
        <v>2024</v>
      </c>
      <c r="J351" s="3" t="n">
        <f aca="false">MONTH(E351)</f>
        <v>8</v>
      </c>
      <c r="K351" s="3" t="n">
        <f aca="false">COUNTIFS($B$2:$B$4077,B351,$C$2:$C$4077,C351,$I$2:$I$4077,I351)</f>
        <v>5</v>
      </c>
      <c r="L351" s="3" t="n">
        <f aca="false">IF(COUNTIFS($B$2:B351,B351,$C$2:C351,C351,$I$2:I351,I351)=1,1,0)</f>
        <v>1</v>
      </c>
      <c r="M351" s="3" t="n">
        <f aca="false">IF(K351&gt;=Parametri!$B$1,1,0)</f>
        <v>1</v>
      </c>
      <c r="N351" s="3" t="n">
        <f aca="false">L351*M351</f>
        <v>1</v>
      </c>
    </row>
    <row r="352" customFormat="false" ht="15" hidden="false" customHeight="false" outlineLevel="0" collapsed="false">
      <c r="A352" s="0" t="s">
        <v>713</v>
      </c>
      <c r="B352" s="0" t="s">
        <v>41</v>
      </c>
      <c r="C352" s="0" t="s">
        <v>714</v>
      </c>
      <c r="D352" s="0" t="s">
        <v>38</v>
      </c>
      <c r="E352" s="2" t="n">
        <v>45321</v>
      </c>
      <c r="F352" s="3" t="s">
        <v>20</v>
      </c>
      <c r="G352" s="3" t="s">
        <v>43</v>
      </c>
      <c r="H352" s="3" t="s">
        <v>22</v>
      </c>
      <c r="I352" s="3" t="n">
        <f aca="false">YEAR(E352)</f>
        <v>2024</v>
      </c>
      <c r="J352" s="3" t="n">
        <f aca="false">MONTH(E352)</f>
        <v>1</v>
      </c>
      <c r="K352" s="3" t="n">
        <f aca="false">COUNTIFS($B$2:$B$4077,B352,$C$2:$C$4077,C352,$I$2:$I$4077,I352)</f>
        <v>1</v>
      </c>
      <c r="L352" s="3" t="n">
        <f aca="false">IF(COUNTIFS($B$2:B352,B352,$C$2:C352,C352,$I$2:I352,I352)=1,1,0)</f>
        <v>1</v>
      </c>
      <c r="M352" s="3" t="n">
        <f aca="false">IF(K352&gt;=Parametri!$B$1,1,0)</f>
        <v>0</v>
      </c>
      <c r="N352" s="3" t="n">
        <f aca="false">L352*M352</f>
        <v>0</v>
      </c>
    </row>
    <row r="353" customFormat="false" ht="15" hidden="false" customHeight="false" outlineLevel="0" collapsed="false">
      <c r="A353" s="0" t="s">
        <v>715</v>
      </c>
      <c r="B353" s="0" t="s">
        <v>79</v>
      </c>
      <c r="C353" s="0" t="s">
        <v>716</v>
      </c>
      <c r="D353" s="0" t="s">
        <v>19</v>
      </c>
      <c r="E353" s="2" t="n">
        <v>45762</v>
      </c>
      <c r="F353" s="3" t="s">
        <v>20</v>
      </c>
      <c r="G353" s="3" t="s">
        <v>21</v>
      </c>
      <c r="H353" s="3" t="s">
        <v>48</v>
      </c>
      <c r="I353" s="3" t="n">
        <f aca="false">YEAR(E353)</f>
        <v>2025</v>
      </c>
      <c r="J353" s="3" t="n">
        <f aca="false">MONTH(E353)</f>
        <v>4</v>
      </c>
      <c r="K353" s="3" t="n">
        <f aca="false">COUNTIFS($B$2:$B$4077,B353,$C$2:$C$4077,C353,$I$2:$I$4077,I353)</f>
        <v>1</v>
      </c>
      <c r="L353" s="3" t="n">
        <f aca="false">IF(COUNTIFS($B$2:B353,B353,$C$2:C353,C353,$I$2:I353,I353)=1,1,0)</f>
        <v>1</v>
      </c>
      <c r="M353" s="3" t="n">
        <f aca="false">IF(K353&gt;=Parametri!$B$1,1,0)</f>
        <v>0</v>
      </c>
      <c r="N353" s="3" t="n">
        <f aca="false">L353*M353</f>
        <v>0</v>
      </c>
    </row>
    <row r="354" customFormat="false" ht="15" hidden="false" customHeight="false" outlineLevel="0" collapsed="false">
      <c r="A354" s="0" t="s">
        <v>717</v>
      </c>
      <c r="B354" s="0" t="s">
        <v>46</v>
      </c>
      <c r="C354" s="0" t="s">
        <v>718</v>
      </c>
      <c r="D354" s="0" t="s">
        <v>66</v>
      </c>
      <c r="E354" s="2" t="n">
        <v>46029</v>
      </c>
      <c r="F354" s="3" t="s">
        <v>20</v>
      </c>
      <c r="G354" s="3" t="s">
        <v>89</v>
      </c>
      <c r="H354" s="3" t="s">
        <v>29</v>
      </c>
      <c r="I354" s="3" t="n">
        <f aca="false">YEAR(E354)</f>
        <v>2026</v>
      </c>
      <c r="J354" s="3" t="n">
        <f aca="false">MONTH(E354)</f>
        <v>1</v>
      </c>
      <c r="K354" s="3" t="n">
        <f aca="false">COUNTIFS($B$2:$B$4077,B354,$C$2:$C$4077,C354,$I$2:$I$4077,I354)</f>
        <v>2</v>
      </c>
      <c r="L354" s="3" t="n">
        <f aca="false">IF(COUNTIFS($B$2:B354,B354,$C$2:C354,C354,$I$2:I354,I354)=1,1,0)</f>
        <v>1</v>
      </c>
      <c r="M354" s="3" t="n">
        <f aca="false">IF(K354&gt;=Parametri!$B$1,1,0)</f>
        <v>1</v>
      </c>
      <c r="N354" s="3" t="n">
        <f aca="false">L354*M354</f>
        <v>1</v>
      </c>
    </row>
    <row r="355" customFormat="false" ht="15" hidden="false" customHeight="false" outlineLevel="0" collapsed="false">
      <c r="A355" s="0" t="s">
        <v>719</v>
      </c>
      <c r="B355" s="0" t="s">
        <v>68</v>
      </c>
      <c r="C355" s="0" t="s">
        <v>139</v>
      </c>
      <c r="D355" s="0" t="s">
        <v>63</v>
      </c>
      <c r="E355" s="2" t="n">
        <v>46222</v>
      </c>
      <c r="F355" s="3" t="s">
        <v>20</v>
      </c>
      <c r="G355" s="3" t="s">
        <v>21</v>
      </c>
      <c r="H355" s="3" t="s">
        <v>29</v>
      </c>
      <c r="I355" s="3" t="n">
        <f aca="false">YEAR(E355)</f>
        <v>2026</v>
      </c>
      <c r="J355" s="3" t="n">
        <f aca="false">MONTH(E355)</f>
        <v>7</v>
      </c>
      <c r="K355" s="3" t="n">
        <f aca="false">COUNTIFS($B$2:$B$4077,B355,$C$2:$C$4077,C355,$I$2:$I$4077,I355)</f>
        <v>1</v>
      </c>
      <c r="L355" s="3" t="n">
        <f aca="false">IF(COUNTIFS($B$2:B355,B355,$C$2:C355,C355,$I$2:I355,I355)=1,1,0)</f>
        <v>1</v>
      </c>
      <c r="M355" s="3" t="n">
        <f aca="false">IF(K355&gt;=Parametri!$B$1,1,0)</f>
        <v>0</v>
      </c>
      <c r="N355" s="3" t="n">
        <f aca="false">L355*M355</f>
        <v>0</v>
      </c>
    </row>
    <row r="356" customFormat="false" ht="15" hidden="false" customHeight="false" outlineLevel="0" collapsed="false">
      <c r="A356" s="0" t="s">
        <v>720</v>
      </c>
      <c r="B356" s="0" t="s">
        <v>24</v>
      </c>
      <c r="C356" s="0" t="s">
        <v>721</v>
      </c>
      <c r="D356" s="0" t="s">
        <v>54</v>
      </c>
      <c r="E356" s="2" t="n">
        <v>45824</v>
      </c>
      <c r="F356" s="3" t="s">
        <v>20</v>
      </c>
      <c r="G356" s="3" t="s">
        <v>35</v>
      </c>
      <c r="H356" s="3" t="s">
        <v>22</v>
      </c>
      <c r="I356" s="3" t="n">
        <f aca="false">YEAR(E356)</f>
        <v>2025</v>
      </c>
      <c r="J356" s="3" t="n">
        <f aca="false">MONTH(E356)</f>
        <v>6</v>
      </c>
      <c r="K356" s="3" t="n">
        <f aca="false">COUNTIFS($B$2:$B$4077,B356,$C$2:$C$4077,C356,$I$2:$I$4077,I356)</f>
        <v>2</v>
      </c>
      <c r="L356" s="3" t="n">
        <f aca="false">IF(COUNTIFS($B$2:B356,B356,$C$2:C356,C356,$I$2:I356,I356)=1,1,0)</f>
        <v>1</v>
      </c>
      <c r="M356" s="3" t="n">
        <f aca="false">IF(K356&gt;=Parametri!$B$1,1,0)</f>
        <v>1</v>
      </c>
      <c r="N356" s="3" t="n">
        <f aca="false">L356*M356</f>
        <v>1</v>
      </c>
    </row>
    <row r="357" customFormat="false" ht="15" hidden="false" customHeight="false" outlineLevel="0" collapsed="false">
      <c r="A357" s="0" t="s">
        <v>722</v>
      </c>
      <c r="B357" s="0" t="s">
        <v>79</v>
      </c>
      <c r="C357" s="0" t="s">
        <v>723</v>
      </c>
      <c r="D357" s="0" t="s">
        <v>38</v>
      </c>
      <c r="E357" s="2" t="n">
        <v>45902</v>
      </c>
      <c r="F357" s="3" t="s">
        <v>20</v>
      </c>
      <c r="G357" s="3" t="s">
        <v>89</v>
      </c>
      <c r="H357" s="3" t="s">
        <v>48</v>
      </c>
      <c r="I357" s="3" t="n">
        <f aca="false">YEAR(E357)</f>
        <v>2025</v>
      </c>
      <c r="J357" s="3" t="n">
        <f aca="false">MONTH(E357)</f>
        <v>9</v>
      </c>
      <c r="K357" s="3" t="n">
        <f aca="false">COUNTIFS($B$2:$B$4077,B357,$C$2:$C$4077,C357,$I$2:$I$4077,I357)</f>
        <v>1</v>
      </c>
      <c r="L357" s="3" t="n">
        <f aca="false">IF(COUNTIFS($B$2:B357,B357,$C$2:C357,C357,$I$2:I357,I357)=1,1,0)</f>
        <v>1</v>
      </c>
      <c r="M357" s="3" t="n">
        <f aca="false">IF(K357&gt;=Parametri!$B$1,1,0)</f>
        <v>0</v>
      </c>
      <c r="N357" s="3" t="n">
        <f aca="false">L357*M357</f>
        <v>0</v>
      </c>
    </row>
    <row r="358" customFormat="false" ht="15" hidden="false" customHeight="false" outlineLevel="0" collapsed="false">
      <c r="A358" s="0" t="s">
        <v>724</v>
      </c>
      <c r="B358" s="0" t="s">
        <v>68</v>
      </c>
      <c r="C358" s="0" t="s">
        <v>725</v>
      </c>
      <c r="D358" s="0" t="s">
        <v>54</v>
      </c>
      <c r="E358" s="2" t="n">
        <v>46200</v>
      </c>
      <c r="F358" s="3" t="s">
        <v>20</v>
      </c>
      <c r="G358" s="3" t="s">
        <v>72</v>
      </c>
      <c r="H358" s="3" t="s">
        <v>48</v>
      </c>
      <c r="I358" s="3" t="n">
        <f aca="false">YEAR(E358)</f>
        <v>2026</v>
      </c>
      <c r="J358" s="3" t="n">
        <f aca="false">MONTH(E358)</f>
        <v>6</v>
      </c>
      <c r="K358" s="3" t="n">
        <f aca="false">COUNTIFS($B$2:$B$4077,B358,$C$2:$C$4077,C358,$I$2:$I$4077,I358)</f>
        <v>1</v>
      </c>
      <c r="L358" s="3" t="n">
        <f aca="false">IF(COUNTIFS($B$2:B358,B358,$C$2:C358,C358,$I$2:I358,I358)=1,1,0)</f>
        <v>1</v>
      </c>
      <c r="M358" s="3" t="n">
        <f aca="false">IF(K358&gt;=Parametri!$B$1,1,0)</f>
        <v>0</v>
      </c>
      <c r="N358" s="3" t="n">
        <f aca="false">L358*M358</f>
        <v>0</v>
      </c>
    </row>
    <row r="359" customFormat="false" ht="15" hidden="false" customHeight="false" outlineLevel="0" collapsed="false">
      <c r="A359" s="0" t="s">
        <v>726</v>
      </c>
      <c r="B359" s="0" t="s">
        <v>79</v>
      </c>
      <c r="C359" s="0" t="s">
        <v>727</v>
      </c>
      <c r="D359" s="0" t="s">
        <v>26</v>
      </c>
      <c r="E359" s="2" t="n">
        <v>45969</v>
      </c>
      <c r="F359" s="3" t="s">
        <v>20</v>
      </c>
      <c r="G359" s="3" t="s">
        <v>89</v>
      </c>
      <c r="H359" s="3" t="s">
        <v>48</v>
      </c>
      <c r="I359" s="3" t="n">
        <f aca="false">YEAR(E359)</f>
        <v>2025</v>
      </c>
      <c r="J359" s="3" t="n">
        <f aca="false">MONTH(E359)</f>
        <v>11</v>
      </c>
      <c r="K359" s="3" t="n">
        <f aca="false">COUNTIFS($B$2:$B$4077,B359,$C$2:$C$4077,C359,$I$2:$I$4077,I359)</f>
        <v>3</v>
      </c>
      <c r="L359" s="3" t="n">
        <f aca="false">IF(COUNTIFS($B$2:B359,B359,$C$2:C359,C359,$I$2:I359,I359)=1,1,0)</f>
        <v>1</v>
      </c>
      <c r="M359" s="3" t="n">
        <f aca="false">IF(K359&gt;=Parametri!$B$1,1,0)</f>
        <v>1</v>
      </c>
      <c r="N359" s="3" t="n">
        <f aca="false">L359*M359</f>
        <v>1</v>
      </c>
    </row>
    <row r="360" customFormat="false" ht="15" hidden="false" customHeight="false" outlineLevel="0" collapsed="false">
      <c r="A360" s="0" t="s">
        <v>728</v>
      </c>
      <c r="B360" s="0" t="s">
        <v>57</v>
      </c>
      <c r="C360" s="0" t="s">
        <v>360</v>
      </c>
      <c r="D360" s="0" t="s">
        <v>63</v>
      </c>
      <c r="E360" s="2" t="n">
        <v>46191</v>
      </c>
      <c r="F360" s="3" t="s">
        <v>34</v>
      </c>
      <c r="G360" s="3" t="s">
        <v>39</v>
      </c>
      <c r="H360" s="3" t="s">
        <v>48</v>
      </c>
      <c r="I360" s="3" t="n">
        <f aca="false">YEAR(E360)</f>
        <v>2026</v>
      </c>
      <c r="J360" s="3" t="n">
        <f aca="false">MONTH(E360)</f>
        <v>6</v>
      </c>
      <c r="K360" s="3" t="n">
        <f aca="false">COUNTIFS($B$2:$B$4077,B360,$C$2:$C$4077,C360,$I$2:$I$4077,I360)</f>
        <v>2</v>
      </c>
      <c r="L360" s="3" t="n">
        <f aca="false">IF(COUNTIFS($B$2:B360,B360,$C$2:C360,C360,$I$2:I360,I360)=1,1,0)</f>
        <v>0</v>
      </c>
      <c r="M360" s="3" t="n">
        <f aca="false">IF(K360&gt;=Parametri!$B$1,1,0)</f>
        <v>1</v>
      </c>
      <c r="N360" s="3" t="n">
        <f aca="false">L360*M360</f>
        <v>0</v>
      </c>
    </row>
    <row r="361" customFormat="false" ht="15" hidden="false" customHeight="false" outlineLevel="0" collapsed="false">
      <c r="A361" s="0" t="s">
        <v>729</v>
      </c>
      <c r="B361" s="0" t="s">
        <v>68</v>
      </c>
      <c r="C361" s="0" t="s">
        <v>730</v>
      </c>
      <c r="D361" s="0" t="s">
        <v>54</v>
      </c>
      <c r="E361" s="2" t="n">
        <v>45641</v>
      </c>
      <c r="F361" s="3" t="s">
        <v>27</v>
      </c>
      <c r="G361" s="3" t="s">
        <v>55</v>
      </c>
      <c r="H361" s="3" t="s">
        <v>48</v>
      </c>
      <c r="I361" s="3" t="n">
        <f aca="false">YEAR(E361)</f>
        <v>2024</v>
      </c>
      <c r="J361" s="3" t="n">
        <f aca="false">MONTH(E361)</f>
        <v>12</v>
      </c>
      <c r="K361" s="3" t="n">
        <f aca="false">COUNTIFS($B$2:$B$4077,B361,$C$2:$C$4077,C361,$I$2:$I$4077,I361)</f>
        <v>5</v>
      </c>
      <c r="L361" s="3" t="n">
        <f aca="false">IF(COUNTIFS($B$2:B361,B361,$C$2:C361,C361,$I$2:I361,I361)=1,1,0)</f>
        <v>1</v>
      </c>
      <c r="M361" s="3" t="n">
        <f aca="false">IF(K361&gt;=Parametri!$B$1,1,0)</f>
        <v>1</v>
      </c>
      <c r="N361" s="3" t="n">
        <f aca="false">L361*M361</f>
        <v>1</v>
      </c>
    </row>
    <row r="362" customFormat="false" ht="15" hidden="false" customHeight="false" outlineLevel="0" collapsed="false">
      <c r="A362" s="0" t="s">
        <v>731</v>
      </c>
      <c r="B362" s="0" t="s">
        <v>68</v>
      </c>
      <c r="C362" s="0" t="s">
        <v>732</v>
      </c>
      <c r="D362" s="0" t="s">
        <v>77</v>
      </c>
      <c r="E362" s="2" t="n">
        <v>45686</v>
      </c>
      <c r="F362" s="3" t="s">
        <v>27</v>
      </c>
      <c r="G362" s="3" t="s">
        <v>72</v>
      </c>
      <c r="H362" s="3" t="s">
        <v>48</v>
      </c>
      <c r="I362" s="3" t="n">
        <f aca="false">YEAR(E362)</f>
        <v>2025</v>
      </c>
      <c r="J362" s="3" t="n">
        <f aca="false">MONTH(E362)</f>
        <v>1</v>
      </c>
      <c r="K362" s="3" t="n">
        <f aca="false">COUNTIFS($B$2:$B$4077,B362,$C$2:$C$4077,C362,$I$2:$I$4077,I362)</f>
        <v>4</v>
      </c>
      <c r="L362" s="3" t="n">
        <f aca="false">IF(COUNTIFS($B$2:B362,B362,$C$2:C362,C362,$I$2:I362,I362)=1,1,0)</f>
        <v>1</v>
      </c>
      <c r="M362" s="3" t="n">
        <f aca="false">IF(K362&gt;=Parametri!$B$1,1,0)</f>
        <v>1</v>
      </c>
      <c r="N362" s="3" t="n">
        <f aca="false">L362*M362</f>
        <v>1</v>
      </c>
    </row>
    <row r="363" customFormat="false" ht="15" hidden="false" customHeight="false" outlineLevel="0" collapsed="false">
      <c r="A363" s="0" t="s">
        <v>733</v>
      </c>
      <c r="B363" s="0" t="s">
        <v>46</v>
      </c>
      <c r="C363" s="0" t="s">
        <v>734</v>
      </c>
      <c r="D363" s="0" t="s">
        <v>66</v>
      </c>
      <c r="E363" s="2" t="n">
        <v>45833</v>
      </c>
      <c r="F363" s="3" t="s">
        <v>20</v>
      </c>
      <c r="G363" s="3" t="s">
        <v>35</v>
      </c>
      <c r="H363" s="3" t="s">
        <v>29</v>
      </c>
      <c r="I363" s="3" t="n">
        <f aca="false">YEAR(E363)</f>
        <v>2025</v>
      </c>
      <c r="J363" s="3" t="n">
        <f aca="false">MONTH(E363)</f>
        <v>6</v>
      </c>
      <c r="K363" s="3" t="n">
        <f aca="false">COUNTIFS($B$2:$B$4077,B363,$C$2:$C$4077,C363,$I$2:$I$4077,I363)</f>
        <v>2</v>
      </c>
      <c r="L363" s="3" t="n">
        <f aca="false">IF(COUNTIFS($B$2:B363,B363,$C$2:C363,C363,$I$2:I363,I363)=1,1,0)</f>
        <v>1</v>
      </c>
      <c r="M363" s="3" t="n">
        <f aca="false">IF(K363&gt;=Parametri!$B$1,1,0)</f>
        <v>1</v>
      </c>
      <c r="N363" s="3" t="n">
        <f aca="false">L363*M363</f>
        <v>1</v>
      </c>
    </row>
    <row r="364" customFormat="false" ht="15" hidden="false" customHeight="false" outlineLevel="0" collapsed="false">
      <c r="A364" s="0" t="s">
        <v>735</v>
      </c>
      <c r="B364" s="0" t="s">
        <v>79</v>
      </c>
      <c r="C364" s="0" t="s">
        <v>736</v>
      </c>
      <c r="D364" s="0" t="s">
        <v>19</v>
      </c>
      <c r="E364" s="2" t="n">
        <v>45544</v>
      </c>
      <c r="F364" s="3" t="s">
        <v>20</v>
      </c>
      <c r="G364" s="3" t="s">
        <v>28</v>
      </c>
      <c r="H364" s="3" t="s">
        <v>44</v>
      </c>
      <c r="I364" s="3" t="n">
        <f aca="false">YEAR(E364)</f>
        <v>2024</v>
      </c>
      <c r="J364" s="3" t="n">
        <f aca="false">MONTH(E364)</f>
        <v>9</v>
      </c>
      <c r="K364" s="3" t="n">
        <f aca="false">COUNTIFS($B$2:$B$4077,B364,$C$2:$C$4077,C364,$I$2:$I$4077,I364)</f>
        <v>2</v>
      </c>
      <c r="L364" s="3" t="n">
        <f aca="false">IF(COUNTIFS($B$2:B364,B364,$C$2:C364,C364,$I$2:I364,I364)=1,1,0)</f>
        <v>1</v>
      </c>
      <c r="M364" s="3" t="n">
        <f aca="false">IF(K364&gt;=Parametri!$B$1,1,0)</f>
        <v>1</v>
      </c>
      <c r="N364" s="3" t="n">
        <f aca="false">L364*M364</f>
        <v>1</v>
      </c>
    </row>
    <row r="365" customFormat="false" ht="15" hidden="false" customHeight="false" outlineLevel="0" collapsed="false">
      <c r="A365" s="0" t="s">
        <v>737</v>
      </c>
      <c r="B365" s="0" t="s">
        <v>24</v>
      </c>
      <c r="C365" s="0" t="s">
        <v>738</v>
      </c>
      <c r="D365" s="0" t="s">
        <v>19</v>
      </c>
      <c r="E365" s="2" t="n">
        <v>45813</v>
      </c>
      <c r="F365" s="3" t="s">
        <v>27</v>
      </c>
      <c r="G365" s="3" t="s">
        <v>21</v>
      </c>
      <c r="H365" s="3" t="s">
        <v>48</v>
      </c>
      <c r="I365" s="3" t="n">
        <f aca="false">YEAR(E365)</f>
        <v>2025</v>
      </c>
      <c r="J365" s="3" t="n">
        <f aca="false">MONTH(E365)</f>
        <v>6</v>
      </c>
      <c r="K365" s="3" t="n">
        <f aca="false">COUNTIFS($B$2:$B$4077,B365,$C$2:$C$4077,C365,$I$2:$I$4077,I365)</f>
        <v>3</v>
      </c>
      <c r="L365" s="3" t="n">
        <f aca="false">IF(COUNTIFS($B$2:B365,B365,$C$2:C365,C365,$I$2:I365,I365)=1,1,0)</f>
        <v>1</v>
      </c>
      <c r="M365" s="3" t="n">
        <f aca="false">IF(K365&gt;=Parametri!$B$1,1,0)</f>
        <v>1</v>
      </c>
      <c r="N365" s="3" t="n">
        <f aca="false">L365*M365</f>
        <v>1</v>
      </c>
    </row>
    <row r="366" customFormat="false" ht="15" hidden="false" customHeight="false" outlineLevel="0" collapsed="false">
      <c r="A366" s="0" t="s">
        <v>739</v>
      </c>
      <c r="B366" s="0" t="s">
        <v>17</v>
      </c>
      <c r="C366" s="0" t="s">
        <v>71</v>
      </c>
      <c r="D366" s="0" t="s">
        <v>33</v>
      </c>
      <c r="E366" s="2" t="n">
        <v>45766</v>
      </c>
      <c r="F366" s="3" t="s">
        <v>34</v>
      </c>
      <c r="G366" s="3" t="s">
        <v>72</v>
      </c>
      <c r="H366" s="3" t="s">
        <v>22</v>
      </c>
      <c r="I366" s="3" t="n">
        <f aca="false">YEAR(E366)</f>
        <v>2025</v>
      </c>
      <c r="J366" s="3" t="n">
        <f aca="false">MONTH(E366)</f>
        <v>4</v>
      </c>
      <c r="K366" s="3" t="n">
        <f aca="false">COUNTIFS($B$2:$B$4077,B366,$C$2:$C$4077,C366,$I$2:$I$4077,I366)</f>
        <v>2</v>
      </c>
      <c r="L366" s="3" t="n">
        <f aca="false">IF(COUNTIFS($B$2:B366,B366,$C$2:C366,C366,$I$2:I366,I366)=1,1,0)</f>
        <v>1</v>
      </c>
      <c r="M366" s="3" t="n">
        <f aca="false">IF(K366&gt;=Parametri!$B$1,1,0)</f>
        <v>1</v>
      </c>
      <c r="N366" s="3" t="n">
        <f aca="false">L366*M366</f>
        <v>1</v>
      </c>
    </row>
    <row r="367" customFormat="false" ht="15" hidden="false" customHeight="false" outlineLevel="0" collapsed="false">
      <c r="A367" s="0" t="s">
        <v>740</v>
      </c>
      <c r="B367" s="0" t="s">
        <v>31</v>
      </c>
      <c r="C367" s="0" t="s">
        <v>434</v>
      </c>
      <c r="D367" s="0" t="s">
        <v>63</v>
      </c>
      <c r="E367" s="2" t="n">
        <v>45375</v>
      </c>
      <c r="F367" s="3" t="s">
        <v>20</v>
      </c>
      <c r="G367" s="3" t="s">
        <v>89</v>
      </c>
      <c r="H367" s="3" t="s">
        <v>29</v>
      </c>
      <c r="I367" s="3" t="n">
        <f aca="false">YEAR(E367)</f>
        <v>2024</v>
      </c>
      <c r="J367" s="3" t="n">
        <f aca="false">MONTH(E367)</f>
        <v>3</v>
      </c>
      <c r="K367" s="3" t="n">
        <f aca="false">COUNTIFS($B$2:$B$4077,B367,$C$2:$C$4077,C367,$I$2:$I$4077,I367)</f>
        <v>2</v>
      </c>
      <c r="L367" s="3" t="n">
        <f aca="false">IF(COUNTIFS($B$2:B367,B367,$C$2:C367,C367,$I$2:I367,I367)=1,1,0)</f>
        <v>0</v>
      </c>
      <c r="M367" s="3" t="n">
        <f aca="false">IF(K367&gt;=Parametri!$B$1,1,0)</f>
        <v>1</v>
      </c>
      <c r="N367" s="3" t="n">
        <f aca="false">L367*M367</f>
        <v>0</v>
      </c>
    </row>
    <row r="368" customFormat="false" ht="15" hidden="false" customHeight="false" outlineLevel="0" collapsed="false">
      <c r="A368" s="0" t="s">
        <v>741</v>
      </c>
      <c r="B368" s="0" t="s">
        <v>41</v>
      </c>
      <c r="C368" s="0" t="s">
        <v>742</v>
      </c>
      <c r="D368" s="0" t="s">
        <v>38</v>
      </c>
      <c r="E368" s="2" t="n">
        <v>45485</v>
      </c>
      <c r="F368" s="3" t="s">
        <v>20</v>
      </c>
      <c r="G368" s="3" t="s">
        <v>39</v>
      </c>
      <c r="H368" s="3" t="s">
        <v>44</v>
      </c>
      <c r="I368" s="3" t="n">
        <f aca="false">YEAR(E368)</f>
        <v>2024</v>
      </c>
      <c r="J368" s="3" t="n">
        <f aca="false">MONTH(E368)</f>
        <v>7</v>
      </c>
      <c r="K368" s="3" t="n">
        <f aca="false">COUNTIFS($B$2:$B$4077,B368,$C$2:$C$4077,C368,$I$2:$I$4077,I368)</f>
        <v>2</v>
      </c>
      <c r="L368" s="3" t="n">
        <f aca="false">IF(COUNTIFS($B$2:B368,B368,$C$2:C368,C368,$I$2:I368,I368)=1,1,0)</f>
        <v>1</v>
      </c>
      <c r="M368" s="3" t="n">
        <f aca="false">IF(K368&gt;=Parametri!$B$1,1,0)</f>
        <v>1</v>
      </c>
      <c r="N368" s="3" t="n">
        <f aca="false">L368*M368</f>
        <v>1</v>
      </c>
    </row>
    <row r="369" customFormat="false" ht="15" hidden="false" customHeight="false" outlineLevel="0" collapsed="false">
      <c r="A369" s="0" t="s">
        <v>743</v>
      </c>
      <c r="B369" s="0" t="s">
        <v>79</v>
      </c>
      <c r="C369" s="0" t="s">
        <v>744</v>
      </c>
      <c r="D369" s="0" t="s">
        <v>54</v>
      </c>
      <c r="E369" s="2" t="n">
        <v>45438</v>
      </c>
      <c r="F369" s="3" t="s">
        <v>20</v>
      </c>
      <c r="G369" s="3" t="s">
        <v>104</v>
      </c>
      <c r="H369" s="3" t="s">
        <v>104</v>
      </c>
      <c r="I369" s="3" t="n">
        <f aca="false">YEAR(E369)</f>
        <v>2024</v>
      </c>
      <c r="J369" s="3" t="n">
        <f aca="false">MONTH(E369)</f>
        <v>5</v>
      </c>
      <c r="K369" s="3" t="n">
        <f aca="false">COUNTIFS($B$2:$B$4077,B369,$C$2:$C$4077,C369,$I$2:$I$4077,I369)</f>
        <v>1</v>
      </c>
      <c r="L369" s="3" t="n">
        <f aca="false">IF(COUNTIFS($B$2:B369,B369,$C$2:C369,C369,$I$2:I369,I369)=1,1,0)</f>
        <v>1</v>
      </c>
      <c r="M369" s="3" t="n">
        <f aca="false">IF(K369&gt;=Parametri!$B$1,1,0)</f>
        <v>0</v>
      </c>
      <c r="N369" s="3" t="n">
        <f aca="false">L369*M369</f>
        <v>0</v>
      </c>
    </row>
    <row r="370" customFormat="false" ht="15" hidden="false" customHeight="false" outlineLevel="0" collapsed="false">
      <c r="A370" s="0" t="s">
        <v>745</v>
      </c>
      <c r="B370" s="0" t="s">
        <v>124</v>
      </c>
      <c r="C370" s="0" t="s">
        <v>196</v>
      </c>
      <c r="D370" s="0" t="s">
        <v>38</v>
      </c>
      <c r="E370" s="2" t="n">
        <v>45713</v>
      </c>
      <c r="F370" s="3" t="s">
        <v>34</v>
      </c>
      <c r="G370" s="3" t="s">
        <v>35</v>
      </c>
      <c r="H370" s="3" t="s">
        <v>48</v>
      </c>
      <c r="I370" s="3" t="n">
        <f aca="false">YEAR(E370)</f>
        <v>2025</v>
      </c>
      <c r="J370" s="3" t="n">
        <f aca="false">MONTH(E370)</f>
        <v>2</v>
      </c>
      <c r="K370" s="3" t="n">
        <f aca="false">COUNTIFS($B$2:$B$4077,B370,$C$2:$C$4077,C370,$I$2:$I$4077,I370)</f>
        <v>4</v>
      </c>
      <c r="L370" s="3" t="n">
        <f aca="false">IF(COUNTIFS($B$2:B370,B370,$C$2:C370,C370,$I$2:I370,I370)=1,1,0)</f>
        <v>1</v>
      </c>
      <c r="M370" s="3" t="n">
        <f aca="false">IF(K370&gt;=Parametri!$B$1,1,0)</f>
        <v>1</v>
      </c>
      <c r="N370" s="3" t="n">
        <f aca="false">L370*M370</f>
        <v>1</v>
      </c>
    </row>
    <row r="371" customFormat="false" ht="15" hidden="false" customHeight="false" outlineLevel="0" collapsed="false">
      <c r="A371" s="0" t="s">
        <v>746</v>
      </c>
      <c r="B371" s="0" t="s">
        <v>50</v>
      </c>
      <c r="C371" s="0" t="s">
        <v>310</v>
      </c>
      <c r="D371" s="0" t="s">
        <v>54</v>
      </c>
      <c r="E371" s="2" t="n">
        <v>46210</v>
      </c>
      <c r="F371" s="3" t="s">
        <v>20</v>
      </c>
      <c r="G371" s="3" t="s">
        <v>28</v>
      </c>
      <c r="H371" s="3" t="s">
        <v>22</v>
      </c>
      <c r="I371" s="3" t="n">
        <f aca="false">YEAR(E371)</f>
        <v>2026</v>
      </c>
      <c r="J371" s="3" t="n">
        <f aca="false">MONTH(E371)</f>
        <v>7</v>
      </c>
      <c r="K371" s="3" t="n">
        <f aca="false">COUNTIFS($B$2:$B$4077,B371,$C$2:$C$4077,C371,$I$2:$I$4077,I371)</f>
        <v>1</v>
      </c>
      <c r="L371" s="3" t="n">
        <f aca="false">IF(COUNTIFS($B$2:B371,B371,$C$2:C371,C371,$I$2:I371,I371)=1,1,0)</f>
        <v>1</v>
      </c>
      <c r="M371" s="3" t="n">
        <f aca="false">IF(K371&gt;=Parametri!$B$1,1,0)</f>
        <v>0</v>
      </c>
      <c r="N371" s="3" t="n">
        <f aca="false">L371*M371</f>
        <v>0</v>
      </c>
    </row>
    <row r="372" customFormat="false" ht="15" hidden="false" customHeight="false" outlineLevel="0" collapsed="false">
      <c r="A372" s="0" t="s">
        <v>747</v>
      </c>
      <c r="B372" s="0" t="s">
        <v>17</v>
      </c>
      <c r="C372" s="0" t="s">
        <v>71</v>
      </c>
      <c r="D372" s="0" t="s">
        <v>63</v>
      </c>
      <c r="E372" s="2" t="n">
        <v>46139</v>
      </c>
      <c r="F372" s="3" t="s">
        <v>20</v>
      </c>
      <c r="G372" s="3" t="s">
        <v>72</v>
      </c>
      <c r="H372" s="3" t="s">
        <v>22</v>
      </c>
      <c r="I372" s="3" t="n">
        <f aca="false">YEAR(E372)</f>
        <v>2026</v>
      </c>
      <c r="J372" s="3" t="n">
        <f aca="false">MONTH(E372)</f>
        <v>4</v>
      </c>
      <c r="K372" s="3" t="n">
        <f aca="false">COUNTIFS($B$2:$B$4077,B372,$C$2:$C$4077,C372,$I$2:$I$4077,I372)</f>
        <v>3</v>
      </c>
      <c r="L372" s="3" t="n">
        <f aca="false">IF(COUNTIFS($B$2:B372,B372,$C$2:C372,C372,$I$2:I372,I372)=1,1,0)</f>
        <v>1</v>
      </c>
      <c r="M372" s="3" t="n">
        <f aca="false">IF(K372&gt;=Parametri!$B$1,1,0)</f>
        <v>1</v>
      </c>
      <c r="N372" s="3" t="n">
        <f aca="false">L372*M372</f>
        <v>1</v>
      </c>
    </row>
    <row r="373" customFormat="false" ht="15" hidden="false" customHeight="false" outlineLevel="0" collapsed="false">
      <c r="A373" s="0" t="s">
        <v>748</v>
      </c>
      <c r="B373" s="0" t="s">
        <v>41</v>
      </c>
      <c r="C373" s="0" t="s">
        <v>421</v>
      </c>
      <c r="D373" s="0" t="s">
        <v>77</v>
      </c>
      <c r="E373" s="2" t="n">
        <v>45394</v>
      </c>
      <c r="F373" s="3" t="s">
        <v>34</v>
      </c>
      <c r="G373" s="3" t="s">
        <v>43</v>
      </c>
      <c r="H373" s="3" t="s">
        <v>29</v>
      </c>
      <c r="I373" s="3" t="n">
        <f aca="false">YEAR(E373)</f>
        <v>2024</v>
      </c>
      <c r="J373" s="3" t="n">
        <f aca="false">MONTH(E373)</f>
        <v>4</v>
      </c>
      <c r="K373" s="3" t="n">
        <f aca="false">COUNTIFS($B$2:$B$4077,B373,$C$2:$C$4077,C373,$I$2:$I$4077,I373)</f>
        <v>3</v>
      </c>
      <c r="L373" s="3" t="n">
        <f aca="false">IF(COUNTIFS($B$2:B373,B373,$C$2:C373,C373,$I$2:I373,I373)=1,1,0)</f>
        <v>0</v>
      </c>
      <c r="M373" s="3" t="n">
        <f aca="false">IF(K373&gt;=Parametri!$B$1,1,0)</f>
        <v>1</v>
      </c>
      <c r="N373" s="3" t="n">
        <f aca="false">L373*M373</f>
        <v>0</v>
      </c>
    </row>
    <row r="374" customFormat="false" ht="15" hidden="false" customHeight="false" outlineLevel="0" collapsed="false">
      <c r="A374" s="0" t="s">
        <v>749</v>
      </c>
      <c r="B374" s="0" t="s">
        <v>46</v>
      </c>
      <c r="C374" s="0" t="s">
        <v>576</v>
      </c>
      <c r="D374" s="0" t="s">
        <v>19</v>
      </c>
      <c r="E374" s="2" t="n">
        <v>45874</v>
      </c>
      <c r="F374" s="3" t="s">
        <v>27</v>
      </c>
      <c r="G374" s="3" t="s">
        <v>28</v>
      </c>
      <c r="H374" s="3" t="s">
        <v>29</v>
      </c>
      <c r="I374" s="3" t="n">
        <f aca="false">YEAR(E374)</f>
        <v>2025</v>
      </c>
      <c r="J374" s="3" t="n">
        <f aca="false">MONTH(E374)</f>
        <v>8</v>
      </c>
      <c r="K374" s="3" t="n">
        <f aca="false">COUNTIFS($B$2:$B$4077,B374,$C$2:$C$4077,C374,$I$2:$I$4077,I374)</f>
        <v>1</v>
      </c>
      <c r="L374" s="3" t="n">
        <f aca="false">IF(COUNTIFS($B$2:B374,B374,$C$2:C374,C374,$I$2:I374,I374)=1,1,0)</f>
        <v>1</v>
      </c>
      <c r="M374" s="3" t="n">
        <f aca="false">IF(K374&gt;=Parametri!$B$1,1,0)</f>
        <v>0</v>
      </c>
      <c r="N374" s="3" t="n">
        <f aca="false">L374*M374</f>
        <v>0</v>
      </c>
    </row>
    <row r="375" customFormat="false" ht="15" hidden="false" customHeight="false" outlineLevel="0" collapsed="false">
      <c r="A375" s="0" t="s">
        <v>750</v>
      </c>
      <c r="B375" s="0" t="s">
        <v>68</v>
      </c>
      <c r="C375" s="0" t="s">
        <v>751</v>
      </c>
      <c r="D375" s="0" t="s">
        <v>63</v>
      </c>
      <c r="E375" s="2" t="n">
        <v>45661</v>
      </c>
      <c r="F375" s="3" t="s">
        <v>20</v>
      </c>
      <c r="G375" s="3" t="s">
        <v>35</v>
      </c>
      <c r="H375" s="3" t="s">
        <v>48</v>
      </c>
      <c r="I375" s="3" t="n">
        <f aca="false">YEAR(E375)</f>
        <v>2025</v>
      </c>
      <c r="J375" s="3" t="n">
        <f aca="false">MONTH(E375)</f>
        <v>1</v>
      </c>
      <c r="K375" s="3" t="n">
        <f aca="false">COUNTIFS($B$2:$B$4077,B375,$C$2:$C$4077,C375,$I$2:$I$4077,I375)</f>
        <v>2</v>
      </c>
      <c r="L375" s="3" t="n">
        <f aca="false">IF(COUNTIFS($B$2:B375,B375,$C$2:C375,C375,$I$2:I375,I375)=1,1,0)</f>
        <v>1</v>
      </c>
      <c r="M375" s="3" t="n">
        <f aca="false">IF(K375&gt;=Parametri!$B$1,1,0)</f>
        <v>1</v>
      </c>
      <c r="N375" s="3" t="n">
        <f aca="false">L375*M375</f>
        <v>1</v>
      </c>
    </row>
    <row r="376" customFormat="false" ht="15" hidden="false" customHeight="false" outlineLevel="0" collapsed="false">
      <c r="A376" s="0" t="s">
        <v>752</v>
      </c>
      <c r="B376" s="0" t="s">
        <v>17</v>
      </c>
      <c r="C376" s="0" t="s">
        <v>753</v>
      </c>
      <c r="D376" s="0" t="s">
        <v>33</v>
      </c>
      <c r="E376" s="2" t="n">
        <v>45577</v>
      </c>
      <c r="F376" s="3" t="s">
        <v>27</v>
      </c>
      <c r="G376" s="3" t="s">
        <v>43</v>
      </c>
      <c r="H376" s="3" t="s">
        <v>29</v>
      </c>
      <c r="I376" s="3" t="n">
        <f aca="false">YEAR(E376)</f>
        <v>2024</v>
      </c>
      <c r="J376" s="3" t="n">
        <f aca="false">MONTH(E376)</f>
        <v>10</v>
      </c>
      <c r="K376" s="3" t="n">
        <f aca="false">COUNTIFS($B$2:$B$4077,B376,$C$2:$C$4077,C376,$I$2:$I$4077,I376)</f>
        <v>2</v>
      </c>
      <c r="L376" s="3" t="n">
        <f aca="false">IF(COUNTIFS($B$2:B376,B376,$C$2:C376,C376,$I$2:I376,I376)=1,1,0)</f>
        <v>1</v>
      </c>
      <c r="M376" s="3" t="n">
        <f aca="false">IF(K376&gt;=Parametri!$B$1,1,0)</f>
        <v>1</v>
      </c>
      <c r="N376" s="3" t="n">
        <f aca="false">L376*M376</f>
        <v>1</v>
      </c>
    </row>
    <row r="377" customFormat="false" ht="15" hidden="false" customHeight="false" outlineLevel="0" collapsed="false">
      <c r="A377" s="0" t="s">
        <v>754</v>
      </c>
      <c r="B377" s="0" t="s">
        <v>124</v>
      </c>
      <c r="C377" s="0" t="s">
        <v>755</v>
      </c>
      <c r="D377" s="0" t="s">
        <v>63</v>
      </c>
      <c r="E377" s="2" t="n">
        <v>45628</v>
      </c>
      <c r="F377" s="3" t="s">
        <v>20</v>
      </c>
      <c r="G377" s="3" t="s">
        <v>28</v>
      </c>
      <c r="H377" s="3" t="s">
        <v>22</v>
      </c>
      <c r="I377" s="3" t="n">
        <f aca="false">YEAR(E377)</f>
        <v>2024</v>
      </c>
      <c r="J377" s="3" t="n">
        <f aca="false">MONTH(E377)</f>
        <v>12</v>
      </c>
      <c r="K377" s="3" t="n">
        <f aca="false">COUNTIFS($B$2:$B$4077,B377,$C$2:$C$4077,C377,$I$2:$I$4077,I377)</f>
        <v>2</v>
      </c>
      <c r="L377" s="3" t="n">
        <f aca="false">IF(COUNTIFS($B$2:B377,B377,$C$2:C377,C377,$I$2:I377,I377)=1,1,0)</f>
        <v>1</v>
      </c>
      <c r="M377" s="3" t="n">
        <f aca="false">IF(K377&gt;=Parametri!$B$1,1,0)</f>
        <v>1</v>
      </c>
      <c r="N377" s="3" t="n">
        <f aca="false">L377*M377</f>
        <v>1</v>
      </c>
    </row>
    <row r="378" customFormat="false" ht="15" hidden="false" customHeight="false" outlineLevel="0" collapsed="false">
      <c r="A378" s="0" t="s">
        <v>756</v>
      </c>
      <c r="B378" s="0" t="s">
        <v>57</v>
      </c>
      <c r="C378" s="0" t="s">
        <v>246</v>
      </c>
      <c r="D378" s="0" t="s">
        <v>77</v>
      </c>
      <c r="E378" s="2" t="n">
        <v>45632</v>
      </c>
      <c r="F378" s="3" t="s">
        <v>20</v>
      </c>
      <c r="G378" s="3" t="s">
        <v>72</v>
      </c>
      <c r="H378" s="3" t="s">
        <v>29</v>
      </c>
      <c r="I378" s="3" t="n">
        <f aca="false">YEAR(E378)</f>
        <v>2024</v>
      </c>
      <c r="J378" s="3" t="n">
        <f aca="false">MONTH(E378)</f>
        <v>12</v>
      </c>
      <c r="K378" s="3" t="n">
        <f aca="false">COUNTIFS($B$2:$B$4077,B378,$C$2:$C$4077,C378,$I$2:$I$4077,I378)</f>
        <v>1</v>
      </c>
      <c r="L378" s="3" t="n">
        <f aca="false">IF(COUNTIFS($B$2:B378,B378,$C$2:C378,C378,$I$2:I378,I378)=1,1,0)</f>
        <v>1</v>
      </c>
      <c r="M378" s="3" t="n">
        <f aca="false">IF(K378&gt;=Parametri!$B$1,1,0)</f>
        <v>0</v>
      </c>
      <c r="N378" s="3" t="n">
        <f aca="false">L378*M378</f>
        <v>0</v>
      </c>
    </row>
    <row r="379" customFormat="false" ht="15" hidden="false" customHeight="false" outlineLevel="0" collapsed="false">
      <c r="A379" s="0" t="s">
        <v>757</v>
      </c>
      <c r="B379" s="0" t="s">
        <v>124</v>
      </c>
      <c r="C379" s="0" t="s">
        <v>758</v>
      </c>
      <c r="D379" s="0" t="s">
        <v>19</v>
      </c>
      <c r="E379" s="2" t="n">
        <v>45726</v>
      </c>
      <c r="F379" s="3" t="s">
        <v>27</v>
      </c>
      <c r="G379" s="3" t="s">
        <v>89</v>
      </c>
      <c r="H379" s="3" t="s">
        <v>29</v>
      </c>
      <c r="I379" s="3" t="n">
        <f aca="false">YEAR(E379)</f>
        <v>2025</v>
      </c>
      <c r="J379" s="3" t="n">
        <f aca="false">MONTH(E379)</f>
        <v>3</v>
      </c>
      <c r="K379" s="3" t="n">
        <f aca="false">COUNTIFS($B$2:$B$4077,B379,$C$2:$C$4077,C379,$I$2:$I$4077,I379)</f>
        <v>3</v>
      </c>
      <c r="L379" s="3" t="n">
        <f aca="false">IF(COUNTIFS($B$2:B379,B379,$C$2:C379,C379,$I$2:I379,I379)=1,1,0)</f>
        <v>1</v>
      </c>
      <c r="M379" s="3" t="n">
        <f aca="false">IF(K379&gt;=Parametri!$B$1,1,0)</f>
        <v>1</v>
      </c>
      <c r="N379" s="3" t="n">
        <f aca="false">L379*M379</f>
        <v>1</v>
      </c>
    </row>
    <row r="380" customFormat="false" ht="15" hidden="false" customHeight="false" outlineLevel="0" collapsed="false">
      <c r="A380" s="0" t="s">
        <v>759</v>
      </c>
      <c r="B380" s="0" t="s">
        <v>46</v>
      </c>
      <c r="C380" s="0" t="s">
        <v>760</v>
      </c>
      <c r="D380" s="0" t="s">
        <v>66</v>
      </c>
      <c r="E380" s="2" t="n">
        <v>46056</v>
      </c>
      <c r="F380" s="3" t="s">
        <v>20</v>
      </c>
      <c r="G380" s="3" t="s">
        <v>55</v>
      </c>
      <c r="H380" s="3" t="s">
        <v>22</v>
      </c>
      <c r="I380" s="3" t="n">
        <f aca="false">YEAR(E380)</f>
        <v>2026</v>
      </c>
      <c r="J380" s="3" t="n">
        <f aca="false">MONTH(E380)</f>
        <v>2</v>
      </c>
      <c r="K380" s="3" t="n">
        <f aca="false">COUNTIFS($B$2:$B$4077,B380,$C$2:$C$4077,C380,$I$2:$I$4077,I380)</f>
        <v>1</v>
      </c>
      <c r="L380" s="3" t="n">
        <f aca="false">IF(COUNTIFS($B$2:B380,B380,$C$2:C380,C380,$I$2:I380,I380)=1,1,0)</f>
        <v>1</v>
      </c>
      <c r="M380" s="3" t="n">
        <f aca="false">IF(K380&gt;=Parametri!$B$1,1,0)</f>
        <v>0</v>
      </c>
      <c r="N380" s="3" t="n">
        <f aca="false">L380*M380</f>
        <v>0</v>
      </c>
    </row>
    <row r="381" customFormat="false" ht="15" hidden="false" customHeight="false" outlineLevel="0" collapsed="false">
      <c r="A381" s="0" t="s">
        <v>761</v>
      </c>
      <c r="B381" s="0" t="s">
        <v>124</v>
      </c>
      <c r="C381" s="0" t="s">
        <v>710</v>
      </c>
      <c r="D381" s="0" t="s">
        <v>77</v>
      </c>
      <c r="E381" s="2" t="n">
        <v>45665</v>
      </c>
      <c r="F381" s="3" t="s">
        <v>20</v>
      </c>
      <c r="G381" s="3" t="s">
        <v>55</v>
      </c>
      <c r="H381" s="3" t="s">
        <v>44</v>
      </c>
      <c r="I381" s="3" t="n">
        <f aca="false">YEAR(E381)</f>
        <v>2025</v>
      </c>
      <c r="J381" s="3" t="n">
        <f aca="false">MONTH(E381)</f>
        <v>1</v>
      </c>
      <c r="K381" s="3" t="n">
        <f aca="false">COUNTIFS($B$2:$B$4077,B381,$C$2:$C$4077,C381,$I$2:$I$4077,I381)</f>
        <v>8</v>
      </c>
      <c r="L381" s="3" t="n">
        <f aca="false">IF(COUNTIFS($B$2:B381,B381,$C$2:C381,C381,$I$2:I381,I381)=1,1,0)</f>
        <v>0</v>
      </c>
      <c r="M381" s="3" t="n">
        <f aca="false">IF(K381&gt;=Parametri!$B$1,1,0)</f>
        <v>1</v>
      </c>
      <c r="N381" s="3" t="n">
        <f aca="false">L381*M381</f>
        <v>0</v>
      </c>
    </row>
    <row r="382" customFormat="false" ht="15" hidden="false" customHeight="false" outlineLevel="0" collapsed="false">
      <c r="A382" s="0" t="s">
        <v>762</v>
      </c>
      <c r="B382" s="0" t="s">
        <v>57</v>
      </c>
      <c r="C382" s="0" t="s">
        <v>665</v>
      </c>
      <c r="D382" s="0" t="s">
        <v>66</v>
      </c>
      <c r="E382" s="2" t="n">
        <v>45497</v>
      </c>
      <c r="F382" s="3" t="s">
        <v>20</v>
      </c>
      <c r="G382" s="3" t="s">
        <v>43</v>
      </c>
      <c r="H382" s="3" t="s">
        <v>22</v>
      </c>
      <c r="I382" s="3" t="n">
        <f aca="false">YEAR(E382)</f>
        <v>2024</v>
      </c>
      <c r="J382" s="3" t="n">
        <f aca="false">MONTH(E382)</f>
        <v>7</v>
      </c>
      <c r="K382" s="3" t="n">
        <f aca="false">COUNTIFS($B$2:$B$4077,B382,$C$2:$C$4077,C382,$I$2:$I$4077,I382)</f>
        <v>1</v>
      </c>
      <c r="L382" s="3" t="n">
        <f aca="false">IF(COUNTIFS($B$2:B382,B382,$C$2:C382,C382,$I$2:I382,I382)=1,1,0)</f>
        <v>1</v>
      </c>
      <c r="M382" s="3" t="n">
        <f aca="false">IF(K382&gt;=Parametri!$B$1,1,0)</f>
        <v>0</v>
      </c>
      <c r="N382" s="3" t="n">
        <f aca="false">L382*M382</f>
        <v>0</v>
      </c>
    </row>
    <row r="383" customFormat="false" ht="15" hidden="false" customHeight="false" outlineLevel="0" collapsed="false">
      <c r="A383" s="0" t="s">
        <v>763</v>
      </c>
      <c r="B383" s="0" t="s">
        <v>31</v>
      </c>
      <c r="C383" s="0" t="s">
        <v>764</v>
      </c>
      <c r="D383" s="0" t="s">
        <v>54</v>
      </c>
      <c r="E383" s="2" t="n">
        <v>45722</v>
      </c>
      <c r="F383" s="3" t="s">
        <v>20</v>
      </c>
      <c r="G383" s="3" t="s">
        <v>21</v>
      </c>
      <c r="H383" s="3" t="s">
        <v>29</v>
      </c>
      <c r="I383" s="3" t="n">
        <f aca="false">YEAR(E383)</f>
        <v>2025</v>
      </c>
      <c r="J383" s="3" t="n">
        <f aca="false">MONTH(E383)</f>
        <v>3</v>
      </c>
      <c r="K383" s="3" t="n">
        <f aca="false">COUNTIFS($B$2:$B$4077,B383,$C$2:$C$4077,C383,$I$2:$I$4077,I383)</f>
        <v>1</v>
      </c>
      <c r="L383" s="3" t="n">
        <f aca="false">IF(COUNTIFS($B$2:B383,B383,$C$2:C383,C383,$I$2:I383,I383)=1,1,0)</f>
        <v>1</v>
      </c>
      <c r="M383" s="3" t="n">
        <f aca="false">IF(K383&gt;=Parametri!$B$1,1,0)</f>
        <v>0</v>
      </c>
      <c r="N383" s="3" t="n">
        <f aca="false">L383*M383</f>
        <v>0</v>
      </c>
    </row>
    <row r="384" customFormat="false" ht="15" hidden="false" customHeight="false" outlineLevel="0" collapsed="false">
      <c r="A384" s="0" t="s">
        <v>765</v>
      </c>
      <c r="B384" s="0" t="s">
        <v>124</v>
      </c>
      <c r="C384" s="0" t="s">
        <v>766</v>
      </c>
      <c r="D384" s="0" t="s">
        <v>19</v>
      </c>
      <c r="E384" s="2" t="n">
        <v>45831</v>
      </c>
      <c r="F384" s="3" t="s">
        <v>34</v>
      </c>
      <c r="G384" s="3" t="s">
        <v>43</v>
      </c>
      <c r="H384" s="3" t="s">
        <v>48</v>
      </c>
      <c r="I384" s="3" t="n">
        <f aca="false">YEAR(E384)</f>
        <v>2025</v>
      </c>
      <c r="J384" s="3" t="n">
        <f aca="false">MONTH(E384)</f>
        <v>6</v>
      </c>
      <c r="K384" s="3" t="n">
        <f aca="false">COUNTIFS($B$2:$B$4077,B384,$C$2:$C$4077,C384,$I$2:$I$4077,I384)</f>
        <v>1</v>
      </c>
      <c r="L384" s="3" t="n">
        <f aca="false">IF(COUNTIFS($B$2:B384,B384,$C$2:C384,C384,$I$2:I384,I384)=1,1,0)</f>
        <v>1</v>
      </c>
      <c r="M384" s="3" t="n">
        <f aca="false">IF(K384&gt;=Parametri!$B$1,1,0)</f>
        <v>0</v>
      </c>
      <c r="N384" s="3" t="n">
        <f aca="false">L384*M384</f>
        <v>0</v>
      </c>
    </row>
    <row r="385" customFormat="false" ht="15" hidden="false" customHeight="false" outlineLevel="0" collapsed="false">
      <c r="A385" s="0" t="s">
        <v>767</v>
      </c>
      <c r="B385" s="0" t="s">
        <v>24</v>
      </c>
      <c r="C385" s="0" t="s">
        <v>768</v>
      </c>
      <c r="D385" s="0" t="s">
        <v>63</v>
      </c>
      <c r="E385" s="2" t="n">
        <v>45989</v>
      </c>
      <c r="F385" s="3" t="s">
        <v>20</v>
      </c>
      <c r="G385" s="3" t="s">
        <v>35</v>
      </c>
      <c r="H385" s="3" t="s">
        <v>29</v>
      </c>
      <c r="I385" s="3" t="n">
        <f aca="false">YEAR(E385)</f>
        <v>2025</v>
      </c>
      <c r="J385" s="3" t="n">
        <f aca="false">MONTH(E385)</f>
        <v>11</v>
      </c>
      <c r="K385" s="3" t="n">
        <f aca="false">COUNTIFS($B$2:$B$4077,B385,$C$2:$C$4077,C385,$I$2:$I$4077,I385)</f>
        <v>1</v>
      </c>
      <c r="L385" s="3" t="n">
        <f aca="false">IF(COUNTIFS($B$2:B385,B385,$C$2:C385,C385,$I$2:I385,I385)=1,1,0)</f>
        <v>1</v>
      </c>
      <c r="M385" s="3" t="n">
        <f aca="false">IF(K385&gt;=Parametri!$B$1,1,0)</f>
        <v>0</v>
      </c>
      <c r="N385" s="3" t="n">
        <f aca="false">L385*M385</f>
        <v>0</v>
      </c>
    </row>
    <row r="386" customFormat="false" ht="15" hidden="false" customHeight="false" outlineLevel="0" collapsed="false">
      <c r="A386" s="0" t="s">
        <v>769</v>
      </c>
      <c r="B386" s="0" t="s">
        <v>24</v>
      </c>
      <c r="C386" s="0" t="s">
        <v>770</v>
      </c>
      <c r="D386" s="0" t="s">
        <v>77</v>
      </c>
      <c r="E386" s="2" t="n">
        <v>46071</v>
      </c>
      <c r="F386" s="3" t="s">
        <v>104</v>
      </c>
      <c r="G386" s="3" t="s">
        <v>104</v>
      </c>
      <c r="H386" s="3" t="s">
        <v>104</v>
      </c>
      <c r="I386" s="3" t="n">
        <f aca="false">YEAR(E386)</f>
        <v>2026</v>
      </c>
      <c r="J386" s="3" t="n">
        <f aca="false">MONTH(E386)</f>
        <v>2</v>
      </c>
      <c r="K386" s="3" t="n">
        <f aca="false">COUNTIFS($B$2:$B$4077,B386,$C$2:$C$4077,C386,$I$2:$I$4077,I386)</f>
        <v>3</v>
      </c>
      <c r="L386" s="3" t="n">
        <f aca="false">IF(COUNTIFS($B$2:B386,B386,$C$2:C386,C386,$I$2:I386,I386)=1,1,0)</f>
        <v>1</v>
      </c>
      <c r="M386" s="3" t="n">
        <f aca="false">IF(K386&gt;=Parametri!$B$1,1,0)</f>
        <v>1</v>
      </c>
      <c r="N386" s="3" t="n">
        <f aca="false">L386*M386</f>
        <v>1</v>
      </c>
    </row>
    <row r="387" customFormat="false" ht="15" hidden="false" customHeight="false" outlineLevel="0" collapsed="false">
      <c r="A387" s="0" t="s">
        <v>771</v>
      </c>
      <c r="B387" s="0" t="s">
        <v>46</v>
      </c>
      <c r="C387" s="0" t="s">
        <v>772</v>
      </c>
      <c r="D387" s="0" t="s">
        <v>38</v>
      </c>
      <c r="E387" s="2" t="n">
        <v>45806</v>
      </c>
      <c r="F387" s="3" t="s">
        <v>104</v>
      </c>
      <c r="G387" s="3" t="s">
        <v>104</v>
      </c>
      <c r="H387" s="3" t="s">
        <v>104</v>
      </c>
      <c r="I387" s="3" t="n">
        <f aca="false">YEAR(E387)</f>
        <v>2025</v>
      </c>
      <c r="J387" s="3" t="n">
        <f aca="false">MONTH(E387)</f>
        <v>5</v>
      </c>
      <c r="K387" s="3" t="n">
        <f aca="false">COUNTIFS($B$2:$B$4077,B387,$C$2:$C$4077,C387,$I$2:$I$4077,I387)</f>
        <v>2</v>
      </c>
      <c r="L387" s="3" t="n">
        <f aca="false">IF(COUNTIFS($B$2:B387,B387,$C$2:C387,C387,$I$2:I387,I387)=1,1,0)</f>
        <v>1</v>
      </c>
      <c r="M387" s="3" t="n">
        <f aca="false">IF(K387&gt;=Parametri!$B$1,1,0)</f>
        <v>1</v>
      </c>
      <c r="N387" s="3" t="n">
        <f aca="false">L387*M387</f>
        <v>1</v>
      </c>
    </row>
    <row r="388" customFormat="false" ht="15" hidden="false" customHeight="false" outlineLevel="0" collapsed="false">
      <c r="A388" s="0" t="s">
        <v>773</v>
      </c>
      <c r="B388" s="0" t="s">
        <v>46</v>
      </c>
      <c r="C388" s="0" t="s">
        <v>774</v>
      </c>
      <c r="D388" s="0" t="s">
        <v>54</v>
      </c>
      <c r="E388" s="2" t="n">
        <v>45708</v>
      </c>
      <c r="F388" s="3" t="s">
        <v>34</v>
      </c>
      <c r="G388" s="3" t="s">
        <v>72</v>
      </c>
      <c r="H388" s="3" t="s">
        <v>48</v>
      </c>
      <c r="I388" s="3" t="n">
        <f aca="false">YEAR(E388)</f>
        <v>2025</v>
      </c>
      <c r="J388" s="3" t="n">
        <f aca="false">MONTH(E388)</f>
        <v>2</v>
      </c>
      <c r="K388" s="3" t="n">
        <f aca="false">COUNTIFS($B$2:$B$4077,B388,$C$2:$C$4077,C388,$I$2:$I$4077,I388)</f>
        <v>1</v>
      </c>
      <c r="L388" s="3" t="n">
        <f aca="false">IF(COUNTIFS($B$2:B388,B388,$C$2:C388,C388,$I$2:I388,I388)=1,1,0)</f>
        <v>1</v>
      </c>
      <c r="M388" s="3" t="n">
        <f aca="false">IF(K388&gt;=Parametri!$B$1,1,0)</f>
        <v>0</v>
      </c>
      <c r="N388" s="3" t="n">
        <f aca="false">L388*M388</f>
        <v>0</v>
      </c>
    </row>
    <row r="389" customFormat="false" ht="15" hidden="false" customHeight="false" outlineLevel="0" collapsed="false">
      <c r="A389" s="0" t="s">
        <v>775</v>
      </c>
      <c r="B389" s="0" t="s">
        <v>41</v>
      </c>
      <c r="C389" s="0" t="s">
        <v>776</v>
      </c>
      <c r="D389" s="0" t="s">
        <v>54</v>
      </c>
      <c r="E389" s="2" t="n">
        <v>45432</v>
      </c>
      <c r="F389" s="3" t="s">
        <v>20</v>
      </c>
      <c r="G389" s="3" t="s">
        <v>104</v>
      </c>
      <c r="H389" s="3" t="s">
        <v>44</v>
      </c>
      <c r="I389" s="3" t="n">
        <f aca="false">YEAR(E389)</f>
        <v>2024</v>
      </c>
      <c r="J389" s="3" t="n">
        <f aca="false">MONTH(E389)</f>
        <v>5</v>
      </c>
      <c r="K389" s="3" t="n">
        <f aca="false">COUNTIFS($B$2:$B$4077,B389,$C$2:$C$4077,C389,$I$2:$I$4077,I389)</f>
        <v>1</v>
      </c>
      <c r="L389" s="3" t="n">
        <f aca="false">IF(COUNTIFS($B$2:B389,B389,$C$2:C389,C389,$I$2:I389,I389)=1,1,0)</f>
        <v>1</v>
      </c>
      <c r="M389" s="3" t="n">
        <f aca="false">IF(K389&gt;=Parametri!$B$1,1,0)</f>
        <v>0</v>
      </c>
      <c r="N389" s="3" t="n">
        <f aca="false">L389*M389</f>
        <v>0</v>
      </c>
    </row>
    <row r="390" customFormat="false" ht="15" hidden="false" customHeight="false" outlineLevel="0" collapsed="false">
      <c r="A390" s="0" t="s">
        <v>777</v>
      </c>
      <c r="B390" s="0" t="s">
        <v>31</v>
      </c>
      <c r="C390" s="0" t="s">
        <v>778</v>
      </c>
      <c r="D390" s="0" t="s">
        <v>63</v>
      </c>
      <c r="E390" s="2" t="n">
        <v>45813</v>
      </c>
      <c r="F390" s="3" t="s">
        <v>27</v>
      </c>
      <c r="G390" s="3" t="s">
        <v>35</v>
      </c>
      <c r="H390" s="3" t="s">
        <v>44</v>
      </c>
      <c r="I390" s="3" t="n">
        <f aca="false">YEAR(E390)</f>
        <v>2025</v>
      </c>
      <c r="J390" s="3" t="n">
        <f aca="false">MONTH(E390)</f>
        <v>6</v>
      </c>
      <c r="K390" s="3" t="n">
        <f aca="false">COUNTIFS($B$2:$B$4077,B390,$C$2:$C$4077,C390,$I$2:$I$4077,I390)</f>
        <v>6</v>
      </c>
      <c r="L390" s="3" t="n">
        <f aca="false">IF(COUNTIFS($B$2:B390,B390,$C$2:C390,C390,$I$2:I390,I390)=1,1,0)</f>
        <v>1</v>
      </c>
      <c r="M390" s="3" t="n">
        <f aca="false">IF(K390&gt;=Parametri!$B$1,1,0)</f>
        <v>1</v>
      </c>
      <c r="N390" s="3" t="n">
        <f aca="false">L390*M390</f>
        <v>1</v>
      </c>
    </row>
    <row r="391" customFormat="false" ht="15" hidden="false" customHeight="false" outlineLevel="0" collapsed="false">
      <c r="A391" s="0" t="s">
        <v>779</v>
      </c>
      <c r="B391" s="0" t="s">
        <v>41</v>
      </c>
      <c r="C391" s="0" t="s">
        <v>780</v>
      </c>
      <c r="D391" s="0" t="s">
        <v>19</v>
      </c>
      <c r="E391" s="2" t="n">
        <v>45746</v>
      </c>
      <c r="F391" s="3" t="s">
        <v>20</v>
      </c>
      <c r="G391" s="3" t="s">
        <v>35</v>
      </c>
      <c r="H391" s="3" t="s">
        <v>22</v>
      </c>
      <c r="I391" s="3" t="n">
        <f aca="false">YEAR(E391)</f>
        <v>2025</v>
      </c>
      <c r="J391" s="3" t="n">
        <f aca="false">MONTH(E391)</f>
        <v>3</v>
      </c>
      <c r="K391" s="3" t="n">
        <f aca="false">COUNTIFS($B$2:$B$4077,B391,$C$2:$C$4077,C391,$I$2:$I$4077,I391)</f>
        <v>1</v>
      </c>
      <c r="L391" s="3" t="n">
        <f aca="false">IF(COUNTIFS($B$2:B391,B391,$C$2:C391,C391,$I$2:I391,I391)=1,1,0)</f>
        <v>1</v>
      </c>
      <c r="M391" s="3" t="n">
        <f aca="false">IF(K391&gt;=Parametri!$B$1,1,0)</f>
        <v>0</v>
      </c>
      <c r="N391" s="3" t="n">
        <f aca="false">L391*M391</f>
        <v>0</v>
      </c>
    </row>
    <row r="392" customFormat="false" ht="15" hidden="false" customHeight="false" outlineLevel="0" collapsed="false">
      <c r="A392" s="0" t="s">
        <v>781</v>
      </c>
      <c r="B392" s="0" t="s">
        <v>57</v>
      </c>
      <c r="C392" s="0" t="s">
        <v>782</v>
      </c>
      <c r="D392" s="0" t="s">
        <v>38</v>
      </c>
      <c r="E392" s="2" t="n">
        <v>46034</v>
      </c>
      <c r="F392" s="3" t="s">
        <v>20</v>
      </c>
      <c r="G392" s="3" t="s">
        <v>35</v>
      </c>
      <c r="H392" s="3" t="s">
        <v>44</v>
      </c>
      <c r="I392" s="3" t="n">
        <f aca="false">YEAR(E392)</f>
        <v>2026</v>
      </c>
      <c r="J392" s="3" t="n">
        <f aca="false">MONTH(E392)</f>
        <v>1</v>
      </c>
      <c r="K392" s="3" t="n">
        <f aca="false">COUNTIFS($B$2:$B$4077,B392,$C$2:$C$4077,C392,$I$2:$I$4077,I392)</f>
        <v>1</v>
      </c>
      <c r="L392" s="3" t="n">
        <f aca="false">IF(COUNTIFS($B$2:B392,B392,$C$2:C392,C392,$I$2:I392,I392)=1,1,0)</f>
        <v>1</v>
      </c>
      <c r="M392" s="3" t="n">
        <f aca="false">IF(K392&gt;=Parametri!$B$1,1,0)</f>
        <v>0</v>
      </c>
      <c r="N392" s="3" t="n">
        <f aca="false">L392*M392</f>
        <v>0</v>
      </c>
    </row>
    <row r="393" customFormat="false" ht="15" hidden="false" customHeight="false" outlineLevel="0" collapsed="false">
      <c r="A393" s="0" t="s">
        <v>783</v>
      </c>
      <c r="B393" s="0" t="s">
        <v>31</v>
      </c>
      <c r="C393" s="0" t="s">
        <v>784</v>
      </c>
      <c r="D393" s="0" t="s">
        <v>63</v>
      </c>
      <c r="E393" s="2" t="n">
        <v>45620</v>
      </c>
      <c r="F393" s="3" t="s">
        <v>20</v>
      </c>
      <c r="G393" s="3" t="s">
        <v>21</v>
      </c>
      <c r="H393" s="3" t="s">
        <v>29</v>
      </c>
      <c r="I393" s="3" t="n">
        <f aca="false">YEAR(E393)</f>
        <v>2024</v>
      </c>
      <c r="J393" s="3" t="n">
        <f aca="false">MONTH(E393)</f>
        <v>11</v>
      </c>
      <c r="K393" s="3" t="n">
        <f aca="false">COUNTIFS($B$2:$B$4077,B393,$C$2:$C$4077,C393,$I$2:$I$4077,I393)</f>
        <v>1</v>
      </c>
      <c r="L393" s="3" t="n">
        <f aca="false">IF(COUNTIFS($B$2:B393,B393,$C$2:C393,C393,$I$2:I393,I393)=1,1,0)</f>
        <v>1</v>
      </c>
      <c r="M393" s="3" t="n">
        <f aca="false">IF(K393&gt;=Parametri!$B$1,1,0)</f>
        <v>0</v>
      </c>
      <c r="N393" s="3" t="n">
        <f aca="false">L393*M393</f>
        <v>0</v>
      </c>
    </row>
    <row r="394" customFormat="false" ht="15" hidden="false" customHeight="false" outlineLevel="0" collapsed="false">
      <c r="A394" s="0" t="s">
        <v>785</v>
      </c>
      <c r="B394" s="0" t="s">
        <v>46</v>
      </c>
      <c r="C394" s="0" t="s">
        <v>786</v>
      </c>
      <c r="D394" s="0" t="s">
        <v>38</v>
      </c>
      <c r="E394" s="2" t="n">
        <v>45391</v>
      </c>
      <c r="F394" s="3" t="s">
        <v>34</v>
      </c>
      <c r="G394" s="3" t="s">
        <v>21</v>
      </c>
      <c r="H394" s="3" t="s">
        <v>44</v>
      </c>
      <c r="I394" s="3" t="n">
        <f aca="false">YEAR(E394)</f>
        <v>2024</v>
      </c>
      <c r="J394" s="3" t="n">
        <f aca="false">MONTH(E394)</f>
        <v>4</v>
      </c>
      <c r="K394" s="3" t="n">
        <f aca="false">COUNTIFS($B$2:$B$4077,B394,$C$2:$C$4077,C394,$I$2:$I$4077,I394)</f>
        <v>1</v>
      </c>
      <c r="L394" s="3" t="n">
        <f aca="false">IF(COUNTIFS($B$2:B394,B394,$C$2:C394,C394,$I$2:I394,I394)=1,1,0)</f>
        <v>1</v>
      </c>
      <c r="M394" s="3" t="n">
        <f aca="false">IF(K394&gt;=Parametri!$B$1,1,0)</f>
        <v>0</v>
      </c>
      <c r="N394" s="3" t="n">
        <f aca="false">L394*M394</f>
        <v>0</v>
      </c>
    </row>
    <row r="395" customFormat="false" ht="15" hidden="false" customHeight="false" outlineLevel="0" collapsed="false">
      <c r="A395" s="0" t="s">
        <v>787</v>
      </c>
      <c r="B395" s="0" t="s">
        <v>46</v>
      </c>
      <c r="C395" s="0" t="s">
        <v>718</v>
      </c>
      <c r="D395" s="0" t="s">
        <v>38</v>
      </c>
      <c r="E395" s="2" t="n">
        <v>45296</v>
      </c>
      <c r="F395" s="3" t="s">
        <v>20</v>
      </c>
      <c r="G395" s="3" t="s">
        <v>21</v>
      </c>
      <c r="H395" s="3" t="s">
        <v>48</v>
      </c>
      <c r="I395" s="3" t="n">
        <f aca="false">YEAR(E395)</f>
        <v>2024</v>
      </c>
      <c r="J395" s="3" t="n">
        <f aca="false">MONTH(E395)</f>
        <v>1</v>
      </c>
      <c r="K395" s="3" t="n">
        <f aca="false">COUNTIFS($B$2:$B$4077,B395,$C$2:$C$4077,C395,$I$2:$I$4077,I395)</f>
        <v>1</v>
      </c>
      <c r="L395" s="3" t="n">
        <f aca="false">IF(COUNTIFS($B$2:B395,B395,$C$2:C395,C395,$I$2:I395,I395)=1,1,0)</f>
        <v>1</v>
      </c>
      <c r="M395" s="3" t="n">
        <f aca="false">IF(K395&gt;=Parametri!$B$1,1,0)</f>
        <v>0</v>
      </c>
      <c r="N395" s="3" t="n">
        <f aca="false">L395*M395</f>
        <v>0</v>
      </c>
    </row>
    <row r="396" customFormat="false" ht="15" hidden="false" customHeight="false" outlineLevel="0" collapsed="false">
      <c r="A396" s="0" t="s">
        <v>788</v>
      </c>
      <c r="B396" s="0" t="s">
        <v>24</v>
      </c>
      <c r="C396" s="0" t="s">
        <v>789</v>
      </c>
      <c r="D396" s="0" t="s">
        <v>33</v>
      </c>
      <c r="E396" s="2" t="n">
        <v>46253</v>
      </c>
      <c r="F396" s="3" t="s">
        <v>34</v>
      </c>
      <c r="G396" s="3" t="s">
        <v>89</v>
      </c>
      <c r="H396" s="3" t="s">
        <v>22</v>
      </c>
      <c r="I396" s="3" t="n">
        <f aca="false">YEAR(E396)</f>
        <v>2026</v>
      </c>
      <c r="J396" s="3" t="n">
        <f aca="false">MONTH(E396)</f>
        <v>8</v>
      </c>
      <c r="K396" s="3" t="n">
        <f aca="false">COUNTIFS($B$2:$B$4077,B396,$C$2:$C$4077,C396,$I$2:$I$4077,I396)</f>
        <v>2</v>
      </c>
      <c r="L396" s="3" t="n">
        <f aca="false">IF(COUNTIFS($B$2:B396,B396,$C$2:C396,C396,$I$2:I396,I396)=1,1,0)</f>
        <v>1</v>
      </c>
      <c r="M396" s="3" t="n">
        <f aca="false">IF(K396&gt;=Parametri!$B$1,1,0)</f>
        <v>1</v>
      </c>
      <c r="N396" s="3" t="n">
        <f aca="false">L396*M396</f>
        <v>1</v>
      </c>
    </row>
    <row r="397" customFormat="false" ht="15" hidden="false" customHeight="false" outlineLevel="0" collapsed="false">
      <c r="A397" s="0" t="s">
        <v>790</v>
      </c>
      <c r="B397" s="0" t="s">
        <v>17</v>
      </c>
      <c r="C397" s="0" t="s">
        <v>791</v>
      </c>
      <c r="D397" s="0" t="s">
        <v>66</v>
      </c>
      <c r="E397" s="2" t="n">
        <v>45392</v>
      </c>
      <c r="F397" s="3" t="s">
        <v>34</v>
      </c>
      <c r="G397" s="3" t="s">
        <v>39</v>
      </c>
      <c r="H397" s="3" t="s">
        <v>29</v>
      </c>
      <c r="I397" s="3" t="n">
        <f aca="false">YEAR(E397)</f>
        <v>2024</v>
      </c>
      <c r="J397" s="3" t="n">
        <f aca="false">MONTH(E397)</f>
        <v>4</v>
      </c>
      <c r="K397" s="3" t="n">
        <f aca="false">COUNTIFS($B$2:$B$4077,B397,$C$2:$C$4077,C397,$I$2:$I$4077,I397)</f>
        <v>7</v>
      </c>
      <c r="L397" s="3" t="n">
        <f aca="false">IF(COUNTIFS($B$2:B397,B397,$C$2:C397,C397,$I$2:I397,I397)=1,1,0)</f>
        <v>1</v>
      </c>
      <c r="M397" s="3" t="n">
        <f aca="false">IF(K397&gt;=Parametri!$B$1,1,0)</f>
        <v>1</v>
      </c>
      <c r="N397" s="3" t="n">
        <f aca="false">L397*M397</f>
        <v>1</v>
      </c>
    </row>
    <row r="398" customFormat="false" ht="15" hidden="false" customHeight="false" outlineLevel="0" collapsed="false">
      <c r="A398" s="0" t="s">
        <v>792</v>
      </c>
      <c r="B398" s="0" t="s">
        <v>46</v>
      </c>
      <c r="C398" s="0" t="s">
        <v>793</v>
      </c>
      <c r="D398" s="0" t="s">
        <v>26</v>
      </c>
      <c r="E398" s="2" t="n">
        <v>45315</v>
      </c>
      <c r="F398" s="3" t="s">
        <v>20</v>
      </c>
      <c r="G398" s="3" t="s">
        <v>21</v>
      </c>
      <c r="H398" s="3" t="s">
        <v>48</v>
      </c>
      <c r="I398" s="3" t="n">
        <f aca="false">YEAR(E398)</f>
        <v>2024</v>
      </c>
      <c r="J398" s="3" t="n">
        <f aca="false">MONTH(E398)</f>
        <v>1</v>
      </c>
      <c r="K398" s="3" t="n">
        <f aca="false">COUNTIFS($B$2:$B$4077,B398,$C$2:$C$4077,C398,$I$2:$I$4077,I398)</f>
        <v>1</v>
      </c>
      <c r="L398" s="3" t="n">
        <f aca="false">IF(COUNTIFS($B$2:B398,B398,$C$2:C398,C398,$I$2:I398,I398)=1,1,0)</f>
        <v>1</v>
      </c>
      <c r="M398" s="3" t="n">
        <f aca="false">IF(K398&gt;=Parametri!$B$1,1,0)</f>
        <v>0</v>
      </c>
      <c r="N398" s="3" t="n">
        <f aca="false">L398*M398</f>
        <v>0</v>
      </c>
    </row>
    <row r="399" customFormat="false" ht="15" hidden="false" customHeight="false" outlineLevel="0" collapsed="false">
      <c r="A399" s="0" t="s">
        <v>794</v>
      </c>
      <c r="B399" s="0" t="s">
        <v>24</v>
      </c>
      <c r="C399" s="0" t="s">
        <v>795</v>
      </c>
      <c r="D399" s="0" t="s">
        <v>38</v>
      </c>
      <c r="E399" s="2" t="n">
        <v>45634</v>
      </c>
      <c r="F399" s="3" t="s">
        <v>27</v>
      </c>
      <c r="G399" s="3" t="s">
        <v>39</v>
      </c>
      <c r="H399" s="3" t="s">
        <v>48</v>
      </c>
      <c r="I399" s="3" t="n">
        <f aca="false">YEAR(E399)</f>
        <v>2024</v>
      </c>
      <c r="J399" s="3" t="n">
        <f aca="false">MONTH(E399)</f>
        <v>12</v>
      </c>
      <c r="K399" s="3" t="n">
        <f aca="false">COUNTIFS($B$2:$B$4077,B399,$C$2:$C$4077,C399,$I$2:$I$4077,I399)</f>
        <v>1</v>
      </c>
      <c r="L399" s="3" t="n">
        <f aca="false">IF(COUNTIFS($B$2:B399,B399,$C$2:C399,C399,$I$2:I399,I399)=1,1,0)</f>
        <v>1</v>
      </c>
      <c r="M399" s="3" t="n">
        <f aca="false">IF(K399&gt;=Parametri!$B$1,1,0)</f>
        <v>0</v>
      </c>
      <c r="N399" s="3" t="n">
        <f aca="false">L399*M399</f>
        <v>0</v>
      </c>
    </row>
    <row r="400" customFormat="false" ht="15" hidden="false" customHeight="false" outlineLevel="0" collapsed="false">
      <c r="A400" s="0" t="s">
        <v>796</v>
      </c>
      <c r="B400" s="0" t="s">
        <v>17</v>
      </c>
      <c r="C400" s="0" t="s">
        <v>791</v>
      </c>
      <c r="D400" s="0" t="s">
        <v>77</v>
      </c>
      <c r="E400" s="2" t="n">
        <v>46173</v>
      </c>
      <c r="F400" s="3" t="s">
        <v>20</v>
      </c>
      <c r="G400" s="3" t="s">
        <v>35</v>
      </c>
      <c r="H400" s="3" t="s">
        <v>44</v>
      </c>
      <c r="I400" s="3" t="n">
        <f aca="false">YEAR(E400)</f>
        <v>2026</v>
      </c>
      <c r="J400" s="3" t="n">
        <f aca="false">MONTH(E400)</f>
        <v>5</v>
      </c>
      <c r="K400" s="3" t="n">
        <f aca="false">COUNTIFS($B$2:$B$4077,B400,$C$2:$C$4077,C400,$I$2:$I$4077,I400)</f>
        <v>2</v>
      </c>
      <c r="L400" s="3" t="n">
        <f aca="false">IF(COUNTIFS($B$2:B400,B400,$C$2:C400,C400,$I$2:I400,I400)=1,1,0)</f>
        <v>1</v>
      </c>
      <c r="M400" s="3" t="n">
        <f aca="false">IF(K400&gt;=Parametri!$B$1,1,0)</f>
        <v>1</v>
      </c>
      <c r="N400" s="3" t="n">
        <f aca="false">L400*M400</f>
        <v>1</v>
      </c>
    </row>
    <row r="401" customFormat="false" ht="15" hidden="false" customHeight="false" outlineLevel="0" collapsed="false">
      <c r="A401" s="0" t="s">
        <v>797</v>
      </c>
      <c r="B401" s="0" t="s">
        <v>24</v>
      </c>
      <c r="C401" s="0" t="s">
        <v>798</v>
      </c>
      <c r="D401" s="0" t="s">
        <v>66</v>
      </c>
      <c r="E401" s="2" t="n">
        <v>45533</v>
      </c>
      <c r="F401" s="3" t="s">
        <v>20</v>
      </c>
      <c r="G401" s="3" t="s">
        <v>35</v>
      </c>
      <c r="H401" s="3" t="s">
        <v>48</v>
      </c>
      <c r="I401" s="3" t="n">
        <f aca="false">YEAR(E401)</f>
        <v>2024</v>
      </c>
      <c r="J401" s="3" t="n">
        <f aca="false">MONTH(E401)</f>
        <v>8</v>
      </c>
      <c r="K401" s="3" t="n">
        <f aca="false">COUNTIFS($B$2:$B$4077,B401,$C$2:$C$4077,C401,$I$2:$I$4077,I401)</f>
        <v>3</v>
      </c>
      <c r="L401" s="3" t="n">
        <f aca="false">IF(COUNTIFS($B$2:B401,B401,$C$2:C401,C401,$I$2:I401,I401)=1,1,0)</f>
        <v>1</v>
      </c>
      <c r="M401" s="3" t="n">
        <f aca="false">IF(K401&gt;=Parametri!$B$1,1,0)</f>
        <v>1</v>
      </c>
      <c r="N401" s="3" t="n">
        <f aca="false">L401*M401</f>
        <v>1</v>
      </c>
    </row>
    <row r="402" customFormat="false" ht="15" hidden="false" customHeight="false" outlineLevel="0" collapsed="false">
      <c r="A402" s="0" t="s">
        <v>799</v>
      </c>
      <c r="B402" s="0" t="s">
        <v>17</v>
      </c>
      <c r="C402" s="0" t="s">
        <v>671</v>
      </c>
      <c r="D402" s="0" t="s">
        <v>26</v>
      </c>
      <c r="E402" s="2" t="n">
        <v>45495</v>
      </c>
      <c r="F402" s="3" t="s">
        <v>34</v>
      </c>
      <c r="G402" s="3" t="s">
        <v>35</v>
      </c>
      <c r="H402" s="3" t="s">
        <v>22</v>
      </c>
      <c r="I402" s="3" t="n">
        <f aca="false">YEAR(E402)</f>
        <v>2024</v>
      </c>
      <c r="J402" s="3" t="n">
        <f aca="false">MONTH(E402)</f>
        <v>7</v>
      </c>
      <c r="K402" s="3" t="n">
        <f aca="false">COUNTIFS($B$2:$B$4077,B402,$C$2:$C$4077,C402,$I$2:$I$4077,I402)</f>
        <v>4</v>
      </c>
      <c r="L402" s="3" t="n">
        <f aca="false">IF(COUNTIFS($B$2:B402,B402,$C$2:C402,C402,$I$2:I402,I402)=1,1,0)</f>
        <v>0</v>
      </c>
      <c r="M402" s="3" t="n">
        <f aca="false">IF(K402&gt;=Parametri!$B$1,1,0)</f>
        <v>1</v>
      </c>
      <c r="N402" s="3" t="n">
        <f aca="false">L402*M402</f>
        <v>0</v>
      </c>
    </row>
    <row r="403" customFormat="false" ht="15" hidden="false" customHeight="false" outlineLevel="0" collapsed="false">
      <c r="A403" s="0" t="s">
        <v>800</v>
      </c>
      <c r="B403" s="0" t="s">
        <v>57</v>
      </c>
      <c r="C403" s="0" t="s">
        <v>527</v>
      </c>
      <c r="D403" s="0" t="s">
        <v>63</v>
      </c>
      <c r="E403" s="2" t="n">
        <v>45640</v>
      </c>
      <c r="F403" s="3" t="s">
        <v>20</v>
      </c>
      <c r="G403" s="3" t="s">
        <v>43</v>
      </c>
      <c r="H403" s="3" t="s">
        <v>22</v>
      </c>
      <c r="I403" s="3" t="n">
        <f aca="false">YEAR(E403)</f>
        <v>2024</v>
      </c>
      <c r="J403" s="3" t="n">
        <f aca="false">MONTH(E403)</f>
        <v>12</v>
      </c>
      <c r="K403" s="3" t="n">
        <f aca="false">COUNTIFS($B$2:$B$4077,B403,$C$2:$C$4077,C403,$I$2:$I$4077,I403)</f>
        <v>4</v>
      </c>
      <c r="L403" s="3" t="n">
        <f aca="false">IF(COUNTIFS($B$2:B403,B403,$C$2:C403,C403,$I$2:I403,I403)=1,1,0)</f>
        <v>0</v>
      </c>
      <c r="M403" s="3" t="n">
        <f aca="false">IF(K403&gt;=Parametri!$B$1,1,0)</f>
        <v>1</v>
      </c>
      <c r="N403" s="3" t="n">
        <f aca="false">L403*M403</f>
        <v>0</v>
      </c>
    </row>
    <row r="404" customFormat="false" ht="15" hidden="false" customHeight="false" outlineLevel="0" collapsed="false">
      <c r="A404" s="0" t="s">
        <v>801</v>
      </c>
      <c r="B404" s="0" t="s">
        <v>57</v>
      </c>
      <c r="C404" s="0" t="s">
        <v>58</v>
      </c>
      <c r="D404" s="0" t="s">
        <v>38</v>
      </c>
      <c r="E404" s="2" t="n">
        <v>45389</v>
      </c>
      <c r="F404" s="3" t="s">
        <v>27</v>
      </c>
      <c r="G404" s="3" t="s">
        <v>35</v>
      </c>
      <c r="H404" s="3" t="s">
        <v>44</v>
      </c>
      <c r="I404" s="3" t="n">
        <f aca="false">YEAR(E404)</f>
        <v>2024</v>
      </c>
      <c r="J404" s="3" t="n">
        <f aca="false">MONTH(E404)</f>
        <v>4</v>
      </c>
      <c r="K404" s="3" t="n">
        <f aca="false">COUNTIFS($B$2:$B$4077,B404,$C$2:$C$4077,C404,$I$2:$I$4077,I404)</f>
        <v>1</v>
      </c>
      <c r="L404" s="3" t="n">
        <f aca="false">IF(COUNTIFS($B$2:B404,B404,$C$2:C404,C404,$I$2:I404,I404)=1,1,0)</f>
        <v>1</v>
      </c>
      <c r="M404" s="3" t="n">
        <f aca="false">IF(K404&gt;=Parametri!$B$1,1,0)</f>
        <v>0</v>
      </c>
      <c r="N404" s="3" t="n">
        <f aca="false">L404*M404</f>
        <v>0</v>
      </c>
    </row>
    <row r="405" customFormat="false" ht="15" hidden="false" customHeight="false" outlineLevel="0" collapsed="false">
      <c r="A405" s="0" t="s">
        <v>802</v>
      </c>
      <c r="B405" s="0" t="s">
        <v>17</v>
      </c>
      <c r="C405" s="0" t="s">
        <v>791</v>
      </c>
      <c r="D405" s="0" t="s">
        <v>26</v>
      </c>
      <c r="E405" s="2" t="n">
        <v>46086</v>
      </c>
      <c r="F405" s="3" t="s">
        <v>20</v>
      </c>
      <c r="G405" s="3" t="s">
        <v>72</v>
      </c>
      <c r="H405" s="3" t="s">
        <v>29</v>
      </c>
      <c r="I405" s="3" t="n">
        <f aca="false">YEAR(E405)</f>
        <v>2026</v>
      </c>
      <c r="J405" s="3" t="n">
        <f aca="false">MONTH(E405)</f>
        <v>3</v>
      </c>
      <c r="K405" s="3" t="n">
        <f aca="false">COUNTIFS($B$2:$B$4077,B405,$C$2:$C$4077,C405,$I$2:$I$4077,I405)</f>
        <v>2</v>
      </c>
      <c r="L405" s="3" t="n">
        <f aca="false">IF(COUNTIFS($B$2:B405,B405,$C$2:C405,C405,$I$2:I405,I405)=1,1,0)</f>
        <v>0</v>
      </c>
      <c r="M405" s="3" t="n">
        <f aca="false">IF(K405&gt;=Parametri!$B$1,1,0)</f>
        <v>1</v>
      </c>
      <c r="N405" s="3" t="n">
        <f aca="false">L405*M405</f>
        <v>0</v>
      </c>
    </row>
    <row r="406" customFormat="false" ht="15" hidden="false" customHeight="false" outlineLevel="0" collapsed="false">
      <c r="A406" s="0" t="s">
        <v>803</v>
      </c>
      <c r="B406" s="0" t="s">
        <v>50</v>
      </c>
      <c r="C406" s="0" t="s">
        <v>804</v>
      </c>
      <c r="D406" s="0" t="s">
        <v>26</v>
      </c>
      <c r="E406" s="2" t="n">
        <v>45523</v>
      </c>
      <c r="F406" s="3" t="s">
        <v>27</v>
      </c>
      <c r="G406" s="3" t="s">
        <v>35</v>
      </c>
      <c r="H406" s="3" t="s">
        <v>48</v>
      </c>
      <c r="I406" s="3" t="n">
        <f aca="false">YEAR(E406)</f>
        <v>2024</v>
      </c>
      <c r="J406" s="3" t="n">
        <f aca="false">MONTH(E406)</f>
        <v>8</v>
      </c>
      <c r="K406" s="3" t="n">
        <f aca="false">COUNTIFS($B$2:$B$4077,B406,$C$2:$C$4077,C406,$I$2:$I$4077,I406)</f>
        <v>1</v>
      </c>
      <c r="L406" s="3" t="n">
        <f aca="false">IF(COUNTIFS($B$2:B406,B406,$C$2:C406,C406,$I$2:I406,I406)=1,1,0)</f>
        <v>1</v>
      </c>
      <c r="M406" s="3" t="n">
        <f aca="false">IF(K406&gt;=Parametri!$B$1,1,0)</f>
        <v>0</v>
      </c>
      <c r="N406" s="3" t="n">
        <f aca="false">L406*M406</f>
        <v>0</v>
      </c>
    </row>
    <row r="407" customFormat="false" ht="15" hidden="false" customHeight="false" outlineLevel="0" collapsed="false">
      <c r="A407" s="0" t="s">
        <v>805</v>
      </c>
      <c r="B407" s="0" t="s">
        <v>124</v>
      </c>
      <c r="C407" s="0" t="s">
        <v>806</v>
      </c>
      <c r="D407" s="0" t="s">
        <v>19</v>
      </c>
      <c r="E407" s="2" t="n">
        <v>46072</v>
      </c>
      <c r="F407" s="3" t="s">
        <v>34</v>
      </c>
      <c r="G407" s="3" t="s">
        <v>21</v>
      </c>
      <c r="H407" s="3" t="s">
        <v>44</v>
      </c>
      <c r="I407" s="3" t="n">
        <f aca="false">YEAR(E407)</f>
        <v>2026</v>
      </c>
      <c r="J407" s="3" t="n">
        <f aca="false">MONTH(E407)</f>
        <v>2</v>
      </c>
      <c r="K407" s="3" t="n">
        <f aca="false">COUNTIFS($B$2:$B$4077,B407,$C$2:$C$4077,C407,$I$2:$I$4077,I407)</f>
        <v>4</v>
      </c>
      <c r="L407" s="3" t="n">
        <f aca="false">IF(COUNTIFS($B$2:B407,B407,$C$2:C407,C407,$I$2:I407,I407)=1,1,0)</f>
        <v>1</v>
      </c>
      <c r="M407" s="3" t="n">
        <f aca="false">IF(K407&gt;=Parametri!$B$1,1,0)</f>
        <v>1</v>
      </c>
      <c r="N407" s="3" t="n">
        <f aca="false">L407*M407</f>
        <v>1</v>
      </c>
    </row>
    <row r="408" customFormat="false" ht="15" hidden="false" customHeight="false" outlineLevel="0" collapsed="false">
      <c r="A408" s="0" t="s">
        <v>807</v>
      </c>
      <c r="B408" s="0" t="s">
        <v>50</v>
      </c>
      <c r="C408" s="0" t="s">
        <v>808</v>
      </c>
      <c r="D408" s="0" t="s">
        <v>66</v>
      </c>
      <c r="E408" s="2" t="n">
        <v>45484</v>
      </c>
      <c r="F408" s="3" t="s">
        <v>20</v>
      </c>
      <c r="G408" s="3" t="s">
        <v>43</v>
      </c>
      <c r="H408" s="3" t="s">
        <v>48</v>
      </c>
      <c r="I408" s="3" t="n">
        <f aca="false">YEAR(E408)</f>
        <v>2024</v>
      </c>
      <c r="J408" s="3" t="n">
        <f aca="false">MONTH(E408)</f>
        <v>7</v>
      </c>
      <c r="K408" s="3" t="n">
        <f aca="false">COUNTIFS($B$2:$B$4077,B408,$C$2:$C$4077,C408,$I$2:$I$4077,I408)</f>
        <v>2</v>
      </c>
      <c r="L408" s="3" t="n">
        <f aca="false">IF(COUNTIFS($B$2:B408,B408,$C$2:C408,C408,$I$2:I408,I408)=1,1,0)</f>
        <v>1</v>
      </c>
      <c r="M408" s="3" t="n">
        <f aca="false">IF(K408&gt;=Parametri!$B$1,1,0)</f>
        <v>1</v>
      </c>
      <c r="N408" s="3" t="n">
        <f aca="false">L408*M408</f>
        <v>1</v>
      </c>
    </row>
    <row r="409" customFormat="false" ht="15" hidden="false" customHeight="false" outlineLevel="0" collapsed="false">
      <c r="A409" s="0" t="s">
        <v>809</v>
      </c>
      <c r="B409" s="0" t="s">
        <v>124</v>
      </c>
      <c r="C409" s="0" t="s">
        <v>810</v>
      </c>
      <c r="D409" s="0" t="s">
        <v>38</v>
      </c>
      <c r="E409" s="2" t="n">
        <v>45658</v>
      </c>
      <c r="F409" s="3" t="s">
        <v>20</v>
      </c>
      <c r="G409" s="3" t="s">
        <v>39</v>
      </c>
      <c r="H409" s="3" t="s">
        <v>44</v>
      </c>
      <c r="I409" s="3" t="n">
        <f aca="false">YEAR(E409)</f>
        <v>2025</v>
      </c>
      <c r="J409" s="3" t="n">
        <f aca="false">MONTH(E409)</f>
        <v>1</v>
      </c>
      <c r="K409" s="3" t="n">
        <f aca="false">COUNTIFS($B$2:$B$4077,B409,$C$2:$C$4077,C409,$I$2:$I$4077,I409)</f>
        <v>3</v>
      </c>
      <c r="L409" s="3" t="n">
        <f aca="false">IF(COUNTIFS($B$2:B409,B409,$C$2:C409,C409,$I$2:I409,I409)=1,1,0)</f>
        <v>1</v>
      </c>
      <c r="M409" s="3" t="n">
        <f aca="false">IF(K409&gt;=Parametri!$B$1,1,0)</f>
        <v>1</v>
      </c>
      <c r="N409" s="3" t="n">
        <f aca="false">L409*M409</f>
        <v>1</v>
      </c>
    </row>
    <row r="410" customFormat="false" ht="15" hidden="false" customHeight="false" outlineLevel="0" collapsed="false">
      <c r="A410" s="0" t="s">
        <v>811</v>
      </c>
      <c r="B410" s="0" t="s">
        <v>57</v>
      </c>
      <c r="C410" s="0" t="s">
        <v>419</v>
      </c>
      <c r="D410" s="0" t="s">
        <v>38</v>
      </c>
      <c r="E410" s="2" t="n">
        <v>46095</v>
      </c>
      <c r="F410" s="3" t="s">
        <v>20</v>
      </c>
      <c r="G410" s="3" t="s">
        <v>55</v>
      </c>
      <c r="H410" s="3" t="s">
        <v>22</v>
      </c>
      <c r="I410" s="3" t="n">
        <f aca="false">YEAR(E410)</f>
        <v>2026</v>
      </c>
      <c r="J410" s="3" t="n">
        <f aca="false">MONTH(E410)</f>
        <v>3</v>
      </c>
      <c r="K410" s="3" t="n">
        <f aca="false">COUNTIFS($B$2:$B$4077,B410,$C$2:$C$4077,C410,$I$2:$I$4077,I410)</f>
        <v>2</v>
      </c>
      <c r="L410" s="3" t="n">
        <f aca="false">IF(COUNTIFS($B$2:B410,B410,$C$2:C410,C410,$I$2:I410,I410)=1,1,0)</f>
        <v>1</v>
      </c>
      <c r="M410" s="3" t="n">
        <f aca="false">IF(K410&gt;=Parametri!$B$1,1,0)</f>
        <v>1</v>
      </c>
      <c r="N410" s="3" t="n">
        <f aca="false">L410*M410</f>
        <v>1</v>
      </c>
    </row>
    <row r="411" customFormat="false" ht="15" hidden="false" customHeight="false" outlineLevel="0" collapsed="false">
      <c r="A411" s="0" t="s">
        <v>812</v>
      </c>
      <c r="B411" s="0" t="s">
        <v>68</v>
      </c>
      <c r="C411" s="0" t="s">
        <v>139</v>
      </c>
      <c r="D411" s="0" t="s">
        <v>77</v>
      </c>
      <c r="E411" s="2" t="n">
        <v>45295</v>
      </c>
      <c r="F411" s="3" t="s">
        <v>20</v>
      </c>
      <c r="G411" s="3" t="s">
        <v>72</v>
      </c>
      <c r="H411" s="3" t="s">
        <v>44</v>
      </c>
      <c r="I411" s="3" t="n">
        <f aca="false">YEAR(E411)</f>
        <v>2024</v>
      </c>
      <c r="J411" s="3" t="n">
        <f aca="false">MONTH(E411)</f>
        <v>1</v>
      </c>
      <c r="K411" s="3" t="n">
        <f aca="false">COUNTIFS($B$2:$B$4077,B411,$C$2:$C$4077,C411,$I$2:$I$4077,I411)</f>
        <v>1</v>
      </c>
      <c r="L411" s="3" t="n">
        <f aca="false">IF(COUNTIFS($B$2:B411,B411,$C$2:C411,C411,$I$2:I411,I411)=1,1,0)</f>
        <v>1</v>
      </c>
      <c r="M411" s="3" t="n">
        <f aca="false">IF(K411&gt;=Parametri!$B$1,1,0)</f>
        <v>0</v>
      </c>
      <c r="N411" s="3" t="n">
        <f aca="false">L411*M411</f>
        <v>0</v>
      </c>
    </row>
    <row r="412" customFormat="false" ht="15" hidden="false" customHeight="false" outlineLevel="0" collapsed="false">
      <c r="A412" s="0" t="s">
        <v>813</v>
      </c>
      <c r="B412" s="0" t="s">
        <v>31</v>
      </c>
      <c r="C412" s="0" t="s">
        <v>814</v>
      </c>
      <c r="D412" s="0" t="s">
        <v>38</v>
      </c>
      <c r="E412" s="2" t="n">
        <v>45970</v>
      </c>
      <c r="F412" s="3" t="s">
        <v>27</v>
      </c>
      <c r="G412" s="3" t="s">
        <v>35</v>
      </c>
      <c r="H412" s="3" t="s">
        <v>48</v>
      </c>
      <c r="I412" s="3" t="n">
        <f aca="false">YEAR(E412)</f>
        <v>2025</v>
      </c>
      <c r="J412" s="3" t="n">
        <f aca="false">MONTH(E412)</f>
        <v>11</v>
      </c>
      <c r="K412" s="3" t="n">
        <f aca="false">COUNTIFS($B$2:$B$4077,B412,$C$2:$C$4077,C412,$I$2:$I$4077,I412)</f>
        <v>1</v>
      </c>
      <c r="L412" s="3" t="n">
        <f aca="false">IF(COUNTIFS($B$2:B412,B412,$C$2:C412,C412,$I$2:I412,I412)=1,1,0)</f>
        <v>1</v>
      </c>
      <c r="M412" s="3" t="n">
        <f aca="false">IF(K412&gt;=Parametri!$B$1,1,0)</f>
        <v>0</v>
      </c>
      <c r="N412" s="3" t="n">
        <f aca="false">L412*M412</f>
        <v>0</v>
      </c>
    </row>
    <row r="413" customFormat="false" ht="15" hidden="false" customHeight="false" outlineLevel="0" collapsed="false">
      <c r="A413" s="0" t="s">
        <v>815</v>
      </c>
      <c r="B413" s="0" t="s">
        <v>46</v>
      </c>
      <c r="C413" s="0" t="s">
        <v>816</v>
      </c>
      <c r="D413" s="0" t="s">
        <v>19</v>
      </c>
      <c r="E413" s="2" t="n">
        <v>45970</v>
      </c>
      <c r="F413" s="3" t="s">
        <v>20</v>
      </c>
      <c r="G413" s="3" t="s">
        <v>28</v>
      </c>
      <c r="H413" s="3" t="s">
        <v>44</v>
      </c>
      <c r="I413" s="3" t="n">
        <f aca="false">YEAR(E413)</f>
        <v>2025</v>
      </c>
      <c r="J413" s="3" t="n">
        <f aca="false">MONTH(E413)</f>
        <v>11</v>
      </c>
      <c r="K413" s="3" t="n">
        <f aca="false">COUNTIFS($B$2:$B$4077,B413,$C$2:$C$4077,C413,$I$2:$I$4077,I413)</f>
        <v>3</v>
      </c>
      <c r="L413" s="3" t="n">
        <f aca="false">IF(COUNTIFS($B$2:B413,B413,$C$2:C413,C413,$I$2:I413,I413)=1,1,0)</f>
        <v>1</v>
      </c>
      <c r="M413" s="3" t="n">
        <f aca="false">IF(K413&gt;=Parametri!$B$1,1,0)</f>
        <v>1</v>
      </c>
      <c r="N413" s="3" t="n">
        <f aca="false">L413*M413</f>
        <v>1</v>
      </c>
    </row>
    <row r="414" customFormat="false" ht="15" hidden="false" customHeight="false" outlineLevel="0" collapsed="false">
      <c r="A414" s="0" t="s">
        <v>817</v>
      </c>
      <c r="B414" s="0" t="s">
        <v>31</v>
      </c>
      <c r="C414" s="0" t="s">
        <v>608</v>
      </c>
      <c r="D414" s="0" t="s">
        <v>77</v>
      </c>
      <c r="E414" s="2" t="n">
        <v>45441</v>
      </c>
      <c r="F414" s="3" t="s">
        <v>20</v>
      </c>
      <c r="G414" s="3" t="s">
        <v>28</v>
      </c>
      <c r="H414" s="3" t="s">
        <v>22</v>
      </c>
      <c r="I414" s="3" t="n">
        <f aca="false">YEAR(E414)</f>
        <v>2024</v>
      </c>
      <c r="J414" s="3" t="n">
        <f aca="false">MONTH(E414)</f>
        <v>5</v>
      </c>
      <c r="K414" s="3" t="n">
        <f aca="false">COUNTIFS($B$2:$B$4077,B414,$C$2:$C$4077,C414,$I$2:$I$4077,I414)</f>
        <v>3</v>
      </c>
      <c r="L414" s="3" t="n">
        <f aca="false">IF(COUNTIFS($B$2:B414,B414,$C$2:C414,C414,$I$2:I414,I414)=1,1,0)</f>
        <v>1</v>
      </c>
      <c r="M414" s="3" t="n">
        <f aca="false">IF(K414&gt;=Parametri!$B$1,1,0)</f>
        <v>1</v>
      </c>
      <c r="N414" s="3" t="n">
        <f aca="false">L414*M414</f>
        <v>1</v>
      </c>
    </row>
    <row r="415" customFormat="false" ht="15" hidden="false" customHeight="false" outlineLevel="0" collapsed="false">
      <c r="A415" s="0" t="s">
        <v>818</v>
      </c>
      <c r="B415" s="0" t="s">
        <v>50</v>
      </c>
      <c r="C415" s="0" t="s">
        <v>819</v>
      </c>
      <c r="D415" s="0" t="s">
        <v>19</v>
      </c>
      <c r="E415" s="2" t="n">
        <v>45660</v>
      </c>
      <c r="F415" s="3" t="s">
        <v>20</v>
      </c>
      <c r="G415" s="3" t="s">
        <v>35</v>
      </c>
      <c r="H415" s="3" t="s">
        <v>44</v>
      </c>
      <c r="I415" s="3" t="n">
        <f aca="false">YEAR(E415)</f>
        <v>2025</v>
      </c>
      <c r="J415" s="3" t="n">
        <f aca="false">MONTH(E415)</f>
        <v>1</v>
      </c>
      <c r="K415" s="3" t="n">
        <f aca="false">COUNTIFS($B$2:$B$4077,B415,$C$2:$C$4077,C415,$I$2:$I$4077,I415)</f>
        <v>2</v>
      </c>
      <c r="L415" s="3" t="n">
        <f aca="false">IF(COUNTIFS($B$2:B415,B415,$C$2:C415,C415,$I$2:I415,I415)=1,1,0)</f>
        <v>1</v>
      </c>
      <c r="M415" s="3" t="n">
        <f aca="false">IF(K415&gt;=Parametri!$B$1,1,0)</f>
        <v>1</v>
      </c>
      <c r="N415" s="3" t="n">
        <f aca="false">L415*M415</f>
        <v>1</v>
      </c>
    </row>
    <row r="416" customFormat="false" ht="15" hidden="false" customHeight="false" outlineLevel="0" collapsed="false">
      <c r="A416" s="0" t="s">
        <v>820</v>
      </c>
      <c r="B416" s="0" t="s">
        <v>57</v>
      </c>
      <c r="C416" s="0" t="s">
        <v>74</v>
      </c>
      <c r="D416" s="0" t="s">
        <v>19</v>
      </c>
      <c r="E416" s="2" t="n">
        <v>46012</v>
      </c>
      <c r="F416" s="3" t="s">
        <v>20</v>
      </c>
      <c r="G416" s="3" t="s">
        <v>72</v>
      </c>
      <c r="H416" s="3" t="s">
        <v>29</v>
      </c>
      <c r="I416" s="3" t="n">
        <f aca="false">YEAR(E416)</f>
        <v>2025</v>
      </c>
      <c r="J416" s="3" t="n">
        <f aca="false">MONTH(E416)</f>
        <v>12</v>
      </c>
      <c r="K416" s="3" t="n">
        <f aca="false">COUNTIFS($B$2:$B$4077,B416,$C$2:$C$4077,C416,$I$2:$I$4077,I416)</f>
        <v>3</v>
      </c>
      <c r="L416" s="3" t="n">
        <f aca="false">IF(COUNTIFS($B$2:B416,B416,$C$2:C416,C416,$I$2:I416,I416)=1,1,0)</f>
        <v>0</v>
      </c>
      <c r="M416" s="3" t="n">
        <f aca="false">IF(K416&gt;=Parametri!$B$1,1,0)</f>
        <v>1</v>
      </c>
      <c r="N416" s="3" t="n">
        <f aca="false">L416*M416</f>
        <v>0</v>
      </c>
    </row>
    <row r="417" customFormat="false" ht="15" hidden="false" customHeight="false" outlineLevel="0" collapsed="false">
      <c r="A417" s="0" t="s">
        <v>821</v>
      </c>
      <c r="B417" s="0" t="s">
        <v>41</v>
      </c>
      <c r="C417" s="0" t="s">
        <v>343</v>
      </c>
      <c r="D417" s="0" t="s">
        <v>26</v>
      </c>
      <c r="E417" s="2" t="n">
        <v>45614</v>
      </c>
      <c r="F417" s="3" t="s">
        <v>20</v>
      </c>
      <c r="G417" s="3" t="s">
        <v>21</v>
      </c>
      <c r="H417" s="3" t="s">
        <v>22</v>
      </c>
      <c r="I417" s="3" t="n">
        <f aca="false">YEAR(E417)</f>
        <v>2024</v>
      </c>
      <c r="J417" s="3" t="n">
        <f aca="false">MONTH(E417)</f>
        <v>11</v>
      </c>
      <c r="K417" s="3" t="n">
        <f aca="false">COUNTIFS($B$2:$B$4077,B417,$C$2:$C$4077,C417,$I$2:$I$4077,I417)</f>
        <v>1</v>
      </c>
      <c r="L417" s="3" t="n">
        <f aca="false">IF(COUNTIFS($B$2:B417,B417,$C$2:C417,C417,$I$2:I417,I417)=1,1,0)</f>
        <v>1</v>
      </c>
      <c r="M417" s="3" t="n">
        <f aca="false">IF(K417&gt;=Parametri!$B$1,1,0)</f>
        <v>0</v>
      </c>
      <c r="N417" s="3" t="n">
        <f aca="false">L417*M417</f>
        <v>0</v>
      </c>
    </row>
    <row r="418" customFormat="false" ht="15" hidden="false" customHeight="false" outlineLevel="0" collapsed="false">
      <c r="A418" s="0" t="s">
        <v>822</v>
      </c>
      <c r="B418" s="0" t="s">
        <v>46</v>
      </c>
      <c r="C418" s="0" t="s">
        <v>823</v>
      </c>
      <c r="D418" s="0" t="s">
        <v>54</v>
      </c>
      <c r="E418" s="2" t="n">
        <v>45513</v>
      </c>
      <c r="F418" s="3" t="s">
        <v>20</v>
      </c>
      <c r="G418" s="3" t="s">
        <v>35</v>
      </c>
      <c r="H418" s="3" t="s">
        <v>44</v>
      </c>
      <c r="I418" s="3" t="n">
        <f aca="false">YEAR(E418)</f>
        <v>2024</v>
      </c>
      <c r="J418" s="3" t="n">
        <f aca="false">MONTH(E418)</f>
        <v>8</v>
      </c>
      <c r="K418" s="3" t="n">
        <f aca="false">COUNTIFS($B$2:$B$4077,B418,$C$2:$C$4077,C418,$I$2:$I$4077,I418)</f>
        <v>2</v>
      </c>
      <c r="L418" s="3" t="n">
        <f aca="false">IF(COUNTIFS($B$2:B418,B418,$C$2:C418,C418,$I$2:I418,I418)=1,1,0)</f>
        <v>1</v>
      </c>
      <c r="M418" s="3" t="n">
        <f aca="false">IF(K418&gt;=Parametri!$B$1,1,0)</f>
        <v>1</v>
      </c>
      <c r="N418" s="3" t="n">
        <f aca="false">L418*M418</f>
        <v>1</v>
      </c>
    </row>
    <row r="419" customFormat="false" ht="15" hidden="false" customHeight="false" outlineLevel="0" collapsed="false">
      <c r="A419" s="0" t="s">
        <v>824</v>
      </c>
      <c r="B419" s="0" t="s">
        <v>17</v>
      </c>
      <c r="C419" s="0" t="s">
        <v>208</v>
      </c>
      <c r="D419" s="0" t="s">
        <v>26</v>
      </c>
      <c r="E419" s="2" t="n">
        <v>46158</v>
      </c>
      <c r="F419" s="3" t="s">
        <v>20</v>
      </c>
      <c r="G419" s="3" t="s">
        <v>72</v>
      </c>
      <c r="H419" s="3" t="s">
        <v>44</v>
      </c>
      <c r="I419" s="3" t="n">
        <f aca="false">YEAR(E419)</f>
        <v>2026</v>
      </c>
      <c r="J419" s="3" t="n">
        <f aca="false">MONTH(E419)</f>
        <v>5</v>
      </c>
      <c r="K419" s="3" t="n">
        <f aca="false">COUNTIFS($B$2:$B$4077,B419,$C$2:$C$4077,C419,$I$2:$I$4077,I419)</f>
        <v>4</v>
      </c>
      <c r="L419" s="3" t="n">
        <f aca="false">IF(COUNTIFS($B$2:B419,B419,$C$2:C419,C419,$I$2:I419,I419)=1,1,0)</f>
        <v>0</v>
      </c>
      <c r="M419" s="3" t="n">
        <f aca="false">IF(K419&gt;=Parametri!$B$1,1,0)</f>
        <v>1</v>
      </c>
      <c r="N419" s="3" t="n">
        <f aca="false">L419*M419</f>
        <v>0</v>
      </c>
    </row>
    <row r="420" customFormat="false" ht="15" hidden="false" customHeight="false" outlineLevel="0" collapsed="false">
      <c r="A420" s="0" t="s">
        <v>825</v>
      </c>
      <c r="B420" s="0" t="s">
        <v>41</v>
      </c>
      <c r="C420" s="0" t="s">
        <v>653</v>
      </c>
      <c r="D420" s="0" t="s">
        <v>19</v>
      </c>
      <c r="E420" s="2" t="n">
        <v>45629</v>
      </c>
      <c r="F420" s="3" t="s">
        <v>20</v>
      </c>
      <c r="G420" s="3" t="s">
        <v>43</v>
      </c>
      <c r="H420" s="3" t="s">
        <v>22</v>
      </c>
      <c r="I420" s="3" t="n">
        <f aca="false">YEAR(E420)</f>
        <v>2024</v>
      </c>
      <c r="J420" s="3" t="n">
        <f aca="false">MONTH(E420)</f>
        <v>12</v>
      </c>
      <c r="K420" s="3" t="n">
        <f aca="false">COUNTIFS($B$2:$B$4077,B420,$C$2:$C$4077,C420,$I$2:$I$4077,I420)</f>
        <v>2</v>
      </c>
      <c r="L420" s="3" t="n">
        <f aca="false">IF(COUNTIFS($B$2:B420,B420,$C$2:C420,C420,$I$2:I420,I420)=1,1,0)</f>
        <v>0</v>
      </c>
      <c r="M420" s="3" t="n">
        <f aca="false">IF(K420&gt;=Parametri!$B$1,1,0)</f>
        <v>1</v>
      </c>
      <c r="N420" s="3" t="n">
        <f aca="false">L420*M420</f>
        <v>0</v>
      </c>
    </row>
    <row r="421" customFormat="false" ht="15" hidden="false" customHeight="false" outlineLevel="0" collapsed="false">
      <c r="A421" s="0" t="s">
        <v>826</v>
      </c>
      <c r="B421" s="0" t="s">
        <v>68</v>
      </c>
      <c r="C421" s="0" t="s">
        <v>243</v>
      </c>
      <c r="D421" s="0" t="s">
        <v>54</v>
      </c>
      <c r="E421" s="2" t="n">
        <v>45838</v>
      </c>
      <c r="F421" s="3" t="s">
        <v>34</v>
      </c>
      <c r="G421" s="3" t="s">
        <v>43</v>
      </c>
      <c r="H421" s="3" t="s">
        <v>44</v>
      </c>
      <c r="I421" s="3" t="n">
        <f aca="false">YEAR(E421)</f>
        <v>2025</v>
      </c>
      <c r="J421" s="3" t="n">
        <f aca="false">MONTH(E421)</f>
        <v>6</v>
      </c>
      <c r="K421" s="3" t="n">
        <f aca="false">COUNTIFS($B$2:$B$4077,B421,$C$2:$C$4077,C421,$I$2:$I$4077,I421)</f>
        <v>4</v>
      </c>
      <c r="L421" s="3" t="n">
        <f aca="false">IF(COUNTIFS($B$2:B421,B421,$C$2:C421,C421,$I$2:I421,I421)=1,1,0)</f>
        <v>1</v>
      </c>
      <c r="M421" s="3" t="n">
        <f aca="false">IF(K421&gt;=Parametri!$B$1,1,0)</f>
        <v>1</v>
      </c>
      <c r="N421" s="3" t="n">
        <f aca="false">L421*M421</f>
        <v>1</v>
      </c>
    </row>
    <row r="422" customFormat="false" ht="15" hidden="false" customHeight="false" outlineLevel="0" collapsed="false">
      <c r="A422" s="0" t="s">
        <v>827</v>
      </c>
      <c r="B422" s="0" t="s">
        <v>68</v>
      </c>
      <c r="C422" s="0" t="s">
        <v>828</v>
      </c>
      <c r="D422" s="0" t="s">
        <v>66</v>
      </c>
      <c r="E422" s="2" t="n">
        <v>45871</v>
      </c>
      <c r="F422" s="3" t="s">
        <v>104</v>
      </c>
      <c r="G422" s="3" t="s">
        <v>104</v>
      </c>
      <c r="H422" s="3" t="s">
        <v>104</v>
      </c>
      <c r="I422" s="3" t="n">
        <f aca="false">YEAR(E422)</f>
        <v>2025</v>
      </c>
      <c r="J422" s="3" t="n">
        <f aca="false">MONTH(E422)</f>
        <v>8</v>
      </c>
      <c r="K422" s="3" t="n">
        <f aca="false">COUNTIFS($B$2:$B$4077,B422,$C$2:$C$4077,C422,$I$2:$I$4077,I422)</f>
        <v>2</v>
      </c>
      <c r="L422" s="3" t="n">
        <f aca="false">IF(COUNTIFS($B$2:B422,B422,$C$2:C422,C422,$I$2:I422,I422)=1,1,0)</f>
        <v>1</v>
      </c>
      <c r="M422" s="3" t="n">
        <f aca="false">IF(K422&gt;=Parametri!$B$1,1,0)</f>
        <v>1</v>
      </c>
      <c r="N422" s="3" t="n">
        <f aca="false">L422*M422</f>
        <v>1</v>
      </c>
    </row>
    <row r="423" customFormat="false" ht="15" hidden="false" customHeight="false" outlineLevel="0" collapsed="false">
      <c r="A423" s="0" t="s">
        <v>829</v>
      </c>
      <c r="B423" s="0" t="s">
        <v>79</v>
      </c>
      <c r="C423" s="0" t="s">
        <v>830</v>
      </c>
      <c r="D423" s="0" t="s">
        <v>54</v>
      </c>
      <c r="E423" s="2" t="n">
        <v>46069</v>
      </c>
      <c r="F423" s="3" t="s">
        <v>20</v>
      </c>
      <c r="G423" s="3" t="s">
        <v>89</v>
      </c>
      <c r="H423" s="3" t="s">
        <v>48</v>
      </c>
      <c r="I423" s="3" t="n">
        <f aca="false">YEAR(E423)</f>
        <v>2026</v>
      </c>
      <c r="J423" s="3" t="n">
        <f aca="false">MONTH(E423)</f>
        <v>2</v>
      </c>
      <c r="K423" s="3" t="n">
        <f aca="false">COUNTIFS($B$2:$B$4077,B423,$C$2:$C$4077,C423,$I$2:$I$4077,I423)</f>
        <v>2</v>
      </c>
      <c r="L423" s="3" t="n">
        <f aca="false">IF(COUNTIFS($B$2:B423,B423,$C$2:C423,C423,$I$2:I423,I423)=1,1,0)</f>
        <v>1</v>
      </c>
      <c r="M423" s="3" t="n">
        <f aca="false">IF(K423&gt;=Parametri!$B$1,1,0)</f>
        <v>1</v>
      </c>
      <c r="N423" s="3" t="n">
        <f aca="false">L423*M423</f>
        <v>1</v>
      </c>
    </row>
    <row r="424" customFormat="false" ht="15" hidden="false" customHeight="false" outlineLevel="0" collapsed="false">
      <c r="A424" s="0" t="s">
        <v>831</v>
      </c>
      <c r="B424" s="0" t="s">
        <v>57</v>
      </c>
      <c r="C424" s="0" t="s">
        <v>832</v>
      </c>
      <c r="D424" s="0" t="s">
        <v>54</v>
      </c>
      <c r="E424" s="2" t="n">
        <v>46125</v>
      </c>
      <c r="F424" s="3" t="s">
        <v>34</v>
      </c>
      <c r="G424" s="3" t="s">
        <v>28</v>
      </c>
      <c r="H424" s="3" t="s">
        <v>48</v>
      </c>
      <c r="I424" s="3" t="n">
        <f aca="false">YEAR(E424)</f>
        <v>2026</v>
      </c>
      <c r="J424" s="3" t="n">
        <f aca="false">MONTH(E424)</f>
        <v>4</v>
      </c>
      <c r="K424" s="3" t="n">
        <f aca="false">COUNTIFS($B$2:$B$4077,B424,$C$2:$C$4077,C424,$I$2:$I$4077,I424)</f>
        <v>3</v>
      </c>
      <c r="L424" s="3" t="n">
        <f aca="false">IF(COUNTIFS($B$2:B424,B424,$C$2:C424,C424,$I$2:I424,I424)=1,1,0)</f>
        <v>1</v>
      </c>
      <c r="M424" s="3" t="n">
        <f aca="false">IF(K424&gt;=Parametri!$B$1,1,0)</f>
        <v>1</v>
      </c>
      <c r="N424" s="3" t="n">
        <f aca="false">L424*M424</f>
        <v>1</v>
      </c>
    </row>
    <row r="425" customFormat="false" ht="15" hidden="false" customHeight="false" outlineLevel="0" collapsed="false">
      <c r="A425" s="0" t="s">
        <v>833</v>
      </c>
      <c r="B425" s="0" t="s">
        <v>24</v>
      </c>
      <c r="C425" s="0" t="s">
        <v>834</v>
      </c>
      <c r="D425" s="0" t="s">
        <v>33</v>
      </c>
      <c r="E425" s="2" t="n">
        <v>45595</v>
      </c>
      <c r="F425" s="3" t="s">
        <v>20</v>
      </c>
      <c r="G425" s="3" t="s">
        <v>55</v>
      </c>
      <c r="H425" s="3" t="s">
        <v>29</v>
      </c>
      <c r="I425" s="3" t="n">
        <f aca="false">YEAR(E425)</f>
        <v>2024</v>
      </c>
      <c r="J425" s="3" t="n">
        <f aca="false">MONTH(E425)</f>
        <v>10</v>
      </c>
      <c r="K425" s="3" t="n">
        <f aca="false">COUNTIFS($B$2:$B$4077,B425,$C$2:$C$4077,C425,$I$2:$I$4077,I425)</f>
        <v>2</v>
      </c>
      <c r="L425" s="3" t="n">
        <f aca="false">IF(COUNTIFS($B$2:B425,B425,$C$2:C425,C425,$I$2:I425,I425)=1,1,0)</f>
        <v>1</v>
      </c>
      <c r="M425" s="3" t="n">
        <f aca="false">IF(K425&gt;=Parametri!$B$1,1,0)</f>
        <v>1</v>
      </c>
      <c r="N425" s="3" t="n">
        <f aca="false">L425*M425</f>
        <v>1</v>
      </c>
    </row>
    <row r="426" customFormat="false" ht="15" hidden="false" customHeight="false" outlineLevel="0" collapsed="false">
      <c r="A426" s="0" t="s">
        <v>835</v>
      </c>
      <c r="B426" s="0" t="s">
        <v>46</v>
      </c>
      <c r="C426" s="0" t="s">
        <v>836</v>
      </c>
      <c r="D426" s="0" t="s">
        <v>77</v>
      </c>
      <c r="E426" s="2" t="n">
        <v>45484</v>
      </c>
      <c r="F426" s="3" t="s">
        <v>27</v>
      </c>
      <c r="G426" s="3" t="s">
        <v>35</v>
      </c>
      <c r="H426" s="3" t="s">
        <v>48</v>
      </c>
      <c r="I426" s="3" t="n">
        <f aca="false">YEAR(E426)</f>
        <v>2024</v>
      </c>
      <c r="J426" s="3" t="n">
        <f aca="false">MONTH(E426)</f>
        <v>7</v>
      </c>
      <c r="K426" s="3" t="n">
        <f aca="false">COUNTIFS($B$2:$B$4077,B426,$C$2:$C$4077,C426,$I$2:$I$4077,I426)</f>
        <v>1</v>
      </c>
      <c r="L426" s="3" t="n">
        <f aca="false">IF(COUNTIFS($B$2:B426,B426,$C$2:C426,C426,$I$2:I426,I426)=1,1,0)</f>
        <v>1</v>
      </c>
      <c r="M426" s="3" t="n">
        <f aca="false">IF(K426&gt;=Parametri!$B$1,1,0)</f>
        <v>0</v>
      </c>
      <c r="N426" s="3" t="n">
        <f aca="false">L426*M426</f>
        <v>0</v>
      </c>
    </row>
    <row r="427" customFormat="false" ht="15" hidden="false" customHeight="false" outlineLevel="0" collapsed="false">
      <c r="A427" s="0" t="s">
        <v>837</v>
      </c>
      <c r="B427" s="0" t="s">
        <v>79</v>
      </c>
      <c r="C427" s="0" t="s">
        <v>838</v>
      </c>
      <c r="D427" s="0" t="s">
        <v>77</v>
      </c>
      <c r="E427" s="2" t="n">
        <v>45833</v>
      </c>
      <c r="F427" s="3" t="s">
        <v>20</v>
      </c>
      <c r="G427" s="3" t="s">
        <v>21</v>
      </c>
      <c r="H427" s="3" t="s">
        <v>48</v>
      </c>
      <c r="I427" s="3" t="n">
        <f aca="false">YEAR(E427)</f>
        <v>2025</v>
      </c>
      <c r="J427" s="3" t="n">
        <f aca="false">MONTH(E427)</f>
        <v>6</v>
      </c>
      <c r="K427" s="3" t="n">
        <f aca="false">COUNTIFS($B$2:$B$4077,B427,$C$2:$C$4077,C427,$I$2:$I$4077,I427)</f>
        <v>3</v>
      </c>
      <c r="L427" s="3" t="n">
        <f aca="false">IF(COUNTIFS($B$2:B427,B427,$C$2:C427,C427,$I$2:I427,I427)=1,1,0)</f>
        <v>1</v>
      </c>
      <c r="M427" s="3" t="n">
        <f aca="false">IF(K427&gt;=Parametri!$B$1,1,0)</f>
        <v>1</v>
      </c>
      <c r="N427" s="3" t="n">
        <f aca="false">L427*M427</f>
        <v>1</v>
      </c>
    </row>
    <row r="428" customFormat="false" ht="15" hidden="false" customHeight="false" outlineLevel="0" collapsed="false">
      <c r="A428" s="0" t="s">
        <v>839</v>
      </c>
      <c r="B428" s="0" t="s">
        <v>68</v>
      </c>
      <c r="C428" s="0" t="s">
        <v>840</v>
      </c>
      <c r="D428" s="0" t="s">
        <v>54</v>
      </c>
      <c r="E428" s="2" t="n">
        <v>45703</v>
      </c>
      <c r="F428" s="3" t="s">
        <v>27</v>
      </c>
      <c r="G428" s="3" t="s">
        <v>35</v>
      </c>
      <c r="H428" s="3" t="s">
        <v>29</v>
      </c>
      <c r="I428" s="3" t="n">
        <f aca="false">YEAR(E428)</f>
        <v>2025</v>
      </c>
      <c r="J428" s="3" t="n">
        <f aca="false">MONTH(E428)</f>
        <v>2</v>
      </c>
      <c r="K428" s="3" t="n">
        <f aca="false">COUNTIFS($B$2:$B$4077,B428,$C$2:$C$4077,C428,$I$2:$I$4077,I428)</f>
        <v>2</v>
      </c>
      <c r="L428" s="3" t="n">
        <f aca="false">IF(COUNTIFS($B$2:B428,B428,$C$2:C428,C428,$I$2:I428,I428)=1,1,0)</f>
        <v>1</v>
      </c>
      <c r="M428" s="3" t="n">
        <f aca="false">IF(K428&gt;=Parametri!$B$1,1,0)</f>
        <v>1</v>
      </c>
      <c r="N428" s="3" t="n">
        <f aca="false">L428*M428</f>
        <v>1</v>
      </c>
    </row>
    <row r="429" customFormat="false" ht="15" hidden="false" customHeight="false" outlineLevel="0" collapsed="false">
      <c r="A429" s="0" t="s">
        <v>841</v>
      </c>
      <c r="B429" s="0" t="s">
        <v>41</v>
      </c>
      <c r="C429" s="0" t="s">
        <v>842</v>
      </c>
      <c r="D429" s="0" t="s">
        <v>66</v>
      </c>
      <c r="E429" s="2" t="n">
        <v>46113</v>
      </c>
      <c r="F429" s="3" t="s">
        <v>20</v>
      </c>
      <c r="G429" s="3" t="s">
        <v>43</v>
      </c>
      <c r="H429" s="3" t="s">
        <v>44</v>
      </c>
      <c r="I429" s="3" t="n">
        <f aca="false">YEAR(E429)</f>
        <v>2026</v>
      </c>
      <c r="J429" s="3" t="n">
        <f aca="false">MONTH(E429)</f>
        <v>4</v>
      </c>
      <c r="K429" s="3" t="n">
        <f aca="false">COUNTIFS($B$2:$B$4077,B429,$C$2:$C$4077,C429,$I$2:$I$4077,I429)</f>
        <v>1</v>
      </c>
      <c r="L429" s="3" t="n">
        <f aca="false">IF(COUNTIFS($B$2:B429,B429,$C$2:C429,C429,$I$2:I429,I429)=1,1,0)</f>
        <v>1</v>
      </c>
      <c r="M429" s="3" t="n">
        <f aca="false">IF(K429&gt;=Parametri!$B$1,1,0)</f>
        <v>0</v>
      </c>
      <c r="N429" s="3" t="n">
        <f aca="false">L429*M429</f>
        <v>0</v>
      </c>
    </row>
    <row r="430" customFormat="false" ht="15" hidden="false" customHeight="false" outlineLevel="0" collapsed="false">
      <c r="A430" s="0" t="s">
        <v>843</v>
      </c>
      <c r="B430" s="0" t="s">
        <v>17</v>
      </c>
      <c r="C430" s="0" t="s">
        <v>844</v>
      </c>
      <c r="D430" s="0" t="s">
        <v>77</v>
      </c>
      <c r="E430" s="2" t="n">
        <v>45661</v>
      </c>
      <c r="F430" s="3" t="s">
        <v>20</v>
      </c>
      <c r="G430" s="3" t="s">
        <v>43</v>
      </c>
      <c r="H430" s="3" t="s">
        <v>44</v>
      </c>
      <c r="I430" s="3" t="n">
        <f aca="false">YEAR(E430)</f>
        <v>2025</v>
      </c>
      <c r="J430" s="3" t="n">
        <f aca="false">MONTH(E430)</f>
        <v>1</v>
      </c>
      <c r="K430" s="3" t="n">
        <f aca="false">COUNTIFS($B$2:$B$4077,B430,$C$2:$C$4077,C430,$I$2:$I$4077,I430)</f>
        <v>2</v>
      </c>
      <c r="L430" s="3" t="n">
        <f aca="false">IF(COUNTIFS($B$2:B430,B430,$C$2:C430,C430,$I$2:I430,I430)=1,1,0)</f>
        <v>1</v>
      </c>
      <c r="M430" s="3" t="n">
        <f aca="false">IF(K430&gt;=Parametri!$B$1,1,0)</f>
        <v>1</v>
      </c>
      <c r="N430" s="3" t="n">
        <f aca="false">L430*M430</f>
        <v>1</v>
      </c>
    </row>
    <row r="431" customFormat="false" ht="15" hidden="false" customHeight="false" outlineLevel="0" collapsed="false">
      <c r="A431" s="0" t="s">
        <v>845</v>
      </c>
      <c r="B431" s="0" t="s">
        <v>79</v>
      </c>
      <c r="C431" s="0" t="s">
        <v>846</v>
      </c>
      <c r="D431" s="0" t="s">
        <v>33</v>
      </c>
      <c r="E431" s="2" t="n">
        <v>45954</v>
      </c>
      <c r="F431" s="3" t="s">
        <v>20</v>
      </c>
      <c r="G431" s="3" t="s">
        <v>55</v>
      </c>
      <c r="H431" s="3" t="s">
        <v>48</v>
      </c>
      <c r="I431" s="3" t="n">
        <f aca="false">YEAR(E431)</f>
        <v>2025</v>
      </c>
      <c r="J431" s="3" t="n">
        <f aca="false">MONTH(E431)</f>
        <v>10</v>
      </c>
      <c r="K431" s="3" t="n">
        <f aca="false">COUNTIFS($B$2:$B$4077,B431,$C$2:$C$4077,C431,$I$2:$I$4077,I431)</f>
        <v>2</v>
      </c>
      <c r="L431" s="3" t="n">
        <f aca="false">IF(COUNTIFS($B$2:B431,B431,$C$2:C431,C431,$I$2:I431,I431)=1,1,0)</f>
        <v>1</v>
      </c>
      <c r="M431" s="3" t="n">
        <f aca="false">IF(K431&gt;=Parametri!$B$1,1,0)</f>
        <v>1</v>
      </c>
      <c r="N431" s="3" t="n">
        <f aca="false">L431*M431</f>
        <v>1</v>
      </c>
    </row>
    <row r="432" customFormat="false" ht="15" hidden="false" customHeight="false" outlineLevel="0" collapsed="false">
      <c r="A432" s="0" t="s">
        <v>847</v>
      </c>
      <c r="B432" s="0" t="s">
        <v>41</v>
      </c>
      <c r="C432" s="0" t="s">
        <v>493</v>
      </c>
      <c r="D432" s="0" t="s">
        <v>38</v>
      </c>
      <c r="E432" s="2" t="n">
        <v>46118</v>
      </c>
      <c r="F432" s="3" t="s">
        <v>27</v>
      </c>
      <c r="G432" s="3" t="s">
        <v>89</v>
      </c>
      <c r="H432" s="3" t="s">
        <v>44</v>
      </c>
      <c r="I432" s="3" t="n">
        <f aca="false">YEAR(E432)</f>
        <v>2026</v>
      </c>
      <c r="J432" s="3" t="n">
        <f aca="false">MONTH(E432)</f>
        <v>4</v>
      </c>
      <c r="K432" s="3" t="n">
        <f aca="false">COUNTIFS($B$2:$B$4077,B432,$C$2:$C$4077,C432,$I$2:$I$4077,I432)</f>
        <v>2</v>
      </c>
      <c r="L432" s="3" t="n">
        <f aca="false">IF(COUNTIFS($B$2:B432,B432,$C$2:C432,C432,$I$2:I432,I432)=1,1,0)</f>
        <v>1</v>
      </c>
      <c r="M432" s="3" t="n">
        <f aca="false">IF(K432&gt;=Parametri!$B$1,1,0)</f>
        <v>1</v>
      </c>
      <c r="N432" s="3" t="n">
        <f aca="false">L432*M432</f>
        <v>1</v>
      </c>
    </row>
    <row r="433" customFormat="false" ht="15" hidden="false" customHeight="false" outlineLevel="0" collapsed="false">
      <c r="A433" s="0" t="s">
        <v>848</v>
      </c>
      <c r="B433" s="0" t="s">
        <v>68</v>
      </c>
      <c r="C433" s="0" t="s">
        <v>849</v>
      </c>
      <c r="D433" s="0" t="s">
        <v>26</v>
      </c>
      <c r="E433" s="2" t="n">
        <v>46056</v>
      </c>
      <c r="F433" s="3" t="s">
        <v>104</v>
      </c>
      <c r="G433" s="3" t="s">
        <v>104</v>
      </c>
      <c r="H433" s="3" t="s">
        <v>104</v>
      </c>
      <c r="I433" s="3" t="n">
        <f aca="false">YEAR(E433)</f>
        <v>2026</v>
      </c>
      <c r="J433" s="3" t="n">
        <f aca="false">MONTH(E433)</f>
        <v>2</v>
      </c>
      <c r="K433" s="3" t="n">
        <f aca="false">COUNTIFS($B$2:$B$4077,B433,$C$2:$C$4077,C433,$I$2:$I$4077,I433)</f>
        <v>2</v>
      </c>
      <c r="L433" s="3" t="n">
        <f aca="false">IF(COUNTIFS($B$2:B433,B433,$C$2:C433,C433,$I$2:I433,I433)=1,1,0)</f>
        <v>1</v>
      </c>
      <c r="M433" s="3" t="n">
        <f aca="false">IF(K433&gt;=Parametri!$B$1,1,0)</f>
        <v>1</v>
      </c>
      <c r="N433" s="3" t="n">
        <f aca="false">L433*M433</f>
        <v>1</v>
      </c>
    </row>
    <row r="434" customFormat="false" ht="15" hidden="false" customHeight="false" outlineLevel="0" collapsed="false">
      <c r="A434" s="0" t="s">
        <v>850</v>
      </c>
      <c r="B434" s="0" t="s">
        <v>57</v>
      </c>
      <c r="C434" s="0" t="s">
        <v>436</v>
      </c>
      <c r="D434" s="0" t="s">
        <v>77</v>
      </c>
      <c r="E434" s="2" t="n">
        <v>45627</v>
      </c>
      <c r="F434" s="3" t="s">
        <v>27</v>
      </c>
      <c r="G434" s="3" t="s">
        <v>39</v>
      </c>
      <c r="H434" s="3" t="s">
        <v>44</v>
      </c>
      <c r="I434" s="3" t="n">
        <f aca="false">YEAR(E434)</f>
        <v>2024</v>
      </c>
      <c r="J434" s="3" t="n">
        <f aca="false">MONTH(E434)</f>
        <v>12</v>
      </c>
      <c r="K434" s="3" t="n">
        <f aca="false">COUNTIFS($B$2:$B$4077,B434,$C$2:$C$4077,C434,$I$2:$I$4077,I434)</f>
        <v>1</v>
      </c>
      <c r="L434" s="3" t="n">
        <f aca="false">IF(COUNTIFS($B$2:B434,B434,$C$2:C434,C434,$I$2:I434,I434)=1,1,0)</f>
        <v>1</v>
      </c>
      <c r="M434" s="3" t="n">
        <f aca="false">IF(K434&gt;=Parametri!$B$1,1,0)</f>
        <v>0</v>
      </c>
      <c r="N434" s="3" t="n">
        <f aca="false">L434*M434</f>
        <v>0</v>
      </c>
    </row>
    <row r="435" customFormat="false" ht="15" hidden="false" customHeight="false" outlineLevel="0" collapsed="false">
      <c r="A435" s="0" t="s">
        <v>851</v>
      </c>
      <c r="B435" s="0" t="s">
        <v>68</v>
      </c>
      <c r="C435" s="0" t="s">
        <v>852</v>
      </c>
      <c r="D435" s="0" t="s">
        <v>66</v>
      </c>
      <c r="E435" s="2" t="n">
        <v>46263</v>
      </c>
      <c r="F435" s="3" t="s">
        <v>20</v>
      </c>
      <c r="G435" s="3" t="s">
        <v>55</v>
      </c>
      <c r="H435" s="3" t="s">
        <v>22</v>
      </c>
      <c r="I435" s="3" t="n">
        <f aca="false">YEAR(E435)</f>
        <v>2026</v>
      </c>
      <c r="J435" s="3" t="n">
        <f aca="false">MONTH(E435)</f>
        <v>8</v>
      </c>
      <c r="K435" s="3" t="n">
        <f aca="false">COUNTIFS($B$2:$B$4077,B435,$C$2:$C$4077,C435,$I$2:$I$4077,I435)</f>
        <v>1</v>
      </c>
      <c r="L435" s="3" t="n">
        <f aca="false">IF(COUNTIFS($B$2:B435,B435,$C$2:C435,C435,$I$2:I435,I435)=1,1,0)</f>
        <v>1</v>
      </c>
      <c r="M435" s="3" t="n">
        <f aca="false">IF(K435&gt;=Parametri!$B$1,1,0)</f>
        <v>0</v>
      </c>
      <c r="N435" s="3" t="n">
        <f aca="false">L435*M435</f>
        <v>0</v>
      </c>
    </row>
    <row r="436" customFormat="false" ht="15" hidden="false" customHeight="false" outlineLevel="0" collapsed="false">
      <c r="A436" s="0" t="s">
        <v>853</v>
      </c>
      <c r="B436" s="0" t="s">
        <v>57</v>
      </c>
      <c r="C436" s="0" t="s">
        <v>419</v>
      </c>
      <c r="D436" s="0" t="s">
        <v>77</v>
      </c>
      <c r="E436" s="2" t="n">
        <v>45934</v>
      </c>
      <c r="F436" s="3" t="s">
        <v>20</v>
      </c>
      <c r="G436" s="3" t="s">
        <v>39</v>
      </c>
      <c r="H436" s="3" t="s">
        <v>22</v>
      </c>
      <c r="I436" s="3" t="n">
        <f aca="false">YEAR(E436)</f>
        <v>2025</v>
      </c>
      <c r="J436" s="3" t="n">
        <f aca="false">MONTH(E436)</f>
        <v>10</v>
      </c>
      <c r="K436" s="3" t="n">
        <f aca="false">COUNTIFS($B$2:$B$4077,B436,$C$2:$C$4077,C436,$I$2:$I$4077,I436)</f>
        <v>3</v>
      </c>
      <c r="L436" s="3" t="n">
        <f aca="false">IF(COUNTIFS($B$2:B436,B436,$C$2:C436,C436,$I$2:I436,I436)=1,1,0)</f>
        <v>1</v>
      </c>
      <c r="M436" s="3" t="n">
        <f aca="false">IF(K436&gt;=Parametri!$B$1,1,0)</f>
        <v>1</v>
      </c>
      <c r="N436" s="3" t="n">
        <f aca="false">L436*M436</f>
        <v>1</v>
      </c>
    </row>
    <row r="437" customFormat="false" ht="15" hidden="false" customHeight="false" outlineLevel="0" collapsed="false">
      <c r="A437" s="0" t="s">
        <v>854</v>
      </c>
      <c r="B437" s="0" t="s">
        <v>46</v>
      </c>
      <c r="C437" s="0" t="s">
        <v>855</v>
      </c>
      <c r="D437" s="0" t="s">
        <v>77</v>
      </c>
      <c r="E437" s="2" t="n">
        <v>45788</v>
      </c>
      <c r="F437" s="3" t="s">
        <v>20</v>
      </c>
      <c r="G437" s="3" t="s">
        <v>35</v>
      </c>
      <c r="H437" s="3" t="s">
        <v>44</v>
      </c>
      <c r="I437" s="3" t="n">
        <f aca="false">YEAR(E437)</f>
        <v>2025</v>
      </c>
      <c r="J437" s="3" t="n">
        <f aca="false">MONTH(E437)</f>
        <v>5</v>
      </c>
      <c r="K437" s="3" t="n">
        <f aca="false">COUNTIFS($B$2:$B$4077,B437,$C$2:$C$4077,C437,$I$2:$I$4077,I437)</f>
        <v>1</v>
      </c>
      <c r="L437" s="3" t="n">
        <f aca="false">IF(COUNTIFS($B$2:B437,B437,$C$2:C437,C437,$I$2:I437,I437)=1,1,0)</f>
        <v>1</v>
      </c>
      <c r="M437" s="3" t="n">
        <f aca="false">IF(K437&gt;=Parametri!$B$1,1,0)</f>
        <v>0</v>
      </c>
      <c r="N437" s="3" t="n">
        <f aca="false">L437*M437</f>
        <v>0</v>
      </c>
    </row>
    <row r="438" customFormat="false" ht="15" hidden="false" customHeight="false" outlineLevel="0" collapsed="false">
      <c r="A438" s="0" t="s">
        <v>856</v>
      </c>
      <c r="B438" s="0" t="s">
        <v>41</v>
      </c>
      <c r="C438" s="0" t="s">
        <v>857</v>
      </c>
      <c r="D438" s="0" t="s">
        <v>26</v>
      </c>
      <c r="E438" s="2" t="n">
        <v>45649</v>
      </c>
      <c r="F438" s="3" t="s">
        <v>20</v>
      </c>
      <c r="G438" s="3" t="s">
        <v>21</v>
      </c>
      <c r="H438" s="3" t="s">
        <v>22</v>
      </c>
      <c r="I438" s="3" t="n">
        <f aca="false">YEAR(E438)</f>
        <v>2024</v>
      </c>
      <c r="J438" s="3" t="n">
        <f aca="false">MONTH(E438)</f>
        <v>12</v>
      </c>
      <c r="K438" s="3" t="n">
        <f aca="false">COUNTIFS($B$2:$B$4077,B438,$C$2:$C$4077,C438,$I$2:$I$4077,I438)</f>
        <v>1</v>
      </c>
      <c r="L438" s="3" t="n">
        <f aca="false">IF(COUNTIFS($B$2:B438,B438,$C$2:C438,C438,$I$2:I438,I438)=1,1,0)</f>
        <v>1</v>
      </c>
      <c r="M438" s="3" t="n">
        <f aca="false">IF(K438&gt;=Parametri!$B$1,1,0)</f>
        <v>0</v>
      </c>
      <c r="N438" s="3" t="n">
        <f aca="false">L438*M438</f>
        <v>0</v>
      </c>
    </row>
    <row r="439" customFormat="false" ht="15" hidden="false" customHeight="false" outlineLevel="0" collapsed="false">
      <c r="A439" s="0" t="s">
        <v>858</v>
      </c>
      <c r="B439" s="0" t="s">
        <v>124</v>
      </c>
      <c r="C439" s="0" t="s">
        <v>621</v>
      </c>
      <c r="D439" s="0" t="s">
        <v>77</v>
      </c>
      <c r="E439" s="2" t="n">
        <v>46183</v>
      </c>
      <c r="F439" s="3" t="s">
        <v>20</v>
      </c>
      <c r="G439" s="3" t="s">
        <v>35</v>
      </c>
      <c r="H439" s="3" t="s">
        <v>22</v>
      </c>
      <c r="I439" s="3" t="n">
        <f aca="false">YEAR(E439)</f>
        <v>2026</v>
      </c>
      <c r="J439" s="3" t="n">
        <f aca="false">MONTH(E439)</f>
        <v>6</v>
      </c>
      <c r="K439" s="3" t="n">
        <f aca="false">COUNTIFS($B$2:$B$4077,B439,$C$2:$C$4077,C439,$I$2:$I$4077,I439)</f>
        <v>2</v>
      </c>
      <c r="L439" s="3" t="n">
        <f aca="false">IF(COUNTIFS($B$2:B439,B439,$C$2:C439,C439,$I$2:I439,I439)=1,1,0)</f>
        <v>1</v>
      </c>
      <c r="M439" s="3" t="n">
        <f aca="false">IF(K439&gt;=Parametri!$B$1,1,0)</f>
        <v>1</v>
      </c>
      <c r="N439" s="3" t="n">
        <f aca="false">L439*M439</f>
        <v>1</v>
      </c>
    </row>
    <row r="440" customFormat="false" ht="15" hidden="false" customHeight="false" outlineLevel="0" collapsed="false">
      <c r="A440" s="0" t="s">
        <v>859</v>
      </c>
      <c r="B440" s="0" t="s">
        <v>50</v>
      </c>
      <c r="C440" s="0" t="s">
        <v>860</v>
      </c>
      <c r="D440" s="0" t="s">
        <v>54</v>
      </c>
      <c r="E440" s="2" t="n">
        <v>46119</v>
      </c>
      <c r="F440" s="3" t="s">
        <v>20</v>
      </c>
      <c r="G440" s="3" t="s">
        <v>21</v>
      </c>
      <c r="H440" s="3" t="s">
        <v>29</v>
      </c>
      <c r="I440" s="3" t="n">
        <f aca="false">YEAR(E440)</f>
        <v>2026</v>
      </c>
      <c r="J440" s="3" t="n">
        <f aca="false">MONTH(E440)</f>
        <v>4</v>
      </c>
      <c r="K440" s="3" t="n">
        <f aca="false">COUNTIFS($B$2:$B$4077,B440,$C$2:$C$4077,C440,$I$2:$I$4077,I440)</f>
        <v>1</v>
      </c>
      <c r="L440" s="3" t="n">
        <f aca="false">IF(COUNTIFS($B$2:B440,B440,$C$2:C440,C440,$I$2:I440,I440)=1,1,0)</f>
        <v>1</v>
      </c>
      <c r="M440" s="3" t="n">
        <f aca="false">IF(K440&gt;=Parametri!$B$1,1,0)</f>
        <v>0</v>
      </c>
      <c r="N440" s="3" t="n">
        <f aca="false">L440*M440</f>
        <v>0</v>
      </c>
    </row>
    <row r="441" customFormat="false" ht="15" hidden="false" customHeight="false" outlineLevel="0" collapsed="false">
      <c r="A441" s="0" t="s">
        <v>861</v>
      </c>
      <c r="B441" s="0" t="s">
        <v>124</v>
      </c>
      <c r="C441" s="0" t="s">
        <v>862</v>
      </c>
      <c r="D441" s="0" t="s">
        <v>19</v>
      </c>
      <c r="E441" s="2" t="n">
        <v>45852</v>
      </c>
      <c r="F441" s="3" t="s">
        <v>20</v>
      </c>
      <c r="G441" s="3" t="s">
        <v>39</v>
      </c>
      <c r="H441" s="3" t="s">
        <v>44</v>
      </c>
      <c r="I441" s="3" t="n">
        <f aca="false">YEAR(E441)</f>
        <v>2025</v>
      </c>
      <c r="J441" s="3" t="n">
        <f aca="false">MONTH(E441)</f>
        <v>7</v>
      </c>
      <c r="K441" s="3" t="n">
        <f aca="false">COUNTIFS($B$2:$B$4077,B441,$C$2:$C$4077,C441,$I$2:$I$4077,I441)</f>
        <v>3</v>
      </c>
      <c r="L441" s="3" t="n">
        <f aca="false">IF(COUNTIFS($B$2:B441,B441,$C$2:C441,C441,$I$2:I441,I441)=1,1,0)</f>
        <v>1</v>
      </c>
      <c r="M441" s="3" t="n">
        <f aca="false">IF(K441&gt;=Parametri!$B$1,1,0)</f>
        <v>1</v>
      </c>
      <c r="N441" s="3" t="n">
        <f aca="false">L441*M441</f>
        <v>1</v>
      </c>
    </row>
    <row r="442" customFormat="false" ht="15" hidden="false" customHeight="false" outlineLevel="0" collapsed="false">
      <c r="A442" s="0" t="s">
        <v>863</v>
      </c>
      <c r="B442" s="0" t="s">
        <v>41</v>
      </c>
      <c r="C442" s="0" t="s">
        <v>864</v>
      </c>
      <c r="D442" s="0" t="s">
        <v>33</v>
      </c>
      <c r="E442" s="2" t="n">
        <v>45479</v>
      </c>
      <c r="F442" s="3" t="s">
        <v>20</v>
      </c>
      <c r="G442" s="3" t="s">
        <v>89</v>
      </c>
      <c r="H442" s="3" t="s">
        <v>29</v>
      </c>
      <c r="I442" s="3" t="n">
        <f aca="false">YEAR(E442)</f>
        <v>2024</v>
      </c>
      <c r="J442" s="3" t="n">
        <f aca="false">MONTH(E442)</f>
        <v>7</v>
      </c>
      <c r="K442" s="3" t="n">
        <f aca="false">COUNTIFS($B$2:$B$4077,B442,$C$2:$C$4077,C442,$I$2:$I$4077,I442)</f>
        <v>1</v>
      </c>
      <c r="L442" s="3" t="n">
        <f aca="false">IF(COUNTIFS($B$2:B442,B442,$C$2:C442,C442,$I$2:I442,I442)=1,1,0)</f>
        <v>1</v>
      </c>
      <c r="M442" s="3" t="n">
        <f aca="false">IF(K442&gt;=Parametri!$B$1,1,0)</f>
        <v>0</v>
      </c>
      <c r="N442" s="3" t="n">
        <f aca="false">L442*M442</f>
        <v>0</v>
      </c>
    </row>
    <row r="443" customFormat="false" ht="15" hidden="false" customHeight="false" outlineLevel="0" collapsed="false">
      <c r="A443" s="0" t="s">
        <v>865</v>
      </c>
      <c r="B443" s="0" t="s">
        <v>124</v>
      </c>
      <c r="C443" s="0" t="s">
        <v>866</v>
      </c>
      <c r="D443" s="0" t="s">
        <v>66</v>
      </c>
      <c r="E443" s="2" t="n">
        <v>46116</v>
      </c>
      <c r="F443" s="3" t="s">
        <v>20</v>
      </c>
      <c r="G443" s="3" t="s">
        <v>104</v>
      </c>
      <c r="H443" s="3" t="s">
        <v>104</v>
      </c>
      <c r="I443" s="3" t="n">
        <f aca="false">YEAR(E443)</f>
        <v>2026</v>
      </c>
      <c r="J443" s="3" t="n">
        <f aca="false">MONTH(E443)</f>
        <v>4</v>
      </c>
      <c r="K443" s="3" t="n">
        <f aca="false">COUNTIFS($B$2:$B$4077,B443,$C$2:$C$4077,C443,$I$2:$I$4077,I443)</f>
        <v>2</v>
      </c>
      <c r="L443" s="3" t="n">
        <f aca="false">IF(COUNTIFS($B$2:B443,B443,$C$2:C443,C443,$I$2:I443,I443)=1,1,0)</f>
        <v>1</v>
      </c>
      <c r="M443" s="3" t="n">
        <f aca="false">IF(K443&gt;=Parametri!$B$1,1,0)</f>
        <v>1</v>
      </c>
      <c r="N443" s="3" t="n">
        <f aca="false">L443*M443</f>
        <v>1</v>
      </c>
    </row>
    <row r="444" customFormat="false" ht="15" hidden="false" customHeight="false" outlineLevel="0" collapsed="false">
      <c r="A444" s="0" t="s">
        <v>867</v>
      </c>
      <c r="B444" s="0" t="s">
        <v>68</v>
      </c>
      <c r="C444" s="0" t="s">
        <v>868</v>
      </c>
      <c r="D444" s="0" t="s">
        <v>19</v>
      </c>
      <c r="E444" s="2" t="n">
        <v>45855</v>
      </c>
      <c r="F444" s="3" t="s">
        <v>20</v>
      </c>
      <c r="G444" s="3" t="s">
        <v>72</v>
      </c>
      <c r="H444" s="3" t="s">
        <v>29</v>
      </c>
      <c r="I444" s="3" t="n">
        <f aca="false">YEAR(E444)</f>
        <v>2025</v>
      </c>
      <c r="J444" s="3" t="n">
        <f aca="false">MONTH(E444)</f>
        <v>7</v>
      </c>
      <c r="K444" s="3" t="n">
        <f aca="false">COUNTIFS($B$2:$B$4077,B444,$C$2:$C$4077,C444,$I$2:$I$4077,I444)</f>
        <v>1</v>
      </c>
      <c r="L444" s="3" t="n">
        <f aca="false">IF(COUNTIFS($B$2:B444,B444,$C$2:C444,C444,$I$2:I444,I444)=1,1,0)</f>
        <v>1</v>
      </c>
      <c r="M444" s="3" t="n">
        <f aca="false">IF(K444&gt;=Parametri!$B$1,1,0)</f>
        <v>0</v>
      </c>
      <c r="N444" s="3" t="n">
        <f aca="false">L444*M444</f>
        <v>0</v>
      </c>
    </row>
    <row r="445" customFormat="false" ht="15" hidden="false" customHeight="false" outlineLevel="0" collapsed="false">
      <c r="A445" s="0" t="s">
        <v>869</v>
      </c>
      <c r="B445" s="0" t="s">
        <v>68</v>
      </c>
      <c r="C445" s="0" t="s">
        <v>870</v>
      </c>
      <c r="D445" s="0" t="s">
        <v>66</v>
      </c>
      <c r="E445" s="2" t="n">
        <v>45642</v>
      </c>
      <c r="F445" s="3" t="s">
        <v>27</v>
      </c>
      <c r="G445" s="3" t="s">
        <v>28</v>
      </c>
      <c r="H445" s="3" t="s">
        <v>29</v>
      </c>
      <c r="I445" s="3" t="n">
        <f aca="false">YEAR(E445)</f>
        <v>2024</v>
      </c>
      <c r="J445" s="3" t="n">
        <f aca="false">MONTH(E445)</f>
        <v>12</v>
      </c>
      <c r="K445" s="3" t="n">
        <f aca="false">COUNTIFS($B$2:$B$4077,B445,$C$2:$C$4077,C445,$I$2:$I$4077,I445)</f>
        <v>1</v>
      </c>
      <c r="L445" s="3" t="n">
        <f aca="false">IF(COUNTIFS($B$2:B445,B445,$C$2:C445,C445,$I$2:I445,I445)=1,1,0)</f>
        <v>1</v>
      </c>
      <c r="M445" s="3" t="n">
        <f aca="false">IF(K445&gt;=Parametri!$B$1,1,0)</f>
        <v>0</v>
      </c>
      <c r="N445" s="3" t="n">
        <f aca="false">L445*M445</f>
        <v>0</v>
      </c>
    </row>
    <row r="446" customFormat="false" ht="15" hidden="false" customHeight="false" outlineLevel="0" collapsed="false">
      <c r="A446" s="0" t="s">
        <v>871</v>
      </c>
      <c r="B446" s="0" t="s">
        <v>57</v>
      </c>
      <c r="C446" s="0" t="s">
        <v>216</v>
      </c>
      <c r="D446" s="0" t="s">
        <v>66</v>
      </c>
      <c r="E446" s="2" t="n">
        <v>46178</v>
      </c>
      <c r="F446" s="3" t="s">
        <v>34</v>
      </c>
      <c r="G446" s="3" t="s">
        <v>39</v>
      </c>
      <c r="H446" s="3" t="s">
        <v>48</v>
      </c>
      <c r="I446" s="3" t="n">
        <f aca="false">YEAR(E446)</f>
        <v>2026</v>
      </c>
      <c r="J446" s="3" t="n">
        <f aca="false">MONTH(E446)</f>
        <v>6</v>
      </c>
      <c r="K446" s="3" t="n">
        <f aca="false">COUNTIFS($B$2:$B$4077,B446,$C$2:$C$4077,C446,$I$2:$I$4077,I446)</f>
        <v>7</v>
      </c>
      <c r="L446" s="3" t="n">
        <f aca="false">IF(COUNTIFS($B$2:B446,B446,$C$2:C446,C446,$I$2:I446,I446)=1,1,0)</f>
        <v>1</v>
      </c>
      <c r="M446" s="3" t="n">
        <f aca="false">IF(K446&gt;=Parametri!$B$1,1,0)</f>
        <v>1</v>
      </c>
      <c r="N446" s="3" t="n">
        <f aca="false">L446*M446</f>
        <v>1</v>
      </c>
    </row>
    <row r="447" customFormat="false" ht="15" hidden="false" customHeight="false" outlineLevel="0" collapsed="false">
      <c r="A447" s="0" t="s">
        <v>872</v>
      </c>
      <c r="B447" s="0" t="s">
        <v>79</v>
      </c>
      <c r="C447" s="0" t="s">
        <v>463</v>
      </c>
      <c r="D447" s="0" t="s">
        <v>66</v>
      </c>
      <c r="E447" s="2" t="n">
        <v>46024</v>
      </c>
      <c r="F447" s="3" t="s">
        <v>27</v>
      </c>
      <c r="G447" s="3" t="s">
        <v>35</v>
      </c>
      <c r="H447" s="3" t="s">
        <v>48</v>
      </c>
      <c r="I447" s="3" t="n">
        <f aca="false">YEAR(E447)</f>
        <v>2026</v>
      </c>
      <c r="J447" s="3" t="n">
        <f aca="false">MONTH(E447)</f>
        <v>1</v>
      </c>
      <c r="K447" s="3" t="n">
        <f aca="false">COUNTIFS($B$2:$B$4077,B447,$C$2:$C$4077,C447,$I$2:$I$4077,I447)</f>
        <v>1</v>
      </c>
      <c r="L447" s="3" t="n">
        <f aca="false">IF(COUNTIFS($B$2:B447,B447,$C$2:C447,C447,$I$2:I447,I447)=1,1,0)</f>
        <v>1</v>
      </c>
      <c r="M447" s="3" t="n">
        <f aca="false">IF(K447&gt;=Parametri!$B$1,1,0)</f>
        <v>0</v>
      </c>
      <c r="N447" s="3" t="n">
        <f aca="false">L447*M447</f>
        <v>0</v>
      </c>
    </row>
    <row r="448" customFormat="false" ht="15" hidden="false" customHeight="false" outlineLevel="0" collapsed="false">
      <c r="A448" s="0" t="s">
        <v>873</v>
      </c>
      <c r="B448" s="0" t="s">
        <v>68</v>
      </c>
      <c r="C448" s="0" t="s">
        <v>515</v>
      </c>
      <c r="D448" s="0" t="s">
        <v>66</v>
      </c>
      <c r="E448" s="2" t="n">
        <v>45415</v>
      </c>
      <c r="F448" s="3" t="s">
        <v>27</v>
      </c>
      <c r="G448" s="3" t="s">
        <v>55</v>
      </c>
      <c r="H448" s="3" t="s">
        <v>48</v>
      </c>
      <c r="I448" s="3" t="n">
        <f aca="false">YEAR(E448)</f>
        <v>2024</v>
      </c>
      <c r="J448" s="3" t="n">
        <f aca="false">MONTH(E448)</f>
        <v>5</v>
      </c>
      <c r="K448" s="3" t="n">
        <f aca="false">COUNTIFS($B$2:$B$4077,B448,$C$2:$C$4077,C448,$I$2:$I$4077,I448)</f>
        <v>2</v>
      </c>
      <c r="L448" s="3" t="n">
        <f aca="false">IF(COUNTIFS($B$2:B448,B448,$C$2:C448,C448,$I$2:I448,I448)=1,1,0)</f>
        <v>0</v>
      </c>
      <c r="M448" s="3" t="n">
        <f aca="false">IF(K448&gt;=Parametri!$B$1,1,0)</f>
        <v>1</v>
      </c>
      <c r="N448" s="3" t="n">
        <f aca="false">L448*M448</f>
        <v>0</v>
      </c>
    </row>
    <row r="449" customFormat="false" ht="15" hidden="false" customHeight="false" outlineLevel="0" collapsed="false">
      <c r="A449" s="0" t="s">
        <v>874</v>
      </c>
      <c r="B449" s="0" t="s">
        <v>24</v>
      </c>
      <c r="C449" s="0" t="s">
        <v>875</v>
      </c>
      <c r="D449" s="0" t="s">
        <v>26</v>
      </c>
      <c r="E449" s="2" t="n">
        <v>45853</v>
      </c>
      <c r="F449" s="3" t="s">
        <v>34</v>
      </c>
      <c r="G449" s="3" t="s">
        <v>28</v>
      </c>
      <c r="H449" s="3" t="s">
        <v>22</v>
      </c>
      <c r="I449" s="3" t="n">
        <f aca="false">YEAR(E449)</f>
        <v>2025</v>
      </c>
      <c r="J449" s="3" t="n">
        <f aca="false">MONTH(E449)</f>
        <v>7</v>
      </c>
      <c r="K449" s="3" t="n">
        <f aca="false">COUNTIFS($B$2:$B$4077,B449,$C$2:$C$4077,C449,$I$2:$I$4077,I449)</f>
        <v>2</v>
      </c>
      <c r="L449" s="3" t="n">
        <f aca="false">IF(COUNTIFS($B$2:B449,B449,$C$2:C449,C449,$I$2:I449,I449)=1,1,0)</f>
        <v>1</v>
      </c>
      <c r="M449" s="3" t="n">
        <f aca="false">IF(K449&gt;=Parametri!$B$1,1,0)</f>
        <v>1</v>
      </c>
      <c r="N449" s="3" t="n">
        <f aca="false">L449*M449</f>
        <v>1</v>
      </c>
    </row>
    <row r="450" customFormat="false" ht="15" hidden="false" customHeight="false" outlineLevel="0" collapsed="false">
      <c r="A450" s="0" t="s">
        <v>876</v>
      </c>
      <c r="B450" s="0" t="s">
        <v>79</v>
      </c>
      <c r="C450" s="0" t="s">
        <v>736</v>
      </c>
      <c r="D450" s="0" t="s">
        <v>54</v>
      </c>
      <c r="E450" s="2" t="n">
        <v>45653</v>
      </c>
      <c r="F450" s="3" t="s">
        <v>34</v>
      </c>
      <c r="G450" s="3" t="s">
        <v>35</v>
      </c>
      <c r="H450" s="3" t="s">
        <v>22</v>
      </c>
      <c r="I450" s="3" t="n">
        <f aca="false">YEAR(E450)</f>
        <v>2024</v>
      </c>
      <c r="J450" s="3" t="n">
        <f aca="false">MONTH(E450)</f>
        <v>12</v>
      </c>
      <c r="K450" s="3" t="n">
        <f aca="false">COUNTIFS($B$2:$B$4077,B450,$C$2:$C$4077,C450,$I$2:$I$4077,I450)</f>
        <v>2</v>
      </c>
      <c r="L450" s="3" t="n">
        <f aca="false">IF(COUNTIFS($B$2:B450,B450,$C$2:C450,C450,$I$2:I450,I450)=1,1,0)</f>
        <v>0</v>
      </c>
      <c r="M450" s="3" t="n">
        <f aca="false">IF(K450&gt;=Parametri!$B$1,1,0)</f>
        <v>1</v>
      </c>
      <c r="N450" s="3" t="n">
        <f aca="false">L450*M450</f>
        <v>0</v>
      </c>
    </row>
    <row r="451" customFormat="false" ht="15" hidden="false" customHeight="false" outlineLevel="0" collapsed="false">
      <c r="A451" s="0" t="s">
        <v>877</v>
      </c>
      <c r="B451" s="0" t="s">
        <v>17</v>
      </c>
      <c r="C451" s="0" t="s">
        <v>469</v>
      </c>
      <c r="D451" s="0" t="s">
        <v>54</v>
      </c>
      <c r="E451" s="2" t="n">
        <v>45570</v>
      </c>
      <c r="F451" s="3" t="s">
        <v>27</v>
      </c>
      <c r="G451" s="3" t="s">
        <v>39</v>
      </c>
      <c r="H451" s="3" t="s">
        <v>48</v>
      </c>
      <c r="I451" s="3" t="n">
        <f aca="false">YEAR(E451)</f>
        <v>2024</v>
      </c>
      <c r="J451" s="3" t="n">
        <f aca="false">MONTH(E451)</f>
        <v>10</v>
      </c>
      <c r="K451" s="3" t="n">
        <f aca="false">COUNTIFS($B$2:$B$4077,B451,$C$2:$C$4077,C451,$I$2:$I$4077,I451)</f>
        <v>2</v>
      </c>
      <c r="L451" s="3" t="n">
        <f aca="false">IF(COUNTIFS($B$2:B451,B451,$C$2:C451,C451,$I$2:I451,I451)=1,1,0)</f>
        <v>1</v>
      </c>
      <c r="M451" s="3" t="n">
        <f aca="false">IF(K451&gt;=Parametri!$B$1,1,0)</f>
        <v>1</v>
      </c>
      <c r="N451" s="3" t="n">
        <f aca="false">L451*M451</f>
        <v>1</v>
      </c>
    </row>
    <row r="452" customFormat="false" ht="15" hidden="false" customHeight="false" outlineLevel="0" collapsed="false">
      <c r="A452" s="0" t="s">
        <v>878</v>
      </c>
      <c r="B452" s="0" t="s">
        <v>41</v>
      </c>
      <c r="C452" s="0" t="s">
        <v>503</v>
      </c>
      <c r="D452" s="0" t="s">
        <v>66</v>
      </c>
      <c r="E452" s="2" t="n">
        <v>45706</v>
      </c>
      <c r="F452" s="3" t="s">
        <v>20</v>
      </c>
      <c r="G452" s="3" t="s">
        <v>35</v>
      </c>
      <c r="H452" s="3" t="s">
        <v>48</v>
      </c>
      <c r="I452" s="3" t="n">
        <f aca="false">YEAR(E452)</f>
        <v>2025</v>
      </c>
      <c r="J452" s="3" t="n">
        <f aca="false">MONTH(E452)</f>
        <v>2</v>
      </c>
      <c r="K452" s="3" t="n">
        <f aca="false">COUNTIFS($B$2:$B$4077,B452,$C$2:$C$4077,C452,$I$2:$I$4077,I452)</f>
        <v>2</v>
      </c>
      <c r="L452" s="3" t="n">
        <f aca="false">IF(COUNTIFS($B$2:B452,B452,$C$2:C452,C452,$I$2:I452,I452)=1,1,0)</f>
        <v>1</v>
      </c>
      <c r="M452" s="3" t="n">
        <f aca="false">IF(K452&gt;=Parametri!$B$1,1,0)</f>
        <v>1</v>
      </c>
      <c r="N452" s="3" t="n">
        <f aca="false">L452*M452</f>
        <v>1</v>
      </c>
    </row>
    <row r="453" customFormat="false" ht="15" hidden="false" customHeight="false" outlineLevel="0" collapsed="false">
      <c r="A453" s="0" t="s">
        <v>879</v>
      </c>
      <c r="B453" s="0" t="s">
        <v>24</v>
      </c>
      <c r="C453" s="0" t="s">
        <v>880</v>
      </c>
      <c r="D453" s="0" t="s">
        <v>38</v>
      </c>
      <c r="E453" s="2" t="n">
        <v>45598</v>
      </c>
      <c r="F453" s="3" t="s">
        <v>20</v>
      </c>
      <c r="G453" s="3" t="s">
        <v>72</v>
      </c>
      <c r="H453" s="3" t="s">
        <v>29</v>
      </c>
      <c r="I453" s="3" t="n">
        <f aca="false">YEAR(E453)</f>
        <v>2024</v>
      </c>
      <c r="J453" s="3" t="n">
        <f aca="false">MONTH(E453)</f>
        <v>11</v>
      </c>
      <c r="K453" s="3" t="n">
        <f aca="false">COUNTIFS($B$2:$B$4077,B453,$C$2:$C$4077,C453,$I$2:$I$4077,I453)</f>
        <v>1</v>
      </c>
      <c r="L453" s="3" t="n">
        <f aca="false">IF(COUNTIFS($B$2:B453,B453,$C$2:C453,C453,$I$2:I453,I453)=1,1,0)</f>
        <v>1</v>
      </c>
      <c r="M453" s="3" t="n">
        <f aca="false">IF(K453&gt;=Parametri!$B$1,1,0)</f>
        <v>0</v>
      </c>
      <c r="N453" s="3" t="n">
        <f aca="false">L453*M453</f>
        <v>0</v>
      </c>
    </row>
    <row r="454" customFormat="false" ht="15" hidden="false" customHeight="false" outlineLevel="0" collapsed="false">
      <c r="A454" s="0" t="s">
        <v>881</v>
      </c>
      <c r="B454" s="0" t="s">
        <v>68</v>
      </c>
      <c r="C454" s="0" t="s">
        <v>438</v>
      </c>
      <c r="D454" s="0" t="s">
        <v>19</v>
      </c>
      <c r="E454" s="2" t="n">
        <v>45379</v>
      </c>
      <c r="F454" s="3" t="s">
        <v>20</v>
      </c>
      <c r="G454" s="3" t="s">
        <v>43</v>
      </c>
      <c r="H454" s="3" t="s">
        <v>29</v>
      </c>
      <c r="I454" s="3" t="n">
        <f aca="false">YEAR(E454)</f>
        <v>2024</v>
      </c>
      <c r="J454" s="3" t="n">
        <f aca="false">MONTH(E454)</f>
        <v>3</v>
      </c>
      <c r="K454" s="3" t="n">
        <f aca="false">COUNTIFS($B$2:$B$4077,B454,$C$2:$C$4077,C454,$I$2:$I$4077,I454)</f>
        <v>5</v>
      </c>
      <c r="L454" s="3" t="n">
        <f aca="false">IF(COUNTIFS($B$2:B454,B454,$C$2:C454,C454,$I$2:I454,I454)=1,1,0)</f>
        <v>0</v>
      </c>
      <c r="M454" s="3" t="n">
        <f aca="false">IF(K454&gt;=Parametri!$B$1,1,0)</f>
        <v>1</v>
      </c>
      <c r="N454" s="3" t="n">
        <f aca="false">L454*M454</f>
        <v>0</v>
      </c>
    </row>
    <row r="455" customFormat="false" ht="15" hidden="false" customHeight="false" outlineLevel="0" collapsed="false">
      <c r="A455" s="0" t="s">
        <v>882</v>
      </c>
      <c r="B455" s="0" t="s">
        <v>79</v>
      </c>
      <c r="C455" s="0" t="s">
        <v>883</v>
      </c>
      <c r="D455" s="0" t="s">
        <v>66</v>
      </c>
      <c r="E455" s="2" t="n">
        <v>45739</v>
      </c>
      <c r="F455" s="3" t="s">
        <v>34</v>
      </c>
      <c r="G455" s="3" t="s">
        <v>72</v>
      </c>
      <c r="H455" s="3" t="s">
        <v>44</v>
      </c>
      <c r="I455" s="3" t="n">
        <f aca="false">YEAR(E455)</f>
        <v>2025</v>
      </c>
      <c r="J455" s="3" t="n">
        <f aca="false">MONTH(E455)</f>
        <v>3</v>
      </c>
      <c r="K455" s="3" t="n">
        <f aca="false">COUNTIFS($B$2:$B$4077,B455,$C$2:$C$4077,C455,$I$2:$I$4077,I455)</f>
        <v>3</v>
      </c>
      <c r="L455" s="3" t="n">
        <f aca="false">IF(COUNTIFS($B$2:B455,B455,$C$2:C455,C455,$I$2:I455,I455)=1,1,0)</f>
        <v>1</v>
      </c>
      <c r="M455" s="3" t="n">
        <f aca="false">IF(K455&gt;=Parametri!$B$1,1,0)</f>
        <v>1</v>
      </c>
      <c r="N455" s="3" t="n">
        <f aca="false">L455*M455</f>
        <v>1</v>
      </c>
    </row>
    <row r="456" customFormat="false" ht="15" hidden="false" customHeight="false" outlineLevel="0" collapsed="false">
      <c r="A456" s="0" t="s">
        <v>884</v>
      </c>
      <c r="B456" s="0" t="s">
        <v>46</v>
      </c>
      <c r="C456" s="0" t="s">
        <v>885</v>
      </c>
      <c r="D456" s="0" t="s">
        <v>63</v>
      </c>
      <c r="E456" s="2" t="n">
        <v>45470</v>
      </c>
      <c r="F456" s="3" t="s">
        <v>20</v>
      </c>
      <c r="G456" s="3" t="s">
        <v>28</v>
      </c>
      <c r="H456" s="3" t="s">
        <v>44</v>
      </c>
      <c r="I456" s="3" t="n">
        <f aca="false">YEAR(E456)</f>
        <v>2024</v>
      </c>
      <c r="J456" s="3" t="n">
        <f aca="false">MONTH(E456)</f>
        <v>6</v>
      </c>
      <c r="K456" s="3" t="n">
        <f aca="false">COUNTIFS($B$2:$B$4077,B456,$C$2:$C$4077,C456,$I$2:$I$4077,I456)</f>
        <v>2</v>
      </c>
      <c r="L456" s="3" t="n">
        <f aca="false">IF(COUNTIFS($B$2:B456,B456,$C$2:C456,C456,$I$2:I456,I456)=1,1,0)</f>
        <v>1</v>
      </c>
      <c r="M456" s="3" t="n">
        <f aca="false">IF(K456&gt;=Parametri!$B$1,1,0)</f>
        <v>1</v>
      </c>
      <c r="N456" s="3" t="n">
        <f aca="false">L456*M456</f>
        <v>1</v>
      </c>
    </row>
    <row r="457" customFormat="false" ht="15" hidden="false" customHeight="false" outlineLevel="0" collapsed="false">
      <c r="A457" s="0" t="s">
        <v>886</v>
      </c>
      <c r="B457" s="0" t="s">
        <v>79</v>
      </c>
      <c r="C457" s="0" t="s">
        <v>610</v>
      </c>
      <c r="D457" s="0" t="s">
        <v>26</v>
      </c>
      <c r="E457" s="2" t="n">
        <v>45469</v>
      </c>
      <c r="F457" s="3" t="s">
        <v>20</v>
      </c>
      <c r="G457" s="3" t="s">
        <v>43</v>
      </c>
      <c r="H457" s="3" t="s">
        <v>22</v>
      </c>
      <c r="I457" s="3" t="n">
        <f aca="false">YEAR(E457)</f>
        <v>2024</v>
      </c>
      <c r="J457" s="3" t="n">
        <f aca="false">MONTH(E457)</f>
        <v>6</v>
      </c>
      <c r="K457" s="3" t="n">
        <f aca="false">COUNTIFS($B$2:$B$4077,B457,$C$2:$C$4077,C457,$I$2:$I$4077,I457)</f>
        <v>3</v>
      </c>
      <c r="L457" s="3" t="n">
        <f aca="false">IF(COUNTIFS($B$2:B457,B457,$C$2:C457,C457,$I$2:I457,I457)=1,1,0)</f>
        <v>0</v>
      </c>
      <c r="M457" s="3" t="n">
        <f aca="false">IF(K457&gt;=Parametri!$B$1,1,0)</f>
        <v>1</v>
      </c>
      <c r="N457" s="3" t="n">
        <f aca="false">L457*M457</f>
        <v>0</v>
      </c>
    </row>
    <row r="458" customFormat="false" ht="15" hidden="false" customHeight="false" outlineLevel="0" collapsed="false">
      <c r="A458" s="0" t="s">
        <v>887</v>
      </c>
      <c r="B458" s="0" t="s">
        <v>79</v>
      </c>
      <c r="C458" s="0" t="s">
        <v>299</v>
      </c>
      <c r="D458" s="0" t="s">
        <v>19</v>
      </c>
      <c r="E458" s="2" t="n">
        <v>45849</v>
      </c>
      <c r="F458" s="3" t="s">
        <v>20</v>
      </c>
      <c r="G458" s="3" t="s">
        <v>21</v>
      </c>
      <c r="H458" s="3" t="s">
        <v>44</v>
      </c>
      <c r="I458" s="3" t="n">
        <f aca="false">YEAR(E458)</f>
        <v>2025</v>
      </c>
      <c r="J458" s="3" t="n">
        <f aca="false">MONTH(E458)</f>
        <v>7</v>
      </c>
      <c r="K458" s="3" t="n">
        <f aca="false">COUNTIFS($B$2:$B$4077,B458,$C$2:$C$4077,C458,$I$2:$I$4077,I458)</f>
        <v>3</v>
      </c>
      <c r="L458" s="3" t="n">
        <f aca="false">IF(COUNTIFS($B$2:B458,B458,$C$2:C458,C458,$I$2:I458,I458)=1,1,0)</f>
        <v>0</v>
      </c>
      <c r="M458" s="3" t="n">
        <f aca="false">IF(K458&gt;=Parametri!$B$1,1,0)</f>
        <v>1</v>
      </c>
      <c r="N458" s="3" t="n">
        <f aca="false">L458*M458</f>
        <v>0</v>
      </c>
    </row>
    <row r="459" customFormat="false" ht="15" hidden="false" customHeight="false" outlineLevel="0" collapsed="false">
      <c r="A459" s="0" t="s">
        <v>888</v>
      </c>
      <c r="B459" s="0" t="s">
        <v>31</v>
      </c>
      <c r="C459" s="0" t="s">
        <v>889</v>
      </c>
      <c r="D459" s="0" t="s">
        <v>19</v>
      </c>
      <c r="E459" s="2" t="n">
        <v>45442</v>
      </c>
      <c r="F459" s="3" t="s">
        <v>20</v>
      </c>
      <c r="G459" s="3" t="s">
        <v>72</v>
      </c>
      <c r="H459" s="3" t="s">
        <v>44</v>
      </c>
      <c r="I459" s="3" t="n">
        <f aca="false">YEAR(E459)</f>
        <v>2024</v>
      </c>
      <c r="J459" s="3" t="n">
        <f aca="false">MONTH(E459)</f>
        <v>5</v>
      </c>
      <c r="K459" s="3" t="n">
        <f aca="false">COUNTIFS($B$2:$B$4077,B459,$C$2:$C$4077,C459,$I$2:$I$4077,I459)</f>
        <v>4</v>
      </c>
      <c r="L459" s="3" t="n">
        <f aca="false">IF(COUNTIFS($B$2:B459,B459,$C$2:C459,C459,$I$2:I459,I459)=1,1,0)</f>
        <v>1</v>
      </c>
      <c r="M459" s="3" t="n">
        <f aca="false">IF(K459&gt;=Parametri!$B$1,1,0)</f>
        <v>1</v>
      </c>
      <c r="N459" s="3" t="n">
        <f aca="false">L459*M459</f>
        <v>1</v>
      </c>
    </row>
    <row r="460" customFormat="false" ht="15" hidden="false" customHeight="false" outlineLevel="0" collapsed="false">
      <c r="A460" s="0" t="s">
        <v>890</v>
      </c>
      <c r="B460" s="0" t="s">
        <v>50</v>
      </c>
      <c r="C460" s="0" t="s">
        <v>891</v>
      </c>
      <c r="D460" s="0" t="s">
        <v>26</v>
      </c>
      <c r="E460" s="2" t="n">
        <v>46225</v>
      </c>
      <c r="F460" s="3" t="s">
        <v>20</v>
      </c>
      <c r="G460" s="3" t="s">
        <v>89</v>
      </c>
      <c r="H460" s="3" t="s">
        <v>44</v>
      </c>
      <c r="I460" s="3" t="n">
        <f aca="false">YEAR(E460)</f>
        <v>2026</v>
      </c>
      <c r="J460" s="3" t="n">
        <f aca="false">MONTH(E460)</f>
        <v>7</v>
      </c>
      <c r="K460" s="3" t="n">
        <f aca="false">COUNTIFS($B$2:$B$4077,B460,$C$2:$C$4077,C460,$I$2:$I$4077,I460)</f>
        <v>2</v>
      </c>
      <c r="L460" s="3" t="n">
        <f aca="false">IF(COUNTIFS($B$2:B460,B460,$C$2:C460,C460,$I$2:I460,I460)=1,1,0)</f>
        <v>1</v>
      </c>
      <c r="M460" s="3" t="n">
        <f aca="false">IF(K460&gt;=Parametri!$B$1,1,0)</f>
        <v>1</v>
      </c>
      <c r="N460" s="3" t="n">
        <f aca="false">L460*M460</f>
        <v>1</v>
      </c>
    </row>
    <row r="461" customFormat="false" ht="15" hidden="false" customHeight="false" outlineLevel="0" collapsed="false">
      <c r="A461" s="0" t="s">
        <v>892</v>
      </c>
      <c r="B461" s="0" t="s">
        <v>50</v>
      </c>
      <c r="C461" s="0" t="s">
        <v>893</v>
      </c>
      <c r="D461" s="0" t="s">
        <v>54</v>
      </c>
      <c r="E461" s="2" t="n">
        <v>46232</v>
      </c>
      <c r="F461" s="3" t="s">
        <v>20</v>
      </c>
      <c r="G461" s="3" t="s">
        <v>55</v>
      </c>
      <c r="H461" s="3" t="s">
        <v>29</v>
      </c>
      <c r="I461" s="3" t="n">
        <f aca="false">YEAR(E461)</f>
        <v>2026</v>
      </c>
      <c r="J461" s="3" t="n">
        <f aca="false">MONTH(E461)</f>
        <v>7</v>
      </c>
      <c r="K461" s="3" t="n">
        <f aca="false">COUNTIFS($B$2:$B$4077,B461,$C$2:$C$4077,C461,$I$2:$I$4077,I461)</f>
        <v>1</v>
      </c>
      <c r="L461" s="3" t="n">
        <f aca="false">IF(COUNTIFS($B$2:B461,B461,$C$2:C461,C461,$I$2:I461,I461)=1,1,0)</f>
        <v>1</v>
      </c>
      <c r="M461" s="3" t="n">
        <f aca="false">IF(K461&gt;=Parametri!$B$1,1,0)</f>
        <v>0</v>
      </c>
      <c r="N461" s="3" t="n">
        <f aca="false">L461*M461</f>
        <v>0</v>
      </c>
    </row>
    <row r="462" customFormat="false" ht="15" hidden="false" customHeight="false" outlineLevel="0" collapsed="false">
      <c r="A462" s="0" t="s">
        <v>894</v>
      </c>
      <c r="B462" s="0" t="s">
        <v>17</v>
      </c>
      <c r="C462" s="0" t="s">
        <v>552</v>
      </c>
      <c r="D462" s="0" t="s">
        <v>26</v>
      </c>
      <c r="E462" s="2" t="n">
        <v>45496</v>
      </c>
      <c r="F462" s="3" t="s">
        <v>20</v>
      </c>
      <c r="G462" s="3" t="s">
        <v>28</v>
      </c>
      <c r="H462" s="3" t="s">
        <v>44</v>
      </c>
      <c r="I462" s="3" t="n">
        <f aca="false">YEAR(E462)</f>
        <v>2024</v>
      </c>
      <c r="J462" s="3" t="n">
        <f aca="false">MONTH(E462)</f>
        <v>7</v>
      </c>
      <c r="K462" s="3" t="n">
        <f aca="false">COUNTIFS($B$2:$B$4077,B462,$C$2:$C$4077,C462,$I$2:$I$4077,I462)</f>
        <v>1</v>
      </c>
      <c r="L462" s="3" t="n">
        <f aca="false">IF(COUNTIFS($B$2:B462,B462,$C$2:C462,C462,$I$2:I462,I462)=1,1,0)</f>
        <v>1</v>
      </c>
      <c r="M462" s="3" t="n">
        <f aca="false">IF(K462&gt;=Parametri!$B$1,1,0)</f>
        <v>0</v>
      </c>
      <c r="N462" s="3" t="n">
        <f aca="false">L462*M462</f>
        <v>0</v>
      </c>
    </row>
    <row r="463" customFormat="false" ht="15" hidden="false" customHeight="false" outlineLevel="0" collapsed="false">
      <c r="A463" s="0" t="s">
        <v>895</v>
      </c>
      <c r="B463" s="0" t="s">
        <v>17</v>
      </c>
      <c r="C463" s="0" t="s">
        <v>572</v>
      </c>
      <c r="D463" s="0" t="s">
        <v>63</v>
      </c>
      <c r="E463" s="2" t="n">
        <v>45453</v>
      </c>
      <c r="F463" s="3" t="s">
        <v>27</v>
      </c>
      <c r="G463" s="3" t="s">
        <v>89</v>
      </c>
      <c r="H463" s="3" t="s">
        <v>22</v>
      </c>
      <c r="I463" s="3" t="n">
        <f aca="false">YEAR(E463)</f>
        <v>2024</v>
      </c>
      <c r="J463" s="3" t="n">
        <f aca="false">MONTH(E463)</f>
        <v>6</v>
      </c>
      <c r="K463" s="3" t="n">
        <f aca="false">COUNTIFS($B$2:$B$4077,B463,$C$2:$C$4077,C463,$I$2:$I$4077,I463)</f>
        <v>2</v>
      </c>
      <c r="L463" s="3" t="n">
        <f aca="false">IF(COUNTIFS($B$2:B463,B463,$C$2:C463,C463,$I$2:I463,I463)=1,1,0)</f>
        <v>1</v>
      </c>
      <c r="M463" s="3" t="n">
        <f aca="false">IF(K463&gt;=Parametri!$B$1,1,0)</f>
        <v>1</v>
      </c>
      <c r="N463" s="3" t="n">
        <f aca="false">L463*M463</f>
        <v>1</v>
      </c>
    </row>
    <row r="464" customFormat="false" ht="15" hidden="false" customHeight="false" outlineLevel="0" collapsed="false">
      <c r="A464" s="0" t="s">
        <v>896</v>
      </c>
      <c r="B464" s="0" t="s">
        <v>17</v>
      </c>
      <c r="C464" s="0" t="s">
        <v>897</v>
      </c>
      <c r="D464" s="0" t="s">
        <v>66</v>
      </c>
      <c r="E464" s="2" t="n">
        <v>45298</v>
      </c>
      <c r="F464" s="3" t="s">
        <v>20</v>
      </c>
      <c r="G464" s="3" t="s">
        <v>72</v>
      </c>
      <c r="H464" s="3" t="s">
        <v>29</v>
      </c>
      <c r="I464" s="3" t="n">
        <f aca="false">YEAR(E464)</f>
        <v>2024</v>
      </c>
      <c r="J464" s="3" t="n">
        <f aca="false">MONTH(E464)</f>
        <v>1</v>
      </c>
      <c r="K464" s="3" t="n">
        <f aca="false">COUNTIFS($B$2:$B$4077,B464,$C$2:$C$4077,C464,$I$2:$I$4077,I464)</f>
        <v>2</v>
      </c>
      <c r="L464" s="3" t="n">
        <f aca="false">IF(COUNTIFS($B$2:B464,B464,$C$2:C464,C464,$I$2:I464,I464)=1,1,0)</f>
        <v>1</v>
      </c>
      <c r="M464" s="3" t="n">
        <f aca="false">IF(K464&gt;=Parametri!$B$1,1,0)</f>
        <v>1</v>
      </c>
      <c r="N464" s="3" t="n">
        <f aca="false">L464*M464</f>
        <v>1</v>
      </c>
    </row>
    <row r="465" customFormat="false" ht="15" hidden="false" customHeight="false" outlineLevel="0" collapsed="false">
      <c r="A465" s="0" t="s">
        <v>898</v>
      </c>
      <c r="B465" s="0" t="s">
        <v>31</v>
      </c>
      <c r="C465" s="0" t="s">
        <v>899</v>
      </c>
      <c r="D465" s="0" t="s">
        <v>38</v>
      </c>
      <c r="E465" s="2" t="n">
        <v>45556</v>
      </c>
      <c r="F465" s="3" t="s">
        <v>34</v>
      </c>
      <c r="G465" s="3" t="s">
        <v>89</v>
      </c>
      <c r="H465" s="3" t="s">
        <v>44</v>
      </c>
      <c r="I465" s="3" t="n">
        <f aca="false">YEAR(E465)</f>
        <v>2024</v>
      </c>
      <c r="J465" s="3" t="n">
        <f aca="false">MONTH(E465)</f>
        <v>9</v>
      </c>
      <c r="K465" s="3" t="n">
        <f aca="false">COUNTIFS($B$2:$B$4077,B465,$C$2:$C$4077,C465,$I$2:$I$4077,I465)</f>
        <v>1</v>
      </c>
      <c r="L465" s="3" t="n">
        <f aca="false">IF(COUNTIFS($B$2:B465,B465,$C$2:C465,C465,$I$2:I465,I465)=1,1,0)</f>
        <v>1</v>
      </c>
      <c r="M465" s="3" t="n">
        <f aca="false">IF(K465&gt;=Parametri!$B$1,1,0)</f>
        <v>0</v>
      </c>
      <c r="N465" s="3" t="n">
        <f aca="false">L465*M465</f>
        <v>0</v>
      </c>
    </row>
    <row r="466" customFormat="false" ht="15" hidden="false" customHeight="false" outlineLevel="0" collapsed="false">
      <c r="A466" s="0" t="s">
        <v>900</v>
      </c>
      <c r="B466" s="0" t="s">
        <v>124</v>
      </c>
      <c r="C466" s="0" t="s">
        <v>901</v>
      </c>
      <c r="D466" s="0" t="s">
        <v>38</v>
      </c>
      <c r="E466" s="2" t="n">
        <v>45617</v>
      </c>
      <c r="F466" s="3" t="s">
        <v>34</v>
      </c>
      <c r="G466" s="3" t="s">
        <v>21</v>
      </c>
      <c r="H466" s="3" t="s">
        <v>48</v>
      </c>
      <c r="I466" s="3" t="n">
        <f aca="false">YEAR(E466)</f>
        <v>2024</v>
      </c>
      <c r="J466" s="3" t="n">
        <f aca="false">MONTH(E466)</f>
        <v>11</v>
      </c>
      <c r="K466" s="3" t="n">
        <f aca="false">COUNTIFS($B$2:$B$4077,B466,$C$2:$C$4077,C466,$I$2:$I$4077,I466)</f>
        <v>3</v>
      </c>
      <c r="L466" s="3" t="n">
        <f aca="false">IF(COUNTIFS($B$2:B466,B466,$C$2:C466,C466,$I$2:I466,I466)=1,1,0)</f>
        <v>1</v>
      </c>
      <c r="M466" s="3" t="n">
        <f aca="false">IF(K466&gt;=Parametri!$B$1,1,0)</f>
        <v>1</v>
      </c>
      <c r="N466" s="3" t="n">
        <f aca="false">L466*M466</f>
        <v>1</v>
      </c>
    </row>
    <row r="467" customFormat="false" ht="15" hidden="false" customHeight="false" outlineLevel="0" collapsed="false">
      <c r="A467" s="0" t="s">
        <v>902</v>
      </c>
      <c r="B467" s="0" t="s">
        <v>17</v>
      </c>
      <c r="C467" s="0" t="s">
        <v>903</v>
      </c>
      <c r="D467" s="0" t="s">
        <v>77</v>
      </c>
      <c r="E467" s="2" t="n">
        <v>45681</v>
      </c>
      <c r="F467" s="3" t="s">
        <v>27</v>
      </c>
      <c r="G467" s="3" t="s">
        <v>39</v>
      </c>
      <c r="H467" s="3" t="s">
        <v>22</v>
      </c>
      <c r="I467" s="3" t="n">
        <f aca="false">YEAR(E467)</f>
        <v>2025</v>
      </c>
      <c r="J467" s="3" t="n">
        <f aca="false">MONTH(E467)</f>
        <v>1</v>
      </c>
      <c r="K467" s="3" t="n">
        <f aca="false">COUNTIFS($B$2:$B$4077,B467,$C$2:$C$4077,C467,$I$2:$I$4077,I467)</f>
        <v>1</v>
      </c>
      <c r="L467" s="3" t="n">
        <f aca="false">IF(COUNTIFS($B$2:B467,B467,$C$2:C467,C467,$I$2:I467,I467)=1,1,0)</f>
        <v>1</v>
      </c>
      <c r="M467" s="3" t="n">
        <f aca="false">IF(K467&gt;=Parametri!$B$1,1,0)</f>
        <v>0</v>
      </c>
      <c r="N467" s="3" t="n">
        <f aca="false">L467*M467</f>
        <v>0</v>
      </c>
    </row>
    <row r="468" customFormat="false" ht="15" hidden="false" customHeight="false" outlineLevel="0" collapsed="false">
      <c r="A468" s="0" t="s">
        <v>904</v>
      </c>
      <c r="B468" s="0" t="s">
        <v>31</v>
      </c>
      <c r="C468" s="0" t="s">
        <v>905</v>
      </c>
      <c r="D468" s="0" t="s">
        <v>54</v>
      </c>
      <c r="E468" s="2" t="n">
        <v>45332</v>
      </c>
      <c r="F468" s="3" t="s">
        <v>20</v>
      </c>
      <c r="G468" s="3" t="s">
        <v>72</v>
      </c>
      <c r="H468" s="3" t="s">
        <v>48</v>
      </c>
      <c r="I468" s="3" t="n">
        <f aca="false">YEAR(E468)</f>
        <v>2024</v>
      </c>
      <c r="J468" s="3" t="n">
        <f aca="false">MONTH(E468)</f>
        <v>2</v>
      </c>
      <c r="K468" s="3" t="n">
        <f aca="false">COUNTIFS($B$2:$B$4077,B468,$C$2:$C$4077,C468,$I$2:$I$4077,I468)</f>
        <v>1</v>
      </c>
      <c r="L468" s="3" t="n">
        <f aca="false">IF(COUNTIFS($B$2:B468,B468,$C$2:C468,C468,$I$2:I468,I468)=1,1,0)</f>
        <v>1</v>
      </c>
      <c r="M468" s="3" t="n">
        <f aca="false">IF(K468&gt;=Parametri!$B$1,1,0)</f>
        <v>0</v>
      </c>
      <c r="N468" s="3" t="n">
        <f aca="false">L468*M468</f>
        <v>0</v>
      </c>
    </row>
    <row r="469" customFormat="false" ht="15" hidden="false" customHeight="false" outlineLevel="0" collapsed="false">
      <c r="A469" s="0" t="s">
        <v>906</v>
      </c>
      <c r="B469" s="0" t="s">
        <v>24</v>
      </c>
      <c r="C469" s="0" t="s">
        <v>907</v>
      </c>
      <c r="D469" s="0" t="s">
        <v>38</v>
      </c>
      <c r="E469" s="2" t="n">
        <v>45556</v>
      </c>
      <c r="F469" s="3" t="s">
        <v>20</v>
      </c>
      <c r="G469" s="3" t="s">
        <v>89</v>
      </c>
      <c r="H469" s="3" t="s">
        <v>48</v>
      </c>
      <c r="I469" s="3" t="n">
        <f aca="false">YEAR(E469)</f>
        <v>2024</v>
      </c>
      <c r="J469" s="3" t="n">
        <f aca="false">MONTH(E469)</f>
        <v>9</v>
      </c>
      <c r="K469" s="3" t="n">
        <f aca="false">COUNTIFS($B$2:$B$4077,B469,$C$2:$C$4077,C469,$I$2:$I$4077,I469)</f>
        <v>1</v>
      </c>
      <c r="L469" s="3" t="n">
        <f aca="false">IF(COUNTIFS($B$2:B469,B469,$C$2:C469,C469,$I$2:I469,I469)=1,1,0)</f>
        <v>1</v>
      </c>
      <c r="M469" s="3" t="n">
        <f aca="false">IF(K469&gt;=Parametri!$B$1,1,0)</f>
        <v>0</v>
      </c>
      <c r="N469" s="3" t="n">
        <f aca="false">L469*M469</f>
        <v>0</v>
      </c>
    </row>
    <row r="470" customFormat="false" ht="15" hidden="false" customHeight="false" outlineLevel="0" collapsed="false">
      <c r="A470" s="0" t="s">
        <v>908</v>
      </c>
      <c r="B470" s="0" t="s">
        <v>79</v>
      </c>
      <c r="C470" s="0" t="s">
        <v>909</v>
      </c>
      <c r="D470" s="0" t="s">
        <v>38</v>
      </c>
      <c r="E470" s="2" t="n">
        <v>45995</v>
      </c>
      <c r="F470" s="3" t="s">
        <v>20</v>
      </c>
      <c r="G470" s="3" t="s">
        <v>55</v>
      </c>
      <c r="H470" s="3" t="s">
        <v>22</v>
      </c>
      <c r="I470" s="3" t="n">
        <f aca="false">YEAR(E470)</f>
        <v>2025</v>
      </c>
      <c r="J470" s="3" t="n">
        <f aca="false">MONTH(E470)</f>
        <v>12</v>
      </c>
      <c r="K470" s="3" t="n">
        <f aca="false">COUNTIFS($B$2:$B$4077,B470,$C$2:$C$4077,C470,$I$2:$I$4077,I470)</f>
        <v>1</v>
      </c>
      <c r="L470" s="3" t="n">
        <f aca="false">IF(COUNTIFS($B$2:B470,B470,$C$2:C470,C470,$I$2:I470,I470)=1,1,0)</f>
        <v>1</v>
      </c>
      <c r="M470" s="3" t="n">
        <f aca="false">IF(K470&gt;=Parametri!$B$1,1,0)</f>
        <v>0</v>
      </c>
      <c r="N470" s="3" t="n">
        <f aca="false">L470*M470</f>
        <v>0</v>
      </c>
    </row>
    <row r="471" customFormat="false" ht="15" hidden="false" customHeight="false" outlineLevel="0" collapsed="false">
      <c r="A471" s="0" t="s">
        <v>910</v>
      </c>
      <c r="B471" s="0" t="s">
        <v>57</v>
      </c>
      <c r="C471" s="0" t="s">
        <v>911</v>
      </c>
      <c r="D471" s="0" t="s">
        <v>38</v>
      </c>
      <c r="E471" s="2" t="n">
        <v>45764</v>
      </c>
      <c r="F471" s="3" t="s">
        <v>20</v>
      </c>
      <c r="G471" s="3" t="s">
        <v>39</v>
      </c>
      <c r="H471" s="3" t="s">
        <v>48</v>
      </c>
      <c r="I471" s="3" t="n">
        <f aca="false">YEAR(E471)</f>
        <v>2025</v>
      </c>
      <c r="J471" s="3" t="n">
        <f aca="false">MONTH(E471)</f>
        <v>4</v>
      </c>
      <c r="K471" s="3" t="n">
        <f aca="false">COUNTIFS($B$2:$B$4077,B471,$C$2:$C$4077,C471,$I$2:$I$4077,I471)</f>
        <v>2</v>
      </c>
      <c r="L471" s="3" t="n">
        <f aca="false">IF(COUNTIFS($B$2:B471,B471,$C$2:C471,C471,$I$2:I471,I471)=1,1,0)</f>
        <v>1</v>
      </c>
      <c r="M471" s="3" t="n">
        <f aca="false">IF(K471&gt;=Parametri!$B$1,1,0)</f>
        <v>1</v>
      </c>
      <c r="N471" s="3" t="n">
        <f aca="false">L471*M471</f>
        <v>1</v>
      </c>
    </row>
    <row r="472" customFormat="false" ht="15" hidden="false" customHeight="false" outlineLevel="0" collapsed="false">
      <c r="A472" s="0" t="s">
        <v>912</v>
      </c>
      <c r="B472" s="0" t="s">
        <v>57</v>
      </c>
      <c r="C472" s="0" t="s">
        <v>216</v>
      </c>
      <c r="D472" s="0" t="s">
        <v>33</v>
      </c>
      <c r="E472" s="2" t="n">
        <v>46198</v>
      </c>
      <c r="F472" s="3" t="s">
        <v>27</v>
      </c>
      <c r="G472" s="3" t="s">
        <v>21</v>
      </c>
      <c r="H472" s="3" t="s">
        <v>22</v>
      </c>
      <c r="I472" s="3" t="n">
        <f aca="false">YEAR(E472)</f>
        <v>2026</v>
      </c>
      <c r="J472" s="3" t="n">
        <f aca="false">MONTH(E472)</f>
        <v>6</v>
      </c>
      <c r="K472" s="3" t="n">
        <f aca="false">COUNTIFS($B$2:$B$4077,B472,$C$2:$C$4077,C472,$I$2:$I$4077,I472)</f>
        <v>7</v>
      </c>
      <c r="L472" s="3" t="n">
        <f aca="false">IF(COUNTIFS($B$2:B472,B472,$C$2:C472,C472,$I$2:I472,I472)=1,1,0)</f>
        <v>0</v>
      </c>
      <c r="M472" s="3" t="n">
        <f aca="false">IF(K472&gt;=Parametri!$B$1,1,0)</f>
        <v>1</v>
      </c>
      <c r="N472" s="3" t="n">
        <f aca="false">L472*M472</f>
        <v>0</v>
      </c>
    </row>
    <row r="473" customFormat="false" ht="15" hidden="false" customHeight="false" outlineLevel="0" collapsed="false">
      <c r="A473" s="0" t="s">
        <v>913</v>
      </c>
      <c r="B473" s="0" t="s">
        <v>46</v>
      </c>
      <c r="C473" s="0" t="s">
        <v>237</v>
      </c>
      <c r="D473" s="0" t="s">
        <v>19</v>
      </c>
      <c r="E473" s="2" t="n">
        <v>45376</v>
      </c>
      <c r="F473" s="3" t="s">
        <v>20</v>
      </c>
      <c r="G473" s="3" t="s">
        <v>89</v>
      </c>
      <c r="H473" s="3" t="s">
        <v>48</v>
      </c>
      <c r="I473" s="3" t="n">
        <f aca="false">YEAR(E473)</f>
        <v>2024</v>
      </c>
      <c r="J473" s="3" t="n">
        <f aca="false">MONTH(E473)</f>
        <v>3</v>
      </c>
      <c r="K473" s="3" t="n">
        <f aca="false">COUNTIFS($B$2:$B$4077,B473,$C$2:$C$4077,C473,$I$2:$I$4077,I473)</f>
        <v>1</v>
      </c>
      <c r="L473" s="3" t="n">
        <f aca="false">IF(COUNTIFS($B$2:B473,B473,$C$2:C473,C473,$I$2:I473,I473)=1,1,0)</f>
        <v>1</v>
      </c>
      <c r="M473" s="3" t="n">
        <f aca="false">IF(K473&gt;=Parametri!$B$1,1,0)</f>
        <v>0</v>
      </c>
      <c r="N473" s="3" t="n">
        <f aca="false">L473*M473</f>
        <v>0</v>
      </c>
    </row>
    <row r="474" customFormat="false" ht="15" hidden="false" customHeight="false" outlineLevel="0" collapsed="false">
      <c r="A474" s="0" t="s">
        <v>914</v>
      </c>
      <c r="B474" s="0" t="s">
        <v>17</v>
      </c>
      <c r="C474" s="0" t="s">
        <v>915</v>
      </c>
      <c r="D474" s="0" t="s">
        <v>26</v>
      </c>
      <c r="E474" s="2" t="n">
        <v>46184</v>
      </c>
      <c r="F474" s="3" t="s">
        <v>20</v>
      </c>
      <c r="G474" s="3" t="s">
        <v>21</v>
      </c>
      <c r="H474" s="3" t="s">
        <v>22</v>
      </c>
      <c r="I474" s="3" t="n">
        <f aca="false">YEAR(E474)</f>
        <v>2026</v>
      </c>
      <c r="J474" s="3" t="n">
        <f aca="false">MONTH(E474)</f>
        <v>6</v>
      </c>
      <c r="K474" s="3" t="n">
        <f aca="false">COUNTIFS($B$2:$B$4077,B474,$C$2:$C$4077,C474,$I$2:$I$4077,I474)</f>
        <v>3</v>
      </c>
      <c r="L474" s="3" t="n">
        <f aca="false">IF(COUNTIFS($B$2:B474,B474,$C$2:C474,C474,$I$2:I474,I474)=1,1,0)</f>
        <v>1</v>
      </c>
      <c r="M474" s="3" t="n">
        <f aca="false">IF(K474&gt;=Parametri!$B$1,1,0)</f>
        <v>1</v>
      </c>
      <c r="N474" s="3" t="n">
        <f aca="false">L474*M474</f>
        <v>1</v>
      </c>
    </row>
    <row r="475" customFormat="false" ht="15" hidden="false" customHeight="false" outlineLevel="0" collapsed="false">
      <c r="A475" s="0" t="s">
        <v>916</v>
      </c>
      <c r="B475" s="0" t="s">
        <v>124</v>
      </c>
      <c r="C475" s="0" t="s">
        <v>917</v>
      </c>
      <c r="D475" s="0" t="s">
        <v>33</v>
      </c>
      <c r="E475" s="2" t="n">
        <v>46183</v>
      </c>
      <c r="F475" s="3" t="s">
        <v>20</v>
      </c>
      <c r="G475" s="3" t="s">
        <v>89</v>
      </c>
      <c r="H475" s="3" t="s">
        <v>29</v>
      </c>
      <c r="I475" s="3" t="n">
        <f aca="false">YEAR(E475)</f>
        <v>2026</v>
      </c>
      <c r="J475" s="3" t="n">
        <f aca="false">MONTH(E475)</f>
        <v>6</v>
      </c>
      <c r="K475" s="3" t="n">
        <f aca="false">COUNTIFS($B$2:$B$4077,B475,$C$2:$C$4077,C475,$I$2:$I$4077,I475)</f>
        <v>1</v>
      </c>
      <c r="L475" s="3" t="n">
        <f aca="false">IF(COUNTIFS($B$2:B475,B475,$C$2:C475,C475,$I$2:I475,I475)=1,1,0)</f>
        <v>1</v>
      </c>
      <c r="M475" s="3" t="n">
        <f aca="false">IF(K475&gt;=Parametri!$B$1,1,0)</f>
        <v>0</v>
      </c>
      <c r="N475" s="3" t="n">
        <f aca="false">L475*M475</f>
        <v>0</v>
      </c>
    </row>
    <row r="476" customFormat="false" ht="15" hidden="false" customHeight="false" outlineLevel="0" collapsed="false">
      <c r="A476" s="0" t="s">
        <v>918</v>
      </c>
      <c r="B476" s="0" t="s">
        <v>46</v>
      </c>
      <c r="C476" s="0" t="s">
        <v>919</v>
      </c>
      <c r="D476" s="0" t="s">
        <v>66</v>
      </c>
      <c r="E476" s="2" t="n">
        <v>45753</v>
      </c>
      <c r="F476" s="3" t="s">
        <v>20</v>
      </c>
      <c r="G476" s="3" t="s">
        <v>43</v>
      </c>
      <c r="H476" s="3" t="s">
        <v>29</v>
      </c>
      <c r="I476" s="3" t="n">
        <f aca="false">YEAR(E476)</f>
        <v>2025</v>
      </c>
      <c r="J476" s="3" t="n">
        <f aca="false">MONTH(E476)</f>
        <v>4</v>
      </c>
      <c r="K476" s="3" t="n">
        <f aca="false">COUNTIFS($B$2:$B$4077,B476,$C$2:$C$4077,C476,$I$2:$I$4077,I476)</f>
        <v>1</v>
      </c>
      <c r="L476" s="3" t="n">
        <f aca="false">IF(COUNTIFS($B$2:B476,B476,$C$2:C476,C476,$I$2:I476,I476)=1,1,0)</f>
        <v>1</v>
      </c>
      <c r="M476" s="3" t="n">
        <f aca="false">IF(K476&gt;=Parametri!$B$1,1,0)</f>
        <v>0</v>
      </c>
      <c r="N476" s="3" t="n">
        <f aca="false">L476*M476</f>
        <v>0</v>
      </c>
    </row>
    <row r="477" customFormat="false" ht="15" hidden="false" customHeight="false" outlineLevel="0" collapsed="false">
      <c r="A477" s="0" t="s">
        <v>920</v>
      </c>
      <c r="B477" s="0" t="s">
        <v>79</v>
      </c>
      <c r="C477" s="0" t="s">
        <v>921</v>
      </c>
      <c r="D477" s="0" t="s">
        <v>54</v>
      </c>
      <c r="E477" s="2" t="n">
        <v>45743</v>
      </c>
      <c r="F477" s="3" t="s">
        <v>27</v>
      </c>
      <c r="G477" s="3" t="s">
        <v>55</v>
      </c>
      <c r="H477" s="3" t="s">
        <v>29</v>
      </c>
      <c r="I477" s="3" t="n">
        <f aca="false">YEAR(E477)</f>
        <v>2025</v>
      </c>
      <c r="J477" s="3" t="n">
        <f aca="false">MONTH(E477)</f>
        <v>3</v>
      </c>
      <c r="K477" s="3" t="n">
        <f aca="false">COUNTIFS($B$2:$B$4077,B477,$C$2:$C$4077,C477,$I$2:$I$4077,I477)</f>
        <v>1</v>
      </c>
      <c r="L477" s="3" t="n">
        <f aca="false">IF(COUNTIFS($B$2:B477,B477,$C$2:C477,C477,$I$2:I477,I477)=1,1,0)</f>
        <v>1</v>
      </c>
      <c r="M477" s="3" t="n">
        <f aca="false">IF(K477&gt;=Parametri!$B$1,1,0)</f>
        <v>0</v>
      </c>
      <c r="N477" s="3" t="n">
        <f aca="false">L477*M477</f>
        <v>0</v>
      </c>
    </row>
    <row r="478" customFormat="false" ht="15" hidden="false" customHeight="false" outlineLevel="0" collapsed="false">
      <c r="A478" s="0" t="s">
        <v>922</v>
      </c>
      <c r="B478" s="0" t="s">
        <v>24</v>
      </c>
      <c r="C478" s="0" t="s">
        <v>770</v>
      </c>
      <c r="D478" s="0" t="s">
        <v>54</v>
      </c>
      <c r="E478" s="2" t="n">
        <v>46000</v>
      </c>
      <c r="F478" s="3" t="s">
        <v>27</v>
      </c>
      <c r="G478" s="3" t="s">
        <v>35</v>
      </c>
      <c r="H478" s="3" t="s">
        <v>48</v>
      </c>
      <c r="I478" s="3" t="n">
        <f aca="false">YEAR(E478)</f>
        <v>2025</v>
      </c>
      <c r="J478" s="3" t="n">
        <f aca="false">MONTH(E478)</f>
        <v>12</v>
      </c>
      <c r="K478" s="3" t="n">
        <f aca="false">COUNTIFS($B$2:$B$4077,B478,$C$2:$C$4077,C478,$I$2:$I$4077,I478)</f>
        <v>1</v>
      </c>
      <c r="L478" s="3" t="n">
        <f aca="false">IF(COUNTIFS($B$2:B478,B478,$C$2:C478,C478,$I$2:I478,I478)=1,1,0)</f>
        <v>1</v>
      </c>
      <c r="M478" s="3" t="n">
        <f aca="false">IF(K478&gt;=Parametri!$B$1,1,0)</f>
        <v>0</v>
      </c>
      <c r="N478" s="3" t="n">
        <f aca="false">L478*M478</f>
        <v>0</v>
      </c>
    </row>
    <row r="479" customFormat="false" ht="15" hidden="false" customHeight="false" outlineLevel="0" collapsed="false">
      <c r="A479" s="0" t="s">
        <v>923</v>
      </c>
      <c r="B479" s="0" t="s">
        <v>124</v>
      </c>
      <c r="C479" s="0" t="s">
        <v>290</v>
      </c>
      <c r="D479" s="0" t="s">
        <v>38</v>
      </c>
      <c r="E479" s="2" t="n">
        <v>46201</v>
      </c>
      <c r="F479" s="3" t="s">
        <v>27</v>
      </c>
      <c r="G479" s="3" t="s">
        <v>55</v>
      </c>
      <c r="H479" s="3" t="s">
        <v>44</v>
      </c>
      <c r="I479" s="3" t="n">
        <f aca="false">YEAR(E479)</f>
        <v>2026</v>
      </c>
      <c r="J479" s="3" t="n">
        <f aca="false">MONTH(E479)</f>
        <v>6</v>
      </c>
      <c r="K479" s="3" t="n">
        <f aca="false">COUNTIFS($B$2:$B$4077,B479,$C$2:$C$4077,C479,$I$2:$I$4077,I479)</f>
        <v>2</v>
      </c>
      <c r="L479" s="3" t="n">
        <f aca="false">IF(COUNTIFS($B$2:B479,B479,$C$2:C479,C479,$I$2:I479,I479)=1,1,0)</f>
        <v>1</v>
      </c>
      <c r="M479" s="3" t="n">
        <f aca="false">IF(K479&gt;=Parametri!$B$1,1,0)</f>
        <v>1</v>
      </c>
      <c r="N479" s="3" t="n">
        <f aca="false">L479*M479</f>
        <v>1</v>
      </c>
    </row>
    <row r="480" customFormat="false" ht="15" hidden="false" customHeight="false" outlineLevel="0" collapsed="false">
      <c r="A480" s="0" t="s">
        <v>924</v>
      </c>
      <c r="B480" s="0" t="s">
        <v>41</v>
      </c>
      <c r="C480" s="0" t="s">
        <v>427</v>
      </c>
      <c r="D480" s="0" t="s">
        <v>38</v>
      </c>
      <c r="E480" s="2" t="n">
        <v>45516</v>
      </c>
      <c r="F480" s="3" t="s">
        <v>20</v>
      </c>
      <c r="G480" s="3" t="s">
        <v>35</v>
      </c>
      <c r="H480" s="3" t="s">
        <v>29</v>
      </c>
      <c r="I480" s="3" t="n">
        <f aca="false">YEAR(E480)</f>
        <v>2024</v>
      </c>
      <c r="J480" s="3" t="n">
        <f aca="false">MONTH(E480)</f>
        <v>8</v>
      </c>
      <c r="K480" s="3" t="n">
        <f aca="false">COUNTIFS($B$2:$B$4077,B480,$C$2:$C$4077,C480,$I$2:$I$4077,I480)</f>
        <v>1</v>
      </c>
      <c r="L480" s="3" t="n">
        <f aca="false">IF(COUNTIFS($B$2:B480,B480,$C$2:C480,C480,$I$2:I480,I480)=1,1,0)</f>
        <v>1</v>
      </c>
      <c r="M480" s="3" t="n">
        <f aca="false">IF(K480&gt;=Parametri!$B$1,1,0)</f>
        <v>0</v>
      </c>
      <c r="N480" s="3" t="n">
        <f aca="false">L480*M480</f>
        <v>0</v>
      </c>
    </row>
    <row r="481" customFormat="false" ht="15" hidden="false" customHeight="false" outlineLevel="0" collapsed="false">
      <c r="A481" s="0" t="s">
        <v>925</v>
      </c>
      <c r="B481" s="0" t="s">
        <v>46</v>
      </c>
      <c r="C481" s="0" t="s">
        <v>926</v>
      </c>
      <c r="D481" s="0" t="s">
        <v>54</v>
      </c>
      <c r="E481" s="2" t="n">
        <v>45599</v>
      </c>
      <c r="F481" s="3" t="s">
        <v>34</v>
      </c>
      <c r="G481" s="3" t="s">
        <v>104</v>
      </c>
      <c r="H481" s="3" t="s">
        <v>104</v>
      </c>
      <c r="I481" s="3" t="n">
        <f aca="false">YEAR(E481)</f>
        <v>2024</v>
      </c>
      <c r="J481" s="3" t="n">
        <f aca="false">MONTH(E481)</f>
        <v>11</v>
      </c>
      <c r="K481" s="3" t="n">
        <f aca="false">COUNTIFS($B$2:$B$4077,B481,$C$2:$C$4077,C481,$I$2:$I$4077,I481)</f>
        <v>1</v>
      </c>
      <c r="L481" s="3" t="n">
        <f aca="false">IF(COUNTIFS($B$2:B481,B481,$C$2:C481,C481,$I$2:I481,I481)=1,1,0)</f>
        <v>1</v>
      </c>
      <c r="M481" s="3" t="n">
        <f aca="false">IF(K481&gt;=Parametri!$B$1,1,0)</f>
        <v>0</v>
      </c>
      <c r="N481" s="3" t="n">
        <f aca="false">L481*M481</f>
        <v>0</v>
      </c>
    </row>
    <row r="482" customFormat="false" ht="15" hidden="false" customHeight="false" outlineLevel="0" collapsed="false">
      <c r="A482" s="0" t="s">
        <v>927</v>
      </c>
      <c r="B482" s="0" t="s">
        <v>31</v>
      </c>
      <c r="C482" s="0" t="s">
        <v>630</v>
      </c>
      <c r="D482" s="0" t="s">
        <v>54</v>
      </c>
      <c r="E482" s="2" t="n">
        <v>45987</v>
      </c>
      <c r="F482" s="3" t="s">
        <v>20</v>
      </c>
      <c r="G482" s="3" t="s">
        <v>28</v>
      </c>
      <c r="H482" s="3" t="s">
        <v>44</v>
      </c>
      <c r="I482" s="3" t="n">
        <f aca="false">YEAR(E482)</f>
        <v>2025</v>
      </c>
      <c r="J482" s="3" t="n">
        <f aca="false">MONTH(E482)</f>
        <v>11</v>
      </c>
      <c r="K482" s="3" t="n">
        <f aca="false">COUNTIFS($B$2:$B$4077,B482,$C$2:$C$4077,C482,$I$2:$I$4077,I482)</f>
        <v>1</v>
      </c>
      <c r="L482" s="3" t="n">
        <f aca="false">IF(COUNTIFS($B$2:B482,B482,$C$2:C482,C482,$I$2:I482,I482)=1,1,0)</f>
        <v>1</v>
      </c>
      <c r="M482" s="3" t="n">
        <f aca="false">IF(K482&gt;=Parametri!$B$1,1,0)</f>
        <v>0</v>
      </c>
      <c r="N482" s="3" t="n">
        <f aca="false">L482*M482</f>
        <v>0</v>
      </c>
    </row>
    <row r="483" customFormat="false" ht="15" hidden="false" customHeight="false" outlineLevel="0" collapsed="false">
      <c r="A483" s="0" t="s">
        <v>928</v>
      </c>
      <c r="B483" s="0" t="s">
        <v>124</v>
      </c>
      <c r="C483" s="0" t="s">
        <v>929</v>
      </c>
      <c r="D483" s="0" t="s">
        <v>38</v>
      </c>
      <c r="E483" s="2" t="n">
        <v>45728</v>
      </c>
      <c r="F483" s="3" t="s">
        <v>20</v>
      </c>
      <c r="G483" s="3" t="s">
        <v>35</v>
      </c>
      <c r="H483" s="3" t="s">
        <v>22</v>
      </c>
      <c r="I483" s="3" t="n">
        <f aca="false">YEAR(E483)</f>
        <v>2025</v>
      </c>
      <c r="J483" s="3" t="n">
        <f aca="false">MONTH(E483)</f>
        <v>3</v>
      </c>
      <c r="K483" s="3" t="n">
        <f aca="false">COUNTIFS($B$2:$B$4077,B483,$C$2:$C$4077,C483,$I$2:$I$4077,I483)</f>
        <v>3</v>
      </c>
      <c r="L483" s="3" t="n">
        <f aca="false">IF(COUNTIFS($B$2:B483,B483,$C$2:C483,C483,$I$2:I483,I483)=1,1,0)</f>
        <v>1</v>
      </c>
      <c r="M483" s="3" t="n">
        <f aca="false">IF(K483&gt;=Parametri!$B$1,1,0)</f>
        <v>1</v>
      </c>
      <c r="N483" s="3" t="n">
        <f aca="false">L483*M483</f>
        <v>1</v>
      </c>
    </row>
    <row r="484" customFormat="false" ht="15" hidden="false" customHeight="false" outlineLevel="0" collapsed="false">
      <c r="A484" s="0" t="s">
        <v>930</v>
      </c>
      <c r="B484" s="0" t="s">
        <v>79</v>
      </c>
      <c r="C484" s="0" t="s">
        <v>931</v>
      </c>
      <c r="D484" s="0" t="s">
        <v>26</v>
      </c>
      <c r="E484" s="2" t="n">
        <v>45883</v>
      </c>
      <c r="F484" s="3" t="s">
        <v>20</v>
      </c>
      <c r="G484" s="3" t="s">
        <v>21</v>
      </c>
      <c r="H484" s="3" t="s">
        <v>22</v>
      </c>
      <c r="I484" s="3" t="n">
        <f aca="false">YEAR(E484)</f>
        <v>2025</v>
      </c>
      <c r="J484" s="3" t="n">
        <f aca="false">MONTH(E484)</f>
        <v>8</v>
      </c>
      <c r="K484" s="3" t="n">
        <f aca="false">COUNTIFS($B$2:$B$4077,B484,$C$2:$C$4077,C484,$I$2:$I$4077,I484)</f>
        <v>5</v>
      </c>
      <c r="L484" s="3" t="n">
        <f aca="false">IF(COUNTIFS($B$2:B484,B484,$C$2:C484,C484,$I$2:I484,I484)=1,1,0)</f>
        <v>1</v>
      </c>
      <c r="M484" s="3" t="n">
        <f aca="false">IF(K484&gt;=Parametri!$B$1,1,0)</f>
        <v>1</v>
      </c>
      <c r="N484" s="3" t="n">
        <f aca="false">L484*M484</f>
        <v>1</v>
      </c>
    </row>
    <row r="485" customFormat="false" ht="15" hidden="false" customHeight="false" outlineLevel="0" collapsed="false">
      <c r="A485" s="0" t="s">
        <v>932</v>
      </c>
      <c r="B485" s="0" t="s">
        <v>50</v>
      </c>
      <c r="C485" s="0" t="s">
        <v>933</v>
      </c>
      <c r="D485" s="0" t="s">
        <v>54</v>
      </c>
      <c r="E485" s="2" t="n">
        <v>46142</v>
      </c>
      <c r="F485" s="3" t="s">
        <v>20</v>
      </c>
      <c r="G485" s="3" t="s">
        <v>39</v>
      </c>
      <c r="H485" s="3" t="s">
        <v>48</v>
      </c>
      <c r="I485" s="3" t="n">
        <f aca="false">YEAR(E485)</f>
        <v>2026</v>
      </c>
      <c r="J485" s="3" t="n">
        <f aca="false">MONTH(E485)</f>
        <v>4</v>
      </c>
      <c r="K485" s="3" t="n">
        <f aca="false">COUNTIFS($B$2:$B$4077,B485,$C$2:$C$4077,C485,$I$2:$I$4077,I485)</f>
        <v>1</v>
      </c>
      <c r="L485" s="3" t="n">
        <f aca="false">IF(COUNTIFS($B$2:B485,B485,$C$2:C485,C485,$I$2:I485,I485)=1,1,0)</f>
        <v>1</v>
      </c>
      <c r="M485" s="3" t="n">
        <f aca="false">IF(K485&gt;=Parametri!$B$1,1,0)</f>
        <v>0</v>
      </c>
      <c r="N485" s="3" t="n">
        <f aca="false">L485*M485</f>
        <v>0</v>
      </c>
    </row>
    <row r="486" customFormat="false" ht="15" hidden="false" customHeight="false" outlineLevel="0" collapsed="false">
      <c r="A486" s="0" t="s">
        <v>934</v>
      </c>
      <c r="B486" s="0" t="s">
        <v>57</v>
      </c>
      <c r="C486" s="0" t="s">
        <v>147</v>
      </c>
      <c r="D486" s="0" t="s">
        <v>54</v>
      </c>
      <c r="E486" s="2" t="n">
        <v>46033</v>
      </c>
      <c r="F486" s="3" t="s">
        <v>20</v>
      </c>
      <c r="G486" s="3" t="s">
        <v>28</v>
      </c>
      <c r="H486" s="3" t="s">
        <v>29</v>
      </c>
      <c r="I486" s="3" t="n">
        <f aca="false">YEAR(E486)</f>
        <v>2026</v>
      </c>
      <c r="J486" s="3" t="n">
        <f aca="false">MONTH(E486)</f>
        <v>1</v>
      </c>
      <c r="K486" s="3" t="n">
        <f aca="false">COUNTIFS($B$2:$B$4077,B486,$C$2:$C$4077,C486,$I$2:$I$4077,I486)</f>
        <v>1</v>
      </c>
      <c r="L486" s="3" t="n">
        <f aca="false">IF(COUNTIFS($B$2:B486,B486,$C$2:C486,C486,$I$2:I486,I486)=1,1,0)</f>
        <v>1</v>
      </c>
      <c r="M486" s="3" t="n">
        <f aca="false">IF(K486&gt;=Parametri!$B$1,1,0)</f>
        <v>0</v>
      </c>
      <c r="N486" s="3" t="n">
        <f aca="false">L486*M486</f>
        <v>0</v>
      </c>
    </row>
    <row r="487" customFormat="false" ht="15" hidden="false" customHeight="false" outlineLevel="0" collapsed="false">
      <c r="A487" s="0" t="s">
        <v>935</v>
      </c>
      <c r="B487" s="0" t="s">
        <v>68</v>
      </c>
      <c r="C487" s="0" t="s">
        <v>936</v>
      </c>
      <c r="D487" s="0" t="s">
        <v>19</v>
      </c>
      <c r="E487" s="2" t="n">
        <v>45759</v>
      </c>
      <c r="F487" s="3" t="s">
        <v>27</v>
      </c>
      <c r="G487" s="3" t="s">
        <v>55</v>
      </c>
      <c r="H487" s="3" t="s">
        <v>48</v>
      </c>
      <c r="I487" s="3" t="n">
        <f aca="false">YEAR(E487)</f>
        <v>2025</v>
      </c>
      <c r="J487" s="3" t="n">
        <f aca="false">MONTH(E487)</f>
        <v>4</v>
      </c>
      <c r="K487" s="3" t="n">
        <f aca="false">COUNTIFS($B$2:$B$4077,B487,$C$2:$C$4077,C487,$I$2:$I$4077,I487)</f>
        <v>2</v>
      </c>
      <c r="L487" s="3" t="n">
        <f aca="false">IF(COUNTIFS($B$2:B487,B487,$C$2:C487,C487,$I$2:I487,I487)=1,1,0)</f>
        <v>1</v>
      </c>
      <c r="M487" s="3" t="n">
        <f aca="false">IF(K487&gt;=Parametri!$B$1,1,0)</f>
        <v>1</v>
      </c>
      <c r="N487" s="3" t="n">
        <f aca="false">L487*M487</f>
        <v>1</v>
      </c>
    </row>
    <row r="488" customFormat="false" ht="15" hidden="false" customHeight="false" outlineLevel="0" collapsed="false">
      <c r="A488" s="0" t="s">
        <v>937</v>
      </c>
      <c r="B488" s="0" t="s">
        <v>68</v>
      </c>
      <c r="C488" s="0" t="s">
        <v>563</v>
      </c>
      <c r="D488" s="0" t="s">
        <v>77</v>
      </c>
      <c r="E488" s="2" t="n">
        <v>45408</v>
      </c>
      <c r="F488" s="3" t="s">
        <v>34</v>
      </c>
      <c r="G488" s="3" t="s">
        <v>35</v>
      </c>
      <c r="H488" s="3" t="s">
        <v>48</v>
      </c>
      <c r="I488" s="3" t="n">
        <f aca="false">YEAR(E488)</f>
        <v>2024</v>
      </c>
      <c r="J488" s="3" t="n">
        <f aca="false">MONTH(E488)</f>
        <v>4</v>
      </c>
      <c r="K488" s="3" t="n">
        <f aca="false">COUNTIFS($B$2:$B$4077,B488,$C$2:$C$4077,C488,$I$2:$I$4077,I488)</f>
        <v>2</v>
      </c>
      <c r="L488" s="3" t="n">
        <f aca="false">IF(COUNTIFS($B$2:B488,B488,$C$2:C488,C488,$I$2:I488,I488)=1,1,0)</f>
        <v>0</v>
      </c>
      <c r="M488" s="3" t="n">
        <f aca="false">IF(K488&gt;=Parametri!$B$1,1,0)</f>
        <v>1</v>
      </c>
      <c r="N488" s="3" t="n">
        <f aca="false">L488*M488</f>
        <v>0</v>
      </c>
    </row>
    <row r="489" customFormat="false" ht="15" hidden="false" customHeight="false" outlineLevel="0" collapsed="false">
      <c r="A489" s="0" t="s">
        <v>938</v>
      </c>
      <c r="B489" s="0" t="s">
        <v>124</v>
      </c>
      <c r="C489" s="0" t="s">
        <v>939</v>
      </c>
      <c r="D489" s="0" t="s">
        <v>33</v>
      </c>
      <c r="E489" s="2" t="n">
        <v>45750</v>
      </c>
      <c r="F489" s="3" t="s">
        <v>27</v>
      </c>
      <c r="G489" s="3" t="s">
        <v>89</v>
      </c>
      <c r="H489" s="3" t="s">
        <v>29</v>
      </c>
      <c r="I489" s="3" t="n">
        <f aca="false">YEAR(E489)</f>
        <v>2025</v>
      </c>
      <c r="J489" s="3" t="n">
        <f aca="false">MONTH(E489)</f>
        <v>4</v>
      </c>
      <c r="K489" s="3" t="n">
        <f aca="false">COUNTIFS($B$2:$B$4077,B489,$C$2:$C$4077,C489,$I$2:$I$4077,I489)</f>
        <v>4</v>
      </c>
      <c r="L489" s="3" t="n">
        <f aca="false">IF(COUNTIFS($B$2:B489,B489,$C$2:C489,C489,$I$2:I489,I489)=1,1,0)</f>
        <v>1</v>
      </c>
      <c r="M489" s="3" t="n">
        <f aca="false">IF(K489&gt;=Parametri!$B$1,1,0)</f>
        <v>1</v>
      </c>
      <c r="N489" s="3" t="n">
        <f aca="false">L489*M489</f>
        <v>1</v>
      </c>
    </row>
    <row r="490" customFormat="false" ht="15" hidden="false" customHeight="false" outlineLevel="0" collapsed="false">
      <c r="A490" s="0" t="s">
        <v>940</v>
      </c>
      <c r="B490" s="0" t="s">
        <v>17</v>
      </c>
      <c r="C490" s="0" t="s">
        <v>145</v>
      </c>
      <c r="D490" s="0" t="s">
        <v>63</v>
      </c>
      <c r="E490" s="2" t="n">
        <v>45985</v>
      </c>
      <c r="F490" s="3" t="s">
        <v>27</v>
      </c>
      <c r="G490" s="3" t="s">
        <v>55</v>
      </c>
      <c r="H490" s="3" t="s">
        <v>48</v>
      </c>
      <c r="I490" s="3" t="n">
        <f aca="false">YEAR(E490)</f>
        <v>2025</v>
      </c>
      <c r="J490" s="3" t="n">
        <f aca="false">MONTH(E490)</f>
        <v>11</v>
      </c>
      <c r="K490" s="3" t="n">
        <f aca="false">COUNTIFS($B$2:$B$4077,B490,$C$2:$C$4077,C490,$I$2:$I$4077,I490)</f>
        <v>2</v>
      </c>
      <c r="L490" s="3" t="n">
        <f aca="false">IF(COUNTIFS($B$2:B490,B490,$C$2:C490,C490,$I$2:I490,I490)=1,1,0)</f>
        <v>0</v>
      </c>
      <c r="M490" s="3" t="n">
        <f aca="false">IF(K490&gt;=Parametri!$B$1,1,0)</f>
        <v>1</v>
      </c>
      <c r="N490" s="3" t="n">
        <f aca="false">L490*M490</f>
        <v>0</v>
      </c>
    </row>
    <row r="491" customFormat="false" ht="15" hidden="false" customHeight="false" outlineLevel="0" collapsed="false">
      <c r="A491" s="0" t="s">
        <v>941</v>
      </c>
      <c r="B491" s="0" t="s">
        <v>50</v>
      </c>
      <c r="C491" s="0" t="s">
        <v>942</v>
      </c>
      <c r="D491" s="0" t="s">
        <v>26</v>
      </c>
      <c r="E491" s="2" t="n">
        <v>45850</v>
      </c>
      <c r="F491" s="3" t="s">
        <v>20</v>
      </c>
      <c r="G491" s="3" t="s">
        <v>28</v>
      </c>
      <c r="H491" s="3" t="s">
        <v>29</v>
      </c>
      <c r="I491" s="3" t="n">
        <f aca="false">YEAR(E491)</f>
        <v>2025</v>
      </c>
      <c r="J491" s="3" t="n">
        <f aca="false">MONTH(E491)</f>
        <v>7</v>
      </c>
      <c r="K491" s="3" t="n">
        <f aca="false">COUNTIFS($B$2:$B$4077,B491,$C$2:$C$4077,C491,$I$2:$I$4077,I491)</f>
        <v>7</v>
      </c>
      <c r="L491" s="3" t="n">
        <f aca="false">IF(COUNTIFS($B$2:B491,B491,$C$2:C491,C491,$I$2:I491,I491)=1,1,0)</f>
        <v>1</v>
      </c>
      <c r="M491" s="3" t="n">
        <f aca="false">IF(K491&gt;=Parametri!$B$1,1,0)</f>
        <v>1</v>
      </c>
      <c r="N491" s="3" t="n">
        <f aca="false">L491*M491</f>
        <v>1</v>
      </c>
    </row>
    <row r="492" customFormat="false" ht="15" hidden="false" customHeight="false" outlineLevel="0" collapsed="false">
      <c r="A492" s="0" t="s">
        <v>943</v>
      </c>
      <c r="B492" s="0" t="s">
        <v>17</v>
      </c>
      <c r="C492" s="0" t="s">
        <v>944</v>
      </c>
      <c r="D492" s="0" t="s">
        <v>54</v>
      </c>
      <c r="E492" s="2" t="n">
        <v>45784</v>
      </c>
      <c r="F492" s="3" t="s">
        <v>27</v>
      </c>
      <c r="G492" s="3" t="s">
        <v>28</v>
      </c>
      <c r="H492" s="3" t="s">
        <v>29</v>
      </c>
      <c r="I492" s="3" t="n">
        <f aca="false">YEAR(E492)</f>
        <v>2025</v>
      </c>
      <c r="J492" s="3" t="n">
        <f aca="false">MONTH(E492)</f>
        <v>5</v>
      </c>
      <c r="K492" s="3" t="n">
        <f aca="false">COUNTIFS($B$2:$B$4077,B492,$C$2:$C$4077,C492,$I$2:$I$4077,I492)</f>
        <v>1</v>
      </c>
      <c r="L492" s="3" t="n">
        <f aca="false">IF(COUNTIFS($B$2:B492,B492,$C$2:C492,C492,$I$2:I492,I492)=1,1,0)</f>
        <v>1</v>
      </c>
      <c r="M492" s="3" t="n">
        <f aca="false">IF(K492&gt;=Parametri!$B$1,1,0)</f>
        <v>0</v>
      </c>
      <c r="N492" s="3" t="n">
        <f aca="false">L492*M492</f>
        <v>0</v>
      </c>
    </row>
    <row r="493" customFormat="false" ht="15" hidden="false" customHeight="false" outlineLevel="0" collapsed="false">
      <c r="A493" s="0" t="s">
        <v>945</v>
      </c>
      <c r="B493" s="0" t="s">
        <v>46</v>
      </c>
      <c r="C493" s="0" t="s">
        <v>495</v>
      </c>
      <c r="D493" s="0" t="s">
        <v>77</v>
      </c>
      <c r="E493" s="2" t="n">
        <v>45930</v>
      </c>
      <c r="F493" s="3" t="s">
        <v>27</v>
      </c>
      <c r="G493" s="3" t="s">
        <v>89</v>
      </c>
      <c r="H493" s="3" t="s">
        <v>22</v>
      </c>
      <c r="I493" s="3" t="n">
        <f aca="false">YEAR(E493)</f>
        <v>2025</v>
      </c>
      <c r="J493" s="3" t="n">
        <f aca="false">MONTH(E493)</f>
        <v>9</v>
      </c>
      <c r="K493" s="3" t="n">
        <f aca="false">COUNTIFS($B$2:$B$4077,B493,$C$2:$C$4077,C493,$I$2:$I$4077,I493)</f>
        <v>1</v>
      </c>
      <c r="L493" s="3" t="n">
        <f aca="false">IF(COUNTIFS($B$2:B493,B493,$C$2:C493,C493,$I$2:I493,I493)=1,1,0)</f>
        <v>1</v>
      </c>
      <c r="M493" s="3" t="n">
        <f aca="false">IF(K493&gt;=Parametri!$B$1,1,0)</f>
        <v>0</v>
      </c>
      <c r="N493" s="3" t="n">
        <f aca="false">L493*M493</f>
        <v>0</v>
      </c>
    </row>
    <row r="494" customFormat="false" ht="15" hidden="false" customHeight="false" outlineLevel="0" collapsed="false">
      <c r="A494" s="0" t="s">
        <v>946</v>
      </c>
      <c r="B494" s="0" t="s">
        <v>24</v>
      </c>
      <c r="C494" s="0" t="s">
        <v>82</v>
      </c>
      <c r="D494" s="0" t="s">
        <v>54</v>
      </c>
      <c r="E494" s="2" t="n">
        <v>45614</v>
      </c>
      <c r="F494" s="3" t="s">
        <v>20</v>
      </c>
      <c r="G494" s="3" t="s">
        <v>35</v>
      </c>
      <c r="H494" s="3" t="s">
        <v>48</v>
      </c>
      <c r="I494" s="3" t="n">
        <f aca="false">YEAR(E494)</f>
        <v>2024</v>
      </c>
      <c r="J494" s="3" t="n">
        <f aca="false">MONTH(E494)</f>
        <v>11</v>
      </c>
      <c r="K494" s="3" t="n">
        <f aca="false">COUNTIFS($B$2:$B$4077,B494,$C$2:$C$4077,C494,$I$2:$I$4077,I494)</f>
        <v>6</v>
      </c>
      <c r="L494" s="3" t="n">
        <f aca="false">IF(COUNTIFS($B$2:B494,B494,$C$2:C494,C494,$I$2:I494,I494)=1,1,0)</f>
        <v>1</v>
      </c>
      <c r="M494" s="3" t="n">
        <f aca="false">IF(K494&gt;=Parametri!$B$1,1,0)</f>
        <v>1</v>
      </c>
      <c r="N494" s="3" t="n">
        <f aca="false">L494*M494</f>
        <v>1</v>
      </c>
    </row>
    <row r="495" customFormat="false" ht="15" hidden="false" customHeight="false" outlineLevel="0" collapsed="false">
      <c r="A495" s="0" t="s">
        <v>947</v>
      </c>
      <c r="B495" s="0" t="s">
        <v>124</v>
      </c>
      <c r="C495" s="0" t="s">
        <v>948</v>
      </c>
      <c r="D495" s="0" t="s">
        <v>38</v>
      </c>
      <c r="E495" s="2" t="n">
        <v>45891</v>
      </c>
      <c r="F495" s="3" t="s">
        <v>27</v>
      </c>
      <c r="G495" s="3" t="s">
        <v>21</v>
      </c>
      <c r="H495" s="3" t="s">
        <v>44</v>
      </c>
      <c r="I495" s="3" t="n">
        <f aca="false">YEAR(E495)</f>
        <v>2025</v>
      </c>
      <c r="J495" s="3" t="n">
        <f aca="false">MONTH(E495)</f>
        <v>8</v>
      </c>
      <c r="K495" s="3" t="n">
        <f aca="false">COUNTIFS($B$2:$B$4077,B495,$C$2:$C$4077,C495,$I$2:$I$4077,I495)</f>
        <v>2</v>
      </c>
      <c r="L495" s="3" t="n">
        <f aca="false">IF(COUNTIFS($B$2:B495,B495,$C$2:C495,C495,$I$2:I495,I495)=1,1,0)</f>
        <v>1</v>
      </c>
      <c r="M495" s="3" t="n">
        <f aca="false">IF(K495&gt;=Parametri!$B$1,1,0)</f>
        <v>1</v>
      </c>
      <c r="N495" s="3" t="n">
        <f aca="false">L495*M495</f>
        <v>1</v>
      </c>
    </row>
    <row r="496" customFormat="false" ht="15" hidden="false" customHeight="false" outlineLevel="0" collapsed="false">
      <c r="A496" s="0" t="s">
        <v>949</v>
      </c>
      <c r="B496" s="0" t="s">
        <v>124</v>
      </c>
      <c r="C496" s="0" t="s">
        <v>950</v>
      </c>
      <c r="D496" s="0" t="s">
        <v>63</v>
      </c>
      <c r="E496" s="2" t="n">
        <v>45781</v>
      </c>
      <c r="F496" s="3" t="s">
        <v>20</v>
      </c>
      <c r="G496" s="3" t="s">
        <v>21</v>
      </c>
      <c r="H496" s="3" t="s">
        <v>22</v>
      </c>
      <c r="I496" s="3" t="n">
        <f aca="false">YEAR(E496)</f>
        <v>2025</v>
      </c>
      <c r="J496" s="3" t="n">
        <f aca="false">MONTH(E496)</f>
        <v>5</v>
      </c>
      <c r="K496" s="3" t="n">
        <f aca="false">COUNTIFS($B$2:$B$4077,B496,$C$2:$C$4077,C496,$I$2:$I$4077,I496)</f>
        <v>2</v>
      </c>
      <c r="L496" s="3" t="n">
        <f aca="false">IF(COUNTIFS($B$2:B496,B496,$C$2:C496,C496,$I$2:I496,I496)=1,1,0)</f>
        <v>1</v>
      </c>
      <c r="M496" s="3" t="n">
        <f aca="false">IF(K496&gt;=Parametri!$B$1,1,0)</f>
        <v>1</v>
      </c>
      <c r="N496" s="3" t="n">
        <f aca="false">L496*M496</f>
        <v>1</v>
      </c>
    </row>
    <row r="497" customFormat="false" ht="15" hidden="false" customHeight="false" outlineLevel="0" collapsed="false">
      <c r="A497" s="0" t="s">
        <v>951</v>
      </c>
      <c r="B497" s="0" t="s">
        <v>50</v>
      </c>
      <c r="C497" s="0" t="s">
        <v>952</v>
      </c>
      <c r="D497" s="0" t="s">
        <v>63</v>
      </c>
      <c r="E497" s="2" t="n">
        <v>45924</v>
      </c>
      <c r="F497" s="3" t="s">
        <v>20</v>
      </c>
      <c r="G497" s="3" t="s">
        <v>55</v>
      </c>
      <c r="H497" s="3" t="s">
        <v>29</v>
      </c>
      <c r="I497" s="3" t="n">
        <f aca="false">YEAR(E497)</f>
        <v>2025</v>
      </c>
      <c r="J497" s="3" t="n">
        <f aca="false">MONTH(E497)</f>
        <v>9</v>
      </c>
      <c r="K497" s="3" t="n">
        <f aca="false">COUNTIFS($B$2:$B$4077,B497,$C$2:$C$4077,C497,$I$2:$I$4077,I497)</f>
        <v>3</v>
      </c>
      <c r="L497" s="3" t="n">
        <f aca="false">IF(COUNTIFS($B$2:B497,B497,$C$2:C497,C497,$I$2:I497,I497)=1,1,0)</f>
        <v>1</v>
      </c>
      <c r="M497" s="3" t="n">
        <f aca="false">IF(K497&gt;=Parametri!$B$1,1,0)</f>
        <v>1</v>
      </c>
      <c r="N497" s="3" t="n">
        <f aca="false">L497*M497</f>
        <v>1</v>
      </c>
    </row>
    <row r="498" customFormat="false" ht="15" hidden="false" customHeight="false" outlineLevel="0" collapsed="false">
      <c r="A498" s="0" t="s">
        <v>953</v>
      </c>
      <c r="B498" s="0" t="s">
        <v>50</v>
      </c>
      <c r="C498" s="0" t="s">
        <v>954</v>
      </c>
      <c r="D498" s="0" t="s">
        <v>54</v>
      </c>
      <c r="E498" s="2" t="n">
        <v>45419</v>
      </c>
      <c r="F498" s="3" t="s">
        <v>20</v>
      </c>
      <c r="G498" s="3" t="s">
        <v>43</v>
      </c>
      <c r="H498" s="3" t="s">
        <v>29</v>
      </c>
      <c r="I498" s="3" t="n">
        <f aca="false">YEAR(E498)</f>
        <v>2024</v>
      </c>
      <c r="J498" s="3" t="n">
        <f aca="false">MONTH(E498)</f>
        <v>5</v>
      </c>
      <c r="K498" s="3" t="n">
        <f aca="false">COUNTIFS($B$2:$B$4077,B498,$C$2:$C$4077,C498,$I$2:$I$4077,I498)</f>
        <v>3</v>
      </c>
      <c r="L498" s="3" t="n">
        <f aca="false">IF(COUNTIFS($B$2:B498,B498,$C$2:C498,C498,$I$2:I498,I498)=1,1,0)</f>
        <v>1</v>
      </c>
      <c r="M498" s="3" t="n">
        <f aca="false">IF(K498&gt;=Parametri!$B$1,1,0)</f>
        <v>1</v>
      </c>
      <c r="N498" s="3" t="n">
        <f aca="false">L498*M498</f>
        <v>1</v>
      </c>
    </row>
    <row r="499" customFormat="false" ht="15" hidden="false" customHeight="false" outlineLevel="0" collapsed="false">
      <c r="A499" s="0" t="s">
        <v>955</v>
      </c>
      <c r="B499" s="0" t="s">
        <v>46</v>
      </c>
      <c r="C499" s="0" t="s">
        <v>956</v>
      </c>
      <c r="D499" s="0" t="s">
        <v>66</v>
      </c>
      <c r="E499" s="2" t="n">
        <v>45861</v>
      </c>
      <c r="F499" s="3" t="s">
        <v>34</v>
      </c>
      <c r="G499" s="3" t="s">
        <v>35</v>
      </c>
      <c r="H499" s="3" t="s">
        <v>22</v>
      </c>
      <c r="I499" s="3" t="n">
        <f aca="false">YEAR(E499)</f>
        <v>2025</v>
      </c>
      <c r="J499" s="3" t="n">
        <f aca="false">MONTH(E499)</f>
        <v>7</v>
      </c>
      <c r="K499" s="3" t="n">
        <f aca="false">COUNTIFS($B$2:$B$4077,B499,$C$2:$C$4077,C499,$I$2:$I$4077,I499)</f>
        <v>1</v>
      </c>
      <c r="L499" s="3" t="n">
        <f aca="false">IF(COUNTIFS($B$2:B499,B499,$C$2:C499,C499,$I$2:I499,I499)=1,1,0)</f>
        <v>1</v>
      </c>
      <c r="M499" s="3" t="n">
        <f aca="false">IF(K499&gt;=Parametri!$B$1,1,0)</f>
        <v>0</v>
      </c>
      <c r="N499" s="3" t="n">
        <f aca="false">L499*M499</f>
        <v>0</v>
      </c>
    </row>
    <row r="500" customFormat="false" ht="15" hidden="false" customHeight="false" outlineLevel="0" collapsed="false">
      <c r="A500" s="0" t="s">
        <v>957</v>
      </c>
      <c r="B500" s="0" t="s">
        <v>46</v>
      </c>
      <c r="C500" s="0" t="s">
        <v>958</v>
      </c>
      <c r="D500" s="0" t="s">
        <v>26</v>
      </c>
      <c r="E500" s="2" t="n">
        <v>45635</v>
      </c>
      <c r="F500" s="3" t="s">
        <v>27</v>
      </c>
      <c r="G500" s="3" t="s">
        <v>28</v>
      </c>
      <c r="H500" s="3" t="s">
        <v>48</v>
      </c>
      <c r="I500" s="3" t="n">
        <f aca="false">YEAR(E500)</f>
        <v>2024</v>
      </c>
      <c r="J500" s="3" t="n">
        <f aca="false">MONTH(E500)</f>
        <v>12</v>
      </c>
      <c r="K500" s="3" t="n">
        <f aca="false">COUNTIFS($B$2:$B$4077,B500,$C$2:$C$4077,C500,$I$2:$I$4077,I500)</f>
        <v>1</v>
      </c>
      <c r="L500" s="3" t="n">
        <f aca="false">IF(COUNTIFS($B$2:B500,B500,$C$2:C500,C500,$I$2:I500,I500)=1,1,0)</f>
        <v>1</v>
      </c>
      <c r="M500" s="3" t="n">
        <f aca="false">IF(K500&gt;=Parametri!$B$1,1,0)</f>
        <v>0</v>
      </c>
      <c r="N500" s="3" t="n">
        <f aca="false">L500*M500</f>
        <v>0</v>
      </c>
    </row>
    <row r="501" customFormat="false" ht="15" hidden="false" customHeight="false" outlineLevel="0" collapsed="false">
      <c r="A501" s="0" t="s">
        <v>959</v>
      </c>
      <c r="B501" s="0" t="s">
        <v>24</v>
      </c>
      <c r="C501" s="0" t="s">
        <v>960</v>
      </c>
      <c r="D501" s="0" t="s">
        <v>19</v>
      </c>
      <c r="E501" s="2" t="n">
        <v>45859</v>
      </c>
      <c r="F501" s="3" t="s">
        <v>34</v>
      </c>
      <c r="G501" s="3" t="s">
        <v>55</v>
      </c>
      <c r="H501" s="3" t="s">
        <v>22</v>
      </c>
      <c r="I501" s="3" t="n">
        <f aca="false">YEAR(E501)</f>
        <v>2025</v>
      </c>
      <c r="J501" s="3" t="n">
        <f aca="false">MONTH(E501)</f>
        <v>7</v>
      </c>
      <c r="K501" s="3" t="n">
        <f aca="false">COUNTIFS($B$2:$B$4077,B501,$C$2:$C$4077,C501,$I$2:$I$4077,I501)</f>
        <v>2</v>
      </c>
      <c r="L501" s="3" t="n">
        <f aca="false">IF(COUNTIFS($B$2:B501,B501,$C$2:C501,C501,$I$2:I501,I501)=1,1,0)</f>
        <v>1</v>
      </c>
      <c r="M501" s="3" t="n">
        <f aca="false">IF(K501&gt;=Parametri!$B$1,1,0)</f>
        <v>1</v>
      </c>
      <c r="N501" s="3" t="n">
        <f aca="false">L501*M501</f>
        <v>1</v>
      </c>
    </row>
    <row r="502" customFormat="false" ht="15" hidden="false" customHeight="false" outlineLevel="0" collapsed="false">
      <c r="A502" s="0" t="s">
        <v>961</v>
      </c>
      <c r="B502" s="0" t="s">
        <v>46</v>
      </c>
      <c r="C502" s="0" t="s">
        <v>962</v>
      </c>
      <c r="D502" s="0" t="s">
        <v>77</v>
      </c>
      <c r="E502" s="2" t="n">
        <v>45898</v>
      </c>
      <c r="F502" s="3" t="s">
        <v>20</v>
      </c>
      <c r="G502" s="3" t="s">
        <v>39</v>
      </c>
      <c r="H502" s="3" t="s">
        <v>48</v>
      </c>
      <c r="I502" s="3" t="n">
        <f aca="false">YEAR(E502)</f>
        <v>2025</v>
      </c>
      <c r="J502" s="3" t="n">
        <f aca="false">MONTH(E502)</f>
        <v>8</v>
      </c>
      <c r="K502" s="3" t="n">
        <f aca="false">COUNTIFS($B$2:$B$4077,B502,$C$2:$C$4077,C502,$I$2:$I$4077,I502)</f>
        <v>5</v>
      </c>
      <c r="L502" s="3" t="n">
        <f aca="false">IF(COUNTIFS($B$2:B502,B502,$C$2:C502,C502,$I$2:I502,I502)=1,1,0)</f>
        <v>1</v>
      </c>
      <c r="M502" s="3" t="n">
        <f aca="false">IF(K502&gt;=Parametri!$B$1,1,0)</f>
        <v>1</v>
      </c>
      <c r="N502" s="3" t="n">
        <f aca="false">L502*M502</f>
        <v>1</v>
      </c>
    </row>
    <row r="503" customFormat="false" ht="15" hidden="false" customHeight="false" outlineLevel="0" collapsed="false">
      <c r="A503" s="0" t="s">
        <v>963</v>
      </c>
      <c r="B503" s="0" t="s">
        <v>57</v>
      </c>
      <c r="C503" s="0" t="s">
        <v>964</v>
      </c>
      <c r="D503" s="0" t="s">
        <v>63</v>
      </c>
      <c r="E503" s="2" t="n">
        <v>45516</v>
      </c>
      <c r="F503" s="3" t="s">
        <v>20</v>
      </c>
      <c r="G503" s="3" t="s">
        <v>28</v>
      </c>
      <c r="H503" s="3" t="s">
        <v>48</v>
      </c>
      <c r="I503" s="3" t="n">
        <f aca="false">YEAR(E503)</f>
        <v>2024</v>
      </c>
      <c r="J503" s="3" t="n">
        <f aca="false">MONTH(E503)</f>
        <v>8</v>
      </c>
      <c r="K503" s="3" t="n">
        <f aca="false">COUNTIFS($B$2:$B$4077,B503,$C$2:$C$4077,C503,$I$2:$I$4077,I503)</f>
        <v>4</v>
      </c>
      <c r="L503" s="3" t="n">
        <f aca="false">IF(COUNTIFS($B$2:B503,B503,$C$2:C503,C503,$I$2:I503,I503)=1,1,0)</f>
        <v>1</v>
      </c>
      <c r="M503" s="3" t="n">
        <f aca="false">IF(K503&gt;=Parametri!$B$1,1,0)</f>
        <v>1</v>
      </c>
      <c r="N503" s="3" t="n">
        <f aca="false">L503*M503</f>
        <v>1</v>
      </c>
    </row>
    <row r="504" customFormat="false" ht="15" hidden="false" customHeight="false" outlineLevel="0" collapsed="false">
      <c r="A504" s="0" t="s">
        <v>965</v>
      </c>
      <c r="B504" s="0" t="s">
        <v>57</v>
      </c>
      <c r="C504" s="0" t="s">
        <v>966</v>
      </c>
      <c r="D504" s="0" t="s">
        <v>54</v>
      </c>
      <c r="E504" s="2" t="n">
        <v>46231</v>
      </c>
      <c r="F504" s="3" t="s">
        <v>27</v>
      </c>
      <c r="G504" s="3" t="s">
        <v>43</v>
      </c>
      <c r="H504" s="3" t="s">
        <v>22</v>
      </c>
      <c r="I504" s="3" t="n">
        <f aca="false">YEAR(E504)</f>
        <v>2026</v>
      </c>
      <c r="J504" s="3" t="n">
        <f aca="false">MONTH(E504)</f>
        <v>7</v>
      </c>
      <c r="K504" s="3" t="n">
        <f aca="false">COUNTIFS($B$2:$B$4077,B504,$C$2:$C$4077,C504,$I$2:$I$4077,I504)</f>
        <v>2</v>
      </c>
      <c r="L504" s="3" t="n">
        <f aca="false">IF(COUNTIFS($B$2:B504,B504,$C$2:C504,C504,$I$2:I504,I504)=1,1,0)</f>
        <v>1</v>
      </c>
      <c r="M504" s="3" t="n">
        <f aca="false">IF(K504&gt;=Parametri!$B$1,1,0)</f>
        <v>1</v>
      </c>
      <c r="N504" s="3" t="n">
        <f aca="false">L504*M504</f>
        <v>1</v>
      </c>
    </row>
    <row r="505" customFormat="false" ht="15" hidden="false" customHeight="false" outlineLevel="0" collapsed="false">
      <c r="A505" s="0" t="s">
        <v>967</v>
      </c>
      <c r="B505" s="0" t="s">
        <v>46</v>
      </c>
      <c r="C505" s="0" t="s">
        <v>968</v>
      </c>
      <c r="D505" s="0" t="s">
        <v>26</v>
      </c>
      <c r="E505" s="2" t="n">
        <v>45583</v>
      </c>
      <c r="F505" s="3" t="s">
        <v>20</v>
      </c>
      <c r="G505" s="3" t="s">
        <v>28</v>
      </c>
      <c r="H505" s="3" t="s">
        <v>48</v>
      </c>
      <c r="I505" s="3" t="n">
        <f aca="false">YEAR(E505)</f>
        <v>2024</v>
      </c>
      <c r="J505" s="3" t="n">
        <f aca="false">MONTH(E505)</f>
        <v>10</v>
      </c>
      <c r="K505" s="3" t="n">
        <f aca="false">COUNTIFS($B$2:$B$4077,B505,$C$2:$C$4077,C505,$I$2:$I$4077,I505)</f>
        <v>3</v>
      </c>
      <c r="L505" s="3" t="n">
        <f aca="false">IF(COUNTIFS($B$2:B505,B505,$C$2:C505,C505,$I$2:I505,I505)=1,1,0)</f>
        <v>1</v>
      </c>
      <c r="M505" s="3" t="n">
        <f aca="false">IF(K505&gt;=Parametri!$B$1,1,0)</f>
        <v>1</v>
      </c>
      <c r="N505" s="3" t="n">
        <f aca="false">L505*M505</f>
        <v>1</v>
      </c>
    </row>
    <row r="506" customFormat="false" ht="15" hidden="false" customHeight="false" outlineLevel="0" collapsed="false">
      <c r="A506" s="0" t="s">
        <v>969</v>
      </c>
      <c r="B506" s="0" t="s">
        <v>79</v>
      </c>
      <c r="C506" s="0" t="s">
        <v>497</v>
      </c>
      <c r="D506" s="0" t="s">
        <v>63</v>
      </c>
      <c r="E506" s="2" t="n">
        <v>45756</v>
      </c>
      <c r="F506" s="3" t="s">
        <v>34</v>
      </c>
      <c r="G506" s="3" t="s">
        <v>43</v>
      </c>
      <c r="H506" s="3" t="s">
        <v>22</v>
      </c>
      <c r="I506" s="3" t="n">
        <f aca="false">YEAR(E506)</f>
        <v>2025</v>
      </c>
      <c r="J506" s="3" t="n">
        <f aca="false">MONTH(E506)</f>
        <v>4</v>
      </c>
      <c r="K506" s="3" t="n">
        <f aca="false">COUNTIFS($B$2:$B$4077,B506,$C$2:$C$4077,C506,$I$2:$I$4077,I506)</f>
        <v>3</v>
      </c>
      <c r="L506" s="3" t="n">
        <f aca="false">IF(COUNTIFS($B$2:B506,B506,$C$2:C506,C506,$I$2:I506,I506)=1,1,0)</f>
        <v>1</v>
      </c>
      <c r="M506" s="3" t="n">
        <f aca="false">IF(K506&gt;=Parametri!$B$1,1,0)</f>
        <v>1</v>
      </c>
      <c r="N506" s="3" t="n">
        <f aca="false">L506*M506</f>
        <v>1</v>
      </c>
    </row>
    <row r="507" customFormat="false" ht="15" hidden="false" customHeight="false" outlineLevel="0" collapsed="false">
      <c r="A507" s="0" t="s">
        <v>970</v>
      </c>
      <c r="B507" s="0" t="s">
        <v>68</v>
      </c>
      <c r="C507" s="0" t="s">
        <v>971</v>
      </c>
      <c r="D507" s="0" t="s">
        <v>54</v>
      </c>
      <c r="E507" s="2" t="n">
        <v>45455</v>
      </c>
      <c r="F507" s="3" t="s">
        <v>20</v>
      </c>
      <c r="G507" s="3" t="s">
        <v>21</v>
      </c>
      <c r="H507" s="3" t="s">
        <v>44</v>
      </c>
      <c r="I507" s="3" t="n">
        <f aca="false">YEAR(E507)</f>
        <v>2024</v>
      </c>
      <c r="J507" s="3" t="n">
        <f aca="false">MONTH(E507)</f>
        <v>6</v>
      </c>
      <c r="K507" s="3" t="n">
        <f aca="false">COUNTIFS($B$2:$B$4077,B507,$C$2:$C$4077,C507,$I$2:$I$4077,I507)</f>
        <v>1</v>
      </c>
      <c r="L507" s="3" t="n">
        <f aca="false">IF(COUNTIFS($B$2:B507,B507,$C$2:C507,C507,$I$2:I507,I507)=1,1,0)</f>
        <v>1</v>
      </c>
      <c r="M507" s="3" t="n">
        <f aca="false">IF(K507&gt;=Parametri!$B$1,1,0)</f>
        <v>0</v>
      </c>
      <c r="N507" s="3" t="n">
        <f aca="false">L507*M507</f>
        <v>0</v>
      </c>
    </row>
    <row r="508" customFormat="false" ht="15" hidden="false" customHeight="false" outlineLevel="0" collapsed="false">
      <c r="A508" s="0" t="s">
        <v>972</v>
      </c>
      <c r="B508" s="0" t="s">
        <v>17</v>
      </c>
      <c r="C508" s="0" t="s">
        <v>791</v>
      </c>
      <c r="D508" s="0" t="s">
        <v>33</v>
      </c>
      <c r="E508" s="2" t="n">
        <v>45860</v>
      </c>
      <c r="F508" s="3" t="s">
        <v>27</v>
      </c>
      <c r="G508" s="3" t="s">
        <v>43</v>
      </c>
      <c r="H508" s="3" t="s">
        <v>44</v>
      </c>
      <c r="I508" s="3" t="n">
        <f aca="false">YEAR(E508)</f>
        <v>2025</v>
      </c>
      <c r="J508" s="3" t="n">
        <f aca="false">MONTH(E508)</f>
        <v>7</v>
      </c>
      <c r="K508" s="3" t="n">
        <f aca="false">COUNTIFS($B$2:$B$4077,B508,$C$2:$C$4077,C508,$I$2:$I$4077,I508)</f>
        <v>2</v>
      </c>
      <c r="L508" s="3" t="n">
        <f aca="false">IF(COUNTIFS($B$2:B508,B508,$C$2:C508,C508,$I$2:I508,I508)=1,1,0)</f>
        <v>1</v>
      </c>
      <c r="M508" s="3" t="n">
        <f aca="false">IF(K508&gt;=Parametri!$B$1,1,0)</f>
        <v>1</v>
      </c>
      <c r="N508" s="3" t="n">
        <f aca="false">L508*M508</f>
        <v>1</v>
      </c>
    </row>
    <row r="509" customFormat="false" ht="15" hidden="false" customHeight="false" outlineLevel="0" collapsed="false">
      <c r="A509" s="0" t="s">
        <v>973</v>
      </c>
      <c r="B509" s="0" t="s">
        <v>24</v>
      </c>
      <c r="C509" s="0" t="s">
        <v>974</v>
      </c>
      <c r="D509" s="0" t="s">
        <v>33</v>
      </c>
      <c r="E509" s="2" t="n">
        <v>45401</v>
      </c>
      <c r="F509" s="3" t="s">
        <v>20</v>
      </c>
      <c r="G509" s="3" t="s">
        <v>43</v>
      </c>
      <c r="H509" s="3" t="s">
        <v>29</v>
      </c>
      <c r="I509" s="3" t="n">
        <f aca="false">YEAR(E509)</f>
        <v>2024</v>
      </c>
      <c r="J509" s="3" t="n">
        <f aca="false">MONTH(E509)</f>
        <v>4</v>
      </c>
      <c r="K509" s="3" t="n">
        <f aca="false">COUNTIFS($B$2:$B$4077,B509,$C$2:$C$4077,C509,$I$2:$I$4077,I509)</f>
        <v>1</v>
      </c>
      <c r="L509" s="3" t="n">
        <f aca="false">IF(COUNTIFS($B$2:B509,B509,$C$2:C509,C509,$I$2:I509,I509)=1,1,0)</f>
        <v>1</v>
      </c>
      <c r="M509" s="3" t="n">
        <f aca="false">IF(K509&gt;=Parametri!$B$1,1,0)</f>
        <v>0</v>
      </c>
      <c r="N509" s="3" t="n">
        <f aca="false">L509*M509</f>
        <v>0</v>
      </c>
    </row>
    <row r="510" customFormat="false" ht="15" hidden="false" customHeight="false" outlineLevel="0" collapsed="false">
      <c r="A510" s="0" t="s">
        <v>975</v>
      </c>
      <c r="B510" s="0" t="s">
        <v>24</v>
      </c>
      <c r="C510" s="0" t="s">
        <v>798</v>
      </c>
      <c r="D510" s="0" t="s">
        <v>66</v>
      </c>
      <c r="E510" s="2" t="n">
        <v>45615</v>
      </c>
      <c r="F510" s="3" t="s">
        <v>20</v>
      </c>
      <c r="G510" s="3" t="s">
        <v>89</v>
      </c>
      <c r="H510" s="3" t="s">
        <v>44</v>
      </c>
      <c r="I510" s="3" t="n">
        <f aca="false">YEAR(E510)</f>
        <v>2024</v>
      </c>
      <c r="J510" s="3" t="n">
        <f aca="false">MONTH(E510)</f>
        <v>11</v>
      </c>
      <c r="K510" s="3" t="n">
        <f aca="false">COUNTIFS($B$2:$B$4077,B510,$C$2:$C$4077,C510,$I$2:$I$4077,I510)</f>
        <v>3</v>
      </c>
      <c r="L510" s="3" t="n">
        <f aca="false">IF(COUNTIFS($B$2:B510,B510,$C$2:C510,C510,$I$2:I510,I510)=1,1,0)</f>
        <v>0</v>
      </c>
      <c r="M510" s="3" t="n">
        <f aca="false">IF(K510&gt;=Parametri!$B$1,1,0)</f>
        <v>1</v>
      </c>
      <c r="N510" s="3" t="n">
        <f aca="false">L510*M510</f>
        <v>0</v>
      </c>
    </row>
    <row r="511" customFormat="false" ht="15" hidden="false" customHeight="false" outlineLevel="0" collapsed="false">
      <c r="A511" s="0" t="s">
        <v>976</v>
      </c>
      <c r="B511" s="0" t="s">
        <v>31</v>
      </c>
      <c r="C511" s="0" t="s">
        <v>977</v>
      </c>
      <c r="D511" s="0" t="s">
        <v>63</v>
      </c>
      <c r="E511" s="2" t="n">
        <v>45821</v>
      </c>
      <c r="F511" s="3" t="s">
        <v>20</v>
      </c>
      <c r="G511" s="3" t="s">
        <v>39</v>
      </c>
      <c r="H511" s="3" t="s">
        <v>48</v>
      </c>
      <c r="I511" s="3" t="n">
        <f aca="false">YEAR(E511)</f>
        <v>2025</v>
      </c>
      <c r="J511" s="3" t="n">
        <f aca="false">MONTH(E511)</f>
        <v>6</v>
      </c>
      <c r="K511" s="3" t="n">
        <f aca="false">COUNTIFS($B$2:$B$4077,B511,$C$2:$C$4077,C511,$I$2:$I$4077,I511)</f>
        <v>1</v>
      </c>
      <c r="L511" s="3" t="n">
        <f aca="false">IF(COUNTIFS($B$2:B511,B511,$C$2:C511,C511,$I$2:I511,I511)=1,1,0)</f>
        <v>1</v>
      </c>
      <c r="M511" s="3" t="n">
        <f aca="false">IF(K511&gt;=Parametri!$B$1,1,0)</f>
        <v>0</v>
      </c>
      <c r="N511" s="3" t="n">
        <f aca="false">L511*M511</f>
        <v>0</v>
      </c>
    </row>
    <row r="512" customFormat="false" ht="15" hidden="false" customHeight="false" outlineLevel="0" collapsed="false">
      <c r="A512" s="0" t="s">
        <v>978</v>
      </c>
      <c r="B512" s="0" t="s">
        <v>68</v>
      </c>
      <c r="C512" s="0" t="s">
        <v>979</v>
      </c>
      <c r="D512" s="0" t="s">
        <v>54</v>
      </c>
      <c r="E512" s="2" t="n">
        <v>45553</v>
      </c>
      <c r="F512" s="3" t="s">
        <v>20</v>
      </c>
      <c r="G512" s="3" t="s">
        <v>89</v>
      </c>
      <c r="H512" s="3" t="s">
        <v>29</v>
      </c>
      <c r="I512" s="3" t="n">
        <f aca="false">YEAR(E512)</f>
        <v>2024</v>
      </c>
      <c r="J512" s="3" t="n">
        <f aca="false">MONTH(E512)</f>
        <v>9</v>
      </c>
      <c r="K512" s="3" t="n">
        <f aca="false">COUNTIFS($B$2:$B$4077,B512,$C$2:$C$4077,C512,$I$2:$I$4077,I512)</f>
        <v>1</v>
      </c>
      <c r="L512" s="3" t="n">
        <f aca="false">IF(COUNTIFS($B$2:B512,B512,$C$2:C512,C512,$I$2:I512,I512)=1,1,0)</f>
        <v>1</v>
      </c>
      <c r="M512" s="3" t="n">
        <f aca="false">IF(K512&gt;=Parametri!$B$1,1,0)</f>
        <v>0</v>
      </c>
      <c r="N512" s="3" t="n">
        <f aca="false">L512*M512</f>
        <v>0</v>
      </c>
    </row>
    <row r="513" customFormat="false" ht="15" hidden="false" customHeight="false" outlineLevel="0" collapsed="false">
      <c r="A513" s="0" t="s">
        <v>980</v>
      </c>
      <c r="B513" s="0" t="s">
        <v>24</v>
      </c>
      <c r="C513" s="0" t="s">
        <v>317</v>
      </c>
      <c r="D513" s="0" t="s">
        <v>38</v>
      </c>
      <c r="E513" s="2" t="n">
        <v>46199</v>
      </c>
      <c r="F513" s="3" t="s">
        <v>34</v>
      </c>
      <c r="G513" s="3" t="s">
        <v>89</v>
      </c>
      <c r="H513" s="3" t="s">
        <v>44</v>
      </c>
      <c r="I513" s="3" t="n">
        <f aca="false">YEAR(E513)</f>
        <v>2026</v>
      </c>
      <c r="J513" s="3" t="n">
        <f aca="false">MONTH(E513)</f>
        <v>6</v>
      </c>
      <c r="K513" s="3" t="n">
        <f aca="false">COUNTIFS($B$2:$B$4077,B513,$C$2:$C$4077,C513,$I$2:$I$4077,I513)</f>
        <v>2</v>
      </c>
      <c r="L513" s="3" t="n">
        <f aca="false">IF(COUNTIFS($B$2:B513,B513,$C$2:C513,C513,$I$2:I513,I513)=1,1,0)</f>
        <v>0</v>
      </c>
      <c r="M513" s="3" t="n">
        <f aca="false">IF(K513&gt;=Parametri!$B$1,1,0)</f>
        <v>1</v>
      </c>
      <c r="N513" s="3" t="n">
        <f aca="false">L513*M513</f>
        <v>0</v>
      </c>
    </row>
    <row r="514" customFormat="false" ht="15" hidden="false" customHeight="false" outlineLevel="0" collapsed="false">
      <c r="A514" s="0" t="s">
        <v>981</v>
      </c>
      <c r="B514" s="0" t="s">
        <v>41</v>
      </c>
      <c r="C514" s="0" t="s">
        <v>982</v>
      </c>
      <c r="D514" s="0" t="s">
        <v>77</v>
      </c>
      <c r="E514" s="2" t="n">
        <v>45654</v>
      </c>
      <c r="F514" s="3" t="s">
        <v>34</v>
      </c>
      <c r="G514" s="3" t="s">
        <v>39</v>
      </c>
      <c r="H514" s="3" t="s">
        <v>44</v>
      </c>
      <c r="I514" s="3" t="n">
        <f aca="false">YEAR(E514)</f>
        <v>2024</v>
      </c>
      <c r="J514" s="3" t="n">
        <f aca="false">MONTH(E514)</f>
        <v>12</v>
      </c>
      <c r="K514" s="3" t="n">
        <f aca="false">COUNTIFS($B$2:$B$4077,B514,$C$2:$C$4077,C514,$I$2:$I$4077,I514)</f>
        <v>2</v>
      </c>
      <c r="L514" s="3" t="n">
        <f aca="false">IF(COUNTIFS($B$2:B514,B514,$C$2:C514,C514,$I$2:I514,I514)=1,1,0)</f>
        <v>1</v>
      </c>
      <c r="M514" s="3" t="n">
        <f aca="false">IF(K514&gt;=Parametri!$B$1,1,0)</f>
        <v>1</v>
      </c>
      <c r="N514" s="3" t="n">
        <f aca="false">L514*M514</f>
        <v>1</v>
      </c>
    </row>
    <row r="515" customFormat="false" ht="15" hidden="false" customHeight="false" outlineLevel="0" collapsed="false">
      <c r="A515" s="0" t="s">
        <v>983</v>
      </c>
      <c r="B515" s="0" t="s">
        <v>68</v>
      </c>
      <c r="C515" s="0" t="s">
        <v>732</v>
      </c>
      <c r="D515" s="0" t="s">
        <v>66</v>
      </c>
      <c r="E515" s="2" t="n">
        <v>45697</v>
      </c>
      <c r="F515" s="3" t="s">
        <v>34</v>
      </c>
      <c r="G515" s="3" t="s">
        <v>104</v>
      </c>
      <c r="H515" s="3" t="s">
        <v>104</v>
      </c>
      <c r="I515" s="3" t="n">
        <f aca="false">YEAR(E515)</f>
        <v>2025</v>
      </c>
      <c r="J515" s="3" t="n">
        <f aca="false">MONTH(E515)</f>
        <v>2</v>
      </c>
      <c r="K515" s="3" t="n">
        <f aca="false">COUNTIFS($B$2:$B$4077,B515,$C$2:$C$4077,C515,$I$2:$I$4077,I515)</f>
        <v>4</v>
      </c>
      <c r="L515" s="3" t="n">
        <f aca="false">IF(COUNTIFS($B$2:B515,B515,$C$2:C515,C515,$I$2:I515,I515)=1,1,0)</f>
        <v>0</v>
      </c>
      <c r="M515" s="3" t="n">
        <f aca="false">IF(K515&gt;=Parametri!$B$1,1,0)</f>
        <v>1</v>
      </c>
      <c r="N515" s="3" t="n">
        <f aca="false">L515*M515</f>
        <v>0</v>
      </c>
    </row>
    <row r="516" customFormat="false" ht="15" hidden="false" customHeight="false" outlineLevel="0" collapsed="false">
      <c r="A516" s="0" t="s">
        <v>984</v>
      </c>
      <c r="B516" s="0" t="s">
        <v>17</v>
      </c>
      <c r="C516" s="0" t="s">
        <v>985</v>
      </c>
      <c r="D516" s="0" t="s">
        <v>26</v>
      </c>
      <c r="E516" s="2" t="n">
        <v>46070</v>
      </c>
      <c r="F516" s="3" t="s">
        <v>20</v>
      </c>
      <c r="G516" s="3" t="s">
        <v>21</v>
      </c>
      <c r="H516" s="3" t="s">
        <v>22</v>
      </c>
      <c r="I516" s="3" t="n">
        <f aca="false">YEAR(E516)</f>
        <v>2026</v>
      </c>
      <c r="J516" s="3" t="n">
        <f aca="false">MONTH(E516)</f>
        <v>2</v>
      </c>
      <c r="K516" s="3" t="n">
        <f aca="false">COUNTIFS($B$2:$B$4077,B516,$C$2:$C$4077,C516,$I$2:$I$4077,I516)</f>
        <v>2</v>
      </c>
      <c r="L516" s="3" t="n">
        <f aca="false">IF(COUNTIFS($B$2:B516,B516,$C$2:C516,C516,$I$2:I516,I516)=1,1,0)</f>
        <v>1</v>
      </c>
      <c r="M516" s="3" t="n">
        <f aca="false">IF(K516&gt;=Parametri!$B$1,1,0)</f>
        <v>1</v>
      </c>
      <c r="N516" s="3" t="n">
        <f aca="false">L516*M516</f>
        <v>1</v>
      </c>
    </row>
    <row r="517" customFormat="false" ht="15" hidden="false" customHeight="false" outlineLevel="0" collapsed="false">
      <c r="A517" s="0" t="s">
        <v>986</v>
      </c>
      <c r="B517" s="0" t="s">
        <v>46</v>
      </c>
      <c r="C517" s="0" t="s">
        <v>698</v>
      </c>
      <c r="D517" s="0" t="s">
        <v>38</v>
      </c>
      <c r="E517" s="2" t="n">
        <v>46076</v>
      </c>
      <c r="F517" s="3" t="s">
        <v>20</v>
      </c>
      <c r="G517" s="3" t="s">
        <v>104</v>
      </c>
      <c r="H517" s="3" t="s">
        <v>104</v>
      </c>
      <c r="I517" s="3" t="n">
        <f aca="false">YEAR(E517)</f>
        <v>2026</v>
      </c>
      <c r="J517" s="3" t="n">
        <f aca="false">MONTH(E517)</f>
        <v>2</v>
      </c>
      <c r="K517" s="3" t="n">
        <f aca="false">COUNTIFS($B$2:$B$4077,B517,$C$2:$C$4077,C517,$I$2:$I$4077,I517)</f>
        <v>1</v>
      </c>
      <c r="L517" s="3" t="n">
        <f aca="false">IF(COUNTIFS($B$2:B517,B517,$C$2:C517,C517,$I$2:I517,I517)=1,1,0)</f>
        <v>1</v>
      </c>
      <c r="M517" s="3" t="n">
        <f aca="false">IF(K517&gt;=Parametri!$B$1,1,0)</f>
        <v>0</v>
      </c>
      <c r="N517" s="3" t="n">
        <f aca="false">L517*M517</f>
        <v>0</v>
      </c>
    </row>
    <row r="518" customFormat="false" ht="15" hidden="false" customHeight="false" outlineLevel="0" collapsed="false">
      <c r="A518" s="0" t="s">
        <v>987</v>
      </c>
      <c r="B518" s="0" t="s">
        <v>46</v>
      </c>
      <c r="C518" s="0" t="s">
        <v>988</v>
      </c>
      <c r="D518" s="0" t="s">
        <v>19</v>
      </c>
      <c r="E518" s="2" t="n">
        <v>46214</v>
      </c>
      <c r="F518" s="3" t="s">
        <v>20</v>
      </c>
      <c r="G518" s="3" t="s">
        <v>35</v>
      </c>
      <c r="H518" s="3" t="s">
        <v>22</v>
      </c>
      <c r="I518" s="3" t="n">
        <f aca="false">YEAR(E518)</f>
        <v>2026</v>
      </c>
      <c r="J518" s="3" t="n">
        <f aca="false">MONTH(E518)</f>
        <v>7</v>
      </c>
      <c r="K518" s="3" t="n">
        <f aca="false">COUNTIFS($B$2:$B$4077,B518,$C$2:$C$4077,C518,$I$2:$I$4077,I518)</f>
        <v>3</v>
      </c>
      <c r="L518" s="3" t="n">
        <f aca="false">IF(COUNTIFS($B$2:B518,B518,$C$2:C518,C518,$I$2:I518,I518)=1,1,0)</f>
        <v>1</v>
      </c>
      <c r="M518" s="3" t="n">
        <f aca="false">IF(K518&gt;=Parametri!$B$1,1,0)</f>
        <v>1</v>
      </c>
      <c r="N518" s="3" t="n">
        <f aca="false">L518*M518</f>
        <v>1</v>
      </c>
    </row>
    <row r="519" customFormat="false" ht="15" hidden="false" customHeight="false" outlineLevel="0" collapsed="false">
      <c r="A519" s="0" t="s">
        <v>989</v>
      </c>
      <c r="B519" s="0" t="s">
        <v>46</v>
      </c>
      <c r="C519" s="0" t="s">
        <v>962</v>
      </c>
      <c r="D519" s="0" t="s">
        <v>19</v>
      </c>
      <c r="E519" s="2" t="n">
        <v>45643</v>
      </c>
      <c r="F519" s="3" t="s">
        <v>34</v>
      </c>
      <c r="G519" s="3" t="s">
        <v>28</v>
      </c>
      <c r="H519" s="3" t="s">
        <v>48</v>
      </c>
      <c r="I519" s="3" t="n">
        <f aca="false">YEAR(E519)</f>
        <v>2024</v>
      </c>
      <c r="J519" s="3" t="n">
        <f aca="false">MONTH(E519)</f>
        <v>12</v>
      </c>
      <c r="K519" s="3" t="n">
        <f aca="false">COUNTIFS($B$2:$B$4077,B519,$C$2:$C$4077,C519,$I$2:$I$4077,I519)</f>
        <v>4</v>
      </c>
      <c r="L519" s="3" t="n">
        <f aca="false">IF(COUNTIFS($B$2:B519,B519,$C$2:C519,C519,$I$2:I519,I519)=1,1,0)</f>
        <v>1</v>
      </c>
      <c r="M519" s="3" t="n">
        <f aca="false">IF(K519&gt;=Parametri!$B$1,1,0)</f>
        <v>1</v>
      </c>
      <c r="N519" s="3" t="n">
        <f aca="false">L519*M519</f>
        <v>1</v>
      </c>
    </row>
    <row r="520" customFormat="false" ht="15" hidden="false" customHeight="false" outlineLevel="0" collapsed="false">
      <c r="A520" s="0" t="s">
        <v>990</v>
      </c>
      <c r="B520" s="0" t="s">
        <v>24</v>
      </c>
      <c r="C520" s="0" t="s">
        <v>991</v>
      </c>
      <c r="D520" s="0" t="s">
        <v>26</v>
      </c>
      <c r="E520" s="2" t="n">
        <v>46047</v>
      </c>
      <c r="F520" s="3" t="s">
        <v>20</v>
      </c>
      <c r="G520" s="3" t="s">
        <v>55</v>
      </c>
      <c r="H520" s="3" t="s">
        <v>44</v>
      </c>
      <c r="I520" s="3" t="n">
        <f aca="false">YEAR(E520)</f>
        <v>2026</v>
      </c>
      <c r="J520" s="3" t="n">
        <f aca="false">MONTH(E520)</f>
        <v>1</v>
      </c>
      <c r="K520" s="3" t="n">
        <f aca="false">COUNTIFS($B$2:$B$4077,B520,$C$2:$C$4077,C520,$I$2:$I$4077,I520)</f>
        <v>2</v>
      </c>
      <c r="L520" s="3" t="n">
        <f aca="false">IF(COUNTIFS($B$2:B520,B520,$C$2:C520,C520,$I$2:I520,I520)=1,1,0)</f>
        <v>1</v>
      </c>
      <c r="M520" s="3" t="n">
        <f aca="false">IF(K520&gt;=Parametri!$B$1,1,0)</f>
        <v>1</v>
      </c>
      <c r="N520" s="3" t="n">
        <f aca="false">L520*M520</f>
        <v>1</v>
      </c>
    </row>
    <row r="521" customFormat="false" ht="15" hidden="false" customHeight="false" outlineLevel="0" collapsed="false">
      <c r="A521" s="0" t="s">
        <v>992</v>
      </c>
      <c r="B521" s="0" t="s">
        <v>50</v>
      </c>
      <c r="C521" s="0" t="s">
        <v>993</v>
      </c>
      <c r="D521" s="0" t="s">
        <v>33</v>
      </c>
      <c r="E521" s="2" t="n">
        <v>45778</v>
      </c>
      <c r="F521" s="3" t="s">
        <v>20</v>
      </c>
      <c r="G521" s="3" t="s">
        <v>21</v>
      </c>
      <c r="H521" s="3" t="s">
        <v>22</v>
      </c>
      <c r="I521" s="3" t="n">
        <f aca="false">YEAR(E521)</f>
        <v>2025</v>
      </c>
      <c r="J521" s="3" t="n">
        <f aca="false">MONTH(E521)</f>
        <v>5</v>
      </c>
      <c r="K521" s="3" t="n">
        <f aca="false">COUNTIFS($B$2:$B$4077,B521,$C$2:$C$4077,C521,$I$2:$I$4077,I521)</f>
        <v>1</v>
      </c>
      <c r="L521" s="3" t="n">
        <f aca="false">IF(COUNTIFS($B$2:B521,B521,$C$2:C521,C521,$I$2:I521,I521)=1,1,0)</f>
        <v>1</v>
      </c>
      <c r="M521" s="3" t="n">
        <f aca="false">IF(K521&gt;=Parametri!$B$1,1,0)</f>
        <v>0</v>
      </c>
      <c r="N521" s="3" t="n">
        <f aca="false">L521*M521</f>
        <v>0</v>
      </c>
    </row>
    <row r="522" customFormat="false" ht="15" hidden="false" customHeight="false" outlineLevel="0" collapsed="false">
      <c r="A522" s="0" t="s">
        <v>994</v>
      </c>
      <c r="B522" s="0" t="s">
        <v>50</v>
      </c>
      <c r="C522" s="0" t="s">
        <v>995</v>
      </c>
      <c r="D522" s="0" t="s">
        <v>77</v>
      </c>
      <c r="E522" s="2" t="n">
        <v>45533</v>
      </c>
      <c r="F522" s="3" t="s">
        <v>20</v>
      </c>
      <c r="G522" s="3" t="s">
        <v>35</v>
      </c>
      <c r="H522" s="3" t="s">
        <v>48</v>
      </c>
      <c r="I522" s="3" t="n">
        <f aca="false">YEAR(E522)</f>
        <v>2024</v>
      </c>
      <c r="J522" s="3" t="n">
        <f aca="false">MONTH(E522)</f>
        <v>8</v>
      </c>
      <c r="K522" s="3" t="n">
        <f aca="false">COUNTIFS($B$2:$B$4077,B522,$C$2:$C$4077,C522,$I$2:$I$4077,I522)</f>
        <v>1</v>
      </c>
      <c r="L522" s="3" t="n">
        <f aca="false">IF(COUNTIFS($B$2:B522,B522,$C$2:C522,C522,$I$2:I522,I522)=1,1,0)</f>
        <v>1</v>
      </c>
      <c r="M522" s="3" t="n">
        <f aca="false">IF(K522&gt;=Parametri!$B$1,1,0)</f>
        <v>0</v>
      </c>
      <c r="N522" s="3" t="n">
        <f aca="false">L522*M522</f>
        <v>0</v>
      </c>
    </row>
    <row r="523" customFormat="false" ht="15" hidden="false" customHeight="false" outlineLevel="0" collapsed="false">
      <c r="A523" s="0" t="s">
        <v>996</v>
      </c>
      <c r="B523" s="0" t="s">
        <v>46</v>
      </c>
      <c r="C523" s="0" t="s">
        <v>997</v>
      </c>
      <c r="D523" s="0" t="s">
        <v>63</v>
      </c>
      <c r="E523" s="2" t="n">
        <v>45618</v>
      </c>
      <c r="F523" s="3" t="s">
        <v>20</v>
      </c>
      <c r="G523" s="3" t="s">
        <v>39</v>
      </c>
      <c r="H523" s="3" t="s">
        <v>44</v>
      </c>
      <c r="I523" s="3" t="n">
        <f aca="false">YEAR(E523)</f>
        <v>2024</v>
      </c>
      <c r="J523" s="3" t="n">
        <f aca="false">MONTH(E523)</f>
        <v>11</v>
      </c>
      <c r="K523" s="3" t="n">
        <f aca="false">COUNTIFS($B$2:$B$4077,B523,$C$2:$C$4077,C523,$I$2:$I$4077,I523)</f>
        <v>1</v>
      </c>
      <c r="L523" s="3" t="n">
        <f aca="false">IF(COUNTIFS($B$2:B523,B523,$C$2:C523,C523,$I$2:I523,I523)=1,1,0)</f>
        <v>1</v>
      </c>
      <c r="M523" s="3" t="n">
        <f aca="false">IF(K523&gt;=Parametri!$B$1,1,0)</f>
        <v>0</v>
      </c>
      <c r="N523" s="3" t="n">
        <f aca="false">L523*M523</f>
        <v>0</v>
      </c>
    </row>
    <row r="524" customFormat="false" ht="15" hidden="false" customHeight="false" outlineLevel="0" collapsed="false">
      <c r="A524" s="0" t="s">
        <v>998</v>
      </c>
      <c r="B524" s="0" t="s">
        <v>41</v>
      </c>
      <c r="C524" s="0" t="s">
        <v>999</v>
      </c>
      <c r="D524" s="0" t="s">
        <v>77</v>
      </c>
      <c r="E524" s="2" t="n">
        <v>45786</v>
      </c>
      <c r="F524" s="3" t="s">
        <v>20</v>
      </c>
      <c r="G524" s="3" t="s">
        <v>28</v>
      </c>
      <c r="H524" s="3" t="s">
        <v>44</v>
      </c>
      <c r="I524" s="3" t="n">
        <f aca="false">YEAR(E524)</f>
        <v>2025</v>
      </c>
      <c r="J524" s="3" t="n">
        <f aca="false">MONTH(E524)</f>
        <v>5</v>
      </c>
      <c r="K524" s="3" t="n">
        <f aca="false">COUNTIFS($B$2:$B$4077,B524,$C$2:$C$4077,C524,$I$2:$I$4077,I524)</f>
        <v>1</v>
      </c>
      <c r="L524" s="3" t="n">
        <f aca="false">IF(COUNTIFS($B$2:B524,B524,$C$2:C524,C524,$I$2:I524,I524)=1,1,0)</f>
        <v>1</v>
      </c>
      <c r="M524" s="3" t="n">
        <f aca="false">IF(K524&gt;=Parametri!$B$1,1,0)</f>
        <v>0</v>
      </c>
      <c r="N524" s="3" t="n">
        <f aca="false">L524*M524</f>
        <v>0</v>
      </c>
    </row>
    <row r="525" customFormat="false" ht="15" hidden="false" customHeight="false" outlineLevel="0" collapsed="false">
      <c r="A525" s="0" t="s">
        <v>1000</v>
      </c>
      <c r="B525" s="0" t="s">
        <v>68</v>
      </c>
      <c r="C525" s="0" t="s">
        <v>1001</v>
      </c>
      <c r="D525" s="0" t="s">
        <v>33</v>
      </c>
      <c r="E525" s="2" t="n">
        <v>45826</v>
      </c>
      <c r="F525" s="3" t="s">
        <v>20</v>
      </c>
      <c r="G525" s="3" t="s">
        <v>35</v>
      </c>
      <c r="H525" s="3" t="s">
        <v>44</v>
      </c>
      <c r="I525" s="3" t="n">
        <f aca="false">YEAR(E525)</f>
        <v>2025</v>
      </c>
      <c r="J525" s="3" t="n">
        <f aca="false">MONTH(E525)</f>
        <v>6</v>
      </c>
      <c r="K525" s="3" t="n">
        <f aca="false">COUNTIFS($B$2:$B$4077,B525,$C$2:$C$4077,C525,$I$2:$I$4077,I525)</f>
        <v>1</v>
      </c>
      <c r="L525" s="3" t="n">
        <f aca="false">IF(COUNTIFS($B$2:B525,B525,$C$2:C525,C525,$I$2:I525,I525)=1,1,0)</f>
        <v>1</v>
      </c>
      <c r="M525" s="3" t="n">
        <f aca="false">IF(K525&gt;=Parametri!$B$1,1,0)</f>
        <v>0</v>
      </c>
      <c r="N525" s="3" t="n">
        <f aca="false">L525*M525</f>
        <v>0</v>
      </c>
    </row>
    <row r="526" customFormat="false" ht="15" hidden="false" customHeight="false" outlineLevel="0" collapsed="false">
      <c r="A526" s="0" t="s">
        <v>1002</v>
      </c>
      <c r="B526" s="0" t="s">
        <v>17</v>
      </c>
      <c r="C526" s="0" t="s">
        <v>1003</v>
      </c>
      <c r="D526" s="0" t="s">
        <v>66</v>
      </c>
      <c r="E526" s="2" t="n">
        <v>46031</v>
      </c>
      <c r="F526" s="3" t="s">
        <v>20</v>
      </c>
      <c r="G526" s="3" t="s">
        <v>72</v>
      </c>
      <c r="H526" s="3" t="s">
        <v>48</v>
      </c>
      <c r="I526" s="3" t="n">
        <f aca="false">YEAR(E526)</f>
        <v>2026</v>
      </c>
      <c r="J526" s="3" t="n">
        <f aca="false">MONTH(E526)</f>
        <v>1</v>
      </c>
      <c r="K526" s="3" t="n">
        <f aca="false">COUNTIFS($B$2:$B$4077,B526,$C$2:$C$4077,C526,$I$2:$I$4077,I526)</f>
        <v>1</v>
      </c>
      <c r="L526" s="3" t="n">
        <f aca="false">IF(COUNTIFS($B$2:B526,B526,$C$2:C526,C526,$I$2:I526,I526)=1,1,0)</f>
        <v>1</v>
      </c>
      <c r="M526" s="3" t="n">
        <f aca="false">IF(K526&gt;=Parametri!$B$1,1,0)</f>
        <v>0</v>
      </c>
      <c r="N526" s="3" t="n">
        <f aca="false">L526*M526</f>
        <v>0</v>
      </c>
    </row>
    <row r="527" customFormat="false" ht="15" hidden="false" customHeight="false" outlineLevel="0" collapsed="false">
      <c r="A527" s="0" t="s">
        <v>1004</v>
      </c>
      <c r="B527" s="0" t="s">
        <v>46</v>
      </c>
      <c r="C527" s="0" t="s">
        <v>65</v>
      </c>
      <c r="D527" s="0" t="s">
        <v>77</v>
      </c>
      <c r="E527" s="2" t="n">
        <v>45439</v>
      </c>
      <c r="F527" s="3" t="s">
        <v>34</v>
      </c>
      <c r="G527" s="3" t="s">
        <v>55</v>
      </c>
      <c r="H527" s="3" t="s">
        <v>48</v>
      </c>
      <c r="I527" s="3" t="n">
        <f aca="false">YEAR(E527)</f>
        <v>2024</v>
      </c>
      <c r="J527" s="3" t="n">
        <f aca="false">MONTH(E527)</f>
        <v>5</v>
      </c>
      <c r="K527" s="3" t="n">
        <f aca="false">COUNTIFS($B$2:$B$4077,B527,$C$2:$C$4077,C527,$I$2:$I$4077,I527)</f>
        <v>7</v>
      </c>
      <c r="L527" s="3" t="n">
        <f aca="false">IF(COUNTIFS($B$2:B527,B527,$C$2:C527,C527,$I$2:I527,I527)=1,1,0)</f>
        <v>1</v>
      </c>
      <c r="M527" s="3" t="n">
        <f aca="false">IF(K527&gt;=Parametri!$B$1,1,0)</f>
        <v>1</v>
      </c>
      <c r="N527" s="3" t="n">
        <f aca="false">L527*M527</f>
        <v>1</v>
      </c>
    </row>
    <row r="528" customFormat="false" ht="15" hidden="false" customHeight="false" outlineLevel="0" collapsed="false">
      <c r="A528" s="0" t="s">
        <v>1005</v>
      </c>
      <c r="B528" s="0" t="s">
        <v>24</v>
      </c>
      <c r="C528" s="0" t="s">
        <v>1006</v>
      </c>
      <c r="D528" s="0" t="s">
        <v>38</v>
      </c>
      <c r="E528" s="2" t="n">
        <v>45532</v>
      </c>
      <c r="F528" s="3" t="s">
        <v>27</v>
      </c>
      <c r="G528" s="3" t="s">
        <v>72</v>
      </c>
      <c r="H528" s="3" t="s">
        <v>44</v>
      </c>
      <c r="I528" s="3" t="n">
        <f aca="false">YEAR(E528)</f>
        <v>2024</v>
      </c>
      <c r="J528" s="3" t="n">
        <f aca="false">MONTH(E528)</f>
        <v>8</v>
      </c>
      <c r="K528" s="3" t="n">
        <f aca="false">COUNTIFS($B$2:$B$4077,B528,$C$2:$C$4077,C528,$I$2:$I$4077,I528)</f>
        <v>1</v>
      </c>
      <c r="L528" s="3" t="n">
        <f aca="false">IF(COUNTIFS($B$2:B528,B528,$C$2:C528,C528,$I$2:I528,I528)=1,1,0)</f>
        <v>1</v>
      </c>
      <c r="M528" s="3" t="n">
        <f aca="false">IF(K528&gt;=Parametri!$B$1,1,0)</f>
        <v>0</v>
      </c>
      <c r="N528" s="3" t="n">
        <f aca="false">L528*M528</f>
        <v>0</v>
      </c>
    </row>
    <row r="529" customFormat="false" ht="15" hidden="false" customHeight="false" outlineLevel="0" collapsed="false">
      <c r="A529" s="0" t="s">
        <v>1007</v>
      </c>
      <c r="B529" s="0" t="s">
        <v>46</v>
      </c>
      <c r="C529" s="0" t="s">
        <v>1008</v>
      </c>
      <c r="D529" s="0" t="s">
        <v>54</v>
      </c>
      <c r="E529" s="2" t="n">
        <v>45471</v>
      </c>
      <c r="F529" s="3" t="s">
        <v>27</v>
      </c>
      <c r="G529" s="3" t="s">
        <v>35</v>
      </c>
      <c r="H529" s="3" t="s">
        <v>29</v>
      </c>
      <c r="I529" s="3" t="n">
        <f aca="false">YEAR(E529)</f>
        <v>2024</v>
      </c>
      <c r="J529" s="3" t="n">
        <f aca="false">MONTH(E529)</f>
        <v>6</v>
      </c>
      <c r="K529" s="3" t="n">
        <f aca="false">COUNTIFS($B$2:$B$4077,B529,$C$2:$C$4077,C529,$I$2:$I$4077,I529)</f>
        <v>1</v>
      </c>
      <c r="L529" s="3" t="n">
        <f aca="false">IF(COUNTIFS($B$2:B529,B529,$C$2:C529,C529,$I$2:I529,I529)=1,1,0)</f>
        <v>1</v>
      </c>
      <c r="M529" s="3" t="n">
        <f aca="false">IF(K529&gt;=Parametri!$B$1,1,0)</f>
        <v>0</v>
      </c>
      <c r="N529" s="3" t="n">
        <f aca="false">L529*M529</f>
        <v>0</v>
      </c>
    </row>
    <row r="530" customFormat="false" ht="15" hidden="false" customHeight="false" outlineLevel="0" collapsed="false">
      <c r="A530" s="0" t="s">
        <v>1009</v>
      </c>
      <c r="B530" s="0" t="s">
        <v>124</v>
      </c>
      <c r="C530" s="0" t="s">
        <v>1010</v>
      </c>
      <c r="D530" s="0" t="s">
        <v>38</v>
      </c>
      <c r="E530" s="2" t="n">
        <v>45789</v>
      </c>
      <c r="F530" s="3" t="s">
        <v>20</v>
      </c>
      <c r="G530" s="3" t="s">
        <v>28</v>
      </c>
      <c r="H530" s="3" t="s">
        <v>44</v>
      </c>
      <c r="I530" s="3" t="n">
        <f aca="false">YEAR(E530)</f>
        <v>2025</v>
      </c>
      <c r="J530" s="3" t="n">
        <f aca="false">MONTH(E530)</f>
        <v>5</v>
      </c>
      <c r="K530" s="3" t="n">
        <f aca="false">COUNTIFS($B$2:$B$4077,B530,$C$2:$C$4077,C530,$I$2:$I$4077,I530)</f>
        <v>1</v>
      </c>
      <c r="L530" s="3" t="n">
        <f aca="false">IF(COUNTIFS($B$2:B530,B530,$C$2:C530,C530,$I$2:I530,I530)=1,1,0)</f>
        <v>1</v>
      </c>
      <c r="M530" s="3" t="n">
        <f aca="false">IF(K530&gt;=Parametri!$B$1,1,0)</f>
        <v>0</v>
      </c>
      <c r="N530" s="3" t="n">
        <f aca="false">L530*M530</f>
        <v>0</v>
      </c>
    </row>
    <row r="531" customFormat="false" ht="15" hidden="false" customHeight="false" outlineLevel="0" collapsed="false">
      <c r="A531" s="0" t="s">
        <v>1011</v>
      </c>
      <c r="B531" s="0" t="s">
        <v>68</v>
      </c>
      <c r="C531" s="0" t="s">
        <v>1012</v>
      </c>
      <c r="D531" s="0" t="s">
        <v>38</v>
      </c>
      <c r="E531" s="2" t="n">
        <v>45434</v>
      </c>
      <c r="F531" s="3" t="s">
        <v>20</v>
      </c>
      <c r="G531" s="3" t="s">
        <v>35</v>
      </c>
      <c r="H531" s="3" t="s">
        <v>48</v>
      </c>
      <c r="I531" s="3" t="n">
        <f aca="false">YEAR(E531)</f>
        <v>2024</v>
      </c>
      <c r="J531" s="3" t="n">
        <f aca="false">MONTH(E531)</f>
        <v>5</v>
      </c>
      <c r="K531" s="3" t="n">
        <f aca="false">COUNTIFS($B$2:$B$4077,B531,$C$2:$C$4077,C531,$I$2:$I$4077,I531)</f>
        <v>2</v>
      </c>
      <c r="L531" s="3" t="n">
        <f aca="false">IF(COUNTIFS($B$2:B531,B531,$C$2:C531,C531,$I$2:I531,I531)=1,1,0)</f>
        <v>1</v>
      </c>
      <c r="M531" s="3" t="n">
        <f aca="false">IF(K531&gt;=Parametri!$B$1,1,0)</f>
        <v>1</v>
      </c>
      <c r="N531" s="3" t="n">
        <f aca="false">L531*M531</f>
        <v>1</v>
      </c>
    </row>
    <row r="532" customFormat="false" ht="15" hidden="false" customHeight="false" outlineLevel="0" collapsed="false">
      <c r="A532" s="0" t="s">
        <v>1013</v>
      </c>
      <c r="B532" s="0" t="s">
        <v>46</v>
      </c>
      <c r="C532" s="0" t="s">
        <v>1014</v>
      </c>
      <c r="D532" s="0" t="s">
        <v>38</v>
      </c>
      <c r="E532" s="2" t="n">
        <v>45477</v>
      </c>
      <c r="F532" s="3" t="s">
        <v>20</v>
      </c>
      <c r="G532" s="3" t="s">
        <v>35</v>
      </c>
      <c r="H532" s="3" t="s">
        <v>44</v>
      </c>
      <c r="I532" s="3" t="n">
        <f aca="false">YEAR(E532)</f>
        <v>2024</v>
      </c>
      <c r="J532" s="3" t="n">
        <f aca="false">MONTH(E532)</f>
        <v>7</v>
      </c>
      <c r="K532" s="3" t="n">
        <f aca="false">COUNTIFS($B$2:$B$4077,B532,$C$2:$C$4077,C532,$I$2:$I$4077,I532)</f>
        <v>1</v>
      </c>
      <c r="L532" s="3" t="n">
        <f aca="false">IF(COUNTIFS($B$2:B532,B532,$C$2:C532,C532,$I$2:I532,I532)=1,1,0)</f>
        <v>1</v>
      </c>
      <c r="M532" s="3" t="n">
        <f aca="false">IF(K532&gt;=Parametri!$B$1,1,0)</f>
        <v>0</v>
      </c>
      <c r="N532" s="3" t="n">
        <f aca="false">L532*M532</f>
        <v>0</v>
      </c>
    </row>
    <row r="533" customFormat="false" ht="15" hidden="false" customHeight="false" outlineLevel="0" collapsed="false">
      <c r="A533" s="0" t="s">
        <v>1015</v>
      </c>
      <c r="B533" s="0" t="s">
        <v>31</v>
      </c>
      <c r="C533" s="0" t="s">
        <v>1016</v>
      </c>
      <c r="D533" s="0" t="s">
        <v>63</v>
      </c>
      <c r="E533" s="2" t="n">
        <v>45965</v>
      </c>
      <c r="F533" s="3" t="s">
        <v>20</v>
      </c>
      <c r="G533" s="3" t="s">
        <v>89</v>
      </c>
      <c r="H533" s="3" t="s">
        <v>29</v>
      </c>
      <c r="I533" s="3" t="n">
        <f aca="false">YEAR(E533)</f>
        <v>2025</v>
      </c>
      <c r="J533" s="3" t="n">
        <f aca="false">MONTH(E533)</f>
        <v>11</v>
      </c>
      <c r="K533" s="3" t="n">
        <f aca="false">COUNTIFS($B$2:$B$4077,B533,$C$2:$C$4077,C533,$I$2:$I$4077,I533)</f>
        <v>1</v>
      </c>
      <c r="L533" s="3" t="n">
        <f aca="false">IF(COUNTIFS($B$2:B533,B533,$C$2:C533,C533,$I$2:I533,I533)=1,1,0)</f>
        <v>1</v>
      </c>
      <c r="M533" s="3" t="n">
        <f aca="false">IF(K533&gt;=Parametri!$B$1,1,0)</f>
        <v>0</v>
      </c>
      <c r="N533" s="3" t="n">
        <f aca="false">L533*M533</f>
        <v>0</v>
      </c>
    </row>
    <row r="534" customFormat="false" ht="15" hidden="false" customHeight="false" outlineLevel="0" collapsed="false">
      <c r="A534" s="0" t="s">
        <v>1017</v>
      </c>
      <c r="B534" s="0" t="s">
        <v>46</v>
      </c>
      <c r="C534" s="0" t="s">
        <v>1018</v>
      </c>
      <c r="D534" s="0" t="s">
        <v>66</v>
      </c>
      <c r="E534" s="2" t="n">
        <v>45566</v>
      </c>
      <c r="F534" s="3" t="s">
        <v>27</v>
      </c>
      <c r="G534" s="3" t="s">
        <v>89</v>
      </c>
      <c r="H534" s="3" t="s">
        <v>44</v>
      </c>
      <c r="I534" s="3" t="n">
        <f aca="false">YEAR(E534)</f>
        <v>2024</v>
      </c>
      <c r="J534" s="3" t="n">
        <f aca="false">MONTH(E534)</f>
        <v>10</v>
      </c>
      <c r="K534" s="3" t="n">
        <f aca="false">COUNTIFS($B$2:$B$4077,B534,$C$2:$C$4077,C534,$I$2:$I$4077,I534)</f>
        <v>1</v>
      </c>
      <c r="L534" s="3" t="n">
        <f aca="false">IF(COUNTIFS($B$2:B534,B534,$C$2:C534,C534,$I$2:I534,I534)=1,1,0)</f>
        <v>1</v>
      </c>
      <c r="M534" s="3" t="n">
        <f aca="false">IF(K534&gt;=Parametri!$B$1,1,0)</f>
        <v>0</v>
      </c>
      <c r="N534" s="3" t="n">
        <f aca="false">L534*M534</f>
        <v>0</v>
      </c>
    </row>
    <row r="535" customFormat="false" ht="15" hidden="false" customHeight="false" outlineLevel="0" collapsed="false">
      <c r="A535" s="0" t="s">
        <v>1019</v>
      </c>
      <c r="B535" s="0" t="s">
        <v>24</v>
      </c>
      <c r="C535" s="0" t="s">
        <v>1020</v>
      </c>
      <c r="D535" s="0" t="s">
        <v>54</v>
      </c>
      <c r="E535" s="2" t="n">
        <v>45928</v>
      </c>
      <c r="F535" s="3" t="s">
        <v>20</v>
      </c>
      <c r="G535" s="3" t="s">
        <v>43</v>
      </c>
      <c r="H535" s="3" t="s">
        <v>44</v>
      </c>
      <c r="I535" s="3" t="n">
        <f aca="false">YEAR(E535)</f>
        <v>2025</v>
      </c>
      <c r="J535" s="3" t="n">
        <f aca="false">MONTH(E535)</f>
        <v>9</v>
      </c>
      <c r="K535" s="3" t="n">
        <f aca="false">COUNTIFS($B$2:$B$4077,B535,$C$2:$C$4077,C535,$I$2:$I$4077,I535)</f>
        <v>1</v>
      </c>
      <c r="L535" s="3" t="n">
        <f aca="false">IF(COUNTIFS($B$2:B535,B535,$C$2:C535,C535,$I$2:I535,I535)=1,1,0)</f>
        <v>1</v>
      </c>
      <c r="M535" s="3" t="n">
        <f aca="false">IF(K535&gt;=Parametri!$B$1,1,0)</f>
        <v>0</v>
      </c>
      <c r="N535" s="3" t="n">
        <f aca="false">L535*M535</f>
        <v>0</v>
      </c>
    </row>
    <row r="536" customFormat="false" ht="15" hidden="false" customHeight="false" outlineLevel="0" collapsed="false">
      <c r="A536" s="0" t="s">
        <v>1021</v>
      </c>
      <c r="B536" s="0" t="s">
        <v>50</v>
      </c>
      <c r="C536" s="0" t="s">
        <v>952</v>
      </c>
      <c r="D536" s="0" t="s">
        <v>19</v>
      </c>
      <c r="E536" s="2" t="n">
        <v>45308</v>
      </c>
      <c r="F536" s="3" t="s">
        <v>20</v>
      </c>
      <c r="G536" s="3" t="s">
        <v>89</v>
      </c>
      <c r="H536" s="3" t="s">
        <v>44</v>
      </c>
      <c r="I536" s="3" t="n">
        <f aca="false">YEAR(E536)</f>
        <v>2024</v>
      </c>
      <c r="J536" s="3" t="n">
        <f aca="false">MONTH(E536)</f>
        <v>1</v>
      </c>
      <c r="K536" s="3" t="n">
        <f aca="false">COUNTIFS($B$2:$B$4077,B536,$C$2:$C$4077,C536,$I$2:$I$4077,I536)</f>
        <v>2</v>
      </c>
      <c r="L536" s="3" t="n">
        <f aca="false">IF(COUNTIFS($B$2:B536,B536,$C$2:C536,C536,$I$2:I536,I536)=1,1,0)</f>
        <v>1</v>
      </c>
      <c r="M536" s="3" t="n">
        <f aca="false">IF(K536&gt;=Parametri!$B$1,1,0)</f>
        <v>1</v>
      </c>
      <c r="N536" s="3" t="n">
        <f aca="false">L536*M536</f>
        <v>1</v>
      </c>
    </row>
    <row r="537" customFormat="false" ht="15" hidden="false" customHeight="false" outlineLevel="0" collapsed="false">
      <c r="A537" s="0" t="s">
        <v>1022</v>
      </c>
      <c r="B537" s="0" t="s">
        <v>50</v>
      </c>
      <c r="C537" s="0" t="s">
        <v>1023</v>
      </c>
      <c r="D537" s="0" t="s">
        <v>38</v>
      </c>
      <c r="E537" s="2" t="n">
        <v>46014</v>
      </c>
      <c r="F537" s="3" t="s">
        <v>27</v>
      </c>
      <c r="G537" s="3" t="s">
        <v>72</v>
      </c>
      <c r="H537" s="3" t="s">
        <v>22</v>
      </c>
      <c r="I537" s="3" t="n">
        <f aca="false">YEAR(E537)</f>
        <v>2025</v>
      </c>
      <c r="J537" s="3" t="n">
        <f aca="false">MONTH(E537)</f>
        <v>12</v>
      </c>
      <c r="K537" s="3" t="n">
        <f aca="false">COUNTIFS($B$2:$B$4077,B537,$C$2:$C$4077,C537,$I$2:$I$4077,I537)</f>
        <v>1</v>
      </c>
      <c r="L537" s="3" t="n">
        <f aca="false">IF(COUNTIFS($B$2:B537,B537,$C$2:C537,C537,$I$2:I537,I537)=1,1,0)</f>
        <v>1</v>
      </c>
      <c r="M537" s="3" t="n">
        <f aca="false">IF(K537&gt;=Parametri!$B$1,1,0)</f>
        <v>0</v>
      </c>
      <c r="N537" s="3" t="n">
        <f aca="false">L537*M537</f>
        <v>0</v>
      </c>
    </row>
    <row r="538" customFormat="false" ht="15" hidden="false" customHeight="false" outlineLevel="0" collapsed="false">
      <c r="A538" s="0" t="s">
        <v>1024</v>
      </c>
      <c r="B538" s="0" t="s">
        <v>46</v>
      </c>
      <c r="C538" s="0" t="s">
        <v>1025</v>
      </c>
      <c r="D538" s="0" t="s">
        <v>54</v>
      </c>
      <c r="E538" s="2" t="n">
        <v>45659</v>
      </c>
      <c r="F538" s="3" t="s">
        <v>20</v>
      </c>
      <c r="G538" s="3" t="s">
        <v>72</v>
      </c>
      <c r="H538" s="3" t="s">
        <v>44</v>
      </c>
      <c r="I538" s="3" t="n">
        <f aca="false">YEAR(E538)</f>
        <v>2025</v>
      </c>
      <c r="J538" s="3" t="n">
        <f aca="false">MONTH(E538)</f>
        <v>1</v>
      </c>
      <c r="K538" s="3" t="n">
        <f aca="false">COUNTIFS($B$2:$B$4077,B538,$C$2:$C$4077,C538,$I$2:$I$4077,I538)</f>
        <v>2</v>
      </c>
      <c r="L538" s="3" t="n">
        <f aca="false">IF(COUNTIFS($B$2:B538,B538,$C$2:C538,C538,$I$2:I538,I538)=1,1,0)</f>
        <v>1</v>
      </c>
      <c r="M538" s="3" t="n">
        <f aca="false">IF(K538&gt;=Parametri!$B$1,1,0)</f>
        <v>1</v>
      </c>
      <c r="N538" s="3" t="n">
        <f aca="false">L538*M538</f>
        <v>1</v>
      </c>
    </row>
    <row r="539" customFormat="false" ht="15" hidden="false" customHeight="false" outlineLevel="0" collapsed="false">
      <c r="A539" s="0" t="s">
        <v>1026</v>
      </c>
      <c r="B539" s="0" t="s">
        <v>31</v>
      </c>
      <c r="C539" s="0" t="s">
        <v>1027</v>
      </c>
      <c r="D539" s="0" t="s">
        <v>54</v>
      </c>
      <c r="E539" s="2" t="n">
        <v>45618</v>
      </c>
      <c r="F539" s="3" t="s">
        <v>20</v>
      </c>
      <c r="G539" s="3" t="s">
        <v>43</v>
      </c>
      <c r="H539" s="3" t="s">
        <v>22</v>
      </c>
      <c r="I539" s="3" t="n">
        <f aca="false">YEAR(E539)</f>
        <v>2024</v>
      </c>
      <c r="J539" s="3" t="n">
        <f aca="false">MONTH(E539)</f>
        <v>11</v>
      </c>
      <c r="K539" s="3" t="n">
        <f aca="false">COUNTIFS($B$2:$B$4077,B539,$C$2:$C$4077,C539,$I$2:$I$4077,I539)</f>
        <v>2</v>
      </c>
      <c r="L539" s="3" t="n">
        <f aca="false">IF(COUNTIFS($B$2:B539,B539,$C$2:C539,C539,$I$2:I539,I539)=1,1,0)</f>
        <v>1</v>
      </c>
      <c r="M539" s="3" t="n">
        <f aca="false">IF(K539&gt;=Parametri!$B$1,1,0)</f>
        <v>1</v>
      </c>
      <c r="N539" s="3" t="n">
        <f aca="false">L539*M539</f>
        <v>1</v>
      </c>
    </row>
    <row r="540" customFormat="false" ht="15" hidden="false" customHeight="false" outlineLevel="0" collapsed="false">
      <c r="A540" s="0" t="s">
        <v>1028</v>
      </c>
      <c r="B540" s="0" t="s">
        <v>124</v>
      </c>
      <c r="C540" s="0" t="s">
        <v>196</v>
      </c>
      <c r="D540" s="0" t="s">
        <v>63</v>
      </c>
      <c r="E540" s="2" t="n">
        <v>45717</v>
      </c>
      <c r="F540" s="3" t="s">
        <v>34</v>
      </c>
      <c r="G540" s="3" t="s">
        <v>55</v>
      </c>
      <c r="H540" s="3" t="s">
        <v>44</v>
      </c>
      <c r="I540" s="3" t="n">
        <f aca="false">YEAR(E540)</f>
        <v>2025</v>
      </c>
      <c r="J540" s="3" t="n">
        <f aca="false">MONTH(E540)</f>
        <v>3</v>
      </c>
      <c r="K540" s="3" t="n">
        <f aca="false">COUNTIFS($B$2:$B$4077,B540,$C$2:$C$4077,C540,$I$2:$I$4077,I540)</f>
        <v>4</v>
      </c>
      <c r="L540" s="3" t="n">
        <f aca="false">IF(COUNTIFS($B$2:B540,B540,$C$2:C540,C540,$I$2:I540,I540)=1,1,0)</f>
        <v>0</v>
      </c>
      <c r="M540" s="3" t="n">
        <f aca="false">IF(K540&gt;=Parametri!$B$1,1,0)</f>
        <v>1</v>
      </c>
      <c r="N540" s="3" t="n">
        <f aca="false">L540*M540</f>
        <v>0</v>
      </c>
    </row>
    <row r="541" customFormat="false" ht="15" hidden="false" customHeight="false" outlineLevel="0" collapsed="false">
      <c r="A541" s="0" t="s">
        <v>1029</v>
      </c>
      <c r="B541" s="0" t="s">
        <v>41</v>
      </c>
      <c r="C541" s="0" t="s">
        <v>493</v>
      </c>
      <c r="D541" s="0" t="s">
        <v>19</v>
      </c>
      <c r="E541" s="2" t="n">
        <v>45774</v>
      </c>
      <c r="F541" s="3" t="s">
        <v>20</v>
      </c>
      <c r="G541" s="3" t="s">
        <v>43</v>
      </c>
      <c r="H541" s="3" t="s">
        <v>44</v>
      </c>
      <c r="I541" s="3" t="n">
        <f aca="false">YEAR(E541)</f>
        <v>2025</v>
      </c>
      <c r="J541" s="3" t="n">
        <f aca="false">MONTH(E541)</f>
        <v>4</v>
      </c>
      <c r="K541" s="3" t="n">
        <f aca="false">COUNTIFS($B$2:$B$4077,B541,$C$2:$C$4077,C541,$I$2:$I$4077,I541)</f>
        <v>4</v>
      </c>
      <c r="L541" s="3" t="n">
        <f aca="false">IF(COUNTIFS($B$2:B541,B541,$C$2:C541,C541,$I$2:I541,I541)=1,1,0)</f>
        <v>0</v>
      </c>
      <c r="M541" s="3" t="n">
        <f aca="false">IF(K541&gt;=Parametri!$B$1,1,0)</f>
        <v>1</v>
      </c>
      <c r="N541" s="3" t="n">
        <f aca="false">L541*M541</f>
        <v>0</v>
      </c>
    </row>
    <row r="542" customFormat="false" ht="15" hidden="false" customHeight="false" outlineLevel="0" collapsed="false">
      <c r="A542" s="0" t="s">
        <v>1030</v>
      </c>
      <c r="B542" s="0" t="s">
        <v>57</v>
      </c>
      <c r="C542" s="0" t="s">
        <v>133</v>
      </c>
      <c r="D542" s="0" t="s">
        <v>54</v>
      </c>
      <c r="E542" s="2" t="n">
        <v>45882</v>
      </c>
      <c r="F542" s="3" t="s">
        <v>20</v>
      </c>
      <c r="G542" s="3" t="s">
        <v>43</v>
      </c>
      <c r="H542" s="3" t="s">
        <v>29</v>
      </c>
      <c r="I542" s="3" t="n">
        <f aca="false">YEAR(E542)</f>
        <v>2025</v>
      </c>
      <c r="J542" s="3" t="n">
        <f aca="false">MONTH(E542)</f>
        <v>8</v>
      </c>
      <c r="K542" s="3" t="n">
        <f aca="false">COUNTIFS($B$2:$B$4077,B542,$C$2:$C$4077,C542,$I$2:$I$4077,I542)</f>
        <v>2</v>
      </c>
      <c r="L542" s="3" t="n">
        <f aca="false">IF(COUNTIFS($B$2:B542,B542,$C$2:C542,C542,$I$2:I542,I542)=1,1,0)</f>
        <v>1</v>
      </c>
      <c r="M542" s="3" t="n">
        <f aca="false">IF(K542&gt;=Parametri!$B$1,1,0)</f>
        <v>1</v>
      </c>
      <c r="N542" s="3" t="n">
        <f aca="false">L542*M542</f>
        <v>1</v>
      </c>
    </row>
    <row r="543" customFormat="false" ht="15" hidden="false" customHeight="false" outlineLevel="0" collapsed="false">
      <c r="A543" s="0" t="s">
        <v>1031</v>
      </c>
      <c r="B543" s="0" t="s">
        <v>50</v>
      </c>
      <c r="C543" s="0" t="s">
        <v>1032</v>
      </c>
      <c r="D543" s="0" t="s">
        <v>54</v>
      </c>
      <c r="E543" s="2" t="n">
        <v>46084</v>
      </c>
      <c r="F543" s="3" t="s">
        <v>20</v>
      </c>
      <c r="G543" s="3" t="s">
        <v>43</v>
      </c>
      <c r="H543" s="3" t="s">
        <v>48</v>
      </c>
      <c r="I543" s="3" t="n">
        <f aca="false">YEAR(E543)</f>
        <v>2026</v>
      </c>
      <c r="J543" s="3" t="n">
        <f aca="false">MONTH(E543)</f>
        <v>3</v>
      </c>
      <c r="K543" s="3" t="n">
        <f aca="false">COUNTIFS($B$2:$B$4077,B543,$C$2:$C$4077,C543,$I$2:$I$4077,I543)</f>
        <v>1</v>
      </c>
      <c r="L543" s="3" t="n">
        <f aca="false">IF(COUNTIFS($B$2:B543,B543,$C$2:C543,C543,$I$2:I543,I543)=1,1,0)</f>
        <v>1</v>
      </c>
      <c r="M543" s="3" t="n">
        <f aca="false">IF(K543&gt;=Parametri!$B$1,1,0)</f>
        <v>0</v>
      </c>
      <c r="N543" s="3" t="n">
        <f aca="false">L543*M543</f>
        <v>0</v>
      </c>
    </row>
    <row r="544" customFormat="false" ht="15" hidden="false" customHeight="false" outlineLevel="0" collapsed="false">
      <c r="A544" s="0" t="s">
        <v>1033</v>
      </c>
      <c r="B544" s="0" t="s">
        <v>57</v>
      </c>
      <c r="C544" s="0" t="s">
        <v>1034</v>
      </c>
      <c r="D544" s="0" t="s">
        <v>77</v>
      </c>
      <c r="E544" s="2" t="n">
        <v>45656</v>
      </c>
      <c r="F544" s="3" t="s">
        <v>27</v>
      </c>
      <c r="G544" s="3" t="s">
        <v>89</v>
      </c>
      <c r="H544" s="3" t="s">
        <v>44</v>
      </c>
      <c r="I544" s="3" t="n">
        <f aca="false">YEAR(E544)</f>
        <v>2024</v>
      </c>
      <c r="J544" s="3" t="n">
        <f aca="false">MONTH(E544)</f>
        <v>12</v>
      </c>
      <c r="K544" s="3" t="n">
        <f aca="false">COUNTIFS($B$2:$B$4077,B544,$C$2:$C$4077,C544,$I$2:$I$4077,I544)</f>
        <v>2</v>
      </c>
      <c r="L544" s="3" t="n">
        <f aca="false">IF(COUNTIFS($B$2:B544,B544,$C$2:C544,C544,$I$2:I544,I544)=1,1,0)</f>
        <v>1</v>
      </c>
      <c r="M544" s="3" t="n">
        <f aca="false">IF(K544&gt;=Parametri!$B$1,1,0)</f>
        <v>1</v>
      </c>
      <c r="N544" s="3" t="n">
        <f aca="false">L544*M544</f>
        <v>1</v>
      </c>
    </row>
    <row r="545" customFormat="false" ht="15" hidden="false" customHeight="false" outlineLevel="0" collapsed="false">
      <c r="A545" s="0" t="s">
        <v>1035</v>
      </c>
      <c r="B545" s="0" t="s">
        <v>31</v>
      </c>
      <c r="C545" s="0" t="s">
        <v>1036</v>
      </c>
      <c r="D545" s="0" t="s">
        <v>38</v>
      </c>
      <c r="E545" s="2" t="n">
        <v>46066</v>
      </c>
      <c r="F545" s="3" t="s">
        <v>34</v>
      </c>
      <c r="G545" s="3" t="s">
        <v>43</v>
      </c>
      <c r="H545" s="3" t="s">
        <v>44</v>
      </c>
      <c r="I545" s="3" t="n">
        <f aca="false">YEAR(E545)</f>
        <v>2026</v>
      </c>
      <c r="J545" s="3" t="n">
        <f aca="false">MONTH(E545)</f>
        <v>2</v>
      </c>
      <c r="K545" s="3" t="n">
        <f aca="false">COUNTIFS($B$2:$B$4077,B545,$C$2:$C$4077,C545,$I$2:$I$4077,I545)</f>
        <v>1</v>
      </c>
      <c r="L545" s="3" t="n">
        <f aca="false">IF(COUNTIFS($B$2:B545,B545,$C$2:C545,C545,$I$2:I545,I545)=1,1,0)</f>
        <v>1</v>
      </c>
      <c r="M545" s="3" t="n">
        <f aca="false">IF(K545&gt;=Parametri!$B$1,1,0)</f>
        <v>0</v>
      </c>
      <c r="N545" s="3" t="n">
        <f aca="false">L545*M545</f>
        <v>0</v>
      </c>
    </row>
    <row r="546" customFormat="false" ht="15" hidden="false" customHeight="false" outlineLevel="0" collapsed="false">
      <c r="A546" s="0" t="s">
        <v>1037</v>
      </c>
      <c r="B546" s="0" t="s">
        <v>50</v>
      </c>
      <c r="C546" s="0" t="s">
        <v>1038</v>
      </c>
      <c r="D546" s="0" t="s">
        <v>38</v>
      </c>
      <c r="E546" s="2" t="n">
        <v>45827</v>
      </c>
      <c r="F546" s="3" t="s">
        <v>20</v>
      </c>
      <c r="G546" s="3" t="s">
        <v>43</v>
      </c>
      <c r="H546" s="3" t="s">
        <v>29</v>
      </c>
      <c r="I546" s="3" t="n">
        <f aca="false">YEAR(E546)</f>
        <v>2025</v>
      </c>
      <c r="J546" s="3" t="n">
        <f aca="false">MONTH(E546)</f>
        <v>6</v>
      </c>
      <c r="K546" s="3" t="n">
        <f aca="false">COUNTIFS($B$2:$B$4077,B546,$C$2:$C$4077,C546,$I$2:$I$4077,I546)</f>
        <v>1</v>
      </c>
      <c r="L546" s="3" t="n">
        <f aca="false">IF(COUNTIFS($B$2:B546,B546,$C$2:C546,C546,$I$2:I546,I546)=1,1,0)</f>
        <v>1</v>
      </c>
      <c r="M546" s="3" t="n">
        <f aca="false">IF(K546&gt;=Parametri!$B$1,1,0)</f>
        <v>0</v>
      </c>
      <c r="N546" s="3" t="n">
        <f aca="false">L546*M546</f>
        <v>0</v>
      </c>
    </row>
    <row r="547" customFormat="false" ht="15" hidden="false" customHeight="false" outlineLevel="0" collapsed="false">
      <c r="A547" s="0" t="s">
        <v>1039</v>
      </c>
      <c r="B547" s="0" t="s">
        <v>124</v>
      </c>
      <c r="C547" s="0" t="s">
        <v>1040</v>
      </c>
      <c r="D547" s="0" t="s">
        <v>66</v>
      </c>
      <c r="E547" s="2" t="n">
        <v>46172</v>
      </c>
      <c r="F547" s="3" t="s">
        <v>34</v>
      </c>
      <c r="G547" s="3" t="s">
        <v>39</v>
      </c>
      <c r="H547" s="3" t="s">
        <v>22</v>
      </c>
      <c r="I547" s="3" t="n">
        <f aca="false">YEAR(E547)</f>
        <v>2026</v>
      </c>
      <c r="J547" s="3" t="n">
        <f aca="false">MONTH(E547)</f>
        <v>5</v>
      </c>
      <c r="K547" s="3" t="n">
        <f aca="false">COUNTIFS($B$2:$B$4077,B547,$C$2:$C$4077,C547,$I$2:$I$4077,I547)</f>
        <v>5</v>
      </c>
      <c r="L547" s="3" t="n">
        <f aca="false">IF(COUNTIFS($B$2:B547,B547,$C$2:C547,C547,$I$2:I547,I547)=1,1,0)</f>
        <v>1</v>
      </c>
      <c r="M547" s="3" t="n">
        <f aca="false">IF(K547&gt;=Parametri!$B$1,1,0)</f>
        <v>1</v>
      </c>
      <c r="N547" s="3" t="n">
        <f aca="false">L547*M547</f>
        <v>1</v>
      </c>
    </row>
    <row r="548" customFormat="false" ht="15" hidden="false" customHeight="false" outlineLevel="0" collapsed="false">
      <c r="A548" s="0" t="s">
        <v>1041</v>
      </c>
      <c r="B548" s="0" t="s">
        <v>50</v>
      </c>
      <c r="C548" s="0" t="s">
        <v>1042</v>
      </c>
      <c r="D548" s="0" t="s">
        <v>66</v>
      </c>
      <c r="E548" s="2" t="n">
        <v>45323</v>
      </c>
      <c r="F548" s="3" t="s">
        <v>20</v>
      </c>
      <c r="G548" s="3" t="s">
        <v>35</v>
      </c>
      <c r="H548" s="3" t="s">
        <v>44</v>
      </c>
      <c r="I548" s="3" t="n">
        <f aca="false">YEAR(E548)</f>
        <v>2024</v>
      </c>
      <c r="J548" s="3" t="n">
        <f aca="false">MONTH(E548)</f>
        <v>2</v>
      </c>
      <c r="K548" s="3" t="n">
        <f aca="false">COUNTIFS($B$2:$B$4077,B548,$C$2:$C$4077,C548,$I$2:$I$4077,I548)</f>
        <v>1</v>
      </c>
      <c r="L548" s="3" t="n">
        <f aca="false">IF(COUNTIFS($B$2:B548,B548,$C$2:C548,C548,$I$2:I548,I548)=1,1,0)</f>
        <v>1</v>
      </c>
      <c r="M548" s="3" t="n">
        <f aca="false">IF(K548&gt;=Parametri!$B$1,1,0)</f>
        <v>0</v>
      </c>
      <c r="N548" s="3" t="n">
        <f aca="false">L548*M548</f>
        <v>0</v>
      </c>
    </row>
    <row r="549" customFormat="false" ht="15" hidden="false" customHeight="false" outlineLevel="0" collapsed="false">
      <c r="A549" s="0" t="s">
        <v>1043</v>
      </c>
      <c r="B549" s="0" t="s">
        <v>57</v>
      </c>
      <c r="C549" s="0" t="s">
        <v>1044</v>
      </c>
      <c r="D549" s="0" t="s">
        <v>38</v>
      </c>
      <c r="E549" s="2" t="n">
        <v>45463</v>
      </c>
      <c r="F549" s="3" t="s">
        <v>20</v>
      </c>
      <c r="G549" s="3" t="s">
        <v>72</v>
      </c>
      <c r="H549" s="3" t="s">
        <v>22</v>
      </c>
      <c r="I549" s="3" t="n">
        <f aca="false">YEAR(E549)</f>
        <v>2024</v>
      </c>
      <c r="J549" s="3" t="n">
        <f aca="false">MONTH(E549)</f>
        <v>6</v>
      </c>
      <c r="K549" s="3" t="n">
        <f aca="false">COUNTIFS($B$2:$B$4077,B549,$C$2:$C$4077,C549,$I$2:$I$4077,I549)</f>
        <v>3</v>
      </c>
      <c r="L549" s="3" t="n">
        <f aca="false">IF(COUNTIFS($B$2:B549,B549,$C$2:C549,C549,$I$2:I549,I549)=1,1,0)</f>
        <v>1</v>
      </c>
      <c r="M549" s="3" t="n">
        <f aca="false">IF(K549&gt;=Parametri!$B$1,1,0)</f>
        <v>1</v>
      </c>
      <c r="N549" s="3" t="n">
        <f aca="false">L549*M549</f>
        <v>1</v>
      </c>
    </row>
    <row r="550" customFormat="false" ht="15" hidden="false" customHeight="false" outlineLevel="0" collapsed="false">
      <c r="A550" s="0" t="s">
        <v>1045</v>
      </c>
      <c r="B550" s="0" t="s">
        <v>124</v>
      </c>
      <c r="C550" s="0" t="s">
        <v>1046</v>
      </c>
      <c r="D550" s="0" t="s">
        <v>63</v>
      </c>
      <c r="E550" s="2" t="n">
        <v>46139</v>
      </c>
      <c r="F550" s="3" t="s">
        <v>34</v>
      </c>
      <c r="G550" s="3" t="s">
        <v>28</v>
      </c>
      <c r="H550" s="3" t="s">
        <v>44</v>
      </c>
      <c r="I550" s="3" t="n">
        <f aca="false">YEAR(E550)</f>
        <v>2026</v>
      </c>
      <c r="J550" s="3" t="n">
        <f aca="false">MONTH(E550)</f>
        <v>4</v>
      </c>
      <c r="K550" s="3" t="n">
        <f aca="false">COUNTIFS($B$2:$B$4077,B550,$C$2:$C$4077,C550,$I$2:$I$4077,I550)</f>
        <v>1</v>
      </c>
      <c r="L550" s="3" t="n">
        <f aca="false">IF(COUNTIFS($B$2:B550,B550,$C$2:C550,C550,$I$2:I550,I550)=1,1,0)</f>
        <v>1</v>
      </c>
      <c r="M550" s="3" t="n">
        <f aca="false">IF(K550&gt;=Parametri!$B$1,1,0)</f>
        <v>0</v>
      </c>
      <c r="N550" s="3" t="n">
        <f aca="false">L550*M550</f>
        <v>0</v>
      </c>
    </row>
    <row r="551" customFormat="false" ht="15" hidden="false" customHeight="false" outlineLevel="0" collapsed="false">
      <c r="A551" s="0" t="s">
        <v>1047</v>
      </c>
      <c r="B551" s="0" t="s">
        <v>31</v>
      </c>
      <c r="C551" s="0" t="s">
        <v>1048</v>
      </c>
      <c r="D551" s="0" t="s">
        <v>66</v>
      </c>
      <c r="E551" s="2" t="n">
        <v>45656</v>
      </c>
      <c r="F551" s="3" t="s">
        <v>27</v>
      </c>
      <c r="G551" s="3" t="s">
        <v>72</v>
      </c>
      <c r="H551" s="3" t="s">
        <v>48</v>
      </c>
      <c r="I551" s="3" t="n">
        <f aca="false">YEAR(E551)</f>
        <v>2024</v>
      </c>
      <c r="J551" s="3" t="n">
        <f aca="false">MONTH(E551)</f>
        <v>12</v>
      </c>
      <c r="K551" s="3" t="n">
        <f aca="false">COUNTIFS($B$2:$B$4077,B551,$C$2:$C$4077,C551,$I$2:$I$4077,I551)</f>
        <v>1</v>
      </c>
      <c r="L551" s="3" t="n">
        <f aca="false">IF(COUNTIFS($B$2:B551,B551,$C$2:C551,C551,$I$2:I551,I551)=1,1,0)</f>
        <v>1</v>
      </c>
      <c r="M551" s="3" t="n">
        <f aca="false">IF(K551&gt;=Parametri!$B$1,1,0)</f>
        <v>0</v>
      </c>
      <c r="N551" s="3" t="n">
        <f aca="false">L551*M551</f>
        <v>0</v>
      </c>
    </row>
    <row r="552" customFormat="false" ht="15" hidden="false" customHeight="false" outlineLevel="0" collapsed="false">
      <c r="A552" s="0" t="s">
        <v>1049</v>
      </c>
      <c r="B552" s="0" t="s">
        <v>41</v>
      </c>
      <c r="C552" s="0" t="s">
        <v>1050</v>
      </c>
      <c r="D552" s="0" t="s">
        <v>38</v>
      </c>
      <c r="E552" s="2" t="n">
        <v>46048</v>
      </c>
      <c r="F552" s="3" t="s">
        <v>20</v>
      </c>
      <c r="G552" s="3" t="s">
        <v>39</v>
      </c>
      <c r="H552" s="3" t="s">
        <v>44</v>
      </c>
      <c r="I552" s="3" t="n">
        <f aca="false">YEAR(E552)</f>
        <v>2026</v>
      </c>
      <c r="J552" s="3" t="n">
        <f aca="false">MONTH(E552)</f>
        <v>1</v>
      </c>
      <c r="K552" s="3" t="n">
        <f aca="false">COUNTIFS($B$2:$B$4077,B552,$C$2:$C$4077,C552,$I$2:$I$4077,I552)</f>
        <v>1</v>
      </c>
      <c r="L552" s="3" t="n">
        <f aca="false">IF(COUNTIFS($B$2:B552,B552,$C$2:C552,C552,$I$2:I552,I552)=1,1,0)</f>
        <v>1</v>
      </c>
      <c r="M552" s="3" t="n">
        <f aca="false">IF(K552&gt;=Parametri!$B$1,1,0)</f>
        <v>0</v>
      </c>
      <c r="N552" s="3" t="n">
        <f aca="false">L552*M552</f>
        <v>0</v>
      </c>
    </row>
    <row r="553" customFormat="false" ht="15" hidden="false" customHeight="false" outlineLevel="0" collapsed="false">
      <c r="A553" s="0" t="s">
        <v>1051</v>
      </c>
      <c r="B553" s="0" t="s">
        <v>79</v>
      </c>
      <c r="C553" s="0" t="s">
        <v>1052</v>
      </c>
      <c r="D553" s="0" t="s">
        <v>77</v>
      </c>
      <c r="E553" s="2" t="n">
        <v>45525</v>
      </c>
      <c r="F553" s="3" t="s">
        <v>34</v>
      </c>
      <c r="G553" s="3" t="s">
        <v>21</v>
      </c>
      <c r="H553" s="3" t="s">
        <v>48</v>
      </c>
      <c r="I553" s="3" t="n">
        <f aca="false">YEAR(E553)</f>
        <v>2024</v>
      </c>
      <c r="J553" s="3" t="n">
        <f aca="false">MONTH(E553)</f>
        <v>8</v>
      </c>
      <c r="K553" s="3" t="n">
        <f aca="false">COUNTIFS($B$2:$B$4077,B553,$C$2:$C$4077,C553,$I$2:$I$4077,I553)</f>
        <v>2</v>
      </c>
      <c r="L553" s="3" t="n">
        <f aca="false">IF(COUNTIFS($B$2:B553,B553,$C$2:C553,C553,$I$2:I553,I553)=1,1,0)</f>
        <v>1</v>
      </c>
      <c r="M553" s="3" t="n">
        <f aca="false">IF(K553&gt;=Parametri!$B$1,1,0)</f>
        <v>1</v>
      </c>
      <c r="N553" s="3" t="n">
        <f aca="false">L553*M553</f>
        <v>1</v>
      </c>
    </row>
    <row r="554" customFormat="false" ht="15" hidden="false" customHeight="false" outlineLevel="0" collapsed="false">
      <c r="A554" s="0" t="s">
        <v>1053</v>
      </c>
      <c r="B554" s="0" t="s">
        <v>57</v>
      </c>
      <c r="C554" s="0" t="s">
        <v>1054</v>
      </c>
      <c r="D554" s="0" t="s">
        <v>19</v>
      </c>
      <c r="E554" s="2" t="n">
        <v>46112</v>
      </c>
      <c r="F554" s="3" t="s">
        <v>20</v>
      </c>
      <c r="G554" s="3" t="s">
        <v>72</v>
      </c>
      <c r="H554" s="3" t="s">
        <v>22</v>
      </c>
      <c r="I554" s="3" t="n">
        <f aca="false">YEAR(E554)</f>
        <v>2026</v>
      </c>
      <c r="J554" s="3" t="n">
        <f aca="false">MONTH(E554)</f>
        <v>3</v>
      </c>
      <c r="K554" s="3" t="n">
        <f aca="false">COUNTIFS($B$2:$B$4077,B554,$C$2:$C$4077,C554,$I$2:$I$4077,I554)</f>
        <v>2</v>
      </c>
      <c r="L554" s="3" t="n">
        <f aca="false">IF(COUNTIFS($B$2:B554,B554,$C$2:C554,C554,$I$2:I554,I554)=1,1,0)</f>
        <v>1</v>
      </c>
      <c r="M554" s="3" t="n">
        <f aca="false">IF(K554&gt;=Parametri!$B$1,1,0)</f>
        <v>1</v>
      </c>
      <c r="N554" s="3" t="n">
        <f aca="false">L554*M554</f>
        <v>1</v>
      </c>
    </row>
    <row r="555" customFormat="false" ht="15" hidden="false" customHeight="false" outlineLevel="0" collapsed="false">
      <c r="A555" s="0" t="s">
        <v>1055</v>
      </c>
      <c r="B555" s="0" t="s">
        <v>24</v>
      </c>
      <c r="C555" s="0" t="s">
        <v>1056</v>
      </c>
      <c r="D555" s="0" t="s">
        <v>77</v>
      </c>
      <c r="E555" s="2" t="n">
        <v>45930</v>
      </c>
      <c r="F555" s="3" t="s">
        <v>20</v>
      </c>
      <c r="G555" s="3" t="s">
        <v>43</v>
      </c>
      <c r="H555" s="3" t="s">
        <v>48</v>
      </c>
      <c r="I555" s="3" t="n">
        <f aca="false">YEAR(E555)</f>
        <v>2025</v>
      </c>
      <c r="J555" s="3" t="n">
        <f aca="false">MONTH(E555)</f>
        <v>9</v>
      </c>
      <c r="K555" s="3" t="n">
        <f aca="false">COUNTIFS($B$2:$B$4077,B555,$C$2:$C$4077,C555,$I$2:$I$4077,I555)</f>
        <v>1</v>
      </c>
      <c r="L555" s="3" t="n">
        <f aca="false">IF(COUNTIFS($B$2:B555,B555,$C$2:C555,C555,$I$2:I555,I555)=1,1,0)</f>
        <v>1</v>
      </c>
      <c r="M555" s="3" t="n">
        <f aca="false">IF(K555&gt;=Parametri!$B$1,1,0)</f>
        <v>0</v>
      </c>
      <c r="N555" s="3" t="n">
        <f aca="false">L555*M555</f>
        <v>0</v>
      </c>
    </row>
    <row r="556" customFormat="false" ht="15" hidden="false" customHeight="false" outlineLevel="0" collapsed="false">
      <c r="A556" s="0" t="s">
        <v>1057</v>
      </c>
      <c r="B556" s="0" t="s">
        <v>41</v>
      </c>
      <c r="C556" s="0" t="s">
        <v>1058</v>
      </c>
      <c r="D556" s="0" t="s">
        <v>77</v>
      </c>
      <c r="E556" s="2" t="n">
        <v>45727</v>
      </c>
      <c r="F556" s="3" t="s">
        <v>27</v>
      </c>
      <c r="G556" s="3" t="s">
        <v>39</v>
      </c>
      <c r="H556" s="3" t="s">
        <v>22</v>
      </c>
      <c r="I556" s="3" t="n">
        <f aca="false">YEAR(E556)</f>
        <v>2025</v>
      </c>
      <c r="J556" s="3" t="n">
        <f aca="false">MONTH(E556)</f>
        <v>3</v>
      </c>
      <c r="K556" s="3" t="n">
        <f aca="false">COUNTIFS($B$2:$B$4077,B556,$C$2:$C$4077,C556,$I$2:$I$4077,I556)</f>
        <v>1</v>
      </c>
      <c r="L556" s="3" t="n">
        <f aca="false">IF(COUNTIFS($B$2:B556,B556,$C$2:C556,C556,$I$2:I556,I556)=1,1,0)</f>
        <v>1</v>
      </c>
      <c r="M556" s="3" t="n">
        <f aca="false">IF(K556&gt;=Parametri!$B$1,1,0)</f>
        <v>0</v>
      </c>
      <c r="N556" s="3" t="n">
        <f aca="false">L556*M556</f>
        <v>0</v>
      </c>
    </row>
    <row r="557" customFormat="false" ht="15" hidden="false" customHeight="false" outlineLevel="0" collapsed="false">
      <c r="A557" s="0" t="s">
        <v>1059</v>
      </c>
      <c r="B557" s="0" t="s">
        <v>68</v>
      </c>
      <c r="C557" s="0" t="s">
        <v>1060</v>
      </c>
      <c r="D557" s="0" t="s">
        <v>33</v>
      </c>
      <c r="E557" s="2" t="n">
        <v>45937</v>
      </c>
      <c r="F557" s="3" t="s">
        <v>34</v>
      </c>
      <c r="G557" s="3" t="s">
        <v>72</v>
      </c>
      <c r="H557" s="3" t="s">
        <v>44</v>
      </c>
      <c r="I557" s="3" t="n">
        <f aca="false">YEAR(E557)</f>
        <v>2025</v>
      </c>
      <c r="J557" s="3" t="n">
        <f aca="false">MONTH(E557)</f>
        <v>10</v>
      </c>
      <c r="K557" s="3" t="n">
        <f aca="false">COUNTIFS($B$2:$B$4077,B557,$C$2:$C$4077,C557,$I$2:$I$4077,I557)</f>
        <v>2</v>
      </c>
      <c r="L557" s="3" t="n">
        <f aca="false">IF(COUNTIFS($B$2:B557,B557,$C$2:C557,C557,$I$2:I557,I557)=1,1,0)</f>
        <v>1</v>
      </c>
      <c r="M557" s="3" t="n">
        <f aca="false">IF(K557&gt;=Parametri!$B$1,1,0)</f>
        <v>1</v>
      </c>
      <c r="N557" s="3" t="n">
        <f aca="false">L557*M557</f>
        <v>1</v>
      </c>
    </row>
    <row r="558" customFormat="false" ht="15" hidden="false" customHeight="false" outlineLevel="0" collapsed="false">
      <c r="A558" s="0" t="s">
        <v>1061</v>
      </c>
      <c r="B558" s="0" t="s">
        <v>31</v>
      </c>
      <c r="C558" s="0" t="s">
        <v>1062</v>
      </c>
      <c r="D558" s="0" t="s">
        <v>26</v>
      </c>
      <c r="E558" s="2" t="n">
        <v>45527</v>
      </c>
      <c r="F558" s="3" t="s">
        <v>27</v>
      </c>
      <c r="G558" s="3" t="s">
        <v>28</v>
      </c>
      <c r="H558" s="3" t="s">
        <v>22</v>
      </c>
      <c r="I558" s="3" t="n">
        <f aca="false">YEAR(E558)</f>
        <v>2024</v>
      </c>
      <c r="J558" s="3" t="n">
        <f aca="false">MONTH(E558)</f>
        <v>8</v>
      </c>
      <c r="K558" s="3" t="n">
        <f aca="false">COUNTIFS($B$2:$B$4077,B558,$C$2:$C$4077,C558,$I$2:$I$4077,I558)</f>
        <v>2</v>
      </c>
      <c r="L558" s="3" t="n">
        <f aca="false">IF(COUNTIFS($B$2:B558,B558,$C$2:C558,C558,$I$2:I558,I558)=1,1,0)</f>
        <v>1</v>
      </c>
      <c r="M558" s="3" t="n">
        <f aca="false">IF(K558&gt;=Parametri!$B$1,1,0)</f>
        <v>1</v>
      </c>
      <c r="N558" s="3" t="n">
        <f aca="false">L558*M558</f>
        <v>1</v>
      </c>
    </row>
    <row r="559" customFormat="false" ht="15" hidden="false" customHeight="false" outlineLevel="0" collapsed="false">
      <c r="A559" s="0" t="s">
        <v>1063</v>
      </c>
      <c r="B559" s="0" t="s">
        <v>57</v>
      </c>
      <c r="C559" s="0" t="s">
        <v>1064</v>
      </c>
      <c r="D559" s="0" t="s">
        <v>19</v>
      </c>
      <c r="E559" s="2" t="n">
        <v>45608</v>
      </c>
      <c r="F559" s="3" t="s">
        <v>27</v>
      </c>
      <c r="G559" s="3" t="s">
        <v>104</v>
      </c>
      <c r="H559" s="3" t="s">
        <v>104</v>
      </c>
      <c r="I559" s="3" t="n">
        <f aca="false">YEAR(E559)</f>
        <v>2024</v>
      </c>
      <c r="J559" s="3" t="n">
        <f aca="false">MONTH(E559)</f>
        <v>11</v>
      </c>
      <c r="K559" s="3" t="n">
        <f aca="false">COUNTIFS($B$2:$B$4077,B559,$C$2:$C$4077,C559,$I$2:$I$4077,I559)</f>
        <v>1</v>
      </c>
      <c r="L559" s="3" t="n">
        <f aca="false">IF(COUNTIFS($B$2:B559,B559,$C$2:C559,C559,$I$2:I559,I559)=1,1,0)</f>
        <v>1</v>
      </c>
      <c r="M559" s="3" t="n">
        <f aca="false">IF(K559&gt;=Parametri!$B$1,1,0)</f>
        <v>0</v>
      </c>
      <c r="N559" s="3" t="n">
        <f aca="false">L559*M559</f>
        <v>0</v>
      </c>
    </row>
    <row r="560" customFormat="false" ht="15" hidden="false" customHeight="false" outlineLevel="0" collapsed="false">
      <c r="A560" s="0" t="s">
        <v>1065</v>
      </c>
      <c r="B560" s="0" t="s">
        <v>50</v>
      </c>
      <c r="C560" s="0" t="s">
        <v>1066</v>
      </c>
      <c r="D560" s="0" t="s">
        <v>77</v>
      </c>
      <c r="E560" s="2" t="n">
        <v>46172</v>
      </c>
      <c r="F560" s="3" t="s">
        <v>34</v>
      </c>
      <c r="G560" s="3" t="s">
        <v>28</v>
      </c>
      <c r="H560" s="3" t="s">
        <v>44</v>
      </c>
      <c r="I560" s="3" t="n">
        <f aca="false">YEAR(E560)</f>
        <v>2026</v>
      </c>
      <c r="J560" s="3" t="n">
        <f aca="false">MONTH(E560)</f>
        <v>5</v>
      </c>
      <c r="K560" s="3" t="n">
        <f aca="false">COUNTIFS($B$2:$B$4077,B560,$C$2:$C$4077,C560,$I$2:$I$4077,I560)</f>
        <v>2</v>
      </c>
      <c r="L560" s="3" t="n">
        <f aca="false">IF(COUNTIFS($B$2:B560,B560,$C$2:C560,C560,$I$2:I560,I560)=1,1,0)</f>
        <v>1</v>
      </c>
      <c r="M560" s="3" t="n">
        <f aca="false">IF(K560&gt;=Parametri!$B$1,1,0)</f>
        <v>1</v>
      </c>
      <c r="N560" s="3" t="n">
        <f aca="false">L560*M560</f>
        <v>1</v>
      </c>
    </row>
    <row r="561" customFormat="false" ht="15" hidden="false" customHeight="false" outlineLevel="0" collapsed="false">
      <c r="A561" s="0" t="s">
        <v>1067</v>
      </c>
      <c r="B561" s="0" t="s">
        <v>68</v>
      </c>
      <c r="C561" s="0" t="s">
        <v>1068</v>
      </c>
      <c r="D561" s="0" t="s">
        <v>54</v>
      </c>
      <c r="E561" s="2" t="n">
        <v>45852</v>
      </c>
      <c r="F561" s="3" t="s">
        <v>20</v>
      </c>
      <c r="G561" s="3" t="s">
        <v>39</v>
      </c>
      <c r="H561" s="3" t="s">
        <v>29</v>
      </c>
      <c r="I561" s="3" t="n">
        <f aca="false">YEAR(E561)</f>
        <v>2025</v>
      </c>
      <c r="J561" s="3" t="n">
        <f aca="false">MONTH(E561)</f>
        <v>7</v>
      </c>
      <c r="K561" s="3" t="n">
        <f aca="false">COUNTIFS($B$2:$B$4077,B561,$C$2:$C$4077,C561,$I$2:$I$4077,I561)</f>
        <v>2</v>
      </c>
      <c r="L561" s="3" t="n">
        <f aca="false">IF(COUNTIFS($B$2:B561,B561,$C$2:C561,C561,$I$2:I561,I561)=1,1,0)</f>
        <v>1</v>
      </c>
      <c r="M561" s="3" t="n">
        <f aca="false">IF(K561&gt;=Parametri!$B$1,1,0)</f>
        <v>1</v>
      </c>
      <c r="N561" s="3" t="n">
        <f aca="false">L561*M561</f>
        <v>1</v>
      </c>
    </row>
    <row r="562" customFormat="false" ht="15" hidden="false" customHeight="false" outlineLevel="0" collapsed="false">
      <c r="A562" s="0" t="s">
        <v>1069</v>
      </c>
      <c r="B562" s="0" t="s">
        <v>79</v>
      </c>
      <c r="C562" s="0" t="s">
        <v>585</v>
      </c>
      <c r="D562" s="0" t="s">
        <v>38</v>
      </c>
      <c r="E562" s="2" t="n">
        <v>45851</v>
      </c>
      <c r="F562" s="3" t="s">
        <v>27</v>
      </c>
      <c r="G562" s="3" t="s">
        <v>43</v>
      </c>
      <c r="H562" s="3" t="s">
        <v>29</v>
      </c>
      <c r="I562" s="3" t="n">
        <f aca="false">YEAR(E562)</f>
        <v>2025</v>
      </c>
      <c r="J562" s="3" t="n">
        <f aca="false">MONTH(E562)</f>
        <v>7</v>
      </c>
      <c r="K562" s="3" t="n">
        <f aca="false">COUNTIFS($B$2:$B$4077,B562,$C$2:$C$4077,C562,$I$2:$I$4077,I562)</f>
        <v>2</v>
      </c>
      <c r="L562" s="3" t="n">
        <f aca="false">IF(COUNTIFS($B$2:B562,B562,$C$2:C562,C562,$I$2:I562,I562)=1,1,0)</f>
        <v>1</v>
      </c>
      <c r="M562" s="3" t="n">
        <f aca="false">IF(K562&gt;=Parametri!$B$1,1,0)</f>
        <v>1</v>
      </c>
      <c r="N562" s="3" t="n">
        <f aca="false">L562*M562</f>
        <v>1</v>
      </c>
    </row>
    <row r="563" customFormat="false" ht="15" hidden="false" customHeight="false" outlineLevel="0" collapsed="false">
      <c r="A563" s="0" t="s">
        <v>1070</v>
      </c>
      <c r="B563" s="0" t="s">
        <v>17</v>
      </c>
      <c r="C563" s="0" t="s">
        <v>1071</v>
      </c>
      <c r="D563" s="0" t="s">
        <v>77</v>
      </c>
      <c r="E563" s="2" t="n">
        <v>45892</v>
      </c>
      <c r="F563" s="3" t="s">
        <v>27</v>
      </c>
      <c r="G563" s="3" t="s">
        <v>72</v>
      </c>
      <c r="H563" s="3" t="s">
        <v>44</v>
      </c>
      <c r="I563" s="3" t="n">
        <f aca="false">YEAR(E563)</f>
        <v>2025</v>
      </c>
      <c r="J563" s="3" t="n">
        <f aca="false">MONTH(E563)</f>
        <v>8</v>
      </c>
      <c r="K563" s="3" t="n">
        <f aca="false">COUNTIFS($B$2:$B$4077,B563,$C$2:$C$4077,C563,$I$2:$I$4077,I563)</f>
        <v>1</v>
      </c>
      <c r="L563" s="3" t="n">
        <f aca="false">IF(COUNTIFS($B$2:B563,B563,$C$2:C563,C563,$I$2:I563,I563)=1,1,0)</f>
        <v>1</v>
      </c>
      <c r="M563" s="3" t="n">
        <f aca="false">IF(K563&gt;=Parametri!$B$1,1,0)</f>
        <v>0</v>
      </c>
      <c r="N563" s="3" t="n">
        <f aca="false">L563*M563</f>
        <v>0</v>
      </c>
    </row>
    <row r="564" customFormat="false" ht="15" hidden="false" customHeight="false" outlineLevel="0" collapsed="false">
      <c r="A564" s="0" t="s">
        <v>1072</v>
      </c>
      <c r="B564" s="0" t="s">
        <v>79</v>
      </c>
      <c r="C564" s="0" t="s">
        <v>1073</v>
      </c>
      <c r="D564" s="0" t="s">
        <v>19</v>
      </c>
      <c r="E564" s="2" t="n">
        <v>45699</v>
      </c>
      <c r="F564" s="3" t="s">
        <v>20</v>
      </c>
      <c r="G564" s="3" t="s">
        <v>28</v>
      </c>
      <c r="H564" s="3" t="s">
        <v>44</v>
      </c>
      <c r="I564" s="3" t="n">
        <f aca="false">YEAR(E564)</f>
        <v>2025</v>
      </c>
      <c r="J564" s="3" t="n">
        <f aca="false">MONTH(E564)</f>
        <v>2</v>
      </c>
      <c r="K564" s="3" t="n">
        <f aca="false">COUNTIFS($B$2:$B$4077,B564,$C$2:$C$4077,C564,$I$2:$I$4077,I564)</f>
        <v>1</v>
      </c>
      <c r="L564" s="3" t="n">
        <f aca="false">IF(COUNTIFS($B$2:B564,B564,$C$2:C564,C564,$I$2:I564,I564)=1,1,0)</f>
        <v>1</v>
      </c>
      <c r="M564" s="3" t="n">
        <f aca="false">IF(K564&gt;=Parametri!$B$1,1,0)</f>
        <v>0</v>
      </c>
      <c r="N564" s="3" t="n">
        <f aca="false">L564*M564</f>
        <v>0</v>
      </c>
    </row>
    <row r="565" customFormat="false" ht="15" hidden="false" customHeight="false" outlineLevel="0" collapsed="false">
      <c r="A565" s="0" t="s">
        <v>1074</v>
      </c>
      <c r="B565" s="0" t="s">
        <v>46</v>
      </c>
      <c r="C565" s="0" t="s">
        <v>1075</v>
      </c>
      <c r="D565" s="0" t="s">
        <v>63</v>
      </c>
      <c r="E565" s="2" t="n">
        <v>45900</v>
      </c>
      <c r="F565" s="3" t="s">
        <v>20</v>
      </c>
      <c r="G565" s="3" t="s">
        <v>104</v>
      </c>
      <c r="H565" s="3" t="s">
        <v>44</v>
      </c>
      <c r="I565" s="3" t="n">
        <f aca="false">YEAR(E565)</f>
        <v>2025</v>
      </c>
      <c r="J565" s="3" t="n">
        <f aca="false">MONTH(E565)</f>
        <v>8</v>
      </c>
      <c r="K565" s="3" t="n">
        <f aca="false">COUNTIFS($B$2:$B$4077,B565,$C$2:$C$4077,C565,$I$2:$I$4077,I565)</f>
        <v>1</v>
      </c>
      <c r="L565" s="3" t="n">
        <f aca="false">IF(COUNTIFS($B$2:B565,B565,$C$2:C565,C565,$I$2:I565,I565)=1,1,0)</f>
        <v>1</v>
      </c>
      <c r="M565" s="3" t="n">
        <f aca="false">IF(K565&gt;=Parametri!$B$1,1,0)</f>
        <v>0</v>
      </c>
      <c r="N565" s="3" t="n">
        <f aca="false">L565*M565</f>
        <v>0</v>
      </c>
    </row>
    <row r="566" customFormat="false" ht="15" hidden="false" customHeight="false" outlineLevel="0" collapsed="false">
      <c r="A566" s="0" t="s">
        <v>1076</v>
      </c>
      <c r="B566" s="0" t="s">
        <v>31</v>
      </c>
      <c r="C566" s="0" t="s">
        <v>1077</v>
      </c>
      <c r="D566" s="0" t="s">
        <v>38</v>
      </c>
      <c r="E566" s="2" t="n">
        <v>46201</v>
      </c>
      <c r="F566" s="3" t="s">
        <v>27</v>
      </c>
      <c r="G566" s="3" t="s">
        <v>39</v>
      </c>
      <c r="H566" s="3" t="s">
        <v>44</v>
      </c>
      <c r="I566" s="3" t="n">
        <f aca="false">YEAR(E566)</f>
        <v>2026</v>
      </c>
      <c r="J566" s="3" t="n">
        <f aca="false">MONTH(E566)</f>
        <v>6</v>
      </c>
      <c r="K566" s="3" t="n">
        <f aca="false">COUNTIFS($B$2:$B$4077,B566,$C$2:$C$4077,C566,$I$2:$I$4077,I566)</f>
        <v>1</v>
      </c>
      <c r="L566" s="3" t="n">
        <f aca="false">IF(COUNTIFS($B$2:B566,B566,$C$2:C566,C566,$I$2:I566,I566)=1,1,0)</f>
        <v>1</v>
      </c>
      <c r="M566" s="3" t="n">
        <f aca="false">IF(K566&gt;=Parametri!$B$1,1,0)</f>
        <v>0</v>
      </c>
      <c r="N566" s="3" t="n">
        <f aca="false">L566*M566</f>
        <v>0</v>
      </c>
    </row>
    <row r="567" customFormat="false" ht="15" hidden="false" customHeight="false" outlineLevel="0" collapsed="false">
      <c r="A567" s="0" t="s">
        <v>1078</v>
      </c>
      <c r="B567" s="0" t="s">
        <v>17</v>
      </c>
      <c r="C567" s="0" t="s">
        <v>1079</v>
      </c>
      <c r="D567" s="0" t="s">
        <v>19</v>
      </c>
      <c r="E567" s="2" t="n">
        <v>46258</v>
      </c>
      <c r="F567" s="3" t="s">
        <v>20</v>
      </c>
      <c r="G567" s="3" t="s">
        <v>55</v>
      </c>
      <c r="H567" s="3" t="s">
        <v>44</v>
      </c>
      <c r="I567" s="3" t="n">
        <f aca="false">YEAR(E567)</f>
        <v>2026</v>
      </c>
      <c r="J567" s="3" t="n">
        <f aca="false">MONTH(E567)</f>
        <v>8</v>
      </c>
      <c r="K567" s="3" t="n">
        <f aca="false">COUNTIFS($B$2:$B$4077,B567,$C$2:$C$4077,C567,$I$2:$I$4077,I567)</f>
        <v>2</v>
      </c>
      <c r="L567" s="3" t="n">
        <f aca="false">IF(COUNTIFS($B$2:B567,B567,$C$2:C567,C567,$I$2:I567,I567)=1,1,0)</f>
        <v>1</v>
      </c>
      <c r="M567" s="3" t="n">
        <f aca="false">IF(K567&gt;=Parametri!$B$1,1,0)</f>
        <v>1</v>
      </c>
      <c r="N567" s="3" t="n">
        <f aca="false">L567*M567</f>
        <v>1</v>
      </c>
    </row>
    <row r="568" customFormat="false" ht="15" hidden="false" customHeight="false" outlineLevel="0" collapsed="false">
      <c r="A568" s="0" t="s">
        <v>1080</v>
      </c>
      <c r="B568" s="0" t="s">
        <v>31</v>
      </c>
      <c r="C568" s="0" t="s">
        <v>53</v>
      </c>
      <c r="D568" s="0" t="s">
        <v>38</v>
      </c>
      <c r="E568" s="2" t="n">
        <v>45728</v>
      </c>
      <c r="F568" s="3" t="s">
        <v>20</v>
      </c>
      <c r="G568" s="3" t="s">
        <v>43</v>
      </c>
      <c r="H568" s="3" t="s">
        <v>48</v>
      </c>
      <c r="I568" s="3" t="n">
        <f aca="false">YEAR(E568)</f>
        <v>2025</v>
      </c>
      <c r="J568" s="3" t="n">
        <f aca="false">MONTH(E568)</f>
        <v>3</v>
      </c>
      <c r="K568" s="3" t="n">
        <f aca="false">COUNTIFS($B$2:$B$4077,B568,$C$2:$C$4077,C568,$I$2:$I$4077,I568)</f>
        <v>2</v>
      </c>
      <c r="L568" s="3" t="n">
        <f aca="false">IF(COUNTIFS($B$2:B568,B568,$C$2:C568,C568,$I$2:I568,I568)=1,1,0)</f>
        <v>1</v>
      </c>
      <c r="M568" s="3" t="n">
        <f aca="false">IF(K568&gt;=Parametri!$B$1,1,0)</f>
        <v>1</v>
      </c>
      <c r="N568" s="3" t="n">
        <f aca="false">L568*M568</f>
        <v>1</v>
      </c>
    </row>
    <row r="569" customFormat="false" ht="15" hidden="false" customHeight="false" outlineLevel="0" collapsed="false">
      <c r="A569" s="0" t="s">
        <v>1081</v>
      </c>
      <c r="B569" s="0" t="s">
        <v>46</v>
      </c>
      <c r="C569" s="0" t="s">
        <v>65</v>
      </c>
      <c r="D569" s="0" t="s">
        <v>19</v>
      </c>
      <c r="E569" s="2" t="n">
        <v>45531</v>
      </c>
      <c r="F569" s="3" t="s">
        <v>27</v>
      </c>
      <c r="G569" s="3" t="s">
        <v>43</v>
      </c>
      <c r="H569" s="3" t="s">
        <v>44</v>
      </c>
      <c r="I569" s="3" t="n">
        <f aca="false">YEAR(E569)</f>
        <v>2024</v>
      </c>
      <c r="J569" s="3" t="n">
        <f aca="false">MONTH(E569)</f>
        <v>8</v>
      </c>
      <c r="K569" s="3" t="n">
        <f aca="false">COUNTIFS($B$2:$B$4077,B569,$C$2:$C$4077,C569,$I$2:$I$4077,I569)</f>
        <v>7</v>
      </c>
      <c r="L569" s="3" t="n">
        <f aca="false">IF(COUNTIFS($B$2:B569,B569,$C$2:C569,C569,$I$2:I569,I569)=1,1,0)</f>
        <v>0</v>
      </c>
      <c r="M569" s="3" t="n">
        <f aca="false">IF(K569&gt;=Parametri!$B$1,1,0)</f>
        <v>1</v>
      </c>
      <c r="N569" s="3" t="n">
        <f aca="false">L569*M569</f>
        <v>0</v>
      </c>
    </row>
    <row r="570" customFormat="false" ht="15" hidden="false" customHeight="false" outlineLevel="0" collapsed="false">
      <c r="A570" s="0" t="s">
        <v>1082</v>
      </c>
      <c r="B570" s="0" t="s">
        <v>31</v>
      </c>
      <c r="C570" s="0" t="s">
        <v>1083</v>
      </c>
      <c r="D570" s="0" t="s">
        <v>33</v>
      </c>
      <c r="E570" s="2" t="n">
        <v>45723</v>
      </c>
      <c r="F570" s="3" t="s">
        <v>34</v>
      </c>
      <c r="G570" s="3" t="s">
        <v>39</v>
      </c>
      <c r="H570" s="3" t="s">
        <v>22</v>
      </c>
      <c r="I570" s="3" t="n">
        <f aca="false">YEAR(E570)</f>
        <v>2025</v>
      </c>
      <c r="J570" s="3" t="n">
        <f aca="false">MONTH(E570)</f>
        <v>3</v>
      </c>
      <c r="K570" s="3" t="n">
        <f aca="false">COUNTIFS($B$2:$B$4077,B570,$C$2:$C$4077,C570,$I$2:$I$4077,I570)</f>
        <v>1</v>
      </c>
      <c r="L570" s="3" t="n">
        <f aca="false">IF(COUNTIFS($B$2:B570,B570,$C$2:C570,C570,$I$2:I570,I570)=1,1,0)</f>
        <v>1</v>
      </c>
      <c r="M570" s="3" t="n">
        <f aca="false">IF(K570&gt;=Parametri!$B$1,1,0)</f>
        <v>0</v>
      </c>
      <c r="N570" s="3" t="n">
        <f aca="false">L570*M570</f>
        <v>0</v>
      </c>
    </row>
    <row r="571" customFormat="false" ht="15" hidden="false" customHeight="false" outlineLevel="0" collapsed="false">
      <c r="A571" s="0" t="s">
        <v>1084</v>
      </c>
      <c r="B571" s="0" t="s">
        <v>17</v>
      </c>
      <c r="C571" s="0" t="s">
        <v>897</v>
      </c>
      <c r="D571" s="0" t="s">
        <v>66</v>
      </c>
      <c r="E571" s="2" t="n">
        <v>46225</v>
      </c>
      <c r="F571" s="3" t="s">
        <v>27</v>
      </c>
      <c r="G571" s="3" t="s">
        <v>39</v>
      </c>
      <c r="H571" s="3" t="s">
        <v>44</v>
      </c>
      <c r="I571" s="3" t="n">
        <f aca="false">YEAR(E571)</f>
        <v>2026</v>
      </c>
      <c r="J571" s="3" t="n">
        <f aca="false">MONTH(E571)</f>
        <v>7</v>
      </c>
      <c r="K571" s="3" t="n">
        <f aca="false">COUNTIFS($B$2:$B$4077,B571,$C$2:$C$4077,C571,$I$2:$I$4077,I571)</f>
        <v>4</v>
      </c>
      <c r="L571" s="3" t="n">
        <f aca="false">IF(COUNTIFS($B$2:B571,B571,$C$2:C571,C571,$I$2:I571,I571)=1,1,0)</f>
        <v>1</v>
      </c>
      <c r="M571" s="3" t="n">
        <f aca="false">IF(K571&gt;=Parametri!$B$1,1,0)</f>
        <v>1</v>
      </c>
      <c r="N571" s="3" t="n">
        <f aca="false">L571*M571</f>
        <v>1</v>
      </c>
    </row>
    <row r="572" customFormat="false" ht="15" hidden="false" customHeight="false" outlineLevel="0" collapsed="false">
      <c r="A572" s="0" t="s">
        <v>1085</v>
      </c>
      <c r="B572" s="0" t="s">
        <v>57</v>
      </c>
      <c r="C572" s="0" t="s">
        <v>419</v>
      </c>
      <c r="D572" s="0" t="s">
        <v>33</v>
      </c>
      <c r="E572" s="2" t="n">
        <v>45729</v>
      </c>
      <c r="F572" s="3" t="s">
        <v>20</v>
      </c>
      <c r="G572" s="3" t="s">
        <v>28</v>
      </c>
      <c r="H572" s="3" t="s">
        <v>29</v>
      </c>
      <c r="I572" s="3" t="n">
        <f aca="false">YEAR(E572)</f>
        <v>2025</v>
      </c>
      <c r="J572" s="3" t="n">
        <f aca="false">MONTH(E572)</f>
        <v>3</v>
      </c>
      <c r="K572" s="3" t="n">
        <f aca="false">COUNTIFS($B$2:$B$4077,B572,$C$2:$C$4077,C572,$I$2:$I$4077,I572)</f>
        <v>3</v>
      </c>
      <c r="L572" s="3" t="n">
        <f aca="false">IF(COUNTIFS($B$2:B572,B572,$C$2:C572,C572,$I$2:I572,I572)=1,1,0)</f>
        <v>0</v>
      </c>
      <c r="M572" s="3" t="n">
        <f aca="false">IF(K572&gt;=Parametri!$B$1,1,0)</f>
        <v>1</v>
      </c>
      <c r="N572" s="3" t="n">
        <f aca="false">L572*M572</f>
        <v>0</v>
      </c>
    </row>
    <row r="573" customFormat="false" ht="15" hidden="false" customHeight="false" outlineLevel="0" collapsed="false">
      <c r="A573" s="0" t="s">
        <v>1086</v>
      </c>
      <c r="B573" s="0" t="s">
        <v>31</v>
      </c>
      <c r="C573" s="0" t="s">
        <v>600</v>
      </c>
      <c r="D573" s="0" t="s">
        <v>54</v>
      </c>
      <c r="E573" s="2" t="n">
        <v>45354</v>
      </c>
      <c r="F573" s="3" t="s">
        <v>20</v>
      </c>
      <c r="G573" s="3" t="s">
        <v>39</v>
      </c>
      <c r="H573" s="3" t="s">
        <v>29</v>
      </c>
      <c r="I573" s="3" t="n">
        <f aca="false">YEAR(E573)</f>
        <v>2024</v>
      </c>
      <c r="J573" s="3" t="n">
        <f aca="false">MONTH(E573)</f>
        <v>3</v>
      </c>
      <c r="K573" s="3" t="n">
        <f aca="false">COUNTIFS($B$2:$B$4077,B573,$C$2:$C$4077,C573,$I$2:$I$4077,I573)</f>
        <v>2</v>
      </c>
      <c r="L573" s="3" t="n">
        <f aca="false">IF(COUNTIFS($B$2:B573,B573,$C$2:C573,C573,$I$2:I573,I573)=1,1,0)</f>
        <v>1</v>
      </c>
      <c r="M573" s="3" t="n">
        <f aca="false">IF(K573&gt;=Parametri!$B$1,1,0)</f>
        <v>1</v>
      </c>
      <c r="N573" s="3" t="n">
        <f aca="false">L573*M573</f>
        <v>1</v>
      </c>
    </row>
    <row r="574" customFormat="false" ht="15" hidden="false" customHeight="false" outlineLevel="0" collapsed="false">
      <c r="A574" s="0" t="s">
        <v>1087</v>
      </c>
      <c r="B574" s="0" t="s">
        <v>124</v>
      </c>
      <c r="C574" s="0" t="s">
        <v>1088</v>
      </c>
      <c r="D574" s="0" t="s">
        <v>38</v>
      </c>
      <c r="E574" s="2" t="n">
        <v>46161</v>
      </c>
      <c r="F574" s="3" t="s">
        <v>20</v>
      </c>
      <c r="G574" s="3" t="s">
        <v>39</v>
      </c>
      <c r="H574" s="3" t="s">
        <v>29</v>
      </c>
      <c r="I574" s="3" t="n">
        <f aca="false">YEAR(E574)</f>
        <v>2026</v>
      </c>
      <c r="J574" s="3" t="n">
        <f aca="false">MONTH(E574)</f>
        <v>5</v>
      </c>
      <c r="K574" s="3" t="n">
        <f aca="false">COUNTIFS($B$2:$B$4077,B574,$C$2:$C$4077,C574,$I$2:$I$4077,I574)</f>
        <v>1</v>
      </c>
      <c r="L574" s="3" t="n">
        <f aca="false">IF(COUNTIFS($B$2:B574,B574,$C$2:C574,C574,$I$2:I574,I574)=1,1,0)</f>
        <v>1</v>
      </c>
      <c r="M574" s="3" t="n">
        <f aca="false">IF(K574&gt;=Parametri!$B$1,1,0)</f>
        <v>0</v>
      </c>
      <c r="N574" s="3" t="n">
        <f aca="false">L574*M574</f>
        <v>0</v>
      </c>
    </row>
    <row r="575" customFormat="false" ht="15" hidden="false" customHeight="false" outlineLevel="0" collapsed="false">
      <c r="A575" s="0" t="s">
        <v>1089</v>
      </c>
      <c r="B575" s="0" t="s">
        <v>68</v>
      </c>
      <c r="C575" s="0" t="s">
        <v>1090</v>
      </c>
      <c r="D575" s="0" t="s">
        <v>38</v>
      </c>
      <c r="E575" s="2" t="n">
        <v>45995</v>
      </c>
      <c r="F575" s="3" t="s">
        <v>34</v>
      </c>
      <c r="G575" s="3" t="s">
        <v>39</v>
      </c>
      <c r="H575" s="3" t="s">
        <v>44</v>
      </c>
      <c r="I575" s="3" t="n">
        <f aca="false">YEAR(E575)</f>
        <v>2025</v>
      </c>
      <c r="J575" s="3" t="n">
        <f aca="false">MONTH(E575)</f>
        <v>12</v>
      </c>
      <c r="K575" s="3" t="n">
        <f aca="false">COUNTIFS($B$2:$B$4077,B575,$C$2:$C$4077,C575,$I$2:$I$4077,I575)</f>
        <v>1</v>
      </c>
      <c r="L575" s="3" t="n">
        <f aca="false">IF(COUNTIFS($B$2:B575,B575,$C$2:C575,C575,$I$2:I575,I575)=1,1,0)</f>
        <v>1</v>
      </c>
      <c r="M575" s="3" t="n">
        <f aca="false">IF(K575&gt;=Parametri!$B$1,1,0)</f>
        <v>0</v>
      </c>
      <c r="N575" s="3" t="n">
        <f aca="false">L575*M575</f>
        <v>0</v>
      </c>
    </row>
    <row r="576" customFormat="false" ht="15" hidden="false" customHeight="false" outlineLevel="0" collapsed="false">
      <c r="A576" s="0" t="s">
        <v>1091</v>
      </c>
      <c r="B576" s="0" t="s">
        <v>41</v>
      </c>
      <c r="C576" s="0" t="s">
        <v>493</v>
      </c>
      <c r="D576" s="0" t="s">
        <v>63</v>
      </c>
      <c r="E576" s="2" t="n">
        <v>45611</v>
      </c>
      <c r="F576" s="3" t="s">
        <v>20</v>
      </c>
      <c r="G576" s="3" t="s">
        <v>35</v>
      </c>
      <c r="H576" s="3" t="s">
        <v>22</v>
      </c>
      <c r="I576" s="3" t="n">
        <f aca="false">YEAR(E576)</f>
        <v>2024</v>
      </c>
      <c r="J576" s="3" t="n">
        <f aca="false">MONTH(E576)</f>
        <v>11</v>
      </c>
      <c r="K576" s="3" t="n">
        <f aca="false">COUNTIFS($B$2:$B$4077,B576,$C$2:$C$4077,C576,$I$2:$I$4077,I576)</f>
        <v>2</v>
      </c>
      <c r="L576" s="3" t="n">
        <f aca="false">IF(COUNTIFS($B$2:B576,B576,$C$2:C576,C576,$I$2:I576,I576)=1,1,0)</f>
        <v>1</v>
      </c>
      <c r="M576" s="3" t="n">
        <f aca="false">IF(K576&gt;=Parametri!$B$1,1,0)</f>
        <v>1</v>
      </c>
      <c r="N576" s="3" t="n">
        <f aca="false">L576*M576</f>
        <v>1</v>
      </c>
    </row>
    <row r="577" customFormat="false" ht="15" hidden="false" customHeight="false" outlineLevel="0" collapsed="false">
      <c r="A577" s="0" t="s">
        <v>1092</v>
      </c>
      <c r="B577" s="0" t="s">
        <v>24</v>
      </c>
      <c r="C577" s="0" t="s">
        <v>1093</v>
      </c>
      <c r="D577" s="0" t="s">
        <v>66</v>
      </c>
      <c r="E577" s="2" t="n">
        <v>45329</v>
      </c>
      <c r="F577" s="3" t="s">
        <v>20</v>
      </c>
      <c r="G577" s="3" t="s">
        <v>35</v>
      </c>
      <c r="H577" s="3" t="s">
        <v>29</v>
      </c>
      <c r="I577" s="3" t="n">
        <f aca="false">YEAR(E577)</f>
        <v>2024</v>
      </c>
      <c r="J577" s="3" t="n">
        <f aca="false">MONTH(E577)</f>
        <v>2</v>
      </c>
      <c r="K577" s="3" t="n">
        <f aca="false">COUNTIFS($B$2:$B$4077,B577,$C$2:$C$4077,C577,$I$2:$I$4077,I577)</f>
        <v>1</v>
      </c>
      <c r="L577" s="3" t="n">
        <f aca="false">IF(COUNTIFS($B$2:B577,B577,$C$2:C577,C577,$I$2:I577,I577)=1,1,0)</f>
        <v>1</v>
      </c>
      <c r="M577" s="3" t="n">
        <f aca="false">IF(K577&gt;=Parametri!$B$1,1,0)</f>
        <v>0</v>
      </c>
      <c r="N577" s="3" t="n">
        <f aca="false">L577*M577</f>
        <v>0</v>
      </c>
    </row>
    <row r="578" customFormat="false" ht="15" hidden="false" customHeight="false" outlineLevel="0" collapsed="false">
      <c r="A578" s="0" t="s">
        <v>1094</v>
      </c>
      <c r="B578" s="0" t="s">
        <v>124</v>
      </c>
      <c r="C578" s="0" t="s">
        <v>303</v>
      </c>
      <c r="D578" s="0" t="s">
        <v>77</v>
      </c>
      <c r="E578" s="2" t="n">
        <v>45821</v>
      </c>
      <c r="F578" s="3" t="s">
        <v>104</v>
      </c>
      <c r="G578" s="3" t="s">
        <v>104</v>
      </c>
      <c r="H578" s="3" t="s">
        <v>104</v>
      </c>
      <c r="I578" s="3" t="n">
        <f aca="false">YEAR(E578)</f>
        <v>2025</v>
      </c>
      <c r="J578" s="3" t="n">
        <f aca="false">MONTH(E578)</f>
        <v>6</v>
      </c>
      <c r="K578" s="3" t="n">
        <f aca="false">COUNTIFS($B$2:$B$4077,B578,$C$2:$C$4077,C578,$I$2:$I$4077,I578)</f>
        <v>1</v>
      </c>
      <c r="L578" s="3" t="n">
        <f aca="false">IF(COUNTIFS($B$2:B578,B578,$C$2:C578,C578,$I$2:I578,I578)=1,1,0)</f>
        <v>1</v>
      </c>
      <c r="M578" s="3" t="n">
        <f aca="false">IF(K578&gt;=Parametri!$B$1,1,0)</f>
        <v>0</v>
      </c>
      <c r="N578" s="3" t="n">
        <f aca="false">L578*M578</f>
        <v>0</v>
      </c>
    </row>
    <row r="579" customFormat="false" ht="15" hidden="false" customHeight="false" outlineLevel="0" collapsed="false">
      <c r="A579" s="0" t="s">
        <v>1095</v>
      </c>
      <c r="B579" s="0" t="s">
        <v>79</v>
      </c>
      <c r="C579" s="0" t="s">
        <v>1096</v>
      </c>
      <c r="D579" s="0" t="s">
        <v>77</v>
      </c>
      <c r="E579" s="2" t="n">
        <v>46111</v>
      </c>
      <c r="F579" s="3" t="s">
        <v>20</v>
      </c>
      <c r="G579" s="3" t="s">
        <v>89</v>
      </c>
      <c r="H579" s="3" t="s">
        <v>29</v>
      </c>
      <c r="I579" s="3" t="n">
        <f aca="false">YEAR(E579)</f>
        <v>2026</v>
      </c>
      <c r="J579" s="3" t="n">
        <f aca="false">MONTH(E579)</f>
        <v>3</v>
      </c>
      <c r="K579" s="3" t="n">
        <f aca="false">COUNTIFS($B$2:$B$4077,B579,$C$2:$C$4077,C579,$I$2:$I$4077,I579)</f>
        <v>1</v>
      </c>
      <c r="L579" s="3" t="n">
        <f aca="false">IF(COUNTIFS($B$2:B579,B579,$C$2:C579,C579,$I$2:I579,I579)=1,1,0)</f>
        <v>1</v>
      </c>
      <c r="M579" s="3" t="n">
        <f aca="false">IF(K579&gt;=Parametri!$B$1,1,0)</f>
        <v>0</v>
      </c>
      <c r="N579" s="3" t="n">
        <f aca="false">L579*M579</f>
        <v>0</v>
      </c>
    </row>
    <row r="580" customFormat="false" ht="15" hidden="false" customHeight="false" outlineLevel="0" collapsed="false">
      <c r="A580" s="0" t="s">
        <v>1097</v>
      </c>
      <c r="B580" s="0" t="s">
        <v>31</v>
      </c>
      <c r="C580" s="0" t="s">
        <v>1098</v>
      </c>
      <c r="D580" s="0" t="s">
        <v>66</v>
      </c>
      <c r="E580" s="2" t="n">
        <v>46222</v>
      </c>
      <c r="F580" s="3" t="s">
        <v>20</v>
      </c>
      <c r="G580" s="3" t="s">
        <v>35</v>
      </c>
      <c r="H580" s="3" t="s">
        <v>44</v>
      </c>
      <c r="I580" s="3" t="n">
        <f aca="false">YEAR(E580)</f>
        <v>2026</v>
      </c>
      <c r="J580" s="3" t="n">
        <f aca="false">MONTH(E580)</f>
        <v>7</v>
      </c>
      <c r="K580" s="3" t="n">
        <f aca="false">COUNTIFS($B$2:$B$4077,B580,$C$2:$C$4077,C580,$I$2:$I$4077,I580)</f>
        <v>1</v>
      </c>
      <c r="L580" s="3" t="n">
        <f aca="false">IF(COUNTIFS($B$2:B580,B580,$C$2:C580,C580,$I$2:I580,I580)=1,1,0)</f>
        <v>1</v>
      </c>
      <c r="M580" s="3" t="n">
        <f aca="false">IF(K580&gt;=Parametri!$B$1,1,0)</f>
        <v>0</v>
      </c>
      <c r="N580" s="3" t="n">
        <f aca="false">L580*M580</f>
        <v>0</v>
      </c>
    </row>
    <row r="581" customFormat="false" ht="15" hidden="false" customHeight="false" outlineLevel="0" collapsed="false">
      <c r="A581" s="0" t="s">
        <v>1099</v>
      </c>
      <c r="B581" s="0" t="s">
        <v>17</v>
      </c>
      <c r="C581" s="0" t="s">
        <v>944</v>
      </c>
      <c r="D581" s="0" t="s">
        <v>19</v>
      </c>
      <c r="E581" s="2" t="n">
        <v>46140</v>
      </c>
      <c r="F581" s="3" t="s">
        <v>27</v>
      </c>
      <c r="G581" s="3" t="s">
        <v>55</v>
      </c>
      <c r="H581" s="3" t="s">
        <v>48</v>
      </c>
      <c r="I581" s="3" t="n">
        <f aca="false">YEAR(E581)</f>
        <v>2026</v>
      </c>
      <c r="J581" s="3" t="n">
        <f aca="false">MONTH(E581)</f>
        <v>4</v>
      </c>
      <c r="K581" s="3" t="n">
        <f aca="false">COUNTIFS($B$2:$B$4077,B581,$C$2:$C$4077,C581,$I$2:$I$4077,I581)</f>
        <v>1</v>
      </c>
      <c r="L581" s="3" t="n">
        <f aca="false">IF(COUNTIFS($B$2:B581,B581,$C$2:C581,C581,$I$2:I581,I581)=1,1,0)</f>
        <v>1</v>
      </c>
      <c r="M581" s="3" t="n">
        <f aca="false">IF(K581&gt;=Parametri!$B$1,1,0)</f>
        <v>0</v>
      </c>
      <c r="N581" s="3" t="n">
        <f aca="false">L581*M581</f>
        <v>0</v>
      </c>
    </row>
    <row r="582" customFormat="false" ht="15" hidden="false" customHeight="false" outlineLevel="0" collapsed="false">
      <c r="A582" s="0" t="s">
        <v>1100</v>
      </c>
      <c r="B582" s="0" t="s">
        <v>57</v>
      </c>
      <c r="C582" s="0" t="s">
        <v>465</v>
      </c>
      <c r="D582" s="0" t="s">
        <v>77</v>
      </c>
      <c r="E582" s="2" t="n">
        <v>45662</v>
      </c>
      <c r="F582" s="3" t="s">
        <v>20</v>
      </c>
      <c r="G582" s="3" t="s">
        <v>28</v>
      </c>
      <c r="H582" s="3" t="s">
        <v>29</v>
      </c>
      <c r="I582" s="3" t="n">
        <f aca="false">YEAR(E582)</f>
        <v>2025</v>
      </c>
      <c r="J582" s="3" t="n">
        <f aca="false">MONTH(E582)</f>
        <v>1</v>
      </c>
      <c r="K582" s="3" t="n">
        <f aca="false">COUNTIFS($B$2:$B$4077,B582,$C$2:$C$4077,C582,$I$2:$I$4077,I582)</f>
        <v>1</v>
      </c>
      <c r="L582" s="3" t="n">
        <f aca="false">IF(COUNTIFS($B$2:B582,B582,$C$2:C582,C582,$I$2:I582,I582)=1,1,0)</f>
        <v>1</v>
      </c>
      <c r="M582" s="3" t="n">
        <f aca="false">IF(K582&gt;=Parametri!$B$1,1,0)</f>
        <v>0</v>
      </c>
      <c r="N582" s="3" t="n">
        <f aca="false">L582*M582</f>
        <v>0</v>
      </c>
    </row>
    <row r="583" customFormat="false" ht="15" hidden="false" customHeight="false" outlineLevel="0" collapsed="false">
      <c r="A583" s="0" t="s">
        <v>1101</v>
      </c>
      <c r="B583" s="0" t="s">
        <v>50</v>
      </c>
      <c r="C583" s="0" t="s">
        <v>533</v>
      </c>
      <c r="D583" s="0" t="s">
        <v>77</v>
      </c>
      <c r="E583" s="2" t="n">
        <v>45657</v>
      </c>
      <c r="F583" s="3" t="s">
        <v>27</v>
      </c>
      <c r="G583" s="3" t="s">
        <v>39</v>
      </c>
      <c r="H583" s="3" t="s">
        <v>29</v>
      </c>
      <c r="I583" s="3" t="n">
        <f aca="false">YEAR(E583)</f>
        <v>2024</v>
      </c>
      <c r="J583" s="3" t="n">
        <f aca="false">MONTH(E583)</f>
        <v>12</v>
      </c>
      <c r="K583" s="3" t="n">
        <f aca="false">COUNTIFS($B$2:$B$4077,B583,$C$2:$C$4077,C583,$I$2:$I$4077,I583)</f>
        <v>2</v>
      </c>
      <c r="L583" s="3" t="n">
        <f aca="false">IF(COUNTIFS($B$2:B583,B583,$C$2:C583,C583,$I$2:I583,I583)=1,1,0)</f>
        <v>0</v>
      </c>
      <c r="M583" s="3" t="n">
        <f aca="false">IF(K583&gt;=Parametri!$B$1,1,0)</f>
        <v>1</v>
      </c>
      <c r="N583" s="3" t="n">
        <f aca="false">L583*M583</f>
        <v>0</v>
      </c>
    </row>
    <row r="584" customFormat="false" ht="15" hidden="false" customHeight="false" outlineLevel="0" collapsed="false">
      <c r="A584" s="0" t="s">
        <v>1102</v>
      </c>
      <c r="B584" s="0" t="s">
        <v>17</v>
      </c>
      <c r="C584" s="0" t="s">
        <v>1103</v>
      </c>
      <c r="D584" s="0" t="s">
        <v>66</v>
      </c>
      <c r="E584" s="2" t="n">
        <v>45624</v>
      </c>
      <c r="F584" s="3" t="s">
        <v>27</v>
      </c>
      <c r="G584" s="3" t="s">
        <v>55</v>
      </c>
      <c r="H584" s="3" t="s">
        <v>22</v>
      </c>
      <c r="I584" s="3" t="n">
        <f aca="false">YEAR(E584)</f>
        <v>2024</v>
      </c>
      <c r="J584" s="3" t="n">
        <f aca="false">MONTH(E584)</f>
        <v>11</v>
      </c>
      <c r="K584" s="3" t="n">
        <f aca="false">COUNTIFS($B$2:$B$4077,B584,$C$2:$C$4077,C584,$I$2:$I$4077,I584)</f>
        <v>1</v>
      </c>
      <c r="L584" s="3" t="n">
        <f aca="false">IF(COUNTIFS($B$2:B584,B584,$C$2:C584,C584,$I$2:I584,I584)=1,1,0)</f>
        <v>1</v>
      </c>
      <c r="M584" s="3" t="n">
        <f aca="false">IF(K584&gt;=Parametri!$B$1,1,0)</f>
        <v>0</v>
      </c>
      <c r="N584" s="3" t="n">
        <f aca="false">L584*M584</f>
        <v>0</v>
      </c>
    </row>
    <row r="585" customFormat="false" ht="15" hidden="false" customHeight="false" outlineLevel="0" collapsed="false">
      <c r="A585" s="0" t="s">
        <v>1104</v>
      </c>
      <c r="B585" s="0" t="s">
        <v>79</v>
      </c>
      <c r="C585" s="0" t="s">
        <v>116</v>
      </c>
      <c r="D585" s="0" t="s">
        <v>66</v>
      </c>
      <c r="E585" s="2" t="n">
        <v>45398</v>
      </c>
      <c r="F585" s="3" t="s">
        <v>27</v>
      </c>
      <c r="G585" s="3" t="s">
        <v>89</v>
      </c>
      <c r="H585" s="3" t="s">
        <v>29</v>
      </c>
      <c r="I585" s="3" t="n">
        <f aca="false">YEAR(E585)</f>
        <v>2024</v>
      </c>
      <c r="J585" s="3" t="n">
        <f aca="false">MONTH(E585)</f>
        <v>4</v>
      </c>
      <c r="K585" s="3" t="n">
        <f aca="false">COUNTIFS($B$2:$B$4077,B585,$C$2:$C$4077,C585,$I$2:$I$4077,I585)</f>
        <v>6</v>
      </c>
      <c r="L585" s="3" t="n">
        <f aca="false">IF(COUNTIFS($B$2:B585,B585,$C$2:C585,C585,$I$2:I585,I585)=1,1,0)</f>
        <v>1</v>
      </c>
      <c r="M585" s="3" t="n">
        <f aca="false">IF(K585&gt;=Parametri!$B$1,1,0)</f>
        <v>1</v>
      </c>
      <c r="N585" s="3" t="n">
        <f aca="false">L585*M585</f>
        <v>1</v>
      </c>
    </row>
    <row r="586" customFormat="false" ht="15" hidden="false" customHeight="false" outlineLevel="0" collapsed="false">
      <c r="A586" s="0" t="s">
        <v>1105</v>
      </c>
      <c r="B586" s="0" t="s">
        <v>31</v>
      </c>
      <c r="C586" s="0" t="s">
        <v>1106</v>
      </c>
      <c r="D586" s="0" t="s">
        <v>33</v>
      </c>
      <c r="E586" s="2" t="n">
        <v>45720</v>
      </c>
      <c r="F586" s="3" t="s">
        <v>34</v>
      </c>
      <c r="G586" s="3" t="s">
        <v>35</v>
      </c>
      <c r="H586" s="3" t="s">
        <v>29</v>
      </c>
      <c r="I586" s="3" t="n">
        <f aca="false">YEAR(E586)</f>
        <v>2025</v>
      </c>
      <c r="J586" s="3" t="n">
        <f aca="false">MONTH(E586)</f>
        <v>3</v>
      </c>
      <c r="K586" s="3" t="n">
        <f aca="false">COUNTIFS($B$2:$B$4077,B586,$C$2:$C$4077,C586,$I$2:$I$4077,I586)</f>
        <v>1</v>
      </c>
      <c r="L586" s="3" t="n">
        <f aca="false">IF(COUNTIFS($B$2:B586,B586,$C$2:C586,C586,$I$2:I586,I586)=1,1,0)</f>
        <v>1</v>
      </c>
      <c r="M586" s="3" t="n">
        <f aca="false">IF(K586&gt;=Parametri!$B$1,1,0)</f>
        <v>0</v>
      </c>
      <c r="N586" s="3" t="n">
        <f aca="false">L586*M586</f>
        <v>0</v>
      </c>
    </row>
    <row r="587" customFormat="false" ht="15" hidden="false" customHeight="false" outlineLevel="0" collapsed="false">
      <c r="A587" s="0" t="s">
        <v>1107</v>
      </c>
      <c r="B587" s="0" t="s">
        <v>41</v>
      </c>
      <c r="C587" s="0" t="s">
        <v>1108</v>
      </c>
      <c r="D587" s="0" t="s">
        <v>38</v>
      </c>
      <c r="E587" s="2" t="n">
        <v>45515</v>
      </c>
      <c r="F587" s="3" t="s">
        <v>20</v>
      </c>
      <c r="G587" s="3" t="s">
        <v>43</v>
      </c>
      <c r="H587" s="3" t="s">
        <v>44</v>
      </c>
      <c r="I587" s="3" t="n">
        <f aca="false">YEAR(E587)</f>
        <v>2024</v>
      </c>
      <c r="J587" s="3" t="n">
        <f aca="false">MONTH(E587)</f>
        <v>8</v>
      </c>
      <c r="K587" s="3" t="n">
        <f aca="false">COUNTIFS($B$2:$B$4077,B587,$C$2:$C$4077,C587,$I$2:$I$4077,I587)</f>
        <v>3</v>
      </c>
      <c r="L587" s="3" t="n">
        <f aca="false">IF(COUNTIFS($B$2:B587,B587,$C$2:C587,C587,$I$2:I587,I587)=1,1,0)</f>
        <v>1</v>
      </c>
      <c r="M587" s="3" t="n">
        <f aca="false">IF(K587&gt;=Parametri!$B$1,1,0)</f>
        <v>1</v>
      </c>
      <c r="N587" s="3" t="n">
        <f aca="false">L587*M587</f>
        <v>1</v>
      </c>
    </row>
    <row r="588" customFormat="false" ht="15" hidden="false" customHeight="false" outlineLevel="0" collapsed="false">
      <c r="A588" s="0" t="s">
        <v>1109</v>
      </c>
      <c r="B588" s="0" t="s">
        <v>79</v>
      </c>
      <c r="C588" s="0" t="s">
        <v>1110</v>
      </c>
      <c r="D588" s="0" t="s">
        <v>63</v>
      </c>
      <c r="E588" s="2" t="n">
        <v>45719</v>
      </c>
      <c r="F588" s="3" t="s">
        <v>34</v>
      </c>
      <c r="G588" s="3" t="s">
        <v>89</v>
      </c>
      <c r="H588" s="3" t="s">
        <v>44</v>
      </c>
      <c r="I588" s="3" t="n">
        <f aca="false">YEAR(E588)</f>
        <v>2025</v>
      </c>
      <c r="J588" s="3" t="n">
        <f aca="false">MONTH(E588)</f>
        <v>3</v>
      </c>
      <c r="K588" s="3" t="n">
        <f aca="false">COUNTIFS($B$2:$B$4077,B588,$C$2:$C$4077,C588,$I$2:$I$4077,I588)</f>
        <v>2</v>
      </c>
      <c r="L588" s="3" t="n">
        <f aca="false">IF(COUNTIFS($B$2:B588,B588,$C$2:C588,C588,$I$2:I588,I588)=1,1,0)</f>
        <v>1</v>
      </c>
      <c r="M588" s="3" t="n">
        <f aca="false">IF(K588&gt;=Parametri!$B$1,1,0)</f>
        <v>1</v>
      </c>
      <c r="N588" s="3" t="n">
        <f aca="false">L588*M588</f>
        <v>1</v>
      </c>
    </row>
    <row r="589" customFormat="false" ht="15" hidden="false" customHeight="false" outlineLevel="0" collapsed="false">
      <c r="A589" s="0" t="s">
        <v>1111</v>
      </c>
      <c r="B589" s="0" t="s">
        <v>50</v>
      </c>
      <c r="C589" s="0" t="s">
        <v>1112</v>
      </c>
      <c r="D589" s="0" t="s">
        <v>63</v>
      </c>
      <c r="E589" s="2" t="n">
        <v>45442</v>
      </c>
      <c r="F589" s="3" t="s">
        <v>20</v>
      </c>
      <c r="G589" s="3" t="s">
        <v>55</v>
      </c>
      <c r="H589" s="3" t="s">
        <v>22</v>
      </c>
      <c r="I589" s="3" t="n">
        <f aca="false">YEAR(E589)</f>
        <v>2024</v>
      </c>
      <c r="J589" s="3" t="n">
        <f aca="false">MONTH(E589)</f>
        <v>5</v>
      </c>
      <c r="K589" s="3" t="n">
        <f aca="false">COUNTIFS($B$2:$B$4077,B589,$C$2:$C$4077,C589,$I$2:$I$4077,I589)</f>
        <v>1</v>
      </c>
      <c r="L589" s="3" t="n">
        <f aca="false">IF(COUNTIFS($B$2:B589,B589,$C$2:C589,C589,$I$2:I589,I589)=1,1,0)</f>
        <v>1</v>
      </c>
      <c r="M589" s="3" t="n">
        <f aca="false">IF(K589&gt;=Parametri!$B$1,1,0)</f>
        <v>0</v>
      </c>
      <c r="N589" s="3" t="n">
        <f aca="false">L589*M589</f>
        <v>0</v>
      </c>
    </row>
    <row r="590" customFormat="false" ht="15" hidden="false" customHeight="false" outlineLevel="0" collapsed="false">
      <c r="A590" s="0" t="s">
        <v>1113</v>
      </c>
      <c r="B590" s="0" t="s">
        <v>68</v>
      </c>
      <c r="C590" s="0" t="s">
        <v>1060</v>
      </c>
      <c r="D590" s="0" t="s">
        <v>33</v>
      </c>
      <c r="E590" s="2" t="n">
        <v>45711</v>
      </c>
      <c r="F590" s="3" t="s">
        <v>20</v>
      </c>
      <c r="G590" s="3" t="s">
        <v>28</v>
      </c>
      <c r="H590" s="3" t="s">
        <v>29</v>
      </c>
      <c r="I590" s="3" t="n">
        <f aca="false">YEAR(E590)</f>
        <v>2025</v>
      </c>
      <c r="J590" s="3" t="n">
        <f aca="false">MONTH(E590)</f>
        <v>2</v>
      </c>
      <c r="K590" s="3" t="n">
        <f aca="false">COUNTIFS($B$2:$B$4077,B590,$C$2:$C$4077,C590,$I$2:$I$4077,I590)</f>
        <v>2</v>
      </c>
      <c r="L590" s="3" t="n">
        <f aca="false">IF(COUNTIFS($B$2:B590,B590,$C$2:C590,C590,$I$2:I590,I590)=1,1,0)</f>
        <v>0</v>
      </c>
      <c r="M590" s="3" t="n">
        <f aca="false">IF(K590&gt;=Parametri!$B$1,1,0)</f>
        <v>1</v>
      </c>
      <c r="N590" s="3" t="n">
        <f aca="false">L590*M590</f>
        <v>0</v>
      </c>
    </row>
    <row r="591" customFormat="false" ht="15" hidden="false" customHeight="false" outlineLevel="0" collapsed="false">
      <c r="A591" s="0" t="s">
        <v>1114</v>
      </c>
      <c r="B591" s="0" t="s">
        <v>68</v>
      </c>
      <c r="C591" s="0" t="s">
        <v>1115</v>
      </c>
      <c r="D591" s="0" t="s">
        <v>38</v>
      </c>
      <c r="E591" s="2" t="n">
        <v>45391</v>
      </c>
      <c r="F591" s="3" t="s">
        <v>27</v>
      </c>
      <c r="G591" s="3" t="s">
        <v>55</v>
      </c>
      <c r="H591" s="3" t="s">
        <v>29</v>
      </c>
      <c r="I591" s="3" t="n">
        <f aca="false">YEAR(E591)</f>
        <v>2024</v>
      </c>
      <c r="J591" s="3" t="n">
        <f aca="false">MONTH(E591)</f>
        <v>4</v>
      </c>
      <c r="K591" s="3" t="n">
        <f aca="false">COUNTIFS($B$2:$B$4077,B591,$C$2:$C$4077,C591,$I$2:$I$4077,I591)</f>
        <v>1</v>
      </c>
      <c r="L591" s="3" t="n">
        <f aca="false">IF(COUNTIFS($B$2:B591,B591,$C$2:C591,C591,$I$2:I591,I591)=1,1,0)</f>
        <v>1</v>
      </c>
      <c r="M591" s="3" t="n">
        <f aca="false">IF(K591&gt;=Parametri!$B$1,1,0)</f>
        <v>0</v>
      </c>
      <c r="N591" s="3" t="n">
        <f aca="false">L591*M591</f>
        <v>0</v>
      </c>
    </row>
    <row r="592" customFormat="false" ht="15" hidden="false" customHeight="false" outlineLevel="0" collapsed="false">
      <c r="A592" s="0" t="s">
        <v>1116</v>
      </c>
      <c r="B592" s="0" t="s">
        <v>46</v>
      </c>
      <c r="C592" s="0" t="s">
        <v>1117</v>
      </c>
      <c r="D592" s="0" t="s">
        <v>63</v>
      </c>
      <c r="E592" s="2" t="n">
        <v>45684</v>
      </c>
      <c r="F592" s="3" t="s">
        <v>20</v>
      </c>
      <c r="G592" s="3" t="s">
        <v>55</v>
      </c>
      <c r="H592" s="3" t="s">
        <v>44</v>
      </c>
      <c r="I592" s="3" t="n">
        <f aca="false">YEAR(E592)</f>
        <v>2025</v>
      </c>
      <c r="J592" s="3" t="n">
        <f aca="false">MONTH(E592)</f>
        <v>1</v>
      </c>
      <c r="K592" s="3" t="n">
        <f aca="false">COUNTIFS($B$2:$B$4077,B592,$C$2:$C$4077,C592,$I$2:$I$4077,I592)</f>
        <v>1</v>
      </c>
      <c r="L592" s="3" t="n">
        <f aca="false">IF(COUNTIFS($B$2:B592,B592,$C$2:C592,C592,$I$2:I592,I592)=1,1,0)</f>
        <v>1</v>
      </c>
      <c r="M592" s="3" t="n">
        <f aca="false">IF(K592&gt;=Parametri!$B$1,1,0)</f>
        <v>0</v>
      </c>
      <c r="N592" s="3" t="n">
        <f aca="false">L592*M592</f>
        <v>0</v>
      </c>
    </row>
    <row r="593" customFormat="false" ht="15" hidden="false" customHeight="false" outlineLevel="0" collapsed="false">
      <c r="A593" s="0" t="s">
        <v>1118</v>
      </c>
      <c r="B593" s="0" t="s">
        <v>24</v>
      </c>
      <c r="C593" s="0" t="s">
        <v>25</v>
      </c>
      <c r="D593" s="0" t="s">
        <v>77</v>
      </c>
      <c r="E593" s="2" t="n">
        <v>45616</v>
      </c>
      <c r="F593" s="3" t="s">
        <v>20</v>
      </c>
      <c r="G593" s="3" t="s">
        <v>39</v>
      </c>
      <c r="H593" s="3" t="s">
        <v>29</v>
      </c>
      <c r="I593" s="3" t="n">
        <f aca="false">YEAR(E593)</f>
        <v>2024</v>
      </c>
      <c r="J593" s="3" t="n">
        <f aca="false">MONTH(E593)</f>
        <v>11</v>
      </c>
      <c r="K593" s="3" t="n">
        <f aca="false">COUNTIFS($B$2:$B$4077,B593,$C$2:$C$4077,C593,$I$2:$I$4077,I593)</f>
        <v>5</v>
      </c>
      <c r="L593" s="3" t="n">
        <f aca="false">IF(COUNTIFS($B$2:B593,B593,$C$2:C593,C593,$I$2:I593,I593)=1,1,0)</f>
        <v>0</v>
      </c>
      <c r="M593" s="3" t="n">
        <f aca="false">IF(K593&gt;=Parametri!$B$1,1,0)</f>
        <v>1</v>
      </c>
      <c r="N593" s="3" t="n">
        <f aca="false">L593*M593</f>
        <v>0</v>
      </c>
    </row>
    <row r="594" customFormat="false" ht="15" hidden="false" customHeight="false" outlineLevel="0" collapsed="false">
      <c r="A594" s="0" t="s">
        <v>1119</v>
      </c>
      <c r="B594" s="0" t="s">
        <v>31</v>
      </c>
      <c r="C594" s="0" t="s">
        <v>574</v>
      </c>
      <c r="D594" s="0" t="s">
        <v>63</v>
      </c>
      <c r="E594" s="2" t="n">
        <v>45671</v>
      </c>
      <c r="F594" s="3" t="s">
        <v>27</v>
      </c>
      <c r="G594" s="3" t="s">
        <v>55</v>
      </c>
      <c r="H594" s="3" t="s">
        <v>29</v>
      </c>
      <c r="I594" s="3" t="n">
        <f aca="false">YEAR(E594)</f>
        <v>2025</v>
      </c>
      <c r="J594" s="3" t="n">
        <f aca="false">MONTH(E594)</f>
        <v>1</v>
      </c>
      <c r="K594" s="3" t="n">
        <f aca="false">COUNTIFS($B$2:$B$4077,B594,$C$2:$C$4077,C594,$I$2:$I$4077,I594)</f>
        <v>1</v>
      </c>
      <c r="L594" s="3" t="n">
        <f aca="false">IF(COUNTIFS($B$2:B594,B594,$C$2:C594,C594,$I$2:I594,I594)=1,1,0)</f>
        <v>1</v>
      </c>
      <c r="M594" s="3" t="n">
        <f aca="false">IF(K594&gt;=Parametri!$B$1,1,0)</f>
        <v>0</v>
      </c>
      <c r="N594" s="3" t="n">
        <f aca="false">L594*M594</f>
        <v>0</v>
      </c>
    </row>
    <row r="595" customFormat="false" ht="15" hidden="false" customHeight="false" outlineLevel="0" collapsed="false">
      <c r="A595" s="0" t="s">
        <v>1120</v>
      </c>
      <c r="B595" s="0" t="s">
        <v>41</v>
      </c>
      <c r="C595" s="0" t="s">
        <v>1121</v>
      </c>
      <c r="D595" s="0" t="s">
        <v>38</v>
      </c>
      <c r="E595" s="2" t="n">
        <v>45933</v>
      </c>
      <c r="F595" s="3" t="s">
        <v>27</v>
      </c>
      <c r="G595" s="3" t="s">
        <v>89</v>
      </c>
      <c r="H595" s="3" t="s">
        <v>48</v>
      </c>
      <c r="I595" s="3" t="n">
        <f aca="false">YEAR(E595)</f>
        <v>2025</v>
      </c>
      <c r="J595" s="3" t="n">
        <f aca="false">MONTH(E595)</f>
        <v>10</v>
      </c>
      <c r="K595" s="3" t="n">
        <f aca="false">COUNTIFS($B$2:$B$4077,B595,$C$2:$C$4077,C595,$I$2:$I$4077,I595)</f>
        <v>1</v>
      </c>
      <c r="L595" s="3" t="n">
        <f aca="false">IF(COUNTIFS($B$2:B595,B595,$C$2:C595,C595,$I$2:I595,I595)=1,1,0)</f>
        <v>1</v>
      </c>
      <c r="M595" s="3" t="n">
        <f aca="false">IF(K595&gt;=Parametri!$B$1,1,0)</f>
        <v>0</v>
      </c>
      <c r="N595" s="3" t="n">
        <f aca="false">L595*M595</f>
        <v>0</v>
      </c>
    </row>
    <row r="596" customFormat="false" ht="15" hidden="false" customHeight="false" outlineLevel="0" collapsed="false">
      <c r="A596" s="0" t="s">
        <v>1122</v>
      </c>
      <c r="B596" s="0" t="s">
        <v>31</v>
      </c>
      <c r="C596" s="0" t="s">
        <v>1123</v>
      </c>
      <c r="D596" s="0" t="s">
        <v>38</v>
      </c>
      <c r="E596" s="2" t="n">
        <v>45371</v>
      </c>
      <c r="F596" s="3" t="s">
        <v>20</v>
      </c>
      <c r="G596" s="3" t="s">
        <v>89</v>
      </c>
      <c r="H596" s="3" t="s">
        <v>29</v>
      </c>
      <c r="I596" s="3" t="n">
        <f aca="false">YEAR(E596)</f>
        <v>2024</v>
      </c>
      <c r="J596" s="3" t="n">
        <f aca="false">MONTH(E596)</f>
        <v>3</v>
      </c>
      <c r="K596" s="3" t="n">
        <f aca="false">COUNTIFS($B$2:$B$4077,B596,$C$2:$C$4077,C596,$I$2:$I$4077,I596)</f>
        <v>2</v>
      </c>
      <c r="L596" s="3" t="n">
        <f aca="false">IF(COUNTIFS($B$2:B596,B596,$C$2:C596,C596,$I$2:I596,I596)=1,1,0)</f>
        <v>1</v>
      </c>
      <c r="M596" s="3" t="n">
        <f aca="false">IF(K596&gt;=Parametri!$B$1,1,0)</f>
        <v>1</v>
      </c>
      <c r="N596" s="3" t="n">
        <f aca="false">L596*M596</f>
        <v>1</v>
      </c>
    </row>
    <row r="597" customFormat="false" ht="15" hidden="false" customHeight="false" outlineLevel="0" collapsed="false">
      <c r="A597" s="0" t="s">
        <v>1124</v>
      </c>
      <c r="B597" s="0" t="s">
        <v>46</v>
      </c>
      <c r="C597" s="0" t="s">
        <v>968</v>
      </c>
      <c r="D597" s="0" t="s">
        <v>26</v>
      </c>
      <c r="E597" s="2" t="n">
        <v>45479</v>
      </c>
      <c r="F597" s="3" t="s">
        <v>34</v>
      </c>
      <c r="G597" s="3" t="s">
        <v>21</v>
      </c>
      <c r="H597" s="3" t="s">
        <v>22</v>
      </c>
      <c r="I597" s="3" t="n">
        <f aca="false">YEAR(E597)</f>
        <v>2024</v>
      </c>
      <c r="J597" s="3" t="n">
        <f aca="false">MONTH(E597)</f>
        <v>7</v>
      </c>
      <c r="K597" s="3" t="n">
        <f aca="false">COUNTIFS($B$2:$B$4077,B597,$C$2:$C$4077,C597,$I$2:$I$4077,I597)</f>
        <v>3</v>
      </c>
      <c r="L597" s="3" t="n">
        <f aca="false">IF(COUNTIFS($B$2:B597,B597,$C$2:C597,C597,$I$2:I597,I597)=1,1,0)</f>
        <v>0</v>
      </c>
      <c r="M597" s="3" t="n">
        <f aca="false">IF(K597&gt;=Parametri!$B$1,1,0)</f>
        <v>1</v>
      </c>
      <c r="N597" s="3" t="n">
        <f aca="false">L597*M597</f>
        <v>0</v>
      </c>
    </row>
    <row r="598" customFormat="false" ht="15" hidden="false" customHeight="false" outlineLevel="0" collapsed="false">
      <c r="A598" s="0" t="s">
        <v>1125</v>
      </c>
      <c r="B598" s="0" t="s">
        <v>31</v>
      </c>
      <c r="C598" s="0" t="s">
        <v>1126</v>
      </c>
      <c r="D598" s="0" t="s">
        <v>54</v>
      </c>
      <c r="E598" s="2" t="n">
        <v>45979</v>
      </c>
      <c r="F598" s="3" t="s">
        <v>27</v>
      </c>
      <c r="G598" s="3" t="s">
        <v>28</v>
      </c>
      <c r="H598" s="3" t="s">
        <v>22</v>
      </c>
      <c r="I598" s="3" t="n">
        <f aca="false">YEAR(E598)</f>
        <v>2025</v>
      </c>
      <c r="J598" s="3" t="n">
        <f aca="false">MONTH(E598)</f>
        <v>11</v>
      </c>
      <c r="K598" s="3" t="n">
        <f aca="false">COUNTIFS($B$2:$B$4077,B598,$C$2:$C$4077,C598,$I$2:$I$4077,I598)</f>
        <v>1</v>
      </c>
      <c r="L598" s="3" t="n">
        <f aca="false">IF(COUNTIFS($B$2:B598,B598,$C$2:C598,C598,$I$2:I598,I598)=1,1,0)</f>
        <v>1</v>
      </c>
      <c r="M598" s="3" t="n">
        <f aca="false">IF(K598&gt;=Parametri!$B$1,1,0)</f>
        <v>0</v>
      </c>
      <c r="N598" s="3" t="n">
        <f aca="false">L598*M598</f>
        <v>0</v>
      </c>
    </row>
    <row r="599" customFormat="false" ht="15" hidden="false" customHeight="false" outlineLevel="0" collapsed="false">
      <c r="A599" s="0" t="s">
        <v>1127</v>
      </c>
      <c r="B599" s="0" t="s">
        <v>124</v>
      </c>
      <c r="C599" s="0" t="s">
        <v>483</v>
      </c>
      <c r="D599" s="0" t="s">
        <v>63</v>
      </c>
      <c r="E599" s="2" t="n">
        <v>45333</v>
      </c>
      <c r="F599" s="3" t="s">
        <v>20</v>
      </c>
      <c r="G599" s="3" t="s">
        <v>39</v>
      </c>
      <c r="H599" s="3" t="s">
        <v>29</v>
      </c>
      <c r="I599" s="3" t="n">
        <f aca="false">YEAR(E599)</f>
        <v>2024</v>
      </c>
      <c r="J599" s="3" t="n">
        <f aca="false">MONTH(E599)</f>
        <v>2</v>
      </c>
      <c r="K599" s="3" t="n">
        <f aca="false">COUNTIFS($B$2:$B$4077,B599,$C$2:$C$4077,C599,$I$2:$I$4077,I599)</f>
        <v>3</v>
      </c>
      <c r="L599" s="3" t="n">
        <f aca="false">IF(COUNTIFS($B$2:B599,B599,$C$2:C599,C599,$I$2:I599,I599)=1,1,0)</f>
        <v>0</v>
      </c>
      <c r="M599" s="3" t="n">
        <f aca="false">IF(K599&gt;=Parametri!$B$1,1,0)</f>
        <v>1</v>
      </c>
      <c r="N599" s="3" t="n">
        <f aca="false">L599*M599</f>
        <v>0</v>
      </c>
    </row>
    <row r="600" customFormat="false" ht="15" hidden="false" customHeight="false" outlineLevel="0" collapsed="false">
      <c r="A600" s="0" t="s">
        <v>1128</v>
      </c>
      <c r="B600" s="0" t="s">
        <v>50</v>
      </c>
      <c r="C600" s="0" t="s">
        <v>1129</v>
      </c>
      <c r="D600" s="0" t="s">
        <v>33</v>
      </c>
      <c r="E600" s="2" t="n">
        <v>45814</v>
      </c>
      <c r="F600" s="3" t="s">
        <v>34</v>
      </c>
      <c r="G600" s="3" t="s">
        <v>72</v>
      </c>
      <c r="H600" s="3" t="s">
        <v>44</v>
      </c>
      <c r="I600" s="3" t="n">
        <f aca="false">YEAR(E600)</f>
        <v>2025</v>
      </c>
      <c r="J600" s="3" t="n">
        <f aca="false">MONTH(E600)</f>
        <v>6</v>
      </c>
      <c r="K600" s="3" t="n">
        <f aca="false">COUNTIFS($B$2:$B$4077,B600,$C$2:$C$4077,C600,$I$2:$I$4077,I600)</f>
        <v>3</v>
      </c>
      <c r="L600" s="3" t="n">
        <f aca="false">IF(COUNTIFS($B$2:B600,B600,$C$2:C600,C600,$I$2:I600,I600)=1,1,0)</f>
        <v>1</v>
      </c>
      <c r="M600" s="3" t="n">
        <f aca="false">IF(K600&gt;=Parametri!$B$1,1,0)</f>
        <v>1</v>
      </c>
      <c r="N600" s="3" t="n">
        <f aca="false">L600*M600</f>
        <v>1</v>
      </c>
    </row>
    <row r="601" customFormat="false" ht="15" hidden="false" customHeight="false" outlineLevel="0" collapsed="false">
      <c r="A601" s="0" t="s">
        <v>1130</v>
      </c>
      <c r="B601" s="0" t="s">
        <v>17</v>
      </c>
      <c r="C601" s="0" t="s">
        <v>231</v>
      </c>
      <c r="D601" s="0" t="s">
        <v>26</v>
      </c>
      <c r="E601" s="2" t="n">
        <v>45397</v>
      </c>
      <c r="F601" s="3" t="s">
        <v>20</v>
      </c>
      <c r="G601" s="3" t="s">
        <v>55</v>
      </c>
      <c r="H601" s="3" t="s">
        <v>44</v>
      </c>
      <c r="I601" s="3" t="n">
        <f aca="false">YEAR(E601)</f>
        <v>2024</v>
      </c>
      <c r="J601" s="3" t="n">
        <f aca="false">MONTH(E601)</f>
        <v>4</v>
      </c>
      <c r="K601" s="3" t="n">
        <f aca="false">COUNTIFS($B$2:$B$4077,B601,$C$2:$C$4077,C601,$I$2:$I$4077,I601)</f>
        <v>4</v>
      </c>
      <c r="L601" s="3" t="n">
        <f aca="false">IF(COUNTIFS($B$2:B601,B601,$C$2:C601,C601,$I$2:I601,I601)=1,1,0)</f>
        <v>0</v>
      </c>
      <c r="M601" s="3" t="n">
        <f aca="false">IF(K601&gt;=Parametri!$B$1,1,0)</f>
        <v>1</v>
      </c>
      <c r="N601" s="3" t="n">
        <f aca="false">L601*M601</f>
        <v>0</v>
      </c>
    </row>
    <row r="602" customFormat="false" ht="15" hidden="false" customHeight="false" outlineLevel="0" collapsed="false">
      <c r="A602" s="0" t="s">
        <v>1131</v>
      </c>
      <c r="B602" s="0" t="s">
        <v>31</v>
      </c>
      <c r="C602" s="0" t="s">
        <v>778</v>
      </c>
      <c r="D602" s="0" t="s">
        <v>63</v>
      </c>
      <c r="E602" s="2" t="n">
        <v>46146</v>
      </c>
      <c r="F602" s="3" t="s">
        <v>20</v>
      </c>
      <c r="G602" s="3" t="s">
        <v>21</v>
      </c>
      <c r="H602" s="3" t="s">
        <v>48</v>
      </c>
      <c r="I602" s="3" t="n">
        <f aca="false">YEAR(E602)</f>
        <v>2026</v>
      </c>
      <c r="J602" s="3" t="n">
        <f aca="false">MONTH(E602)</f>
        <v>5</v>
      </c>
      <c r="K602" s="3" t="n">
        <f aca="false">COUNTIFS($B$2:$B$4077,B602,$C$2:$C$4077,C602,$I$2:$I$4077,I602)</f>
        <v>2</v>
      </c>
      <c r="L602" s="3" t="n">
        <f aca="false">IF(COUNTIFS($B$2:B602,B602,$C$2:C602,C602,$I$2:I602,I602)=1,1,0)</f>
        <v>1</v>
      </c>
      <c r="M602" s="3" t="n">
        <f aca="false">IF(K602&gt;=Parametri!$B$1,1,0)</f>
        <v>1</v>
      </c>
      <c r="N602" s="3" t="n">
        <f aca="false">L602*M602</f>
        <v>1</v>
      </c>
    </row>
    <row r="603" customFormat="false" ht="15" hidden="false" customHeight="false" outlineLevel="0" collapsed="false">
      <c r="A603" s="0" t="s">
        <v>1132</v>
      </c>
      <c r="B603" s="0" t="s">
        <v>50</v>
      </c>
      <c r="C603" s="0" t="s">
        <v>1133</v>
      </c>
      <c r="D603" s="0" t="s">
        <v>77</v>
      </c>
      <c r="E603" s="2" t="n">
        <v>45401</v>
      </c>
      <c r="F603" s="3" t="s">
        <v>27</v>
      </c>
      <c r="G603" s="3" t="s">
        <v>39</v>
      </c>
      <c r="H603" s="3" t="s">
        <v>44</v>
      </c>
      <c r="I603" s="3" t="n">
        <f aca="false">YEAR(E603)</f>
        <v>2024</v>
      </c>
      <c r="J603" s="3" t="n">
        <f aca="false">MONTH(E603)</f>
        <v>4</v>
      </c>
      <c r="K603" s="3" t="n">
        <f aca="false">COUNTIFS($B$2:$B$4077,B603,$C$2:$C$4077,C603,$I$2:$I$4077,I603)</f>
        <v>1</v>
      </c>
      <c r="L603" s="3" t="n">
        <f aca="false">IF(COUNTIFS($B$2:B603,B603,$C$2:C603,C603,$I$2:I603,I603)=1,1,0)</f>
        <v>1</v>
      </c>
      <c r="M603" s="3" t="n">
        <f aca="false">IF(K603&gt;=Parametri!$B$1,1,0)</f>
        <v>0</v>
      </c>
      <c r="N603" s="3" t="n">
        <f aca="false">L603*M603</f>
        <v>0</v>
      </c>
    </row>
    <row r="604" customFormat="false" ht="15" hidden="false" customHeight="false" outlineLevel="0" collapsed="false">
      <c r="A604" s="0" t="s">
        <v>1134</v>
      </c>
      <c r="B604" s="0" t="s">
        <v>124</v>
      </c>
      <c r="C604" s="0" t="s">
        <v>1135</v>
      </c>
      <c r="D604" s="0" t="s">
        <v>77</v>
      </c>
      <c r="E604" s="2" t="n">
        <v>46264</v>
      </c>
      <c r="F604" s="3" t="s">
        <v>34</v>
      </c>
      <c r="G604" s="3" t="s">
        <v>39</v>
      </c>
      <c r="H604" s="3" t="s">
        <v>22</v>
      </c>
      <c r="I604" s="3" t="n">
        <f aca="false">YEAR(E604)</f>
        <v>2026</v>
      </c>
      <c r="J604" s="3" t="n">
        <f aca="false">MONTH(E604)</f>
        <v>8</v>
      </c>
      <c r="K604" s="3" t="n">
        <f aca="false">COUNTIFS($B$2:$B$4077,B604,$C$2:$C$4077,C604,$I$2:$I$4077,I604)</f>
        <v>2</v>
      </c>
      <c r="L604" s="3" t="n">
        <f aca="false">IF(COUNTIFS($B$2:B604,B604,$C$2:C604,C604,$I$2:I604,I604)=1,1,0)</f>
        <v>1</v>
      </c>
      <c r="M604" s="3" t="n">
        <f aca="false">IF(K604&gt;=Parametri!$B$1,1,0)</f>
        <v>1</v>
      </c>
      <c r="N604" s="3" t="n">
        <f aca="false">L604*M604</f>
        <v>1</v>
      </c>
    </row>
    <row r="605" customFormat="false" ht="15" hidden="false" customHeight="false" outlineLevel="0" collapsed="false">
      <c r="A605" s="0" t="s">
        <v>1136</v>
      </c>
      <c r="B605" s="0" t="s">
        <v>24</v>
      </c>
      <c r="C605" s="0" t="s">
        <v>1137</v>
      </c>
      <c r="D605" s="0" t="s">
        <v>38</v>
      </c>
      <c r="E605" s="2" t="n">
        <v>46091</v>
      </c>
      <c r="F605" s="3" t="s">
        <v>20</v>
      </c>
      <c r="G605" s="3" t="s">
        <v>89</v>
      </c>
      <c r="H605" s="3" t="s">
        <v>29</v>
      </c>
      <c r="I605" s="3" t="n">
        <f aca="false">YEAR(E605)</f>
        <v>2026</v>
      </c>
      <c r="J605" s="3" t="n">
        <f aca="false">MONTH(E605)</f>
        <v>3</v>
      </c>
      <c r="K605" s="3" t="n">
        <f aca="false">COUNTIFS($B$2:$B$4077,B605,$C$2:$C$4077,C605,$I$2:$I$4077,I605)</f>
        <v>1</v>
      </c>
      <c r="L605" s="3" t="n">
        <f aca="false">IF(COUNTIFS($B$2:B605,B605,$C$2:C605,C605,$I$2:I605,I605)=1,1,0)</f>
        <v>1</v>
      </c>
      <c r="M605" s="3" t="n">
        <f aca="false">IF(K605&gt;=Parametri!$B$1,1,0)</f>
        <v>0</v>
      </c>
      <c r="N605" s="3" t="n">
        <f aca="false">L605*M605</f>
        <v>0</v>
      </c>
    </row>
    <row r="606" customFormat="false" ht="15" hidden="false" customHeight="false" outlineLevel="0" collapsed="false">
      <c r="A606" s="0" t="s">
        <v>1138</v>
      </c>
      <c r="B606" s="0" t="s">
        <v>68</v>
      </c>
      <c r="C606" s="0" t="s">
        <v>732</v>
      </c>
      <c r="D606" s="0" t="s">
        <v>77</v>
      </c>
      <c r="E606" s="2" t="n">
        <v>45920</v>
      </c>
      <c r="F606" s="3" t="s">
        <v>20</v>
      </c>
      <c r="G606" s="3" t="s">
        <v>39</v>
      </c>
      <c r="H606" s="3" t="s">
        <v>44</v>
      </c>
      <c r="I606" s="3" t="n">
        <f aca="false">YEAR(E606)</f>
        <v>2025</v>
      </c>
      <c r="J606" s="3" t="n">
        <f aca="false">MONTH(E606)</f>
        <v>9</v>
      </c>
      <c r="K606" s="3" t="n">
        <f aca="false">COUNTIFS($B$2:$B$4077,B606,$C$2:$C$4077,C606,$I$2:$I$4077,I606)</f>
        <v>4</v>
      </c>
      <c r="L606" s="3" t="n">
        <f aca="false">IF(COUNTIFS($B$2:B606,B606,$C$2:C606,C606,$I$2:I606,I606)=1,1,0)</f>
        <v>0</v>
      </c>
      <c r="M606" s="3" t="n">
        <f aca="false">IF(K606&gt;=Parametri!$B$1,1,0)</f>
        <v>1</v>
      </c>
      <c r="N606" s="3" t="n">
        <f aca="false">L606*M606</f>
        <v>0</v>
      </c>
    </row>
    <row r="607" customFormat="false" ht="15" hidden="false" customHeight="false" outlineLevel="0" collapsed="false">
      <c r="A607" s="0" t="s">
        <v>1139</v>
      </c>
      <c r="B607" s="0" t="s">
        <v>50</v>
      </c>
      <c r="C607" s="0" t="s">
        <v>1140</v>
      </c>
      <c r="D607" s="0" t="s">
        <v>77</v>
      </c>
      <c r="E607" s="2" t="n">
        <v>45304</v>
      </c>
      <c r="F607" s="3" t="s">
        <v>34</v>
      </c>
      <c r="G607" s="3" t="s">
        <v>55</v>
      </c>
      <c r="H607" s="3" t="s">
        <v>29</v>
      </c>
      <c r="I607" s="3" t="n">
        <f aca="false">YEAR(E607)</f>
        <v>2024</v>
      </c>
      <c r="J607" s="3" t="n">
        <f aca="false">MONTH(E607)</f>
        <v>1</v>
      </c>
      <c r="K607" s="3" t="n">
        <f aca="false">COUNTIFS($B$2:$B$4077,B607,$C$2:$C$4077,C607,$I$2:$I$4077,I607)</f>
        <v>1</v>
      </c>
      <c r="L607" s="3" t="n">
        <f aca="false">IF(COUNTIFS($B$2:B607,B607,$C$2:C607,C607,$I$2:I607,I607)=1,1,0)</f>
        <v>1</v>
      </c>
      <c r="M607" s="3" t="n">
        <f aca="false">IF(K607&gt;=Parametri!$B$1,1,0)</f>
        <v>0</v>
      </c>
      <c r="N607" s="3" t="n">
        <f aca="false">L607*M607</f>
        <v>0</v>
      </c>
    </row>
    <row r="608" customFormat="false" ht="15" hidden="false" customHeight="false" outlineLevel="0" collapsed="false">
      <c r="A608" s="0" t="s">
        <v>1141</v>
      </c>
      <c r="B608" s="0" t="s">
        <v>50</v>
      </c>
      <c r="C608" s="0" t="s">
        <v>1142</v>
      </c>
      <c r="D608" s="0" t="s">
        <v>54</v>
      </c>
      <c r="E608" s="2" t="n">
        <v>46004</v>
      </c>
      <c r="F608" s="3" t="s">
        <v>20</v>
      </c>
      <c r="G608" s="3" t="s">
        <v>89</v>
      </c>
      <c r="H608" s="3" t="s">
        <v>22</v>
      </c>
      <c r="I608" s="3" t="n">
        <f aca="false">YEAR(E608)</f>
        <v>2025</v>
      </c>
      <c r="J608" s="3" t="n">
        <f aca="false">MONTH(E608)</f>
        <v>12</v>
      </c>
      <c r="K608" s="3" t="n">
        <f aca="false">COUNTIFS($B$2:$B$4077,B608,$C$2:$C$4077,C608,$I$2:$I$4077,I608)</f>
        <v>2</v>
      </c>
      <c r="L608" s="3" t="n">
        <f aca="false">IF(COUNTIFS($B$2:B608,B608,$C$2:C608,C608,$I$2:I608,I608)=1,1,0)</f>
        <v>1</v>
      </c>
      <c r="M608" s="3" t="n">
        <f aca="false">IF(K608&gt;=Parametri!$B$1,1,0)</f>
        <v>1</v>
      </c>
      <c r="N608" s="3" t="n">
        <f aca="false">L608*M608</f>
        <v>1</v>
      </c>
    </row>
    <row r="609" customFormat="false" ht="15" hidden="false" customHeight="false" outlineLevel="0" collapsed="false">
      <c r="A609" s="0" t="s">
        <v>1143</v>
      </c>
      <c r="B609" s="0" t="s">
        <v>79</v>
      </c>
      <c r="C609" s="0" t="s">
        <v>1144</v>
      </c>
      <c r="D609" s="0" t="s">
        <v>26</v>
      </c>
      <c r="E609" s="2" t="n">
        <v>46022</v>
      </c>
      <c r="F609" s="3" t="s">
        <v>34</v>
      </c>
      <c r="G609" s="3" t="s">
        <v>35</v>
      </c>
      <c r="H609" s="3" t="s">
        <v>44</v>
      </c>
      <c r="I609" s="3" t="n">
        <f aca="false">YEAR(E609)</f>
        <v>2025</v>
      </c>
      <c r="J609" s="3" t="n">
        <f aca="false">MONTH(E609)</f>
        <v>12</v>
      </c>
      <c r="K609" s="3" t="n">
        <f aca="false">COUNTIFS($B$2:$B$4077,B609,$C$2:$C$4077,C609,$I$2:$I$4077,I609)</f>
        <v>5</v>
      </c>
      <c r="L609" s="3" t="n">
        <f aca="false">IF(COUNTIFS($B$2:B609,B609,$C$2:C609,C609,$I$2:I609,I609)=1,1,0)</f>
        <v>1</v>
      </c>
      <c r="M609" s="3" t="n">
        <f aca="false">IF(K609&gt;=Parametri!$B$1,1,0)</f>
        <v>1</v>
      </c>
      <c r="N609" s="3" t="n">
        <f aca="false">L609*M609</f>
        <v>1</v>
      </c>
    </row>
    <row r="610" customFormat="false" ht="15" hidden="false" customHeight="false" outlineLevel="0" collapsed="false">
      <c r="A610" s="0" t="s">
        <v>1145</v>
      </c>
      <c r="B610" s="0" t="s">
        <v>24</v>
      </c>
      <c r="C610" s="0" t="s">
        <v>1146</v>
      </c>
      <c r="D610" s="0" t="s">
        <v>19</v>
      </c>
      <c r="E610" s="2" t="n">
        <v>45597</v>
      </c>
      <c r="F610" s="3" t="s">
        <v>34</v>
      </c>
      <c r="G610" s="3" t="s">
        <v>35</v>
      </c>
      <c r="H610" s="3" t="s">
        <v>44</v>
      </c>
      <c r="I610" s="3" t="n">
        <f aca="false">YEAR(E610)</f>
        <v>2024</v>
      </c>
      <c r="J610" s="3" t="n">
        <f aca="false">MONTH(E610)</f>
        <v>11</v>
      </c>
      <c r="K610" s="3" t="n">
        <f aca="false">COUNTIFS($B$2:$B$4077,B610,$C$2:$C$4077,C610,$I$2:$I$4077,I610)</f>
        <v>1</v>
      </c>
      <c r="L610" s="3" t="n">
        <f aca="false">IF(COUNTIFS($B$2:B610,B610,$C$2:C610,C610,$I$2:I610,I610)=1,1,0)</f>
        <v>1</v>
      </c>
      <c r="M610" s="3" t="n">
        <f aca="false">IF(K610&gt;=Parametri!$B$1,1,0)</f>
        <v>0</v>
      </c>
      <c r="N610" s="3" t="n">
        <f aca="false">L610*M610</f>
        <v>0</v>
      </c>
    </row>
    <row r="611" customFormat="false" ht="15" hidden="false" customHeight="false" outlineLevel="0" collapsed="false">
      <c r="A611" s="0" t="s">
        <v>1147</v>
      </c>
      <c r="B611" s="0" t="s">
        <v>24</v>
      </c>
      <c r="C611" s="0" t="s">
        <v>1148</v>
      </c>
      <c r="D611" s="0" t="s">
        <v>63</v>
      </c>
      <c r="E611" s="2" t="n">
        <v>46182</v>
      </c>
      <c r="F611" s="3" t="s">
        <v>34</v>
      </c>
      <c r="G611" s="3" t="s">
        <v>39</v>
      </c>
      <c r="H611" s="3" t="s">
        <v>44</v>
      </c>
      <c r="I611" s="3" t="n">
        <f aca="false">YEAR(E611)</f>
        <v>2026</v>
      </c>
      <c r="J611" s="3" t="n">
        <f aca="false">MONTH(E611)</f>
        <v>6</v>
      </c>
      <c r="K611" s="3" t="n">
        <f aca="false">COUNTIFS($B$2:$B$4077,B611,$C$2:$C$4077,C611,$I$2:$I$4077,I611)</f>
        <v>4</v>
      </c>
      <c r="L611" s="3" t="n">
        <f aca="false">IF(COUNTIFS($B$2:B611,B611,$C$2:C611,C611,$I$2:I611,I611)=1,1,0)</f>
        <v>1</v>
      </c>
      <c r="M611" s="3" t="n">
        <f aca="false">IF(K611&gt;=Parametri!$B$1,1,0)</f>
        <v>1</v>
      </c>
      <c r="N611" s="3" t="n">
        <f aca="false">L611*M611</f>
        <v>1</v>
      </c>
    </row>
    <row r="612" customFormat="false" ht="15" hidden="false" customHeight="false" outlineLevel="0" collapsed="false">
      <c r="A612" s="0" t="s">
        <v>1149</v>
      </c>
      <c r="B612" s="0" t="s">
        <v>124</v>
      </c>
      <c r="C612" s="0" t="s">
        <v>1150</v>
      </c>
      <c r="D612" s="0" t="s">
        <v>19</v>
      </c>
      <c r="E612" s="2" t="n">
        <v>45894</v>
      </c>
      <c r="F612" s="3" t="s">
        <v>20</v>
      </c>
      <c r="G612" s="3" t="s">
        <v>28</v>
      </c>
      <c r="H612" s="3" t="s">
        <v>48</v>
      </c>
      <c r="I612" s="3" t="n">
        <f aca="false">YEAR(E612)</f>
        <v>2025</v>
      </c>
      <c r="J612" s="3" t="n">
        <f aca="false">MONTH(E612)</f>
        <v>8</v>
      </c>
      <c r="K612" s="3" t="n">
        <f aca="false">COUNTIFS($B$2:$B$4077,B612,$C$2:$C$4077,C612,$I$2:$I$4077,I612)</f>
        <v>1</v>
      </c>
      <c r="L612" s="3" t="n">
        <f aca="false">IF(COUNTIFS($B$2:B612,B612,$C$2:C612,C612,$I$2:I612,I612)=1,1,0)</f>
        <v>1</v>
      </c>
      <c r="M612" s="3" t="n">
        <f aca="false">IF(K612&gt;=Parametri!$B$1,1,0)</f>
        <v>0</v>
      </c>
      <c r="N612" s="3" t="n">
        <f aca="false">L612*M612</f>
        <v>0</v>
      </c>
    </row>
    <row r="613" customFormat="false" ht="15" hidden="false" customHeight="false" outlineLevel="0" collapsed="false">
      <c r="A613" s="0" t="s">
        <v>1151</v>
      </c>
      <c r="B613" s="0" t="s">
        <v>41</v>
      </c>
      <c r="C613" s="0" t="s">
        <v>675</v>
      </c>
      <c r="D613" s="0" t="s">
        <v>63</v>
      </c>
      <c r="E613" s="2" t="n">
        <v>45293</v>
      </c>
      <c r="F613" s="3" t="s">
        <v>27</v>
      </c>
      <c r="G613" s="3" t="s">
        <v>43</v>
      </c>
      <c r="H613" s="3" t="s">
        <v>22</v>
      </c>
      <c r="I613" s="3" t="n">
        <f aca="false">YEAR(E613)</f>
        <v>2024</v>
      </c>
      <c r="J613" s="3" t="n">
        <f aca="false">MONTH(E613)</f>
        <v>1</v>
      </c>
      <c r="K613" s="3" t="n">
        <f aca="false">COUNTIFS($B$2:$B$4077,B613,$C$2:$C$4077,C613,$I$2:$I$4077,I613)</f>
        <v>5</v>
      </c>
      <c r="L613" s="3" t="n">
        <f aca="false">IF(COUNTIFS($B$2:B613,B613,$C$2:C613,C613,$I$2:I613,I613)=1,1,0)</f>
        <v>1</v>
      </c>
      <c r="M613" s="3" t="n">
        <f aca="false">IF(K613&gt;=Parametri!$B$1,1,0)</f>
        <v>1</v>
      </c>
      <c r="N613" s="3" t="n">
        <f aca="false">L613*M613</f>
        <v>1</v>
      </c>
    </row>
    <row r="614" customFormat="false" ht="15" hidden="false" customHeight="false" outlineLevel="0" collapsed="false">
      <c r="A614" s="0" t="s">
        <v>1152</v>
      </c>
      <c r="B614" s="0" t="s">
        <v>68</v>
      </c>
      <c r="C614" s="0" t="s">
        <v>1153</v>
      </c>
      <c r="D614" s="0" t="s">
        <v>19</v>
      </c>
      <c r="E614" s="2" t="n">
        <v>45931</v>
      </c>
      <c r="F614" s="3" t="s">
        <v>34</v>
      </c>
      <c r="G614" s="3" t="s">
        <v>28</v>
      </c>
      <c r="H614" s="3" t="s">
        <v>48</v>
      </c>
      <c r="I614" s="3" t="n">
        <f aca="false">YEAR(E614)</f>
        <v>2025</v>
      </c>
      <c r="J614" s="3" t="n">
        <f aca="false">MONTH(E614)</f>
        <v>10</v>
      </c>
      <c r="K614" s="3" t="n">
        <f aca="false">COUNTIFS($B$2:$B$4077,B614,$C$2:$C$4077,C614,$I$2:$I$4077,I614)</f>
        <v>2</v>
      </c>
      <c r="L614" s="3" t="n">
        <f aca="false">IF(COUNTIFS($B$2:B614,B614,$C$2:C614,C614,$I$2:I614,I614)=1,1,0)</f>
        <v>1</v>
      </c>
      <c r="M614" s="3" t="n">
        <f aca="false">IF(K614&gt;=Parametri!$B$1,1,0)</f>
        <v>1</v>
      </c>
      <c r="N614" s="3" t="n">
        <f aca="false">L614*M614</f>
        <v>1</v>
      </c>
    </row>
    <row r="615" customFormat="false" ht="15" hidden="false" customHeight="false" outlineLevel="0" collapsed="false">
      <c r="A615" s="0" t="s">
        <v>1154</v>
      </c>
      <c r="B615" s="0" t="s">
        <v>31</v>
      </c>
      <c r="C615" s="0" t="s">
        <v>108</v>
      </c>
      <c r="D615" s="0" t="s">
        <v>66</v>
      </c>
      <c r="E615" s="2" t="n">
        <v>45406</v>
      </c>
      <c r="F615" s="3" t="s">
        <v>34</v>
      </c>
      <c r="G615" s="3" t="s">
        <v>43</v>
      </c>
      <c r="H615" s="3" t="s">
        <v>29</v>
      </c>
      <c r="I615" s="3" t="n">
        <f aca="false">YEAR(E615)</f>
        <v>2024</v>
      </c>
      <c r="J615" s="3" t="n">
        <f aca="false">MONTH(E615)</f>
        <v>4</v>
      </c>
      <c r="K615" s="3" t="n">
        <f aca="false">COUNTIFS($B$2:$B$4077,B615,$C$2:$C$4077,C615,$I$2:$I$4077,I615)</f>
        <v>2</v>
      </c>
      <c r="L615" s="3" t="n">
        <f aca="false">IF(COUNTIFS($B$2:B615,B615,$C$2:C615,C615,$I$2:I615,I615)=1,1,0)</f>
        <v>0</v>
      </c>
      <c r="M615" s="3" t="n">
        <f aca="false">IF(K615&gt;=Parametri!$B$1,1,0)</f>
        <v>1</v>
      </c>
      <c r="N615" s="3" t="n">
        <f aca="false">L615*M615</f>
        <v>0</v>
      </c>
    </row>
    <row r="616" customFormat="false" ht="15" hidden="false" customHeight="false" outlineLevel="0" collapsed="false">
      <c r="A616" s="0" t="s">
        <v>1155</v>
      </c>
      <c r="B616" s="0" t="s">
        <v>124</v>
      </c>
      <c r="C616" s="0" t="s">
        <v>1156</v>
      </c>
      <c r="D616" s="0" t="s">
        <v>38</v>
      </c>
      <c r="E616" s="2" t="n">
        <v>45313</v>
      </c>
      <c r="F616" s="3" t="s">
        <v>34</v>
      </c>
      <c r="G616" s="3" t="s">
        <v>89</v>
      </c>
      <c r="H616" s="3" t="s">
        <v>44</v>
      </c>
      <c r="I616" s="3" t="n">
        <f aca="false">YEAR(E616)</f>
        <v>2024</v>
      </c>
      <c r="J616" s="3" t="n">
        <f aca="false">MONTH(E616)</f>
        <v>1</v>
      </c>
      <c r="K616" s="3" t="n">
        <f aca="false">COUNTIFS($B$2:$B$4077,B616,$C$2:$C$4077,C616,$I$2:$I$4077,I616)</f>
        <v>1</v>
      </c>
      <c r="L616" s="3" t="n">
        <f aca="false">IF(COUNTIFS($B$2:B616,B616,$C$2:C616,C616,$I$2:I616,I616)=1,1,0)</f>
        <v>1</v>
      </c>
      <c r="M616" s="3" t="n">
        <f aca="false">IF(K616&gt;=Parametri!$B$1,1,0)</f>
        <v>0</v>
      </c>
      <c r="N616" s="3" t="n">
        <f aca="false">L616*M616</f>
        <v>0</v>
      </c>
    </row>
    <row r="617" customFormat="false" ht="15" hidden="false" customHeight="false" outlineLevel="0" collapsed="false">
      <c r="A617" s="0" t="s">
        <v>1157</v>
      </c>
      <c r="B617" s="0" t="s">
        <v>50</v>
      </c>
      <c r="C617" s="0" t="s">
        <v>1158</v>
      </c>
      <c r="D617" s="0" t="s">
        <v>77</v>
      </c>
      <c r="E617" s="2" t="n">
        <v>46109</v>
      </c>
      <c r="F617" s="3" t="s">
        <v>20</v>
      </c>
      <c r="G617" s="3" t="s">
        <v>39</v>
      </c>
      <c r="H617" s="3" t="s">
        <v>29</v>
      </c>
      <c r="I617" s="3" t="n">
        <f aca="false">YEAR(E617)</f>
        <v>2026</v>
      </c>
      <c r="J617" s="3" t="n">
        <f aca="false">MONTH(E617)</f>
        <v>3</v>
      </c>
      <c r="K617" s="3" t="n">
        <f aca="false">COUNTIFS($B$2:$B$4077,B617,$C$2:$C$4077,C617,$I$2:$I$4077,I617)</f>
        <v>2</v>
      </c>
      <c r="L617" s="3" t="n">
        <f aca="false">IF(COUNTIFS($B$2:B617,B617,$C$2:C617,C617,$I$2:I617,I617)=1,1,0)</f>
        <v>1</v>
      </c>
      <c r="M617" s="3" t="n">
        <f aca="false">IF(K617&gt;=Parametri!$B$1,1,0)</f>
        <v>1</v>
      </c>
      <c r="N617" s="3" t="n">
        <f aca="false">L617*M617</f>
        <v>1</v>
      </c>
    </row>
    <row r="618" customFormat="false" ht="15" hidden="false" customHeight="false" outlineLevel="0" collapsed="false">
      <c r="A618" s="0" t="s">
        <v>1159</v>
      </c>
      <c r="B618" s="0" t="s">
        <v>68</v>
      </c>
      <c r="C618" s="0" t="s">
        <v>1160</v>
      </c>
      <c r="D618" s="0" t="s">
        <v>66</v>
      </c>
      <c r="E618" s="2" t="n">
        <v>46050</v>
      </c>
      <c r="F618" s="3" t="s">
        <v>20</v>
      </c>
      <c r="G618" s="3" t="s">
        <v>21</v>
      </c>
      <c r="H618" s="3" t="s">
        <v>44</v>
      </c>
      <c r="I618" s="3" t="n">
        <f aca="false">YEAR(E618)</f>
        <v>2026</v>
      </c>
      <c r="J618" s="3" t="n">
        <f aca="false">MONTH(E618)</f>
        <v>1</v>
      </c>
      <c r="K618" s="3" t="n">
        <f aca="false">COUNTIFS($B$2:$B$4077,B618,$C$2:$C$4077,C618,$I$2:$I$4077,I618)</f>
        <v>1</v>
      </c>
      <c r="L618" s="3" t="n">
        <f aca="false">IF(COUNTIFS($B$2:B618,B618,$C$2:C618,C618,$I$2:I618,I618)=1,1,0)</f>
        <v>1</v>
      </c>
      <c r="M618" s="3" t="n">
        <f aca="false">IF(K618&gt;=Parametri!$B$1,1,0)</f>
        <v>0</v>
      </c>
      <c r="N618" s="3" t="n">
        <f aca="false">L618*M618</f>
        <v>0</v>
      </c>
    </row>
    <row r="619" customFormat="false" ht="15" hidden="false" customHeight="false" outlineLevel="0" collapsed="false">
      <c r="A619" s="0" t="s">
        <v>1161</v>
      </c>
      <c r="B619" s="0" t="s">
        <v>41</v>
      </c>
      <c r="C619" s="0" t="s">
        <v>1162</v>
      </c>
      <c r="D619" s="0" t="s">
        <v>38</v>
      </c>
      <c r="E619" s="2" t="n">
        <v>46050</v>
      </c>
      <c r="F619" s="3" t="s">
        <v>20</v>
      </c>
      <c r="G619" s="3" t="s">
        <v>55</v>
      </c>
      <c r="H619" s="3" t="s">
        <v>44</v>
      </c>
      <c r="I619" s="3" t="n">
        <f aca="false">YEAR(E619)</f>
        <v>2026</v>
      </c>
      <c r="J619" s="3" t="n">
        <f aca="false">MONTH(E619)</f>
        <v>1</v>
      </c>
      <c r="K619" s="3" t="n">
        <f aca="false">COUNTIFS($B$2:$B$4077,B619,$C$2:$C$4077,C619,$I$2:$I$4077,I619)</f>
        <v>2</v>
      </c>
      <c r="L619" s="3" t="n">
        <f aca="false">IF(COUNTIFS($B$2:B619,B619,$C$2:C619,C619,$I$2:I619,I619)=1,1,0)</f>
        <v>1</v>
      </c>
      <c r="M619" s="3" t="n">
        <f aca="false">IF(K619&gt;=Parametri!$B$1,1,0)</f>
        <v>1</v>
      </c>
      <c r="N619" s="3" t="n">
        <f aca="false">L619*M619</f>
        <v>1</v>
      </c>
    </row>
    <row r="620" customFormat="false" ht="15" hidden="false" customHeight="false" outlineLevel="0" collapsed="false">
      <c r="A620" s="0" t="s">
        <v>1163</v>
      </c>
      <c r="B620" s="0" t="s">
        <v>50</v>
      </c>
      <c r="C620" s="0" t="s">
        <v>1164</v>
      </c>
      <c r="D620" s="0" t="s">
        <v>54</v>
      </c>
      <c r="E620" s="2" t="n">
        <v>45630</v>
      </c>
      <c r="F620" s="3" t="s">
        <v>20</v>
      </c>
      <c r="G620" s="3" t="s">
        <v>55</v>
      </c>
      <c r="H620" s="3" t="s">
        <v>22</v>
      </c>
      <c r="I620" s="3" t="n">
        <f aca="false">YEAR(E620)</f>
        <v>2024</v>
      </c>
      <c r="J620" s="3" t="n">
        <f aca="false">MONTH(E620)</f>
        <v>12</v>
      </c>
      <c r="K620" s="3" t="n">
        <f aca="false">COUNTIFS($B$2:$B$4077,B620,$C$2:$C$4077,C620,$I$2:$I$4077,I620)</f>
        <v>4</v>
      </c>
      <c r="L620" s="3" t="n">
        <f aca="false">IF(COUNTIFS($B$2:B620,B620,$C$2:C620,C620,$I$2:I620,I620)=1,1,0)</f>
        <v>1</v>
      </c>
      <c r="M620" s="3" t="n">
        <f aca="false">IF(K620&gt;=Parametri!$B$1,1,0)</f>
        <v>1</v>
      </c>
      <c r="N620" s="3" t="n">
        <f aca="false">L620*M620</f>
        <v>1</v>
      </c>
    </row>
    <row r="621" customFormat="false" ht="15" hidden="false" customHeight="false" outlineLevel="0" collapsed="false">
      <c r="A621" s="0" t="s">
        <v>1165</v>
      </c>
      <c r="B621" s="0" t="s">
        <v>31</v>
      </c>
      <c r="C621" s="0" t="s">
        <v>889</v>
      </c>
      <c r="D621" s="0" t="s">
        <v>26</v>
      </c>
      <c r="E621" s="2" t="n">
        <v>45548</v>
      </c>
      <c r="F621" s="3" t="s">
        <v>27</v>
      </c>
      <c r="G621" s="3" t="s">
        <v>39</v>
      </c>
      <c r="H621" s="3" t="s">
        <v>29</v>
      </c>
      <c r="I621" s="3" t="n">
        <f aca="false">YEAR(E621)</f>
        <v>2024</v>
      </c>
      <c r="J621" s="3" t="n">
        <f aca="false">MONTH(E621)</f>
        <v>9</v>
      </c>
      <c r="K621" s="3" t="n">
        <f aca="false">COUNTIFS($B$2:$B$4077,B621,$C$2:$C$4077,C621,$I$2:$I$4077,I621)</f>
        <v>4</v>
      </c>
      <c r="L621" s="3" t="n">
        <f aca="false">IF(COUNTIFS($B$2:B621,B621,$C$2:C621,C621,$I$2:I621,I621)=1,1,0)</f>
        <v>0</v>
      </c>
      <c r="M621" s="3" t="n">
        <f aca="false">IF(K621&gt;=Parametri!$B$1,1,0)</f>
        <v>1</v>
      </c>
      <c r="N621" s="3" t="n">
        <f aca="false">L621*M621</f>
        <v>0</v>
      </c>
    </row>
    <row r="622" customFormat="false" ht="15" hidden="false" customHeight="false" outlineLevel="0" collapsed="false">
      <c r="A622" s="0" t="s">
        <v>1166</v>
      </c>
      <c r="B622" s="0" t="s">
        <v>24</v>
      </c>
      <c r="C622" s="0" t="s">
        <v>1167</v>
      </c>
      <c r="D622" s="0" t="s">
        <v>26</v>
      </c>
      <c r="E622" s="2" t="n">
        <v>45958</v>
      </c>
      <c r="F622" s="3" t="s">
        <v>20</v>
      </c>
      <c r="G622" s="3" t="s">
        <v>55</v>
      </c>
      <c r="H622" s="3" t="s">
        <v>22</v>
      </c>
      <c r="I622" s="3" t="n">
        <f aca="false">YEAR(E622)</f>
        <v>2025</v>
      </c>
      <c r="J622" s="3" t="n">
        <f aca="false">MONTH(E622)</f>
        <v>10</v>
      </c>
      <c r="K622" s="3" t="n">
        <f aca="false">COUNTIFS($B$2:$B$4077,B622,$C$2:$C$4077,C622,$I$2:$I$4077,I622)</f>
        <v>1</v>
      </c>
      <c r="L622" s="3" t="n">
        <f aca="false">IF(COUNTIFS($B$2:B622,B622,$C$2:C622,C622,$I$2:I622,I622)=1,1,0)</f>
        <v>1</v>
      </c>
      <c r="M622" s="3" t="n">
        <f aca="false">IF(K622&gt;=Parametri!$B$1,1,0)</f>
        <v>0</v>
      </c>
      <c r="N622" s="3" t="n">
        <f aca="false">L622*M622</f>
        <v>0</v>
      </c>
    </row>
    <row r="623" customFormat="false" ht="15" hidden="false" customHeight="false" outlineLevel="0" collapsed="false">
      <c r="A623" s="0" t="s">
        <v>1168</v>
      </c>
      <c r="B623" s="0" t="s">
        <v>68</v>
      </c>
      <c r="C623" s="0" t="s">
        <v>1169</v>
      </c>
      <c r="D623" s="0" t="s">
        <v>33</v>
      </c>
      <c r="E623" s="2" t="n">
        <v>46098</v>
      </c>
      <c r="F623" s="3" t="s">
        <v>20</v>
      </c>
      <c r="G623" s="3" t="s">
        <v>43</v>
      </c>
      <c r="H623" s="3" t="s">
        <v>44</v>
      </c>
      <c r="I623" s="3" t="n">
        <f aca="false">YEAR(E623)</f>
        <v>2026</v>
      </c>
      <c r="J623" s="3" t="n">
        <f aca="false">MONTH(E623)</f>
        <v>3</v>
      </c>
      <c r="K623" s="3" t="n">
        <f aca="false">COUNTIFS($B$2:$B$4077,B623,$C$2:$C$4077,C623,$I$2:$I$4077,I623)</f>
        <v>1</v>
      </c>
      <c r="L623" s="3" t="n">
        <f aca="false">IF(COUNTIFS($B$2:B623,B623,$C$2:C623,C623,$I$2:I623,I623)=1,1,0)</f>
        <v>1</v>
      </c>
      <c r="M623" s="3" t="n">
        <f aca="false">IF(K623&gt;=Parametri!$B$1,1,0)</f>
        <v>0</v>
      </c>
      <c r="N623" s="3" t="n">
        <f aca="false">L623*M623</f>
        <v>0</v>
      </c>
    </row>
    <row r="624" customFormat="false" ht="15" hidden="false" customHeight="false" outlineLevel="0" collapsed="false">
      <c r="A624" s="0" t="s">
        <v>1170</v>
      </c>
      <c r="B624" s="0" t="s">
        <v>50</v>
      </c>
      <c r="C624" s="0" t="s">
        <v>1171</v>
      </c>
      <c r="D624" s="0" t="s">
        <v>19</v>
      </c>
      <c r="E624" s="2" t="n">
        <v>45558</v>
      </c>
      <c r="F624" s="3" t="s">
        <v>27</v>
      </c>
      <c r="G624" s="3" t="s">
        <v>39</v>
      </c>
      <c r="H624" s="3" t="s">
        <v>29</v>
      </c>
      <c r="I624" s="3" t="n">
        <f aca="false">YEAR(E624)</f>
        <v>2024</v>
      </c>
      <c r="J624" s="3" t="n">
        <f aca="false">MONTH(E624)</f>
        <v>9</v>
      </c>
      <c r="K624" s="3" t="n">
        <f aca="false">COUNTIFS($B$2:$B$4077,B624,$C$2:$C$4077,C624,$I$2:$I$4077,I624)</f>
        <v>1</v>
      </c>
      <c r="L624" s="3" t="n">
        <f aca="false">IF(COUNTIFS($B$2:B624,B624,$C$2:C624,C624,$I$2:I624,I624)=1,1,0)</f>
        <v>1</v>
      </c>
      <c r="M624" s="3" t="n">
        <f aca="false">IF(K624&gt;=Parametri!$B$1,1,0)</f>
        <v>0</v>
      </c>
      <c r="N624" s="3" t="n">
        <f aca="false">L624*M624</f>
        <v>0</v>
      </c>
    </row>
    <row r="625" customFormat="false" ht="15" hidden="false" customHeight="false" outlineLevel="0" collapsed="false">
      <c r="A625" s="0" t="s">
        <v>1172</v>
      </c>
      <c r="B625" s="0" t="s">
        <v>50</v>
      </c>
      <c r="C625" s="0" t="s">
        <v>942</v>
      </c>
      <c r="D625" s="0" t="s">
        <v>63</v>
      </c>
      <c r="E625" s="2" t="n">
        <v>46141</v>
      </c>
      <c r="F625" s="3" t="s">
        <v>27</v>
      </c>
      <c r="G625" s="3" t="s">
        <v>43</v>
      </c>
      <c r="H625" s="3" t="s">
        <v>48</v>
      </c>
      <c r="I625" s="3" t="n">
        <f aca="false">YEAR(E625)</f>
        <v>2026</v>
      </c>
      <c r="J625" s="3" t="n">
        <f aca="false">MONTH(E625)</f>
        <v>4</v>
      </c>
      <c r="K625" s="3" t="n">
        <f aca="false">COUNTIFS($B$2:$B$4077,B625,$C$2:$C$4077,C625,$I$2:$I$4077,I625)</f>
        <v>1</v>
      </c>
      <c r="L625" s="3" t="n">
        <f aca="false">IF(COUNTIFS($B$2:B625,B625,$C$2:C625,C625,$I$2:I625,I625)=1,1,0)</f>
        <v>1</v>
      </c>
      <c r="M625" s="3" t="n">
        <f aca="false">IF(K625&gt;=Parametri!$B$1,1,0)</f>
        <v>0</v>
      </c>
      <c r="N625" s="3" t="n">
        <f aca="false">L625*M625</f>
        <v>0</v>
      </c>
    </row>
    <row r="626" customFormat="false" ht="15" hidden="false" customHeight="false" outlineLevel="0" collapsed="false">
      <c r="A626" s="0" t="s">
        <v>1173</v>
      </c>
      <c r="B626" s="0" t="s">
        <v>31</v>
      </c>
      <c r="C626" s="0" t="s">
        <v>1036</v>
      </c>
      <c r="D626" s="0" t="s">
        <v>26</v>
      </c>
      <c r="E626" s="2" t="n">
        <v>45988</v>
      </c>
      <c r="F626" s="3" t="s">
        <v>34</v>
      </c>
      <c r="G626" s="3" t="s">
        <v>28</v>
      </c>
      <c r="H626" s="3" t="s">
        <v>22</v>
      </c>
      <c r="I626" s="3" t="n">
        <f aca="false">YEAR(E626)</f>
        <v>2025</v>
      </c>
      <c r="J626" s="3" t="n">
        <f aca="false">MONTH(E626)</f>
        <v>11</v>
      </c>
      <c r="K626" s="3" t="n">
        <f aca="false">COUNTIFS($B$2:$B$4077,B626,$C$2:$C$4077,C626,$I$2:$I$4077,I626)</f>
        <v>1</v>
      </c>
      <c r="L626" s="3" t="n">
        <f aca="false">IF(COUNTIFS($B$2:B626,B626,$C$2:C626,C626,$I$2:I626,I626)=1,1,0)</f>
        <v>1</v>
      </c>
      <c r="M626" s="3" t="n">
        <f aca="false">IF(K626&gt;=Parametri!$B$1,1,0)</f>
        <v>0</v>
      </c>
      <c r="N626" s="3" t="n">
        <f aca="false">L626*M626</f>
        <v>0</v>
      </c>
    </row>
    <row r="627" customFormat="false" ht="15" hidden="false" customHeight="false" outlineLevel="0" collapsed="false">
      <c r="A627" s="0" t="s">
        <v>1174</v>
      </c>
      <c r="B627" s="0" t="s">
        <v>41</v>
      </c>
      <c r="C627" s="0" t="s">
        <v>655</v>
      </c>
      <c r="D627" s="0" t="s">
        <v>77</v>
      </c>
      <c r="E627" s="2" t="n">
        <v>46140</v>
      </c>
      <c r="F627" s="3" t="s">
        <v>27</v>
      </c>
      <c r="G627" s="3" t="s">
        <v>28</v>
      </c>
      <c r="H627" s="3" t="s">
        <v>48</v>
      </c>
      <c r="I627" s="3" t="n">
        <f aca="false">YEAR(E627)</f>
        <v>2026</v>
      </c>
      <c r="J627" s="3" t="n">
        <f aca="false">MONTH(E627)</f>
        <v>4</v>
      </c>
      <c r="K627" s="3" t="n">
        <f aca="false">COUNTIFS($B$2:$B$4077,B627,$C$2:$C$4077,C627,$I$2:$I$4077,I627)</f>
        <v>1</v>
      </c>
      <c r="L627" s="3" t="n">
        <f aca="false">IF(COUNTIFS($B$2:B627,B627,$C$2:C627,C627,$I$2:I627,I627)=1,1,0)</f>
        <v>1</v>
      </c>
      <c r="M627" s="3" t="n">
        <f aca="false">IF(K627&gt;=Parametri!$B$1,1,0)</f>
        <v>0</v>
      </c>
      <c r="N627" s="3" t="n">
        <f aca="false">L627*M627</f>
        <v>0</v>
      </c>
    </row>
    <row r="628" customFormat="false" ht="15" hidden="false" customHeight="false" outlineLevel="0" collapsed="false">
      <c r="A628" s="0" t="s">
        <v>1175</v>
      </c>
      <c r="B628" s="0" t="s">
        <v>79</v>
      </c>
      <c r="C628" s="0" t="s">
        <v>1176</v>
      </c>
      <c r="D628" s="0" t="s">
        <v>77</v>
      </c>
      <c r="E628" s="2" t="n">
        <v>45494</v>
      </c>
      <c r="F628" s="3" t="s">
        <v>20</v>
      </c>
      <c r="G628" s="3" t="s">
        <v>89</v>
      </c>
      <c r="H628" s="3" t="s">
        <v>48</v>
      </c>
      <c r="I628" s="3" t="n">
        <f aca="false">YEAR(E628)</f>
        <v>2024</v>
      </c>
      <c r="J628" s="3" t="n">
        <f aca="false">MONTH(E628)</f>
        <v>7</v>
      </c>
      <c r="K628" s="3" t="n">
        <f aca="false">COUNTIFS($B$2:$B$4077,B628,$C$2:$C$4077,C628,$I$2:$I$4077,I628)</f>
        <v>1</v>
      </c>
      <c r="L628" s="3" t="n">
        <f aca="false">IF(COUNTIFS($B$2:B628,B628,$C$2:C628,C628,$I$2:I628,I628)=1,1,0)</f>
        <v>1</v>
      </c>
      <c r="M628" s="3" t="n">
        <f aca="false">IF(K628&gt;=Parametri!$B$1,1,0)</f>
        <v>0</v>
      </c>
      <c r="N628" s="3" t="n">
        <f aca="false">L628*M628</f>
        <v>0</v>
      </c>
    </row>
    <row r="629" customFormat="false" ht="15" hidden="false" customHeight="false" outlineLevel="0" collapsed="false">
      <c r="A629" s="0" t="s">
        <v>1177</v>
      </c>
      <c r="B629" s="0" t="s">
        <v>68</v>
      </c>
      <c r="C629" s="0" t="s">
        <v>1178</v>
      </c>
      <c r="D629" s="0" t="s">
        <v>33</v>
      </c>
      <c r="E629" s="2" t="n">
        <v>45473</v>
      </c>
      <c r="F629" s="3" t="s">
        <v>20</v>
      </c>
      <c r="G629" s="3" t="s">
        <v>43</v>
      </c>
      <c r="H629" s="3" t="s">
        <v>22</v>
      </c>
      <c r="I629" s="3" t="n">
        <f aca="false">YEAR(E629)</f>
        <v>2024</v>
      </c>
      <c r="J629" s="3" t="n">
        <f aca="false">MONTH(E629)</f>
        <v>6</v>
      </c>
      <c r="K629" s="3" t="n">
        <f aca="false">COUNTIFS($B$2:$B$4077,B629,$C$2:$C$4077,C629,$I$2:$I$4077,I629)</f>
        <v>1</v>
      </c>
      <c r="L629" s="3" t="n">
        <f aca="false">IF(COUNTIFS($B$2:B629,B629,$C$2:C629,C629,$I$2:I629,I629)=1,1,0)</f>
        <v>1</v>
      </c>
      <c r="M629" s="3" t="n">
        <f aca="false">IF(K629&gt;=Parametri!$B$1,1,0)</f>
        <v>0</v>
      </c>
      <c r="N629" s="3" t="n">
        <f aca="false">L629*M629</f>
        <v>0</v>
      </c>
    </row>
    <row r="630" customFormat="false" ht="15" hidden="false" customHeight="false" outlineLevel="0" collapsed="false">
      <c r="A630" s="0" t="s">
        <v>1179</v>
      </c>
      <c r="B630" s="0" t="s">
        <v>41</v>
      </c>
      <c r="C630" s="0" t="s">
        <v>1180</v>
      </c>
      <c r="D630" s="0" t="s">
        <v>19</v>
      </c>
      <c r="E630" s="2" t="n">
        <v>46000</v>
      </c>
      <c r="F630" s="3" t="s">
        <v>34</v>
      </c>
      <c r="G630" s="3" t="s">
        <v>21</v>
      </c>
      <c r="H630" s="3" t="s">
        <v>44</v>
      </c>
      <c r="I630" s="3" t="n">
        <f aca="false">YEAR(E630)</f>
        <v>2025</v>
      </c>
      <c r="J630" s="3" t="n">
        <f aca="false">MONTH(E630)</f>
        <v>12</v>
      </c>
      <c r="K630" s="3" t="n">
        <f aca="false">COUNTIFS($B$2:$B$4077,B630,$C$2:$C$4077,C630,$I$2:$I$4077,I630)</f>
        <v>1</v>
      </c>
      <c r="L630" s="3" t="n">
        <f aca="false">IF(COUNTIFS($B$2:B630,B630,$C$2:C630,C630,$I$2:I630,I630)=1,1,0)</f>
        <v>1</v>
      </c>
      <c r="M630" s="3" t="n">
        <f aca="false">IF(K630&gt;=Parametri!$B$1,1,0)</f>
        <v>0</v>
      </c>
      <c r="N630" s="3" t="n">
        <f aca="false">L630*M630</f>
        <v>0</v>
      </c>
    </row>
    <row r="631" customFormat="false" ht="15" hidden="false" customHeight="false" outlineLevel="0" collapsed="false">
      <c r="A631" s="0" t="s">
        <v>1181</v>
      </c>
      <c r="B631" s="0" t="s">
        <v>68</v>
      </c>
      <c r="C631" s="0" t="s">
        <v>1182</v>
      </c>
      <c r="D631" s="0" t="s">
        <v>54</v>
      </c>
      <c r="E631" s="2" t="n">
        <v>45418</v>
      </c>
      <c r="F631" s="3" t="s">
        <v>20</v>
      </c>
      <c r="G631" s="3" t="s">
        <v>89</v>
      </c>
      <c r="H631" s="3" t="s">
        <v>48</v>
      </c>
      <c r="I631" s="3" t="n">
        <f aca="false">YEAR(E631)</f>
        <v>2024</v>
      </c>
      <c r="J631" s="3" t="n">
        <f aca="false">MONTH(E631)</f>
        <v>5</v>
      </c>
      <c r="K631" s="3" t="n">
        <f aca="false">COUNTIFS($B$2:$B$4077,B631,$C$2:$C$4077,C631,$I$2:$I$4077,I631)</f>
        <v>1</v>
      </c>
      <c r="L631" s="3" t="n">
        <f aca="false">IF(COUNTIFS($B$2:B631,B631,$C$2:C631,C631,$I$2:I631,I631)=1,1,0)</f>
        <v>1</v>
      </c>
      <c r="M631" s="3" t="n">
        <f aca="false">IF(K631&gt;=Parametri!$B$1,1,0)</f>
        <v>0</v>
      </c>
      <c r="N631" s="3" t="n">
        <f aca="false">L631*M631</f>
        <v>0</v>
      </c>
    </row>
    <row r="632" customFormat="false" ht="15" hidden="false" customHeight="false" outlineLevel="0" collapsed="false">
      <c r="A632" s="0" t="s">
        <v>1183</v>
      </c>
      <c r="B632" s="0" t="s">
        <v>124</v>
      </c>
      <c r="C632" s="0" t="s">
        <v>410</v>
      </c>
      <c r="D632" s="0" t="s">
        <v>63</v>
      </c>
      <c r="E632" s="2" t="n">
        <v>45947</v>
      </c>
      <c r="F632" s="3" t="s">
        <v>27</v>
      </c>
      <c r="G632" s="3" t="s">
        <v>28</v>
      </c>
      <c r="H632" s="3" t="s">
        <v>29</v>
      </c>
      <c r="I632" s="3" t="n">
        <f aca="false">YEAR(E632)</f>
        <v>2025</v>
      </c>
      <c r="J632" s="3" t="n">
        <f aca="false">MONTH(E632)</f>
        <v>10</v>
      </c>
      <c r="K632" s="3" t="n">
        <f aca="false">COUNTIFS($B$2:$B$4077,B632,$C$2:$C$4077,C632,$I$2:$I$4077,I632)</f>
        <v>6</v>
      </c>
      <c r="L632" s="3" t="n">
        <f aca="false">IF(COUNTIFS($B$2:B632,B632,$C$2:C632,C632,$I$2:I632,I632)=1,1,0)</f>
        <v>1</v>
      </c>
      <c r="M632" s="3" t="n">
        <f aca="false">IF(K632&gt;=Parametri!$B$1,1,0)</f>
        <v>1</v>
      </c>
      <c r="N632" s="3" t="n">
        <f aca="false">L632*M632</f>
        <v>1</v>
      </c>
    </row>
    <row r="633" customFormat="false" ht="15" hidden="false" customHeight="false" outlineLevel="0" collapsed="false">
      <c r="A633" s="0" t="s">
        <v>1184</v>
      </c>
      <c r="B633" s="0" t="s">
        <v>57</v>
      </c>
      <c r="C633" s="0" t="s">
        <v>147</v>
      </c>
      <c r="D633" s="0" t="s">
        <v>26</v>
      </c>
      <c r="E633" s="2" t="n">
        <v>45656</v>
      </c>
      <c r="F633" s="3" t="s">
        <v>20</v>
      </c>
      <c r="G633" s="3" t="s">
        <v>43</v>
      </c>
      <c r="H633" s="3" t="s">
        <v>44</v>
      </c>
      <c r="I633" s="3" t="n">
        <f aca="false">YEAR(E633)</f>
        <v>2024</v>
      </c>
      <c r="J633" s="3" t="n">
        <f aca="false">MONTH(E633)</f>
        <v>12</v>
      </c>
      <c r="K633" s="3" t="n">
        <f aca="false">COUNTIFS($B$2:$B$4077,B633,$C$2:$C$4077,C633,$I$2:$I$4077,I633)</f>
        <v>3</v>
      </c>
      <c r="L633" s="3" t="n">
        <f aca="false">IF(COUNTIFS($B$2:B633,B633,$C$2:C633,C633,$I$2:I633,I633)=1,1,0)</f>
        <v>0</v>
      </c>
      <c r="M633" s="3" t="n">
        <f aca="false">IF(K633&gt;=Parametri!$B$1,1,0)</f>
        <v>1</v>
      </c>
      <c r="N633" s="3" t="n">
        <f aca="false">L633*M633</f>
        <v>0</v>
      </c>
    </row>
    <row r="634" customFormat="false" ht="15" hidden="false" customHeight="false" outlineLevel="0" collapsed="false">
      <c r="A634" s="0" t="s">
        <v>1185</v>
      </c>
      <c r="B634" s="0" t="s">
        <v>46</v>
      </c>
      <c r="C634" s="0" t="s">
        <v>1186</v>
      </c>
      <c r="D634" s="0" t="s">
        <v>19</v>
      </c>
      <c r="E634" s="2" t="n">
        <v>45911</v>
      </c>
      <c r="F634" s="3" t="s">
        <v>20</v>
      </c>
      <c r="G634" s="3" t="s">
        <v>43</v>
      </c>
      <c r="H634" s="3" t="s">
        <v>29</v>
      </c>
      <c r="I634" s="3" t="n">
        <f aca="false">YEAR(E634)</f>
        <v>2025</v>
      </c>
      <c r="J634" s="3" t="n">
        <f aca="false">MONTH(E634)</f>
        <v>9</v>
      </c>
      <c r="K634" s="3" t="n">
        <f aca="false">COUNTIFS($B$2:$B$4077,B634,$C$2:$C$4077,C634,$I$2:$I$4077,I634)</f>
        <v>1</v>
      </c>
      <c r="L634" s="3" t="n">
        <f aca="false">IF(COUNTIFS($B$2:B634,B634,$C$2:C634,C634,$I$2:I634,I634)=1,1,0)</f>
        <v>1</v>
      </c>
      <c r="M634" s="3" t="n">
        <f aca="false">IF(K634&gt;=Parametri!$B$1,1,0)</f>
        <v>0</v>
      </c>
      <c r="N634" s="3" t="n">
        <f aca="false">L634*M634</f>
        <v>0</v>
      </c>
    </row>
    <row r="635" customFormat="false" ht="15" hidden="false" customHeight="false" outlineLevel="0" collapsed="false">
      <c r="A635" s="0" t="s">
        <v>1187</v>
      </c>
      <c r="B635" s="0" t="s">
        <v>68</v>
      </c>
      <c r="C635" s="0" t="s">
        <v>1188</v>
      </c>
      <c r="D635" s="0" t="s">
        <v>63</v>
      </c>
      <c r="E635" s="2" t="n">
        <v>45808</v>
      </c>
      <c r="F635" s="3" t="s">
        <v>20</v>
      </c>
      <c r="G635" s="3" t="s">
        <v>21</v>
      </c>
      <c r="H635" s="3" t="s">
        <v>48</v>
      </c>
      <c r="I635" s="3" t="n">
        <f aca="false">YEAR(E635)</f>
        <v>2025</v>
      </c>
      <c r="J635" s="3" t="n">
        <f aca="false">MONTH(E635)</f>
        <v>5</v>
      </c>
      <c r="K635" s="3" t="n">
        <f aca="false">COUNTIFS($B$2:$B$4077,B635,$C$2:$C$4077,C635,$I$2:$I$4077,I635)</f>
        <v>2</v>
      </c>
      <c r="L635" s="3" t="n">
        <f aca="false">IF(COUNTIFS($B$2:B635,B635,$C$2:C635,C635,$I$2:I635,I635)=1,1,0)</f>
        <v>1</v>
      </c>
      <c r="M635" s="3" t="n">
        <f aca="false">IF(K635&gt;=Parametri!$B$1,1,0)</f>
        <v>1</v>
      </c>
      <c r="N635" s="3" t="n">
        <f aca="false">L635*M635</f>
        <v>1</v>
      </c>
    </row>
    <row r="636" customFormat="false" ht="15" hidden="false" customHeight="false" outlineLevel="0" collapsed="false">
      <c r="A636" s="0" t="s">
        <v>1189</v>
      </c>
      <c r="B636" s="0" t="s">
        <v>50</v>
      </c>
      <c r="C636" s="0" t="s">
        <v>1190</v>
      </c>
      <c r="D636" s="0" t="s">
        <v>77</v>
      </c>
      <c r="E636" s="2" t="n">
        <v>46195</v>
      </c>
      <c r="F636" s="3" t="s">
        <v>20</v>
      </c>
      <c r="G636" s="3" t="s">
        <v>89</v>
      </c>
      <c r="H636" s="3" t="s">
        <v>29</v>
      </c>
      <c r="I636" s="3" t="n">
        <f aca="false">YEAR(E636)</f>
        <v>2026</v>
      </c>
      <c r="J636" s="3" t="n">
        <f aca="false">MONTH(E636)</f>
        <v>6</v>
      </c>
      <c r="K636" s="3" t="n">
        <f aca="false">COUNTIFS($B$2:$B$4077,B636,$C$2:$C$4077,C636,$I$2:$I$4077,I636)</f>
        <v>1</v>
      </c>
      <c r="L636" s="3" t="n">
        <f aca="false">IF(COUNTIFS($B$2:B636,B636,$C$2:C636,C636,$I$2:I636,I636)=1,1,0)</f>
        <v>1</v>
      </c>
      <c r="M636" s="3" t="n">
        <f aca="false">IF(K636&gt;=Parametri!$B$1,1,0)</f>
        <v>0</v>
      </c>
      <c r="N636" s="3" t="n">
        <f aca="false">L636*M636</f>
        <v>0</v>
      </c>
    </row>
    <row r="637" customFormat="false" ht="15" hidden="false" customHeight="false" outlineLevel="0" collapsed="false">
      <c r="A637" s="0" t="s">
        <v>1191</v>
      </c>
      <c r="B637" s="0" t="s">
        <v>24</v>
      </c>
      <c r="C637" s="0" t="s">
        <v>1192</v>
      </c>
      <c r="D637" s="0" t="s">
        <v>66</v>
      </c>
      <c r="E637" s="2" t="n">
        <v>46247</v>
      </c>
      <c r="F637" s="3" t="s">
        <v>20</v>
      </c>
      <c r="G637" s="3" t="s">
        <v>39</v>
      </c>
      <c r="H637" s="3" t="s">
        <v>22</v>
      </c>
      <c r="I637" s="3" t="n">
        <f aca="false">YEAR(E637)</f>
        <v>2026</v>
      </c>
      <c r="J637" s="3" t="n">
        <f aca="false">MONTH(E637)</f>
        <v>8</v>
      </c>
      <c r="K637" s="3" t="n">
        <f aca="false">COUNTIFS($B$2:$B$4077,B637,$C$2:$C$4077,C637,$I$2:$I$4077,I637)</f>
        <v>2</v>
      </c>
      <c r="L637" s="3" t="n">
        <f aca="false">IF(COUNTIFS($B$2:B637,B637,$C$2:C637,C637,$I$2:I637,I637)=1,1,0)</f>
        <v>1</v>
      </c>
      <c r="M637" s="3" t="n">
        <f aca="false">IF(K637&gt;=Parametri!$B$1,1,0)</f>
        <v>1</v>
      </c>
      <c r="N637" s="3" t="n">
        <f aca="false">L637*M637</f>
        <v>1</v>
      </c>
    </row>
    <row r="638" customFormat="false" ht="15" hidden="false" customHeight="false" outlineLevel="0" collapsed="false">
      <c r="A638" s="0" t="s">
        <v>1193</v>
      </c>
      <c r="B638" s="0" t="s">
        <v>46</v>
      </c>
      <c r="C638" s="0" t="s">
        <v>1194</v>
      </c>
      <c r="D638" s="0" t="s">
        <v>63</v>
      </c>
      <c r="E638" s="2" t="n">
        <v>45300</v>
      </c>
      <c r="F638" s="3" t="s">
        <v>20</v>
      </c>
      <c r="G638" s="3" t="s">
        <v>39</v>
      </c>
      <c r="H638" s="3" t="s">
        <v>22</v>
      </c>
      <c r="I638" s="3" t="n">
        <f aca="false">YEAR(E638)</f>
        <v>2024</v>
      </c>
      <c r="J638" s="3" t="n">
        <f aca="false">MONTH(E638)</f>
        <v>1</v>
      </c>
      <c r="K638" s="3" t="n">
        <f aca="false">COUNTIFS($B$2:$B$4077,B638,$C$2:$C$4077,C638,$I$2:$I$4077,I638)</f>
        <v>1</v>
      </c>
      <c r="L638" s="3" t="n">
        <f aca="false">IF(COUNTIFS($B$2:B638,B638,$C$2:C638,C638,$I$2:I638,I638)=1,1,0)</f>
        <v>1</v>
      </c>
      <c r="M638" s="3" t="n">
        <f aca="false">IF(K638&gt;=Parametri!$B$1,1,0)</f>
        <v>0</v>
      </c>
      <c r="N638" s="3" t="n">
        <f aca="false">L638*M638</f>
        <v>0</v>
      </c>
    </row>
    <row r="639" customFormat="false" ht="15" hidden="false" customHeight="false" outlineLevel="0" collapsed="false">
      <c r="A639" s="0" t="s">
        <v>1195</v>
      </c>
      <c r="B639" s="0" t="s">
        <v>17</v>
      </c>
      <c r="C639" s="0" t="s">
        <v>1196</v>
      </c>
      <c r="D639" s="0" t="s">
        <v>26</v>
      </c>
      <c r="E639" s="2" t="n">
        <v>46016</v>
      </c>
      <c r="F639" s="3" t="s">
        <v>34</v>
      </c>
      <c r="G639" s="3" t="s">
        <v>21</v>
      </c>
      <c r="H639" s="3" t="s">
        <v>44</v>
      </c>
      <c r="I639" s="3" t="n">
        <f aca="false">YEAR(E639)</f>
        <v>2025</v>
      </c>
      <c r="J639" s="3" t="n">
        <f aca="false">MONTH(E639)</f>
        <v>12</v>
      </c>
      <c r="K639" s="3" t="n">
        <f aca="false">COUNTIFS($B$2:$B$4077,B639,$C$2:$C$4077,C639,$I$2:$I$4077,I639)</f>
        <v>2</v>
      </c>
      <c r="L639" s="3" t="n">
        <f aca="false">IF(COUNTIFS($B$2:B639,B639,$C$2:C639,C639,$I$2:I639,I639)=1,1,0)</f>
        <v>1</v>
      </c>
      <c r="M639" s="3" t="n">
        <f aca="false">IF(K639&gt;=Parametri!$B$1,1,0)</f>
        <v>1</v>
      </c>
      <c r="N639" s="3" t="n">
        <f aca="false">L639*M639</f>
        <v>1</v>
      </c>
    </row>
    <row r="640" customFormat="false" ht="15" hidden="false" customHeight="false" outlineLevel="0" collapsed="false">
      <c r="A640" s="0" t="s">
        <v>1197</v>
      </c>
      <c r="B640" s="0" t="s">
        <v>17</v>
      </c>
      <c r="C640" s="0" t="s">
        <v>1198</v>
      </c>
      <c r="D640" s="0" t="s">
        <v>77</v>
      </c>
      <c r="E640" s="2" t="n">
        <v>45419</v>
      </c>
      <c r="F640" s="3" t="s">
        <v>27</v>
      </c>
      <c r="G640" s="3" t="s">
        <v>39</v>
      </c>
      <c r="H640" s="3" t="s">
        <v>22</v>
      </c>
      <c r="I640" s="3" t="n">
        <f aca="false">YEAR(E640)</f>
        <v>2024</v>
      </c>
      <c r="J640" s="3" t="n">
        <f aca="false">MONTH(E640)</f>
        <v>5</v>
      </c>
      <c r="K640" s="3" t="n">
        <f aca="false">COUNTIFS($B$2:$B$4077,B640,$C$2:$C$4077,C640,$I$2:$I$4077,I640)</f>
        <v>2</v>
      </c>
      <c r="L640" s="3" t="n">
        <f aca="false">IF(COUNTIFS($B$2:B640,B640,$C$2:C640,C640,$I$2:I640,I640)=1,1,0)</f>
        <v>1</v>
      </c>
      <c r="M640" s="3" t="n">
        <f aca="false">IF(K640&gt;=Parametri!$B$1,1,0)</f>
        <v>1</v>
      </c>
      <c r="N640" s="3" t="n">
        <f aca="false">L640*M640</f>
        <v>1</v>
      </c>
    </row>
    <row r="641" customFormat="false" ht="15" hidden="false" customHeight="false" outlineLevel="0" collapsed="false">
      <c r="A641" s="0" t="s">
        <v>1199</v>
      </c>
      <c r="B641" s="0" t="s">
        <v>79</v>
      </c>
      <c r="C641" s="0" t="s">
        <v>830</v>
      </c>
      <c r="D641" s="0" t="s">
        <v>38</v>
      </c>
      <c r="E641" s="2" t="n">
        <v>45730</v>
      </c>
      <c r="F641" s="3" t="s">
        <v>104</v>
      </c>
      <c r="G641" s="3" t="s">
        <v>104</v>
      </c>
      <c r="H641" s="3" t="s">
        <v>104</v>
      </c>
      <c r="I641" s="3" t="n">
        <f aca="false">YEAR(E641)</f>
        <v>2025</v>
      </c>
      <c r="J641" s="3" t="n">
        <f aca="false">MONTH(E641)</f>
        <v>3</v>
      </c>
      <c r="K641" s="3" t="n">
        <f aca="false">COUNTIFS($B$2:$B$4077,B641,$C$2:$C$4077,C641,$I$2:$I$4077,I641)</f>
        <v>3</v>
      </c>
      <c r="L641" s="3" t="n">
        <f aca="false">IF(COUNTIFS($B$2:B641,B641,$C$2:C641,C641,$I$2:I641,I641)=1,1,0)</f>
        <v>1</v>
      </c>
      <c r="M641" s="3" t="n">
        <f aca="false">IF(K641&gt;=Parametri!$B$1,1,0)</f>
        <v>1</v>
      </c>
      <c r="N641" s="3" t="n">
        <f aca="false">L641*M641</f>
        <v>1</v>
      </c>
    </row>
    <row r="642" customFormat="false" ht="15" hidden="false" customHeight="false" outlineLevel="0" collapsed="false">
      <c r="A642" s="0" t="s">
        <v>1200</v>
      </c>
      <c r="B642" s="0" t="s">
        <v>68</v>
      </c>
      <c r="C642" s="0" t="s">
        <v>1201</v>
      </c>
      <c r="D642" s="0" t="s">
        <v>33</v>
      </c>
      <c r="E642" s="2" t="n">
        <v>46220</v>
      </c>
      <c r="F642" s="3" t="s">
        <v>20</v>
      </c>
      <c r="G642" s="3" t="s">
        <v>35</v>
      </c>
      <c r="H642" s="3" t="s">
        <v>44</v>
      </c>
      <c r="I642" s="3" t="n">
        <f aca="false">YEAR(E642)</f>
        <v>2026</v>
      </c>
      <c r="J642" s="3" t="n">
        <f aca="false">MONTH(E642)</f>
        <v>7</v>
      </c>
      <c r="K642" s="3" t="n">
        <f aca="false">COUNTIFS($B$2:$B$4077,B642,$C$2:$C$4077,C642,$I$2:$I$4077,I642)</f>
        <v>1</v>
      </c>
      <c r="L642" s="3" t="n">
        <f aca="false">IF(COUNTIFS($B$2:B642,B642,$C$2:C642,C642,$I$2:I642,I642)=1,1,0)</f>
        <v>1</v>
      </c>
      <c r="M642" s="3" t="n">
        <f aca="false">IF(K642&gt;=Parametri!$B$1,1,0)</f>
        <v>0</v>
      </c>
      <c r="N642" s="3" t="n">
        <f aca="false">L642*M642</f>
        <v>0</v>
      </c>
    </row>
    <row r="643" customFormat="false" ht="15" hidden="false" customHeight="false" outlineLevel="0" collapsed="false">
      <c r="A643" s="0" t="s">
        <v>1202</v>
      </c>
      <c r="B643" s="0" t="s">
        <v>41</v>
      </c>
      <c r="C643" s="0" t="s">
        <v>1203</v>
      </c>
      <c r="D643" s="0" t="s">
        <v>19</v>
      </c>
      <c r="E643" s="2" t="n">
        <v>45374</v>
      </c>
      <c r="F643" s="3" t="s">
        <v>34</v>
      </c>
      <c r="G643" s="3" t="s">
        <v>89</v>
      </c>
      <c r="H643" s="3" t="s">
        <v>22</v>
      </c>
      <c r="I643" s="3" t="n">
        <f aca="false">YEAR(E643)</f>
        <v>2024</v>
      </c>
      <c r="J643" s="3" t="n">
        <f aca="false">MONTH(E643)</f>
        <v>3</v>
      </c>
      <c r="K643" s="3" t="n">
        <f aca="false">COUNTIFS($B$2:$B$4077,B643,$C$2:$C$4077,C643,$I$2:$I$4077,I643)</f>
        <v>1</v>
      </c>
      <c r="L643" s="3" t="n">
        <f aca="false">IF(COUNTIFS($B$2:B643,B643,$C$2:C643,C643,$I$2:I643,I643)=1,1,0)</f>
        <v>1</v>
      </c>
      <c r="M643" s="3" t="n">
        <f aca="false">IF(K643&gt;=Parametri!$B$1,1,0)</f>
        <v>0</v>
      </c>
      <c r="N643" s="3" t="n">
        <f aca="false">L643*M643</f>
        <v>0</v>
      </c>
    </row>
    <row r="644" customFormat="false" ht="15" hidden="false" customHeight="false" outlineLevel="0" collapsed="false">
      <c r="A644" s="0" t="s">
        <v>1204</v>
      </c>
      <c r="B644" s="0" t="s">
        <v>24</v>
      </c>
      <c r="C644" s="0" t="s">
        <v>1205</v>
      </c>
      <c r="D644" s="0" t="s">
        <v>26</v>
      </c>
      <c r="E644" s="2" t="n">
        <v>46164</v>
      </c>
      <c r="F644" s="3" t="s">
        <v>20</v>
      </c>
      <c r="G644" s="3" t="s">
        <v>21</v>
      </c>
      <c r="H644" s="3" t="s">
        <v>29</v>
      </c>
      <c r="I644" s="3" t="n">
        <f aca="false">YEAR(E644)</f>
        <v>2026</v>
      </c>
      <c r="J644" s="3" t="n">
        <f aca="false">MONTH(E644)</f>
        <v>5</v>
      </c>
      <c r="K644" s="3" t="n">
        <f aca="false">COUNTIFS($B$2:$B$4077,B644,$C$2:$C$4077,C644,$I$2:$I$4077,I644)</f>
        <v>2</v>
      </c>
      <c r="L644" s="3" t="n">
        <f aca="false">IF(COUNTIFS($B$2:B644,B644,$C$2:C644,C644,$I$2:I644,I644)=1,1,0)</f>
        <v>1</v>
      </c>
      <c r="M644" s="3" t="n">
        <f aca="false">IF(K644&gt;=Parametri!$B$1,1,0)</f>
        <v>1</v>
      </c>
      <c r="N644" s="3" t="n">
        <f aca="false">L644*M644</f>
        <v>1</v>
      </c>
    </row>
    <row r="645" customFormat="false" ht="15" hidden="false" customHeight="false" outlineLevel="0" collapsed="false">
      <c r="A645" s="0" t="s">
        <v>1206</v>
      </c>
      <c r="B645" s="0" t="s">
        <v>68</v>
      </c>
      <c r="C645" s="0" t="s">
        <v>1207</v>
      </c>
      <c r="D645" s="0" t="s">
        <v>66</v>
      </c>
      <c r="E645" s="2" t="n">
        <v>45788</v>
      </c>
      <c r="F645" s="3" t="s">
        <v>20</v>
      </c>
      <c r="G645" s="3" t="s">
        <v>21</v>
      </c>
      <c r="H645" s="3" t="s">
        <v>44</v>
      </c>
      <c r="I645" s="3" t="n">
        <f aca="false">YEAR(E645)</f>
        <v>2025</v>
      </c>
      <c r="J645" s="3" t="n">
        <f aca="false">MONTH(E645)</f>
        <v>5</v>
      </c>
      <c r="K645" s="3" t="n">
        <f aca="false">COUNTIFS($B$2:$B$4077,B645,$C$2:$C$4077,C645,$I$2:$I$4077,I645)</f>
        <v>1</v>
      </c>
      <c r="L645" s="3" t="n">
        <f aca="false">IF(COUNTIFS($B$2:B645,B645,$C$2:C645,C645,$I$2:I645,I645)=1,1,0)</f>
        <v>1</v>
      </c>
      <c r="M645" s="3" t="n">
        <f aca="false">IF(K645&gt;=Parametri!$B$1,1,0)</f>
        <v>0</v>
      </c>
      <c r="N645" s="3" t="n">
        <f aca="false">L645*M645</f>
        <v>0</v>
      </c>
    </row>
    <row r="646" customFormat="false" ht="15" hidden="false" customHeight="false" outlineLevel="0" collapsed="false">
      <c r="A646" s="0" t="s">
        <v>1208</v>
      </c>
      <c r="B646" s="0" t="s">
        <v>68</v>
      </c>
      <c r="C646" s="0" t="s">
        <v>1209</v>
      </c>
      <c r="D646" s="0" t="s">
        <v>38</v>
      </c>
      <c r="E646" s="2" t="n">
        <v>45735</v>
      </c>
      <c r="F646" s="3" t="s">
        <v>34</v>
      </c>
      <c r="G646" s="3" t="s">
        <v>72</v>
      </c>
      <c r="H646" s="3" t="s">
        <v>22</v>
      </c>
      <c r="I646" s="3" t="n">
        <f aca="false">YEAR(E646)</f>
        <v>2025</v>
      </c>
      <c r="J646" s="3" t="n">
        <f aca="false">MONTH(E646)</f>
        <v>3</v>
      </c>
      <c r="K646" s="3" t="n">
        <f aca="false">COUNTIFS($B$2:$B$4077,B646,$C$2:$C$4077,C646,$I$2:$I$4077,I646)</f>
        <v>1</v>
      </c>
      <c r="L646" s="3" t="n">
        <f aca="false">IF(COUNTIFS($B$2:B646,B646,$C$2:C646,C646,$I$2:I646,I646)=1,1,0)</f>
        <v>1</v>
      </c>
      <c r="M646" s="3" t="n">
        <f aca="false">IF(K646&gt;=Parametri!$B$1,1,0)</f>
        <v>0</v>
      </c>
      <c r="N646" s="3" t="n">
        <f aca="false">L646*M646</f>
        <v>0</v>
      </c>
    </row>
    <row r="647" customFormat="false" ht="15" hidden="false" customHeight="false" outlineLevel="0" collapsed="false">
      <c r="A647" s="0" t="s">
        <v>1210</v>
      </c>
      <c r="B647" s="0" t="s">
        <v>41</v>
      </c>
      <c r="C647" s="0" t="s">
        <v>1211</v>
      </c>
      <c r="D647" s="0" t="s">
        <v>33</v>
      </c>
      <c r="E647" s="2" t="n">
        <v>46178</v>
      </c>
      <c r="F647" s="3" t="s">
        <v>20</v>
      </c>
      <c r="G647" s="3" t="s">
        <v>89</v>
      </c>
      <c r="H647" s="3" t="s">
        <v>22</v>
      </c>
      <c r="I647" s="3" t="n">
        <f aca="false">YEAR(E647)</f>
        <v>2026</v>
      </c>
      <c r="J647" s="3" t="n">
        <f aca="false">MONTH(E647)</f>
        <v>6</v>
      </c>
      <c r="K647" s="3" t="n">
        <f aca="false">COUNTIFS($B$2:$B$4077,B647,$C$2:$C$4077,C647,$I$2:$I$4077,I647)</f>
        <v>1</v>
      </c>
      <c r="L647" s="3" t="n">
        <f aca="false">IF(COUNTIFS($B$2:B647,B647,$C$2:C647,C647,$I$2:I647,I647)=1,1,0)</f>
        <v>1</v>
      </c>
      <c r="M647" s="3" t="n">
        <f aca="false">IF(K647&gt;=Parametri!$B$1,1,0)</f>
        <v>0</v>
      </c>
      <c r="N647" s="3" t="n">
        <f aca="false">L647*M647</f>
        <v>0</v>
      </c>
    </row>
    <row r="648" customFormat="false" ht="15" hidden="false" customHeight="false" outlineLevel="0" collapsed="false">
      <c r="A648" s="0" t="s">
        <v>1212</v>
      </c>
      <c r="B648" s="0" t="s">
        <v>50</v>
      </c>
      <c r="C648" s="0" t="s">
        <v>696</v>
      </c>
      <c r="D648" s="0" t="s">
        <v>26</v>
      </c>
      <c r="E648" s="2" t="n">
        <v>45343</v>
      </c>
      <c r="F648" s="3" t="s">
        <v>20</v>
      </c>
      <c r="G648" s="3" t="s">
        <v>89</v>
      </c>
      <c r="H648" s="3" t="s">
        <v>22</v>
      </c>
      <c r="I648" s="3" t="n">
        <f aca="false">YEAR(E648)</f>
        <v>2024</v>
      </c>
      <c r="J648" s="3" t="n">
        <f aca="false">MONTH(E648)</f>
        <v>2</v>
      </c>
      <c r="K648" s="3" t="n">
        <f aca="false">COUNTIFS($B$2:$B$4077,B648,$C$2:$C$4077,C648,$I$2:$I$4077,I648)</f>
        <v>1</v>
      </c>
      <c r="L648" s="3" t="n">
        <f aca="false">IF(COUNTIFS($B$2:B648,B648,$C$2:C648,C648,$I$2:I648,I648)=1,1,0)</f>
        <v>1</v>
      </c>
      <c r="M648" s="3" t="n">
        <f aca="false">IF(K648&gt;=Parametri!$B$1,1,0)</f>
        <v>0</v>
      </c>
      <c r="N648" s="3" t="n">
        <f aca="false">L648*M648</f>
        <v>0</v>
      </c>
    </row>
    <row r="649" customFormat="false" ht="15" hidden="false" customHeight="false" outlineLevel="0" collapsed="false">
      <c r="A649" s="0" t="s">
        <v>1213</v>
      </c>
      <c r="B649" s="0" t="s">
        <v>57</v>
      </c>
      <c r="C649" s="0" t="s">
        <v>263</v>
      </c>
      <c r="D649" s="0" t="s">
        <v>54</v>
      </c>
      <c r="E649" s="2" t="n">
        <v>45422</v>
      </c>
      <c r="F649" s="3" t="s">
        <v>20</v>
      </c>
      <c r="G649" s="3" t="s">
        <v>104</v>
      </c>
      <c r="H649" s="3" t="s">
        <v>104</v>
      </c>
      <c r="I649" s="3" t="n">
        <f aca="false">YEAR(E649)</f>
        <v>2024</v>
      </c>
      <c r="J649" s="3" t="n">
        <f aca="false">MONTH(E649)</f>
        <v>5</v>
      </c>
      <c r="K649" s="3" t="n">
        <f aca="false">COUNTIFS($B$2:$B$4077,B649,$C$2:$C$4077,C649,$I$2:$I$4077,I649)</f>
        <v>1</v>
      </c>
      <c r="L649" s="3" t="n">
        <f aca="false">IF(COUNTIFS($B$2:B649,B649,$C$2:C649,C649,$I$2:I649,I649)=1,1,0)</f>
        <v>1</v>
      </c>
      <c r="M649" s="3" t="n">
        <f aca="false">IF(K649&gt;=Parametri!$B$1,1,0)</f>
        <v>0</v>
      </c>
      <c r="N649" s="3" t="n">
        <f aca="false">L649*M649</f>
        <v>0</v>
      </c>
    </row>
    <row r="650" customFormat="false" ht="15" hidden="false" customHeight="false" outlineLevel="0" collapsed="false">
      <c r="A650" s="0" t="s">
        <v>1214</v>
      </c>
      <c r="B650" s="0" t="s">
        <v>46</v>
      </c>
      <c r="C650" s="0" t="s">
        <v>1215</v>
      </c>
      <c r="D650" s="0" t="s">
        <v>26</v>
      </c>
      <c r="E650" s="2" t="n">
        <v>45794</v>
      </c>
      <c r="F650" s="3" t="s">
        <v>20</v>
      </c>
      <c r="G650" s="3" t="s">
        <v>28</v>
      </c>
      <c r="H650" s="3" t="s">
        <v>48</v>
      </c>
      <c r="I650" s="3" t="n">
        <f aca="false">YEAR(E650)</f>
        <v>2025</v>
      </c>
      <c r="J650" s="3" t="n">
        <f aca="false">MONTH(E650)</f>
        <v>5</v>
      </c>
      <c r="K650" s="3" t="n">
        <f aca="false">COUNTIFS($B$2:$B$4077,B650,$C$2:$C$4077,C650,$I$2:$I$4077,I650)</f>
        <v>1</v>
      </c>
      <c r="L650" s="3" t="n">
        <f aca="false">IF(COUNTIFS($B$2:B650,B650,$C$2:C650,C650,$I$2:I650,I650)=1,1,0)</f>
        <v>1</v>
      </c>
      <c r="M650" s="3" t="n">
        <f aca="false">IF(K650&gt;=Parametri!$B$1,1,0)</f>
        <v>0</v>
      </c>
      <c r="N650" s="3" t="n">
        <f aca="false">L650*M650</f>
        <v>0</v>
      </c>
    </row>
    <row r="651" customFormat="false" ht="15" hidden="false" customHeight="false" outlineLevel="0" collapsed="false">
      <c r="A651" s="0" t="s">
        <v>1216</v>
      </c>
      <c r="B651" s="0" t="s">
        <v>24</v>
      </c>
      <c r="C651" s="0" t="s">
        <v>204</v>
      </c>
      <c r="D651" s="0" t="s">
        <v>66</v>
      </c>
      <c r="E651" s="2" t="n">
        <v>45904</v>
      </c>
      <c r="F651" s="3" t="s">
        <v>34</v>
      </c>
      <c r="G651" s="3" t="s">
        <v>55</v>
      </c>
      <c r="H651" s="3" t="s">
        <v>44</v>
      </c>
      <c r="I651" s="3" t="n">
        <f aca="false">YEAR(E651)</f>
        <v>2025</v>
      </c>
      <c r="J651" s="3" t="n">
        <f aca="false">MONTH(E651)</f>
        <v>9</v>
      </c>
      <c r="K651" s="3" t="n">
        <f aca="false">COUNTIFS($B$2:$B$4077,B651,$C$2:$C$4077,C651,$I$2:$I$4077,I651)</f>
        <v>6</v>
      </c>
      <c r="L651" s="3" t="n">
        <f aca="false">IF(COUNTIFS($B$2:B651,B651,$C$2:C651,C651,$I$2:I651,I651)=1,1,0)</f>
        <v>0</v>
      </c>
      <c r="M651" s="3" t="n">
        <f aca="false">IF(K651&gt;=Parametri!$B$1,1,0)</f>
        <v>1</v>
      </c>
      <c r="N651" s="3" t="n">
        <f aca="false">L651*M651</f>
        <v>0</v>
      </c>
    </row>
    <row r="652" customFormat="false" ht="15" hidden="false" customHeight="false" outlineLevel="0" collapsed="false">
      <c r="A652" s="0" t="s">
        <v>1217</v>
      </c>
      <c r="B652" s="0" t="s">
        <v>50</v>
      </c>
      <c r="C652" s="0" t="s">
        <v>1218</v>
      </c>
      <c r="D652" s="0" t="s">
        <v>26</v>
      </c>
      <c r="E652" s="2" t="n">
        <v>45540</v>
      </c>
      <c r="F652" s="3" t="s">
        <v>20</v>
      </c>
      <c r="G652" s="3" t="s">
        <v>43</v>
      </c>
      <c r="H652" s="3" t="s">
        <v>44</v>
      </c>
      <c r="I652" s="3" t="n">
        <f aca="false">YEAR(E652)</f>
        <v>2024</v>
      </c>
      <c r="J652" s="3" t="n">
        <f aca="false">MONTH(E652)</f>
        <v>9</v>
      </c>
      <c r="K652" s="3" t="n">
        <f aca="false">COUNTIFS($B$2:$B$4077,B652,$C$2:$C$4077,C652,$I$2:$I$4077,I652)</f>
        <v>2</v>
      </c>
      <c r="L652" s="3" t="n">
        <f aca="false">IF(COUNTIFS($B$2:B652,B652,$C$2:C652,C652,$I$2:I652,I652)=1,1,0)</f>
        <v>1</v>
      </c>
      <c r="M652" s="3" t="n">
        <f aca="false">IF(K652&gt;=Parametri!$B$1,1,0)</f>
        <v>1</v>
      </c>
      <c r="N652" s="3" t="n">
        <f aca="false">L652*M652</f>
        <v>1</v>
      </c>
    </row>
    <row r="653" customFormat="false" ht="15" hidden="false" customHeight="false" outlineLevel="0" collapsed="false">
      <c r="A653" s="0" t="s">
        <v>1219</v>
      </c>
      <c r="B653" s="0" t="s">
        <v>57</v>
      </c>
      <c r="C653" s="0" t="s">
        <v>1220</v>
      </c>
      <c r="D653" s="0" t="s">
        <v>77</v>
      </c>
      <c r="E653" s="2" t="n">
        <v>45693</v>
      </c>
      <c r="F653" s="3" t="s">
        <v>20</v>
      </c>
      <c r="G653" s="3" t="s">
        <v>89</v>
      </c>
      <c r="H653" s="3" t="s">
        <v>44</v>
      </c>
      <c r="I653" s="3" t="n">
        <f aca="false">YEAR(E653)</f>
        <v>2025</v>
      </c>
      <c r="J653" s="3" t="n">
        <f aca="false">MONTH(E653)</f>
        <v>2</v>
      </c>
      <c r="K653" s="3" t="n">
        <f aca="false">COUNTIFS($B$2:$B$4077,B653,$C$2:$C$4077,C653,$I$2:$I$4077,I653)</f>
        <v>2</v>
      </c>
      <c r="L653" s="3" t="n">
        <f aca="false">IF(COUNTIFS($B$2:B653,B653,$C$2:C653,C653,$I$2:I653,I653)=1,1,0)</f>
        <v>1</v>
      </c>
      <c r="M653" s="3" t="n">
        <f aca="false">IF(K653&gt;=Parametri!$B$1,1,0)</f>
        <v>1</v>
      </c>
      <c r="N653" s="3" t="n">
        <f aca="false">L653*M653</f>
        <v>1</v>
      </c>
    </row>
    <row r="654" customFormat="false" ht="15" hidden="false" customHeight="false" outlineLevel="0" collapsed="false">
      <c r="A654" s="0" t="s">
        <v>1221</v>
      </c>
      <c r="B654" s="0" t="s">
        <v>41</v>
      </c>
      <c r="C654" s="0" t="s">
        <v>1222</v>
      </c>
      <c r="D654" s="0" t="s">
        <v>33</v>
      </c>
      <c r="E654" s="2" t="n">
        <v>46220</v>
      </c>
      <c r="F654" s="3" t="s">
        <v>34</v>
      </c>
      <c r="G654" s="3" t="s">
        <v>39</v>
      </c>
      <c r="H654" s="3" t="s">
        <v>29</v>
      </c>
      <c r="I654" s="3" t="n">
        <f aca="false">YEAR(E654)</f>
        <v>2026</v>
      </c>
      <c r="J654" s="3" t="n">
        <f aca="false">MONTH(E654)</f>
        <v>7</v>
      </c>
      <c r="K654" s="3" t="n">
        <f aca="false">COUNTIFS($B$2:$B$4077,B654,$C$2:$C$4077,C654,$I$2:$I$4077,I654)</f>
        <v>1</v>
      </c>
      <c r="L654" s="3" t="n">
        <f aca="false">IF(COUNTIFS($B$2:B654,B654,$C$2:C654,C654,$I$2:I654,I654)=1,1,0)</f>
        <v>1</v>
      </c>
      <c r="M654" s="3" t="n">
        <f aca="false">IF(K654&gt;=Parametri!$B$1,1,0)</f>
        <v>0</v>
      </c>
      <c r="N654" s="3" t="n">
        <f aca="false">L654*M654</f>
        <v>0</v>
      </c>
    </row>
    <row r="655" customFormat="false" ht="15" hidden="false" customHeight="false" outlineLevel="0" collapsed="false">
      <c r="A655" s="0" t="s">
        <v>1223</v>
      </c>
      <c r="B655" s="0" t="s">
        <v>46</v>
      </c>
      <c r="C655" s="0" t="s">
        <v>1224</v>
      </c>
      <c r="D655" s="0" t="s">
        <v>33</v>
      </c>
      <c r="E655" s="2" t="n">
        <v>45449</v>
      </c>
      <c r="F655" s="3" t="s">
        <v>20</v>
      </c>
      <c r="G655" s="3" t="s">
        <v>55</v>
      </c>
      <c r="H655" s="3" t="s">
        <v>29</v>
      </c>
      <c r="I655" s="3" t="n">
        <f aca="false">YEAR(E655)</f>
        <v>2024</v>
      </c>
      <c r="J655" s="3" t="n">
        <f aca="false">MONTH(E655)</f>
        <v>6</v>
      </c>
      <c r="K655" s="3" t="n">
        <f aca="false">COUNTIFS($B$2:$B$4077,B655,$C$2:$C$4077,C655,$I$2:$I$4077,I655)</f>
        <v>1</v>
      </c>
      <c r="L655" s="3" t="n">
        <f aca="false">IF(COUNTIFS($B$2:B655,B655,$C$2:C655,C655,$I$2:I655,I655)=1,1,0)</f>
        <v>1</v>
      </c>
      <c r="M655" s="3" t="n">
        <f aca="false">IF(K655&gt;=Parametri!$B$1,1,0)</f>
        <v>0</v>
      </c>
      <c r="N655" s="3" t="n">
        <f aca="false">L655*M655</f>
        <v>0</v>
      </c>
    </row>
    <row r="656" customFormat="false" ht="15" hidden="false" customHeight="false" outlineLevel="0" collapsed="false">
      <c r="A656" s="0" t="s">
        <v>1225</v>
      </c>
      <c r="B656" s="0" t="s">
        <v>17</v>
      </c>
      <c r="C656" s="0" t="s">
        <v>897</v>
      </c>
      <c r="D656" s="0" t="s">
        <v>66</v>
      </c>
      <c r="E656" s="2" t="n">
        <v>46248</v>
      </c>
      <c r="F656" s="3" t="s">
        <v>27</v>
      </c>
      <c r="G656" s="3" t="s">
        <v>104</v>
      </c>
      <c r="H656" s="3" t="s">
        <v>104</v>
      </c>
      <c r="I656" s="3" t="n">
        <f aca="false">YEAR(E656)</f>
        <v>2026</v>
      </c>
      <c r="J656" s="3" t="n">
        <f aca="false">MONTH(E656)</f>
        <v>8</v>
      </c>
      <c r="K656" s="3" t="n">
        <f aca="false">COUNTIFS($B$2:$B$4077,B656,$C$2:$C$4077,C656,$I$2:$I$4077,I656)</f>
        <v>4</v>
      </c>
      <c r="L656" s="3" t="n">
        <f aca="false">IF(COUNTIFS($B$2:B656,B656,$C$2:C656,C656,$I$2:I656,I656)=1,1,0)</f>
        <v>0</v>
      </c>
      <c r="M656" s="3" t="n">
        <f aca="false">IF(K656&gt;=Parametri!$B$1,1,0)</f>
        <v>1</v>
      </c>
      <c r="N656" s="3" t="n">
        <f aca="false">L656*M656</f>
        <v>0</v>
      </c>
    </row>
    <row r="657" customFormat="false" ht="15" hidden="false" customHeight="false" outlineLevel="0" collapsed="false">
      <c r="A657" s="0" t="s">
        <v>1226</v>
      </c>
      <c r="B657" s="0" t="s">
        <v>24</v>
      </c>
      <c r="C657" s="0" t="s">
        <v>325</v>
      </c>
      <c r="D657" s="0" t="s">
        <v>77</v>
      </c>
      <c r="E657" s="2" t="n">
        <v>45901</v>
      </c>
      <c r="F657" s="3" t="s">
        <v>34</v>
      </c>
      <c r="G657" s="3" t="s">
        <v>21</v>
      </c>
      <c r="H657" s="3" t="s">
        <v>48</v>
      </c>
      <c r="I657" s="3" t="n">
        <f aca="false">YEAR(E657)</f>
        <v>2025</v>
      </c>
      <c r="J657" s="3" t="n">
        <f aca="false">MONTH(E657)</f>
        <v>9</v>
      </c>
      <c r="K657" s="3" t="n">
        <f aca="false">COUNTIFS($B$2:$B$4077,B657,$C$2:$C$4077,C657,$I$2:$I$4077,I657)</f>
        <v>4</v>
      </c>
      <c r="L657" s="3" t="n">
        <f aca="false">IF(COUNTIFS($B$2:B657,B657,$C$2:C657,C657,$I$2:I657,I657)=1,1,0)</f>
        <v>1</v>
      </c>
      <c r="M657" s="3" t="n">
        <f aca="false">IF(K657&gt;=Parametri!$B$1,1,0)</f>
        <v>1</v>
      </c>
      <c r="N657" s="3" t="n">
        <f aca="false">L657*M657</f>
        <v>1</v>
      </c>
    </row>
    <row r="658" customFormat="false" ht="15" hidden="false" customHeight="false" outlineLevel="0" collapsed="false">
      <c r="A658" s="0" t="s">
        <v>1227</v>
      </c>
      <c r="B658" s="0" t="s">
        <v>46</v>
      </c>
      <c r="C658" s="0" t="s">
        <v>1228</v>
      </c>
      <c r="D658" s="0" t="s">
        <v>38</v>
      </c>
      <c r="E658" s="2" t="n">
        <v>45813</v>
      </c>
      <c r="F658" s="3" t="s">
        <v>27</v>
      </c>
      <c r="G658" s="3" t="s">
        <v>39</v>
      </c>
      <c r="H658" s="3" t="s">
        <v>48</v>
      </c>
      <c r="I658" s="3" t="n">
        <f aca="false">YEAR(E658)</f>
        <v>2025</v>
      </c>
      <c r="J658" s="3" t="n">
        <f aca="false">MONTH(E658)</f>
        <v>6</v>
      </c>
      <c r="K658" s="3" t="n">
        <f aca="false">COUNTIFS($B$2:$B$4077,B658,$C$2:$C$4077,C658,$I$2:$I$4077,I658)</f>
        <v>2</v>
      </c>
      <c r="L658" s="3" t="n">
        <f aca="false">IF(COUNTIFS($B$2:B658,B658,$C$2:C658,C658,$I$2:I658,I658)=1,1,0)</f>
        <v>1</v>
      </c>
      <c r="M658" s="3" t="n">
        <f aca="false">IF(K658&gt;=Parametri!$B$1,1,0)</f>
        <v>1</v>
      </c>
      <c r="N658" s="3" t="n">
        <f aca="false">L658*M658</f>
        <v>1</v>
      </c>
    </row>
    <row r="659" customFormat="false" ht="15" hidden="false" customHeight="false" outlineLevel="0" collapsed="false">
      <c r="A659" s="0" t="s">
        <v>1229</v>
      </c>
      <c r="B659" s="0" t="s">
        <v>57</v>
      </c>
      <c r="C659" s="0" t="s">
        <v>1230</v>
      </c>
      <c r="D659" s="0" t="s">
        <v>33</v>
      </c>
      <c r="E659" s="2" t="n">
        <v>45396</v>
      </c>
      <c r="F659" s="3" t="s">
        <v>20</v>
      </c>
      <c r="G659" s="3" t="s">
        <v>21</v>
      </c>
      <c r="H659" s="3" t="s">
        <v>29</v>
      </c>
      <c r="I659" s="3" t="n">
        <f aca="false">YEAR(E659)</f>
        <v>2024</v>
      </c>
      <c r="J659" s="3" t="n">
        <f aca="false">MONTH(E659)</f>
        <v>4</v>
      </c>
      <c r="K659" s="3" t="n">
        <f aca="false">COUNTIFS($B$2:$B$4077,B659,$C$2:$C$4077,C659,$I$2:$I$4077,I659)</f>
        <v>1</v>
      </c>
      <c r="L659" s="3" t="n">
        <f aca="false">IF(COUNTIFS($B$2:B659,B659,$C$2:C659,C659,$I$2:I659,I659)=1,1,0)</f>
        <v>1</v>
      </c>
      <c r="M659" s="3" t="n">
        <f aca="false">IF(K659&gt;=Parametri!$B$1,1,0)</f>
        <v>0</v>
      </c>
      <c r="N659" s="3" t="n">
        <f aca="false">L659*M659</f>
        <v>0</v>
      </c>
    </row>
    <row r="660" customFormat="false" ht="15" hidden="false" customHeight="false" outlineLevel="0" collapsed="false">
      <c r="A660" s="0" t="s">
        <v>1231</v>
      </c>
      <c r="B660" s="0" t="s">
        <v>68</v>
      </c>
      <c r="C660" s="0" t="s">
        <v>1232</v>
      </c>
      <c r="D660" s="0" t="s">
        <v>26</v>
      </c>
      <c r="E660" s="2" t="n">
        <v>45342</v>
      </c>
      <c r="F660" s="3" t="s">
        <v>20</v>
      </c>
      <c r="G660" s="3" t="s">
        <v>89</v>
      </c>
      <c r="H660" s="3" t="s">
        <v>48</v>
      </c>
      <c r="I660" s="3" t="n">
        <f aca="false">YEAR(E660)</f>
        <v>2024</v>
      </c>
      <c r="J660" s="3" t="n">
        <f aca="false">MONTH(E660)</f>
        <v>2</v>
      </c>
      <c r="K660" s="3" t="n">
        <f aca="false">COUNTIFS($B$2:$B$4077,B660,$C$2:$C$4077,C660,$I$2:$I$4077,I660)</f>
        <v>1</v>
      </c>
      <c r="L660" s="3" t="n">
        <f aca="false">IF(COUNTIFS($B$2:B660,B660,$C$2:C660,C660,$I$2:I660,I660)=1,1,0)</f>
        <v>1</v>
      </c>
      <c r="M660" s="3" t="n">
        <f aca="false">IF(K660&gt;=Parametri!$B$1,1,0)</f>
        <v>0</v>
      </c>
      <c r="N660" s="3" t="n">
        <f aca="false">L660*M660</f>
        <v>0</v>
      </c>
    </row>
    <row r="661" customFormat="false" ht="15" hidden="false" customHeight="false" outlineLevel="0" collapsed="false">
      <c r="A661" s="0" t="s">
        <v>1233</v>
      </c>
      <c r="B661" s="0" t="s">
        <v>68</v>
      </c>
      <c r="C661" s="0" t="s">
        <v>725</v>
      </c>
      <c r="D661" s="0" t="s">
        <v>19</v>
      </c>
      <c r="E661" s="2" t="n">
        <v>45542</v>
      </c>
      <c r="F661" s="3" t="s">
        <v>27</v>
      </c>
      <c r="G661" s="3" t="s">
        <v>43</v>
      </c>
      <c r="H661" s="3" t="s">
        <v>44</v>
      </c>
      <c r="I661" s="3" t="n">
        <f aca="false">YEAR(E661)</f>
        <v>2024</v>
      </c>
      <c r="J661" s="3" t="n">
        <f aca="false">MONTH(E661)</f>
        <v>9</v>
      </c>
      <c r="K661" s="3" t="n">
        <f aca="false">COUNTIFS($B$2:$B$4077,B661,$C$2:$C$4077,C661,$I$2:$I$4077,I661)</f>
        <v>2</v>
      </c>
      <c r="L661" s="3" t="n">
        <f aca="false">IF(COUNTIFS($B$2:B661,B661,$C$2:C661,C661,$I$2:I661,I661)=1,1,0)</f>
        <v>1</v>
      </c>
      <c r="M661" s="3" t="n">
        <f aca="false">IF(K661&gt;=Parametri!$B$1,1,0)</f>
        <v>1</v>
      </c>
      <c r="N661" s="3" t="n">
        <f aca="false">L661*M661</f>
        <v>1</v>
      </c>
    </row>
    <row r="662" customFormat="false" ht="15" hidden="false" customHeight="false" outlineLevel="0" collapsed="false">
      <c r="A662" s="0" t="s">
        <v>1234</v>
      </c>
      <c r="B662" s="0" t="s">
        <v>124</v>
      </c>
      <c r="C662" s="0" t="s">
        <v>1235</v>
      </c>
      <c r="D662" s="0" t="s">
        <v>54</v>
      </c>
      <c r="E662" s="2" t="n">
        <v>46245</v>
      </c>
      <c r="F662" s="3" t="s">
        <v>20</v>
      </c>
      <c r="G662" s="3" t="s">
        <v>55</v>
      </c>
      <c r="H662" s="3" t="s">
        <v>44</v>
      </c>
      <c r="I662" s="3" t="n">
        <f aca="false">YEAR(E662)</f>
        <v>2026</v>
      </c>
      <c r="J662" s="3" t="n">
        <f aca="false">MONTH(E662)</f>
        <v>8</v>
      </c>
      <c r="K662" s="3" t="n">
        <f aca="false">COUNTIFS($B$2:$B$4077,B662,$C$2:$C$4077,C662,$I$2:$I$4077,I662)</f>
        <v>2</v>
      </c>
      <c r="L662" s="3" t="n">
        <f aca="false">IF(COUNTIFS($B$2:B662,B662,$C$2:C662,C662,$I$2:I662,I662)=1,1,0)</f>
        <v>1</v>
      </c>
      <c r="M662" s="3" t="n">
        <f aca="false">IF(K662&gt;=Parametri!$B$1,1,0)</f>
        <v>1</v>
      </c>
      <c r="N662" s="3" t="n">
        <f aca="false">L662*M662</f>
        <v>1</v>
      </c>
    </row>
    <row r="663" customFormat="false" ht="15" hidden="false" customHeight="false" outlineLevel="0" collapsed="false">
      <c r="A663" s="0" t="s">
        <v>1236</v>
      </c>
      <c r="B663" s="0" t="s">
        <v>17</v>
      </c>
      <c r="C663" s="0" t="s">
        <v>1237</v>
      </c>
      <c r="D663" s="0" t="s">
        <v>54</v>
      </c>
      <c r="E663" s="2" t="n">
        <v>45783</v>
      </c>
      <c r="F663" s="3" t="s">
        <v>27</v>
      </c>
      <c r="G663" s="3" t="s">
        <v>89</v>
      </c>
      <c r="H663" s="3" t="s">
        <v>48</v>
      </c>
      <c r="I663" s="3" t="n">
        <f aca="false">YEAR(E663)</f>
        <v>2025</v>
      </c>
      <c r="J663" s="3" t="n">
        <f aca="false">MONTH(E663)</f>
        <v>5</v>
      </c>
      <c r="K663" s="3" t="n">
        <f aca="false">COUNTIFS($B$2:$B$4077,B663,$C$2:$C$4077,C663,$I$2:$I$4077,I663)</f>
        <v>1</v>
      </c>
      <c r="L663" s="3" t="n">
        <f aca="false">IF(COUNTIFS($B$2:B663,B663,$C$2:C663,C663,$I$2:I663,I663)=1,1,0)</f>
        <v>1</v>
      </c>
      <c r="M663" s="3" t="n">
        <f aca="false">IF(K663&gt;=Parametri!$B$1,1,0)</f>
        <v>0</v>
      </c>
      <c r="N663" s="3" t="n">
        <f aca="false">L663*M663</f>
        <v>0</v>
      </c>
    </row>
    <row r="664" customFormat="false" ht="15" hidden="false" customHeight="false" outlineLevel="0" collapsed="false">
      <c r="A664" s="0" t="s">
        <v>1238</v>
      </c>
      <c r="B664" s="0" t="s">
        <v>79</v>
      </c>
      <c r="C664" s="0" t="s">
        <v>1144</v>
      </c>
      <c r="D664" s="0" t="s">
        <v>54</v>
      </c>
      <c r="E664" s="2" t="n">
        <v>45948</v>
      </c>
      <c r="F664" s="3" t="s">
        <v>20</v>
      </c>
      <c r="G664" s="3" t="s">
        <v>72</v>
      </c>
      <c r="H664" s="3" t="s">
        <v>29</v>
      </c>
      <c r="I664" s="3" t="n">
        <f aca="false">YEAR(E664)</f>
        <v>2025</v>
      </c>
      <c r="J664" s="3" t="n">
        <f aca="false">MONTH(E664)</f>
        <v>10</v>
      </c>
      <c r="K664" s="3" t="n">
        <f aca="false">COUNTIFS($B$2:$B$4077,B664,$C$2:$C$4077,C664,$I$2:$I$4077,I664)</f>
        <v>5</v>
      </c>
      <c r="L664" s="3" t="n">
        <f aca="false">IF(COUNTIFS($B$2:B664,B664,$C$2:C664,C664,$I$2:I664,I664)=1,1,0)</f>
        <v>0</v>
      </c>
      <c r="M664" s="3" t="n">
        <f aca="false">IF(K664&gt;=Parametri!$B$1,1,0)</f>
        <v>1</v>
      </c>
      <c r="N664" s="3" t="n">
        <f aca="false">L664*M664</f>
        <v>0</v>
      </c>
    </row>
    <row r="665" customFormat="false" ht="15" hidden="false" customHeight="false" outlineLevel="0" collapsed="false">
      <c r="A665" s="0" t="s">
        <v>1239</v>
      </c>
      <c r="B665" s="0" t="s">
        <v>17</v>
      </c>
      <c r="C665" s="0" t="s">
        <v>753</v>
      </c>
      <c r="D665" s="0" t="s">
        <v>26</v>
      </c>
      <c r="E665" s="2" t="n">
        <v>46143</v>
      </c>
      <c r="F665" s="3" t="s">
        <v>27</v>
      </c>
      <c r="G665" s="3" t="s">
        <v>89</v>
      </c>
      <c r="H665" s="3" t="s">
        <v>22</v>
      </c>
      <c r="I665" s="3" t="n">
        <f aca="false">YEAR(E665)</f>
        <v>2026</v>
      </c>
      <c r="J665" s="3" t="n">
        <f aca="false">MONTH(E665)</f>
        <v>5</v>
      </c>
      <c r="K665" s="3" t="n">
        <f aca="false">COUNTIFS($B$2:$B$4077,B665,$C$2:$C$4077,C665,$I$2:$I$4077,I665)</f>
        <v>1</v>
      </c>
      <c r="L665" s="3" t="n">
        <f aca="false">IF(COUNTIFS($B$2:B665,B665,$C$2:C665,C665,$I$2:I665,I665)=1,1,0)</f>
        <v>1</v>
      </c>
      <c r="M665" s="3" t="n">
        <f aca="false">IF(K665&gt;=Parametri!$B$1,1,0)</f>
        <v>0</v>
      </c>
      <c r="N665" s="3" t="n">
        <f aca="false">L665*M665</f>
        <v>0</v>
      </c>
    </row>
    <row r="666" customFormat="false" ht="15" hidden="false" customHeight="false" outlineLevel="0" collapsed="false">
      <c r="A666" s="0" t="s">
        <v>1240</v>
      </c>
      <c r="B666" s="0" t="s">
        <v>41</v>
      </c>
      <c r="C666" s="0" t="s">
        <v>1241</v>
      </c>
      <c r="D666" s="0" t="s">
        <v>77</v>
      </c>
      <c r="E666" s="2" t="n">
        <v>45343</v>
      </c>
      <c r="F666" s="3" t="s">
        <v>27</v>
      </c>
      <c r="G666" s="3" t="s">
        <v>21</v>
      </c>
      <c r="H666" s="3" t="s">
        <v>22</v>
      </c>
      <c r="I666" s="3" t="n">
        <f aca="false">YEAR(E666)</f>
        <v>2024</v>
      </c>
      <c r="J666" s="3" t="n">
        <f aca="false">MONTH(E666)</f>
        <v>2</v>
      </c>
      <c r="K666" s="3" t="n">
        <f aca="false">COUNTIFS($B$2:$B$4077,B666,$C$2:$C$4077,C666,$I$2:$I$4077,I666)</f>
        <v>1</v>
      </c>
      <c r="L666" s="3" t="n">
        <f aca="false">IF(COUNTIFS($B$2:B666,B666,$C$2:C666,C666,$I$2:I666,I666)=1,1,0)</f>
        <v>1</v>
      </c>
      <c r="M666" s="3" t="n">
        <f aca="false">IF(K666&gt;=Parametri!$B$1,1,0)</f>
        <v>0</v>
      </c>
      <c r="N666" s="3" t="n">
        <f aca="false">L666*M666</f>
        <v>0</v>
      </c>
    </row>
    <row r="667" customFormat="false" ht="15" hidden="false" customHeight="false" outlineLevel="0" collapsed="false">
      <c r="A667" s="0" t="s">
        <v>1242</v>
      </c>
      <c r="B667" s="0" t="s">
        <v>124</v>
      </c>
      <c r="C667" s="0" t="s">
        <v>1243</v>
      </c>
      <c r="D667" s="0" t="s">
        <v>19</v>
      </c>
      <c r="E667" s="2" t="n">
        <v>45952</v>
      </c>
      <c r="F667" s="3" t="s">
        <v>27</v>
      </c>
      <c r="G667" s="3" t="s">
        <v>28</v>
      </c>
      <c r="H667" s="3" t="s">
        <v>48</v>
      </c>
      <c r="I667" s="3" t="n">
        <f aca="false">YEAR(E667)</f>
        <v>2025</v>
      </c>
      <c r="J667" s="3" t="n">
        <f aca="false">MONTH(E667)</f>
        <v>10</v>
      </c>
      <c r="K667" s="3" t="n">
        <f aca="false">COUNTIFS($B$2:$B$4077,B667,$C$2:$C$4077,C667,$I$2:$I$4077,I667)</f>
        <v>3</v>
      </c>
      <c r="L667" s="3" t="n">
        <f aca="false">IF(COUNTIFS($B$2:B667,B667,$C$2:C667,C667,$I$2:I667,I667)=1,1,0)</f>
        <v>1</v>
      </c>
      <c r="M667" s="3" t="n">
        <f aca="false">IF(K667&gt;=Parametri!$B$1,1,0)</f>
        <v>1</v>
      </c>
      <c r="N667" s="3" t="n">
        <f aca="false">L667*M667</f>
        <v>1</v>
      </c>
    </row>
    <row r="668" customFormat="false" ht="15" hidden="false" customHeight="false" outlineLevel="0" collapsed="false">
      <c r="A668" s="0" t="s">
        <v>1244</v>
      </c>
      <c r="B668" s="0" t="s">
        <v>68</v>
      </c>
      <c r="C668" s="0" t="s">
        <v>1245</v>
      </c>
      <c r="D668" s="0" t="s">
        <v>33</v>
      </c>
      <c r="E668" s="2" t="n">
        <v>45355</v>
      </c>
      <c r="F668" s="3" t="s">
        <v>34</v>
      </c>
      <c r="G668" s="3" t="s">
        <v>21</v>
      </c>
      <c r="H668" s="3" t="s">
        <v>44</v>
      </c>
      <c r="I668" s="3" t="n">
        <f aca="false">YEAR(E668)</f>
        <v>2024</v>
      </c>
      <c r="J668" s="3" t="n">
        <f aca="false">MONTH(E668)</f>
        <v>3</v>
      </c>
      <c r="K668" s="3" t="n">
        <f aca="false">COUNTIFS($B$2:$B$4077,B668,$C$2:$C$4077,C668,$I$2:$I$4077,I668)</f>
        <v>1</v>
      </c>
      <c r="L668" s="3" t="n">
        <f aca="false">IF(COUNTIFS($B$2:B668,B668,$C$2:C668,C668,$I$2:I668,I668)=1,1,0)</f>
        <v>1</v>
      </c>
      <c r="M668" s="3" t="n">
        <f aca="false">IF(K668&gt;=Parametri!$B$1,1,0)</f>
        <v>0</v>
      </c>
      <c r="N668" s="3" t="n">
        <f aca="false">L668*M668</f>
        <v>0</v>
      </c>
    </row>
    <row r="669" customFormat="false" ht="15" hidden="false" customHeight="false" outlineLevel="0" collapsed="false">
      <c r="A669" s="0" t="s">
        <v>1246</v>
      </c>
      <c r="B669" s="0" t="s">
        <v>57</v>
      </c>
      <c r="C669" s="0" t="s">
        <v>1247</v>
      </c>
      <c r="D669" s="0" t="s">
        <v>26</v>
      </c>
      <c r="E669" s="2" t="n">
        <v>45363</v>
      </c>
      <c r="F669" s="3" t="s">
        <v>34</v>
      </c>
      <c r="G669" s="3" t="s">
        <v>39</v>
      </c>
      <c r="H669" s="3" t="s">
        <v>44</v>
      </c>
      <c r="I669" s="3" t="n">
        <f aca="false">YEAR(E669)</f>
        <v>2024</v>
      </c>
      <c r="J669" s="3" t="n">
        <f aca="false">MONTH(E669)</f>
        <v>3</v>
      </c>
      <c r="K669" s="3" t="n">
        <f aca="false">COUNTIFS($B$2:$B$4077,B669,$C$2:$C$4077,C669,$I$2:$I$4077,I669)</f>
        <v>3</v>
      </c>
      <c r="L669" s="3" t="n">
        <f aca="false">IF(COUNTIFS($B$2:B669,B669,$C$2:C669,C669,$I$2:I669,I669)=1,1,0)</f>
        <v>1</v>
      </c>
      <c r="M669" s="3" t="n">
        <f aca="false">IF(K669&gt;=Parametri!$B$1,1,0)</f>
        <v>1</v>
      </c>
      <c r="N669" s="3" t="n">
        <f aca="false">L669*M669</f>
        <v>1</v>
      </c>
    </row>
    <row r="670" customFormat="false" ht="15" hidden="false" customHeight="false" outlineLevel="0" collapsed="false">
      <c r="A670" s="0" t="s">
        <v>1248</v>
      </c>
      <c r="B670" s="0" t="s">
        <v>41</v>
      </c>
      <c r="C670" s="0" t="s">
        <v>623</v>
      </c>
      <c r="D670" s="0" t="s">
        <v>19</v>
      </c>
      <c r="E670" s="2" t="n">
        <v>45379</v>
      </c>
      <c r="F670" s="3" t="s">
        <v>34</v>
      </c>
      <c r="G670" s="3" t="s">
        <v>28</v>
      </c>
      <c r="H670" s="3" t="s">
        <v>22</v>
      </c>
      <c r="I670" s="3" t="n">
        <f aca="false">YEAR(E670)</f>
        <v>2024</v>
      </c>
      <c r="J670" s="3" t="n">
        <f aca="false">MONTH(E670)</f>
        <v>3</v>
      </c>
      <c r="K670" s="3" t="n">
        <f aca="false">COUNTIFS($B$2:$B$4077,B670,$C$2:$C$4077,C670,$I$2:$I$4077,I670)</f>
        <v>4</v>
      </c>
      <c r="L670" s="3" t="n">
        <f aca="false">IF(COUNTIFS($B$2:B670,B670,$C$2:C670,C670,$I$2:I670,I670)=1,1,0)</f>
        <v>0</v>
      </c>
      <c r="M670" s="3" t="n">
        <f aca="false">IF(K670&gt;=Parametri!$B$1,1,0)</f>
        <v>1</v>
      </c>
      <c r="N670" s="3" t="n">
        <f aca="false">L670*M670</f>
        <v>0</v>
      </c>
    </row>
    <row r="671" customFormat="false" ht="15" hidden="false" customHeight="false" outlineLevel="0" collapsed="false">
      <c r="A671" s="0" t="s">
        <v>1249</v>
      </c>
      <c r="B671" s="0" t="s">
        <v>50</v>
      </c>
      <c r="C671" s="0" t="s">
        <v>1250</v>
      </c>
      <c r="D671" s="0" t="s">
        <v>77</v>
      </c>
      <c r="E671" s="2" t="n">
        <v>45435</v>
      </c>
      <c r="F671" s="3" t="s">
        <v>34</v>
      </c>
      <c r="G671" s="3" t="s">
        <v>43</v>
      </c>
      <c r="H671" s="3" t="s">
        <v>22</v>
      </c>
      <c r="I671" s="3" t="n">
        <f aca="false">YEAR(E671)</f>
        <v>2024</v>
      </c>
      <c r="J671" s="3" t="n">
        <f aca="false">MONTH(E671)</f>
        <v>5</v>
      </c>
      <c r="K671" s="3" t="n">
        <f aca="false">COUNTIFS($B$2:$B$4077,B671,$C$2:$C$4077,C671,$I$2:$I$4077,I671)</f>
        <v>2</v>
      </c>
      <c r="L671" s="3" t="n">
        <f aca="false">IF(COUNTIFS($B$2:B671,B671,$C$2:C671,C671,$I$2:I671,I671)=1,1,0)</f>
        <v>1</v>
      </c>
      <c r="M671" s="3" t="n">
        <f aca="false">IF(K671&gt;=Parametri!$B$1,1,0)</f>
        <v>1</v>
      </c>
      <c r="N671" s="3" t="n">
        <f aca="false">L671*M671</f>
        <v>1</v>
      </c>
    </row>
    <row r="672" customFormat="false" ht="15" hidden="false" customHeight="false" outlineLevel="0" collapsed="false">
      <c r="A672" s="0" t="s">
        <v>1251</v>
      </c>
      <c r="B672" s="0" t="s">
        <v>50</v>
      </c>
      <c r="C672" s="0" t="s">
        <v>362</v>
      </c>
      <c r="D672" s="0" t="s">
        <v>66</v>
      </c>
      <c r="E672" s="2" t="n">
        <v>46082</v>
      </c>
      <c r="F672" s="3" t="s">
        <v>27</v>
      </c>
      <c r="G672" s="3" t="s">
        <v>89</v>
      </c>
      <c r="H672" s="3" t="s">
        <v>22</v>
      </c>
      <c r="I672" s="3" t="n">
        <f aca="false">YEAR(E672)</f>
        <v>2026</v>
      </c>
      <c r="J672" s="3" t="n">
        <f aca="false">MONTH(E672)</f>
        <v>3</v>
      </c>
      <c r="K672" s="3" t="n">
        <f aca="false">COUNTIFS($B$2:$B$4077,B672,$C$2:$C$4077,C672,$I$2:$I$4077,I672)</f>
        <v>1</v>
      </c>
      <c r="L672" s="3" t="n">
        <f aca="false">IF(COUNTIFS($B$2:B672,B672,$C$2:C672,C672,$I$2:I672,I672)=1,1,0)</f>
        <v>1</v>
      </c>
      <c r="M672" s="3" t="n">
        <f aca="false">IF(K672&gt;=Parametri!$B$1,1,0)</f>
        <v>0</v>
      </c>
      <c r="N672" s="3" t="n">
        <f aca="false">L672*M672</f>
        <v>0</v>
      </c>
    </row>
    <row r="673" customFormat="false" ht="15" hidden="false" customHeight="false" outlineLevel="0" collapsed="false">
      <c r="A673" s="0" t="s">
        <v>1252</v>
      </c>
      <c r="B673" s="0" t="s">
        <v>41</v>
      </c>
      <c r="C673" s="0" t="s">
        <v>1253</v>
      </c>
      <c r="D673" s="0" t="s">
        <v>33</v>
      </c>
      <c r="E673" s="2" t="n">
        <v>46113</v>
      </c>
      <c r="F673" s="3" t="s">
        <v>20</v>
      </c>
      <c r="G673" s="3" t="s">
        <v>43</v>
      </c>
      <c r="H673" s="3" t="s">
        <v>22</v>
      </c>
      <c r="I673" s="3" t="n">
        <f aca="false">YEAR(E673)</f>
        <v>2026</v>
      </c>
      <c r="J673" s="3" t="n">
        <f aca="false">MONTH(E673)</f>
        <v>4</v>
      </c>
      <c r="K673" s="3" t="n">
        <f aca="false">COUNTIFS($B$2:$B$4077,B673,$C$2:$C$4077,C673,$I$2:$I$4077,I673)</f>
        <v>1</v>
      </c>
      <c r="L673" s="3" t="n">
        <f aca="false">IF(COUNTIFS($B$2:B673,B673,$C$2:C673,C673,$I$2:I673,I673)=1,1,0)</f>
        <v>1</v>
      </c>
      <c r="M673" s="3" t="n">
        <f aca="false">IF(K673&gt;=Parametri!$B$1,1,0)</f>
        <v>0</v>
      </c>
      <c r="N673" s="3" t="n">
        <f aca="false">L673*M673</f>
        <v>0</v>
      </c>
    </row>
    <row r="674" customFormat="false" ht="15" hidden="false" customHeight="false" outlineLevel="0" collapsed="false">
      <c r="A674" s="0" t="s">
        <v>1254</v>
      </c>
      <c r="B674" s="0" t="s">
        <v>46</v>
      </c>
      <c r="C674" s="0" t="s">
        <v>1255</v>
      </c>
      <c r="D674" s="0" t="s">
        <v>77</v>
      </c>
      <c r="E674" s="2" t="n">
        <v>45656</v>
      </c>
      <c r="F674" s="3" t="s">
        <v>34</v>
      </c>
      <c r="G674" s="3" t="s">
        <v>39</v>
      </c>
      <c r="H674" s="3" t="s">
        <v>22</v>
      </c>
      <c r="I674" s="3" t="n">
        <f aca="false">YEAR(E674)</f>
        <v>2024</v>
      </c>
      <c r="J674" s="3" t="n">
        <f aca="false">MONTH(E674)</f>
        <v>12</v>
      </c>
      <c r="K674" s="3" t="n">
        <f aca="false">COUNTIFS($B$2:$B$4077,B674,$C$2:$C$4077,C674,$I$2:$I$4077,I674)</f>
        <v>2</v>
      </c>
      <c r="L674" s="3" t="n">
        <f aca="false">IF(COUNTIFS($B$2:B674,B674,$C$2:C674,C674,$I$2:I674,I674)=1,1,0)</f>
        <v>1</v>
      </c>
      <c r="M674" s="3" t="n">
        <f aca="false">IF(K674&gt;=Parametri!$B$1,1,0)</f>
        <v>1</v>
      </c>
      <c r="N674" s="3" t="n">
        <f aca="false">L674*M674</f>
        <v>1</v>
      </c>
    </row>
    <row r="675" customFormat="false" ht="15" hidden="false" customHeight="false" outlineLevel="0" collapsed="false">
      <c r="A675" s="0" t="s">
        <v>1256</v>
      </c>
      <c r="B675" s="0" t="s">
        <v>41</v>
      </c>
      <c r="C675" s="0" t="s">
        <v>1257</v>
      </c>
      <c r="D675" s="0" t="s">
        <v>26</v>
      </c>
      <c r="E675" s="2" t="n">
        <v>46040</v>
      </c>
      <c r="F675" s="3" t="s">
        <v>34</v>
      </c>
      <c r="G675" s="3" t="s">
        <v>104</v>
      </c>
      <c r="H675" s="3" t="s">
        <v>22</v>
      </c>
      <c r="I675" s="3" t="n">
        <f aca="false">YEAR(E675)</f>
        <v>2026</v>
      </c>
      <c r="J675" s="3" t="n">
        <f aca="false">MONTH(E675)</f>
        <v>1</v>
      </c>
      <c r="K675" s="3" t="n">
        <f aca="false">COUNTIFS($B$2:$B$4077,B675,$C$2:$C$4077,C675,$I$2:$I$4077,I675)</f>
        <v>1</v>
      </c>
      <c r="L675" s="3" t="n">
        <f aca="false">IF(COUNTIFS($B$2:B675,B675,$C$2:C675,C675,$I$2:I675,I675)=1,1,0)</f>
        <v>1</v>
      </c>
      <c r="M675" s="3" t="n">
        <f aca="false">IF(K675&gt;=Parametri!$B$1,1,0)</f>
        <v>0</v>
      </c>
      <c r="N675" s="3" t="n">
        <f aca="false">L675*M675</f>
        <v>0</v>
      </c>
    </row>
    <row r="676" customFormat="false" ht="15" hidden="false" customHeight="false" outlineLevel="0" collapsed="false">
      <c r="A676" s="0" t="s">
        <v>1258</v>
      </c>
      <c r="B676" s="0" t="s">
        <v>124</v>
      </c>
      <c r="C676" s="0" t="s">
        <v>643</v>
      </c>
      <c r="D676" s="0" t="s">
        <v>54</v>
      </c>
      <c r="E676" s="2" t="n">
        <v>46037</v>
      </c>
      <c r="F676" s="3" t="s">
        <v>27</v>
      </c>
      <c r="G676" s="3" t="s">
        <v>89</v>
      </c>
      <c r="H676" s="3" t="s">
        <v>44</v>
      </c>
      <c r="I676" s="3" t="n">
        <f aca="false">YEAR(E676)</f>
        <v>2026</v>
      </c>
      <c r="J676" s="3" t="n">
        <f aca="false">MONTH(E676)</f>
        <v>1</v>
      </c>
      <c r="K676" s="3" t="n">
        <f aca="false">COUNTIFS($B$2:$B$4077,B676,$C$2:$C$4077,C676,$I$2:$I$4077,I676)</f>
        <v>1</v>
      </c>
      <c r="L676" s="3" t="n">
        <f aca="false">IF(COUNTIFS($B$2:B676,B676,$C$2:C676,C676,$I$2:I676,I676)=1,1,0)</f>
        <v>1</v>
      </c>
      <c r="M676" s="3" t="n">
        <f aca="false">IF(K676&gt;=Parametri!$B$1,1,0)</f>
        <v>0</v>
      </c>
      <c r="N676" s="3" t="n">
        <f aca="false">L676*M676</f>
        <v>0</v>
      </c>
    </row>
    <row r="677" customFormat="false" ht="15" hidden="false" customHeight="false" outlineLevel="0" collapsed="false">
      <c r="A677" s="0" t="s">
        <v>1259</v>
      </c>
      <c r="B677" s="0" t="s">
        <v>68</v>
      </c>
      <c r="C677" s="0" t="s">
        <v>1260</v>
      </c>
      <c r="D677" s="0" t="s">
        <v>26</v>
      </c>
      <c r="E677" s="2" t="n">
        <v>46078</v>
      </c>
      <c r="F677" s="3" t="s">
        <v>20</v>
      </c>
      <c r="G677" s="3" t="s">
        <v>35</v>
      </c>
      <c r="H677" s="3" t="s">
        <v>29</v>
      </c>
      <c r="I677" s="3" t="n">
        <f aca="false">YEAR(E677)</f>
        <v>2026</v>
      </c>
      <c r="J677" s="3" t="n">
        <f aca="false">MONTH(E677)</f>
        <v>2</v>
      </c>
      <c r="K677" s="3" t="n">
        <f aca="false">COUNTIFS($B$2:$B$4077,B677,$C$2:$C$4077,C677,$I$2:$I$4077,I677)</f>
        <v>1</v>
      </c>
      <c r="L677" s="3" t="n">
        <f aca="false">IF(COUNTIFS($B$2:B677,B677,$C$2:C677,C677,$I$2:I677,I677)=1,1,0)</f>
        <v>1</v>
      </c>
      <c r="M677" s="3" t="n">
        <f aca="false">IF(K677&gt;=Parametri!$B$1,1,0)</f>
        <v>0</v>
      </c>
      <c r="N677" s="3" t="n">
        <f aca="false">L677*M677</f>
        <v>0</v>
      </c>
    </row>
    <row r="678" customFormat="false" ht="15" hidden="false" customHeight="false" outlineLevel="0" collapsed="false">
      <c r="A678" s="0" t="s">
        <v>1261</v>
      </c>
      <c r="B678" s="0" t="s">
        <v>24</v>
      </c>
      <c r="C678" s="0" t="s">
        <v>271</v>
      </c>
      <c r="D678" s="0" t="s">
        <v>77</v>
      </c>
      <c r="E678" s="2" t="n">
        <v>46132</v>
      </c>
      <c r="F678" s="3" t="s">
        <v>20</v>
      </c>
      <c r="G678" s="3" t="s">
        <v>28</v>
      </c>
      <c r="H678" s="3" t="s">
        <v>44</v>
      </c>
      <c r="I678" s="3" t="n">
        <f aca="false">YEAR(E678)</f>
        <v>2026</v>
      </c>
      <c r="J678" s="3" t="n">
        <f aca="false">MONTH(E678)</f>
        <v>4</v>
      </c>
      <c r="K678" s="3" t="n">
        <f aca="false">COUNTIFS($B$2:$B$4077,B678,$C$2:$C$4077,C678,$I$2:$I$4077,I678)</f>
        <v>2</v>
      </c>
      <c r="L678" s="3" t="n">
        <f aca="false">IF(COUNTIFS($B$2:B678,B678,$C$2:C678,C678,$I$2:I678,I678)=1,1,0)</f>
        <v>1</v>
      </c>
      <c r="M678" s="3" t="n">
        <f aca="false">IF(K678&gt;=Parametri!$B$1,1,0)</f>
        <v>1</v>
      </c>
      <c r="N678" s="3" t="n">
        <f aca="false">L678*M678</f>
        <v>1</v>
      </c>
    </row>
    <row r="679" customFormat="false" ht="15" hidden="false" customHeight="false" outlineLevel="0" collapsed="false">
      <c r="A679" s="0" t="s">
        <v>1262</v>
      </c>
      <c r="B679" s="0" t="s">
        <v>46</v>
      </c>
      <c r="C679" s="0" t="s">
        <v>1263</v>
      </c>
      <c r="D679" s="0" t="s">
        <v>19</v>
      </c>
      <c r="E679" s="2" t="n">
        <v>45759</v>
      </c>
      <c r="F679" s="3" t="s">
        <v>20</v>
      </c>
      <c r="G679" s="3" t="s">
        <v>55</v>
      </c>
      <c r="H679" s="3" t="s">
        <v>48</v>
      </c>
      <c r="I679" s="3" t="n">
        <f aca="false">YEAR(E679)</f>
        <v>2025</v>
      </c>
      <c r="J679" s="3" t="n">
        <f aca="false">MONTH(E679)</f>
        <v>4</v>
      </c>
      <c r="K679" s="3" t="n">
        <f aca="false">COUNTIFS($B$2:$B$4077,B679,$C$2:$C$4077,C679,$I$2:$I$4077,I679)</f>
        <v>1</v>
      </c>
      <c r="L679" s="3" t="n">
        <f aca="false">IF(COUNTIFS($B$2:B679,B679,$C$2:C679,C679,$I$2:I679,I679)=1,1,0)</f>
        <v>1</v>
      </c>
      <c r="M679" s="3" t="n">
        <f aca="false">IF(K679&gt;=Parametri!$B$1,1,0)</f>
        <v>0</v>
      </c>
      <c r="N679" s="3" t="n">
        <f aca="false">L679*M679</f>
        <v>0</v>
      </c>
    </row>
    <row r="680" customFormat="false" ht="15" hidden="false" customHeight="false" outlineLevel="0" collapsed="false">
      <c r="A680" s="0" t="s">
        <v>1264</v>
      </c>
      <c r="B680" s="0" t="s">
        <v>41</v>
      </c>
      <c r="C680" s="0" t="s">
        <v>1265</v>
      </c>
      <c r="D680" s="0" t="s">
        <v>33</v>
      </c>
      <c r="E680" s="2" t="n">
        <v>46163</v>
      </c>
      <c r="F680" s="3" t="s">
        <v>20</v>
      </c>
      <c r="G680" s="3" t="s">
        <v>55</v>
      </c>
      <c r="H680" s="3" t="s">
        <v>48</v>
      </c>
      <c r="I680" s="3" t="n">
        <f aca="false">YEAR(E680)</f>
        <v>2026</v>
      </c>
      <c r="J680" s="3" t="n">
        <f aca="false">MONTH(E680)</f>
        <v>5</v>
      </c>
      <c r="K680" s="3" t="n">
        <f aca="false">COUNTIFS($B$2:$B$4077,B680,$C$2:$C$4077,C680,$I$2:$I$4077,I680)</f>
        <v>1</v>
      </c>
      <c r="L680" s="3" t="n">
        <f aca="false">IF(COUNTIFS($B$2:B680,B680,$C$2:C680,C680,$I$2:I680,I680)=1,1,0)</f>
        <v>1</v>
      </c>
      <c r="M680" s="3" t="n">
        <f aca="false">IF(K680&gt;=Parametri!$B$1,1,0)</f>
        <v>0</v>
      </c>
      <c r="N680" s="3" t="n">
        <f aca="false">L680*M680</f>
        <v>0</v>
      </c>
    </row>
    <row r="681" customFormat="false" ht="15" hidden="false" customHeight="false" outlineLevel="0" collapsed="false">
      <c r="A681" s="0" t="s">
        <v>1266</v>
      </c>
      <c r="B681" s="0" t="s">
        <v>57</v>
      </c>
      <c r="C681" s="0" t="s">
        <v>1267</v>
      </c>
      <c r="D681" s="0" t="s">
        <v>33</v>
      </c>
      <c r="E681" s="2" t="n">
        <v>45722</v>
      </c>
      <c r="F681" s="3" t="s">
        <v>20</v>
      </c>
      <c r="G681" s="3" t="s">
        <v>89</v>
      </c>
      <c r="H681" s="3" t="s">
        <v>44</v>
      </c>
      <c r="I681" s="3" t="n">
        <f aca="false">YEAR(E681)</f>
        <v>2025</v>
      </c>
      <c r="J681" s="3" t="n">
        <f aca="false">MONTH(E681)</f>
        <v>3</v>
      </c>
      <c r="K681" s="3" t="n">
        <f aca="false">COUNTIFS($B$2:$B$4077,B681,$C$2:$C$4077,C681,$I$2:$I$4077,I681)</f>
        <v>2</v>
      </c>
      <c r="L681" s="3" t="n">
        <f aca="false">IF(COUNTIFS($B$2:B681,B681,$C$2:C681,C681,$I$2:I681,I681)=1,1,0)</f>
        <v>1</v>
      </c>
      <c r="M681" s="3" t="n">
        <f aca="false">IF(K681&gt;=Parametri!$B$1,1,0)</f>
        <v>1</v>
      </c>
      <c r="N681" s="3" t="n">
        <f aca="false">L681*M681</f>
        <v>1</v>
      </c>
    </row>
    <row r="682" customFormat="false" ht="15" hidden="false" customHeight="false" outlineLevel="0" collapsed="false">
      <c r="A682" s="0" t="s">
        <v>1268</v>
      </c>
      <c r="B682" s="0" t="s">
        <v>124</v>
      </c>
      <c r="C682" s="0" t="s">
        <v>1135</v>
      </c>
      <c r="D682" s="0" t="s">
        <v>19</v>
      </c>
      <c r="E682" s="2" t="n">
        <v>45760</v>
      </c>
      <c r="F682" s="3" t="s">
        <v>34</v>
      </c>
      <c r="G682" s="3" t="s">
        <v>39</v>
      </c>
      <c r="H682" s="3" t="s">
        <v>48</v>
      </c>
      <c r="I682" s="3" t="n">
        <f aca="false">YEAR(E682)</f>
        <v>2025</v>
      </c>
      <c r="J682" s="3" t="n">
        <f aca="false">MONTH(E682)</f>
        <v>4</v>
      </c>
      <c r="K682" s="3" t="n">
        <f aca="false">COUNTIFS($B$2:$B$4077,B682,$C$2:$C$4077,C682,$I$2:$I$4077,I682)</f>
        <v>3</v>
      </c>
      <c r="L682" s="3" t="n">
        <f aca="false">IF(COUNTIFS($B$2:B682,B682,$C$2:C682,C682,$I$2:I682,I682)=1,1,0)</f>
        <v>1</v>
      </c>
      <c r="M682" s="3" t="n">
        <f aca="false">IF(K682&gt;=Parametri!$B$1,1,0)</f>
        <v>1</v>
      </c>
      <c r="N682" s="3" t="n">
        <f aca="false">L682*M682</f>
        <v>1</v>
      </c>
    </row>
    <row r="683" customFormat="false" ht="15" hidden="false" customHeight="false" outlineLevel="0" collapsed="false">
      <c r="A683" s="0" t="s">
        <v>1269</v>
      </c>
      <c r="B683" s="0" t="s">
        <v>41</v>
      </c>
      <c r="C683" s="0" t="s">
        <v>1270</v>
      </c>
      <c r="D683" s="0" t="s">
        <v>19</v>
      </c>
      <c r="E683" s="2" t="n">
        <v>45449</v>
      </c>
      <c r="F683" s="3" t="s">
        <v>34</v>
      </c>
      <c r="G683" s="3" t="s">
        <v>28</v>
      </c>
      <c r="H683" s="3" t="s">
        <v>44</v>
      </c>
      <c r="I683" s="3" t="n">
        <f aca="false">YEAR(E683)</f>
        <v>2024</v>
      </c>
      <c r="J683" s="3" t="n">
        <f aca="false">MONTH(E683)</f>
        <v>6</v>
      </c>
      <c r="K683" s="3" t="n">
        <f aca="false">COUNTIFS($B$2:$B$4077,B683,$C$2:$C$4077,C683,$I$2:$I$4077,I683)</f>
        <v>1</v>
      </c>
      <c r="L683" s="3" t="n">
        <f aca="false">IF(COUNTIFS($B$2:B683,B683,$C$2:C683,C683,$I$2:I683,I683)=1,1,0)</f>
        <v>1</v>
      </c>
      <c r="M683" s="3" t="n">
        <f aca="false">IF(K683&gt;=Parametri!$B$1,1,0)</f>
        <v>0</v>
      </c>
      <c r="N683" s="3" t="n">
        <f aca="false">L683*M683</f>
        <v>0</v>
      </c>
    </row>
    <row r="684" customFormat="false" ht="15" hidden="false" customHeight="false" outlineLevel="0" collapsed="false">
      <c r="A684" s="0" t="s">
        <v>1271</v>
      </c>
      <c r="B684" s="0" t="s">
        <v>17</v>
      </c>
      <c r="C684" s="0" t="s">
        <v>1272</v>
      </c>
      <c r="D684" s="0" t="s">
        <v>63</v>
      </c>
      <c r="E684" s="2" t="n">
        <v>46206</v>
      </c>
      <c r="F684" s="3" t="s">
        <v>20</v>
      </c>
      <c r="G684" s="3" t="s">
        <v>39</v>
      </c>
      <c r="H684" s="3" t="s">
        <v>44</v>
      </c>
      <c r="I684" s="3" t="n">
        <f aca="false">YEAR(E684)</f>
        <v>2026</v>
      </c>
      <c r="J684" s="3" t="n">
        <f aca="false">MONTH(E684)</f>
        <v>7</v>
      </c>
      <c r="K684" s="3" t="n">
        <f aca="false">COUNTIFS($B$2:$B$4077,B684,$C$2:$C$4077,C684,$I$2:$I$4077,I684)</f>
        <v>3</v>
      </c>
      <c r="L684" s="3" t="n">
        <f aca="false">IF(COUNTIFS($B$2:B684,B684,$C$2:C684,C684,$I$2:I684,I684)=1,1,0)</f>
        <v>1</v>
      </c>
      <c r="M684" s="3" t="n">
        <f aca="false">IF(K684&gt;=Parametri!$B$1,1,0)</f>
        <v>1</v>
      </c>
      <c r="N684" s="3" t="n">
        <f aca="false">L684*M684</f>
        <v>1</v>
      </c>
    </row>
    <row r="685" customFormat="false" ht="15" hidden="false" customHeight="false" outlineLevel="0" collapsed="false">
      <c r="A685" s="0" t="s">
        <v>1273</v>
      </c>
      <c r="B685" s="0" t="s">
        <v>24</v>
      </c>
      <c r="C685" s="0" t="s">
        <v>1274</v>
      </c>
      <c r="D685" s="0" t="s">
        <v>19</v>
      </c>
      <c r="E685" s="2" t="n">
        <v>45531</v>
      </c>
      <c r="F685" s="3" t="s">
        <v>34</v>
      </c>
      <c r="G685" s="3" t="s">
        <v>55</v>
      </c>
      <c r="H685" s="3" t="s">
        <v>44</v>
      </c>
      <c r="I685" s="3" t="n">
        <f aca="false">YEAR(E685)</f>
        <v>2024</v>
      </c>
      <c r="J685" s="3" t="n">
        <f aca="false">MONTH(E685)</f>
        <v>8</v>
      </c>
      <c r="K685" s="3" t="n">
        <f aca="false">COUNTIFS($B$2:$B$4077,B685,$C$2:$C$4077,C685,$I$2:$I$4077,I685)</f>
        <v>2</v>
      </c>
      <c r="L685" s="3" t="n">
        <f aca="false">IF(COUNTIFS($B$2:B685,B685,$C$2:C685,C685,$I$2:I685,I685)=1,1,0)</f>
        <v>1</v>
      </c>
      <c r="M685" s="3" t="n">
        <f aca="false">IF(K685&gt;=Parametri!$B$1,1,0)</f>
        <v>1</v>
      </c>
      <c r="N685" s="3" t="n">
        <f aca="false">L685*M685</f>
        <v>1</v>
      </c>
    </row>
    <row r="686" customFormat="false" ht="15" hidden="false" customHeight="false" outlineLevel="0" collapsed="false">
      <c r="A686" s="0" t="s">
        <v>1275</v>
      </c>
      <c r="B686" s="0" t="s">
        <v>41</v>
      </c>
      <c r="C686" s="0" t="s">
        <v>1276</v>
      </c>
      <c r="D686" s="0" t="s">
        <v>54</v>
      </c>
      <c r="E686" s="2" t="n">
        <v>46108</v>
      </c>
      <c r="F686" s="3" t="s">
        <v>34</v>
      </c>
      <c r="G686" s="3" t="s">
        <v>39</v>
      </c>
      <c r="H686" s="3" t="s">
        <v>44</v>
      </c>
      <c r="I686" s="3" t="n">
        <f aca="false">YEAR(E686)</f>
        <v>2026</v>
      </c>
      <c r="J686" s="3" t="n">
        <f aca="false">MONTH(E686)</f>
        <v>3</v>
      </c>
      <c r="K686" s="3" t="n">
        <f aca="false">COUNTIFS($B$2:$B$4077,B686,$C$2:$C$4077,C686,$I$2:$I$4077,I686)</f>
        <v>2</v>
      </c>
      <c r="L686" s="3" t="n">
        <f aca="false">IF(COUNTIFS($B$2:B686,B686,$C$2:C686,C686,$I$2:I686,I686)=1,1,0)</f>
        <v>1</v>
      </c>
      <c r="M686" s="3" t="n">
        <f aca="false">IF(K686&gt;=Parametri!$B$1,1,0)</f>
        <v>1</v>
      </c>
      <c r="N686" s="3" t="n">
        <f aca="false">L686*M686</f>
        <v>1</v>
      </c>
    </row>
    <row r="687" customFormat="false" ht="15" hidden="false" customHeight="false" outlineLevel="0" collapsed="false">
      <c r="A687" s="0" t="s">
        <v>1277</v>
      </c>
      <c r="B687" s="0" t="s">
        <v>46</v>
      </c>
      <c r="C687" s="0" t="s">
        <v>1228</v>
      </c>
      <c r="D687" s="0" t="s">
        <v>38</v>
      </c>
      <c r="E687" s="2" t="n">
        <v>45631</v>
      </c>
      <c r="F687" s="3" t="s">
        <v>20</v>
      </c>
      <c r="G687" s="3" t="s">
        <v>55</v>
      </c>
      <c r="H687" s="3" t="s">
        <v>22</v>
      </c>
      <c r="I687" s="3" t="n">
        <f aca="false">YEAR(E687)</f>
        <v>2024</v>
      </c>
      <c r="J687" s="3" t="n">
        <f aca="false">MONTH(E687)</f>
        <v>12</v>
      </c>
      <c r="K687" s="3" t="n">
        <f aca="false">COUNTIFS($B$2:$B$4077,B687,$C$2:$C$4077,C687,$I$2:$I$4077,I687)</f>
        <v>5</v>
      </c>
      <c r="L687" s="3" t="n">
        <f aca="false">IF(COUNTIFS($B$2:B687,B687,$C$2:C687,C687,$I$2:I687,I687)=1,1,0)</f>
        <v>1</v>
      </c>
      <c r="M687" s="3" t="n">
        <f aca="false">IF(K687&gt;=Parametri!$B$1,1,0)</f>
        <v>1</v>
      </c>
      <c r="N687" s="3" t="n">
        <f aca="false">L687*M687</f>
        <v>1</v>
      </c>
    </row>
    <row r="688" customFormat="false" ht="15" hidden="false" customHeight="false" outlineLevel="0" collapsed="false">
      <c r="A688" s="0" t="s">
        <v>1278</v>
      </c>
      <c r="B688" s="0" t="s">
        <v>124</v>
      </c>
      <c r="C688" s="0" t="s">
        <v>1279</v>
      </c>
      <c r="D688" s="0" t="s">
        <v>38</v>
      </c>
      <c r="E688" s="2" t="n">
        <v>45899</v>
      </c>
      <c r="F688" s="3" t="s">
        <v>20</v>
      </c>
      <c r="G688" s="3" t="s">
        <v>39</v>
      </c>
      <c r="H688" s="3" t="s">
        <v>29</v>
      </c>
      <c r="I688" s="3" t="n">
        <f aca="false">YEAR(E688)</f>
        <v>2025</v>
      </c>
      <c r="J688" s="3" t="n">
        <f aca="false">MONTH(E688)</f>
        <v>8</v>
      </c>
      <c r="K688" s="3" t="n">
        <f aca="false">COUNTIFS($B$2:$B$4077,B688,$C$2:$C$4077,C688,$I$2:$I$4077,I688)</f>
        <v>8</v>
      </c>
      <c r="L688" s="3" t="n">
        <f aca="false">IF(COUNTIFS($B$2:B688,B688,$C$2:C688,C688,$I$2:I688,I688)=1,1,0)</f>
        <v>1</v>
      </c>
      <c r="M688" s="3" t="n">
        <f aca="false">IF(K688&gt;=Parametri!$B$1,1,0)</f>
        <v>1</v>
      </c>
      <c r="N688" s="3" t="n">
        <f aca="false">L688*M688</f>
        <v>1</v>
      </c>
    </row>
    <row r="689" customFormat="false" ht="15" hidden="false" customHeight="false" outlineLevel="0" collapsed="false">
      <c r="A689" s="0" t="s">
        <v>1280</v>
      </c>
      <c r="B689" s="0" t="s">
        <v>41</v>
      </c>
      <c r="C689" s="0" t="s">
        <v>1281</v>
      </c>
      <c r="D689" s="0" t="s">
        <v>63</v>
      </c>
      <c r="E689" s="2" t="n">
        <v>45667</v>
      </c>
      <c r="F689" s="3" t="s">
        <v>20</v>
      </c>
      <c r="G689" s="3" t="s">
        <v>55</v>
      </c>
      <c r="H689" s="3" t="s">
        <v>29</v>
      </c>
      <c r="I689" s="3" t="n">
        <f aca="false">YEAR(E689)</f>
        <v>2025</v>
      </c>
      <c r="J689" s="3" t="n">
        <f aca="false">MONTH(E689)</f>
        <v>1</v>
      </c>
      <c r="K689" s="3" t="n">
        <f aca="false">COUNTIFS($B$2:$B$4077,B689,$C$2:$C$4077,C689,$I$2:$I$4077,I689)</f>
        <v>1</v>
      </c>
      <c r="L689" s="3" t="n">
        <f aca="false">IF(COUNTIFS($B$2:B689,B689,$C$2:C689,C689,$I$2:I689,I689)=1,1,0)</f>
        <v>1</v>
      </c>
      <c r="M689" s="3" t="n">
        <f aca="false">IF(K689&gt;=Parametri!$B$1,1,0)</f>
        <v>0</v>
      </c>
      <c r="N689" s="3" t="n">
        <f aca="false">L689*M689</f>
        <v>0</v>
      </c>
    </row>
    <row r="690" customFormat="false" ht="15" hidden="false" customHeight="false" outlineLevel="0" collapsed="false">
      <c r="A690" s="0" t="s">
        <v>1282</v>
      </c>
      <c r="B690" s="0" t="s">
        <v>124</v>
      </c>
      <c r="C690" s="0" t="s">
        <v>1283</v>
      </c>
      <c r="D690" s="0" t="s">
        <v>26</v>
      </c>
      <c r="E690" s="2" t="n">
        <v>45727</v>
      </c>
      <c r="F690" s="3" t="s">
        <v>20</v>
      </c>
      <c r="G690" s="3" t="s">
        <v>89</v>
      </c>
      <c r="H690" s="3" t="s">
        <v>44</v>
      </c>
      <c r="I690" s="3" t="n">
        <f aca="false">YEAR(E690)</f>
        <v>2025</v>
      </c>
      <c r="J690" s="3" t="n">
        <f aca="false">MONTH(E690)</f>
        <v>3</v>
      </c>
      <c r="K690" s="3" t="n">
        <f aca="false">COUNTIFS($B$2:$B$4077,B690,$C$2:$C$4077,C690,$I$2:$I$4077,I690)</f>
        <v>1</v>
      </c>
      <c r="L690" s="3" t="n">
        <f aca="false">IF(COUNTIFS($B$2:B690,B690,$C$2:C690,C690,$I$2:I690,I690)=1,1,0)</f>
        <v>1</v>
      </c>
      <c r="M690" s="3" t="n">
        <f aca="false">IF(K690&gt;=Parametri!$B$1,1,0)</f>
        <v>0</v>
      </c>
      <c r="N690" s="3" t="n">
        <f aca="false">L690*M690</f>
        <v>0</v>
      </c>
    </row>
    <row r="691" customFormat="false" ht="15" hidden="false" customHeight="false" outlineLevel="0" collapsed="false">
      <c r="A691" s="0" t="s">
        <v>1284</v>
      </c>
      <c r="B691" s="0" t="s">
        <v>24</v>
      </c>
      <c r="C691" s="0" t="s">
        <v>1285</v>
      </c>
      <c r="D691" s="0" t="s">
        <v>38</v>
      </c>
      <c r="E691" s="2" t="n">
        <v>45720</v>
      </c>
      <c r="F691" s="3" t="s">
        <v>20</v>
      </c>
      <c r="G691" s="3" t="s">
        <v>21</v>
      </c>
      <c r="H691" s="3" t="s">
        <v>29</v>
      </c>
      <c r="I691" s="3" t="n">
        <f aca="false">YEAR(E691)</f>
        <v>2025</v>
      </c>
      <c r="J691" s="3" t="n">
        <f aca="false">MONTH(E691)</f>
        <v>3</v>
      </c>
      <c r="K691" s="3" t="n">
        <f aca="false">COUNTIFS($B$2:$B$4077,B691,$C$2:$C$4077,C691,$I$2:$I$4077,I691)</f>
        <v>1</v>
      </c>
      <c r="L691" s="3" t="n">
        <f aca="false">IF(COUNTIFS($B$2:B691,B691,$C$2:C691,C691,$I$2:I691,I691)=1,1,0)</f>
        <v>1</v>
      </c>
      <c r="M691" s="3" t="n">
        <f aca="false">IF(K691&gt;=Parametri!$B$1,1,0)</f>
        <v>0</v>
      </c>
      <c r="N691" s="3" t="n">
        <f aca="false">L691*M691</f>
        <v>0</v>
      </c>
    </row>
    <row r="692" customFormat="false" ht="15" hidden="false" customHeight="false" outlineLevel="0" collapsed="false">
      <c r="A692" s="0" t="s">
        <v>1286</v>
      </c>
      <c r="B692" s="0" t="s">
        <v>17</v>
      </c>
      <c r="C692" s="0" t="s">
        <v>481</v>
      </c>
      <c r="D692" s="0" t="s">
        <v>66</v>
      </c>
      <c r="E692" s="2" t="n">
        <v>46050</v>
      </c>
      <c r="F692" s="3" t="s">
        <v>20</v>
      </c>
      <c r="G692" s="3" t="s">
        <v>55</v>
      </c>
      <c r="H692" s="3" t="s">
        <v>29</v>
      </c>
      <c r="I692" s="3" t="n">
        <f aca="false">YEAR(E692)</f>
        <v>2026</v>
      </c>
      <c r="J692" s="3" t="n">
        <f aca="false">MONTH(E692)</f>
        <v>1</v>
      </c>
      <c r="K692" s="3" t="n">
        <f aca="false">COUNTIFS($B$2:$B$4077,B692,$C$2:$C$4077,C692,$I$2:$I$4077,I692)</f>
        <v>5</v>
      </c>
      <c r="L692" s="3" t="n">
        <f aca="false">IF(COUNTIFS($B$2:B692,B692,$C$2:C692,C692,$I$2:I692,I692)=1,1,0)</f>
        <v>0</v>
      </c>
      <c r="M692" s="3" t="n">
        <f aca="false">IF(K692&gt;=Parametri!$B$1,1,0)</f>
        <v>1</v>
      </c>
      <c r="N692" s="3" t="n">
        <f aca="false">L692*M692</f>
        <v>0</v>
      </c>
    </row>
    <row r="693" customFormat="false" ht="15" hidden="false" customHeight="false" outlineLevel="0" collapsed="false">
      <c r="A693" s="0" t="s">
        <v>1287</v>
      </c>
      <c r="B693" s="0" t="s">
        <v>124</v>
      </c>
      <c r="C693" s="0" t="s">
        <v>393</v>
      </c>
      <c r="D693" s="0" t="s">
        <v>33</v>
      </c>
      <c r="E693" s="2" t="n">
        <v>45344</v>
      </c>
      <c r="F693" s="3" t="s">
        <v>27</v>
      </c>
      <c r="G693" s="3" t="s">
        <v>28</v>
      </c>
      <c r="H693" s="3" t="s">
        <v>22</v>
      </c>
      <c r="I693" s="3" t="n">
        <f aca="false">YEAR(E693)</f>
        <v>2024</v>
      </c>
      <c r="J693" s="3" t="n">
        <f aca="false">MONTH(E693)</f>
        <v>2</v>
      </c>
      <c r="K693" s="3" t="n">
        <f aca="false">COUNTIFS($B$2:$B$4077,B693,$C$2:$C$4077,C693,$I$2:$I$4077,I693)</f>
        <v>3</v>
      </c>
      <c r="L693" s="3" t="n">
        <f aca="false">IF(COUNTIFS($B$2:B693,B693,$C$2:C693,C693,$I$2:I693,I693)=1,1,0)</f>
        <v>1</v>
      </c>
      <c r="M693" s="3" t="n">
        <f aca="false">IF(K693&gt;=Parametri!$B$1,1,0)</f>
        <v>1</v>
      </c>
      <c r="N693" s="3" t="n">
        <f aca="false">L693*M693</f>
        <v>1</v>
      </c>
    </row>
    <row r="694" customFormat="false" ht="15" hidden="false" customHeight="false" outlineLevel="0" collapsed="false">
      <c r="A694" s="0" t="s">
        <v>1288</v>
      </c>
      <c r="B694" s="0" t="s">
        <v>79</v>
      </c>
      <c r="C694" s="0" t="s">
        <v>250</v>
      </c>
      <c r="D694" s="0" t="s">
        <v>19</v>
      </c>
      <c r="E694" s="2" t="n">
        <v>45352</v>
      </c>
      <c r="F694" s="3" t="s">
        <v>20</v>
      </c>
      <c r="G694" s="3" t="s">
        <v>72</v>
      </c>
      <c r="H694" s="3" t="s">
        <v>29</v>
      </c>
      <c r="I694" s="3" t="n">
        <f aca="false">YEAR(E694)</f>
        <v>2024</v>
      </c>
      <c r="J694" s="3" t="n">
        <f aca="false">MONTH(E694)</f>
        <v>3</v>
      </c>
      <c r="K694" s="3" t="n">
        <f aca="false">COUNTIFS($B$2:$B$4077,B694,$C$2:$C$4077,C694,$I$2:$I$4077,I694)</f>
        <v>1</v>
      </c>
      <c r="L694" s="3" t="n">
        <f aca="false">IF(COUNTIFS($B$2:B694,B694,$C$2:C694,C694,$I$2:I694,I694)=1,1,0)</f>
        <v>1</v>
      </c>
      <c r="M694" s="3" t="n">
        <f aca="false">IF(K694&gt;=Parametri!$B$1,1,0)</f>
        <v>0</v>
      </c>
      <c r="N694" s="3" t="n">
        <f aca="false">L694*M694</f>
        <v>0</v>
      </c>
    </row>
    <row r="695" customFormat="false" ht="15" hidden="false" customHeight="false" outlineLevel="0" collapsed="false">
      <c r="A695" s="0" t="s">
        <v>1289</v>
      </c>
      <c r="B695" s="0" t="s">
        <v>124</v>
      </c>
      <c r="C695" s="0" t="s">
        <v>1040</v>
      </c>
      <c r="D695" s="0" t="s">
        <v>33</v>
      </c>
      <c r="E695" s="2" t="n">
        <v>46102</v>
      </c>
      <c r="F695" s="3" t="s">
        <v>20</v>
      </c>
      <c r="G695" s="3" t="s">
        <v>43</v>
      </c>
      <c r="H695" s="3" t="s">
        <v>48</v>
      </c>
      <c r="I695" s="3" t="n">
        <f aca="false">YEAR(E695)</f>
        <v>2026</v>
      </c>
      <c r="J695" s="3" t="n">
        <f aca="false">MONTH(E695)</f>
        <v>3</v>
      </c>
      <c r="K695" s="3" t="n">
        <f aca="false">COUNTIFS($B$2:$B$4077,B695,$C$2:$C$4077,C695,$I$2:$I$4077,I695)</f>
        <v>5</v>
      </c>
      <c r="L695" s="3" t="n">
        <f aca="false">IF(COUNTIFS($B$2:B695,B695,$C$2:C695,C695,$I$2:I695,I695)=1,1,0)</f>
        <v>0</v>
      </c>
      <c r="M695" s="3" t="n">
        <f aca="false">IF(K695&gt;=Parametri!$B$1,1,0)</f>
        <v>1</v>
      </c>
      <c r="N695" s="3" t="n">
        <f aca="false">L695*M695</f>
        <v>0</v>
      </c>
    </row>
    <row r="696" customFormat="false" ht="15" hidden="false" customHeight="false" outlineLevel="0" collapsed="false">
      <c r="A696" s="0" t="s">
        <v>1290</v>
      </c>
      <c r="B696" s="0" t="s">
        <v>17</v>
      </c>
      <c r="C696" s="0" t="s">
        <v>481</v>
      </c>
      <c r="D696" s="0" t="s">
        <v>63</v>
      </c>
      <c r="E696" s="2" t="n">
        <v>45306</v>
      </c>
      <c r="F696" s="3" t="s">
        <v>27</v>
      </c>
      <c r="G696" s="3" t="s">
        <v>72</v>
      </c>
      <c r="H696" s="3" t="s">
        <v>29</v>
      </c>
      <c r="I696" s="3" t="n">
        <f aca="false">YEAR(E696)</f>
        <v>2024</v>
      </c>
      <c r="J696" s="3" t="n">
        <f aca="false">MONTH(E696)</f>
        <v>1</v>
      </c>
      <c r="K696" s="3" t="n">
        <f aca="false">COUNTIFS($B$2:$B$4077,B696,$C$2:$C$4077,C696,$I$2:$I$4077,I696)</f>
        <v>3</v>
      </c>
      <c r="L696" s="3" t="n">
        <f aca="false">IF(COUNTIFS($B$2:B696,B696,$C$2:C696,C696,$I$2:I696,I696)=1,1,0)</f>
        <v>1</v>
      </c>
      <c r="M696" s="3" t="n">
        <f aca="false">IF(K696&gt;=Parametri!$B$1,1,0)</f>
        <v>1</v>
      </c>
      <c r="N696" s="3" t="n">
        <f aca="false">L696*M696</f>
        <v>1</v>
      </c>
    </row>
    <row r="697" customFormat="false" ht="15" hidden="false" customHeight="false" outlineLevel="0" collapsed="false">
      <c r="A697" s="0" t="s">
        <v>1291</v>
      </c>
      <c r="B697" s="0" t="s">
        <v>41</v>
      </c>
      <c r="C697" s="0" t="s">
        <v>1162</v>
      </c>
      <c r="D697" s="0" t="s">
        <v>26</v>
      </c>
      <c r="E697" s="2" t="n">
        <v>46012</v>
      </c>
      <c r="F697" s="3" t="s">
        <v>20</v>
      </c>
      <c r="G697" s="3" t="s">
        <v>43</v>
      </c>
      <c r="H697" s="3" t="s">
        <v>48</v>
      </c>
      <c r="I697" s="3" t="n">
        <f aca="false">YEAR(E697)</f>
        <v>2025</v>
      </c>
      <c r="J697" s="3" t="n">
        <f aca="false">MONTH(E697)</f>
        <v>12</v>
      </c>
      <c r="K697" s="3" t="n">
        <f aca="false">COUNTIFS($B$2:$B$4077,B697,$C$2:$C$4077,C697,$I$2:$I$4077,I697)</f>
        <v>3</v>
      </c>
      <c r="L697" s="3" t="n">
        <f aca="false">IF(COUNTIFS($B$2:B697,B697,$C$2:C697,C697,$I$2:I697,I697)=1,1,0)</f>
        <v>1</v>
      </c>
      <c r="M697" s="3" t="n">
        <f aca="false">IF(K697&gt;=Parametri!$B$1,1,0)</f>
        <v>1</v>
      </c>
      <c r="N697" s="3" t="n">
        <f aca="false">L697*M697</f>
        <v>1</v>
      </c>
    </row>
    <row r="698" customFormat="false" ht="15" hidden="false" customHeight="false" outlineLevel="0" collapsed="false">
      <c r="A698" s="0" t="s">
        <v>1292</v>
      </c>
      <c r="B698" s="0" t="s">
        <v>68</v>
      </c>
      <c r="C698" s="0" t="s">
        <v>1293</v>
      </c>
      <c r="D698" s="0" t="s">
        <v>33</v>
      </c>
      <c r="E698" s="2" t="n">
        <v>45906</v>
      </c>
      <c r="F698" s="3" t="s">
        <v>27</v>
      </c>
      <c r="G698" s="3" t="s">
        <v>43</v>
      </c>
      <c r="H698" s="3" t="s">
        <v>29</v>
      </c>
      <c r="I698" s="3" t="n">
        <f aca="false">YEAR(E698)</f>
        <v>2025</v>
      </c>
      <c r="J698" s="3" t="n">
        <f aca="false">MONTH(E698)</f>
        <v>9</v>
      </c>
      <c r="K698" s="3" t="n">
        <f aca="false">COUNTIFS($B$2:$B$4077,B698,$C$2:$C$4077,C698,$I$2:$I$4077,I698)</f>
        <v>1</v>
      </c>
      <c r="L698" s="3" t="n">
        <f aca="false">IF(COUNTIFS($B$2:B698,B698,$C$2:C698,C698,$I$2:I698,I698)=1,1,0)</f>
        <v>1</v>
      </c>
      <c r="M698" s="3" t="n">
        <f aca="false">IF(K698&gt;=Parametri!$B$1,1,0)</f>
        <v>0</v>
      </c>
      <c r="N698" s="3" t="n">
        <f aca="false">L698*M698</f>
        <v>0</v>
      </c>
    </row>
    <row r="699" customFormat="false" ht="15" hidden="false" customHeight="false" outlineLevel="0" collapsed="false">
      <c r="A699" s="0" t="s">
        <v>1294</v>
      </c>
      <c r="B699" s="0" t="s">
        <v>46</v>
      </c>
      <c r="C699" s="0" t="s">
        <v>1295</v>
      </c>
      <c r="D699" s="0" t="s">
        <v>77</v>
      </c>
      <c r="E699" s="2" t="n">
        <v>45329</v>
      </c>
      <c r="F699" s="3" t="s">
        <v>34</v>
      </c>
      <c r="G699" s="3" t="s">
        <v>35</v>
      </c>
      <c r="H699" s="3" t="s">
        <v>48</v>
      </c>
      <c r="I699" s="3" t="n">
        <f aca="false">YEAR(E699)</f>
        <v>2024</v>
      </c>
      <c r="J699" s="3" t="n">
        <f aca="false">MONTH(E699)</f>
        <v>2</v>
      </c>
      <c r="K699" s="3" t="n">
        <f aca="false">COUNTIFS($B$2:$B$4077,B699,$C$2:$C$4077,C699,$I$2:$I$4077,I699)</f>
        <v>1</v>
      </c>
      <c r="L699" s="3" t="n">
        <f aca="false">IF(COUNTIFS($B$2:B699,B699,$C$2:C699,C699,$I$2:I699,I699)=1,1,0)</f>
        <v>1</v>
      </c>
      <c r="M699" s="3" t="n">
        <f aca="false">IF(K699&gt;=Parametri!$B$1,1,0)</f>
        <v>0</v>
      </c>
      <c r="N699" s="3" t="n">
        <f aca="false">L699*M699</f>
        <v>0</v>
      </c>
    </row>
    <row r="700" customFormat="false" ht="15" hidden="false" customHeight="false" outlineLevel="0" collapsed="false">
      <c r="A700" s="0" t="s">
        <v>1296</v>
      </c>
      <c r="B700" s="0" t="s">
        <v>68</v>
      </c>
      <c r="C700" s="0" t="s">
        <v>1297</v>
      </c>
      <c r="D700" s="0" t="s">
        <v>66</v>
      </c>
      <c r="E700" s="2" t="n">
        <v>45735</v>
      </c>
      <c r="F700" s="3" t="s">
        <v>20</v>
      </c>
      <c r="G700" s="3" t="s">
        <v>39</v>
      </c>
      <c r="H700" s="3" t="s">
        <v>44</v>
      </c>
      <c r="I700" s="3" t="n">
        <f aca="false">YEAR(E700)</f>
        <v>2025</v>
      </c>
      <c r="J700" s="3" t="n">
        <f aca="false">MONTH(E700)</f>
        <v>3</v>
      </c>
      <c r="K700" s="3" t="n">
        <f aca="false">COUNTIFS($B$2:$B$4077,B700,$C$2:$C$4077,C700,$I$2:$I$4077,I700)</f>
        <v>1</v>
      </c>
      <c r="L700" s="3" t="n">
        <f aca="false">IF(COUNTIFS($B$2:B700,B700,$C$2:C700,C700,$I$2:I700,I700)=1,1,0)</f>
        <v>1</v>
      </c>
      <c r="M700" s="3" t="n">
        <f aca="false">IF(K700&gt;=Parametri!$B$1,1,0)</f>
        <v>0</v>
      </c>
      <c r="N700" s="3" t="n">
        <f aca="false">L700*M700</f>
        <v>0</v>
      </c>
    </row>
    <row r="701" customFormat="false" ht="15" hidden="false" customHeight="false" outlineLevel="0" collapsed="false">
      <c r="A701" s="0" t="s">
        <v>1298</v>
      </c>
      <c r="B701" s="0" t="s">
        <v>57</v>
      </c>
      <c r="C701" s="0" t="s">
        <v>1299</v>
      </c>
      <c r="D701" s="0" t="s">
        <v>63</v>
      </c>
      <c r="E701" s="2" t="n">
        <v>45590</v>
      </c>
      <c r="F701" s="3" t="s">
        <v>20</v>
      </c>
      <c r="G701" s="3" t="s">
        <v>28</v>
      </c>
      <c r="H701" s="3" t="s">
        <v>48</v>
      </c>
      <c r="I701" s="3" t="n">
        <f aca="false">YEAR(E701)</f>
        <v>2024</v>
      </c>
      <c r="J701" s="3" t="n">
        <f aca="false">MONTH(E701)</f>
        <v>10</v>
      </c>
      <c r="K701" s="3" t="n">
        <f aca="false">COUNTIFS($B$2:$B$4077,B701,$C$2:$C$4077,C701,$I$2:$I$4077,I701)</f>
        <v>1</v>
      </c>
      <c r="L701" s="3" t="n">
        <f aca="false">IF(COUNTIFS($B$2:B701,B701,$C$2:C701,C701,$I$2:I701,I701)=1,1,0)</f>
        <v>1</v>
      </c>
      <c r="M701" s="3" t="n">
        <f aca="false">IF(K701&gt;=Parametri!$B$1,1,0)</f>
        <v>0</v>
      </c>
      <c r="N701" s="3" t="n">
        <f aca="false">L701*M701</f>
        <v>0</v>
      </c>
    </row>
    <row r="702" customFormat="false" ht="15" hidden="false" customHeight="false" outlineLevel="0" collapsed="false">
      <c r="A702" s="0" t="s">
        <v>1300</v>
      </c>
      <c r="B702" s="0" t="s">
        <v>68</v>
      </c>
      <c r="C702" s="0" t="s">
        <v>438</v>
      </c>
      <c r="D702" s="0" t="s">
        <v>77</v>
      </c>
      <c r="E702" s="2" t="n">
        <v>45296</v>
      </c>
      <c r="F702" s="3" t="s">
        <v>34</v>
      </c>
      <c r="G702" s="3" t="s">
        <v>89</v>
      </c>
      <c r="H702" s="3" t="s">
        <v>22</v>
      </c>
      <c r="I702" s="3" t="n">
        <f aca="false">YEAR(E702)</f>
        <v>2024</v>
      </c>
      <c r="J702" s="3" t="n">
        <f aca="false">MONTH(E702)</f>
        <v>1</v>
      </c>
      <c r="K702" s="3" t="n">
        <f aca="false">COUNTIFS($B$2:$B$4077,B702,$C$2:$C$4077,C702,$I$2:$I$4077,I702)</f>
        <v>5</v>
      </c>
      <c r="L702" s="3" t="n">
        <f aca="false">IF(COUNTIFS($B$2:B702,B702,$C$2:C702,C702,$I$2:I702,I702)=1,1,0)</f>
        <v>0</v>
      </c>
      <c r="M702" s="3" t="n">
        <f aca="false">IF(K702&gt;=Parametri!$B$1,1,0)</f>
        <v>1</v>
      </c>
      <c r="N702" s="3" t="n">
        <f aca="false">L702*M702</f>
        <v>0</v>
      </c>
    </row>
    <row r="703" customFormat="false" ht="15" hidden="false" customHeight="false" outlineLevel="0" collapsed="false">
      <c r="A703" s="0" t="s">
        <v>1301</v>
      </c>
      <c r="B703" s="0" t="s">
        <v>24</v>
      </c>
      <c r="C703" s="0" t="s">
        <v>1302</v>
      </c>
      <c r="D703" s="0" t="s">
        <v>54</v>
      </c>
      <c r="E703" s="2" t="n">
        <v>45579</v>
      </c>
      <c r="F703" s="3" t="s">
        <v>27</v>
      </c>
      <c r="G703" s="3" t="s">
        <v>28</v>
      </c>
      <c r="H703" s="3" t="s">
        <v>29</v>
      </c>
      <c r="I703" s="3" t="n">
        <f aca="false">YEAR(E703)</f>
        <v>2024</v>
      </c>
      <c r="J703" s="3" t="n">
        <f aca="false">MONTH(E703)</f>
        <v>10</v>
      </c>
      <c r="K703" s="3" t="n">
        <f aca="false">COUNTIFS($B$2:$B$4077,B703,$C$2:$C$4077,C703,$I$2:$I$4077,I703)</f>
        <v>2</v>
      </c>
      <c r="L703" s="3" t="n">
        <f aca="false">IF(COUNTIFS($B$2:B703,B703,$C$2:C703,C703,$I$2:I703,I703)=1,1,0)</f>
        <v>1</v>
      </c>
      <c r="M703" s="3" t="n">
        <f aca="false">IF(K703&gt;=Parametri!$B$1,1,0)</f>
        <v>1</v>
      </c>
      <c r="N703" s="3" t="n">
        <f aca="false">L703*M703</f>
        <v>1</v>
      </c>
    </row>
    <row r="704" customFormat="false" ht="15" hidden="false" customHeight="false" outlineLevel="0" collapsed="false">
      <c r="A704" s="0" t="s">
        <v>1303</v>
      </c>
      <c r="B704" s="0" t="s">
        <v>24</v>
      </c>
      <c r="C704" s="0" t="s">
        <v>1304</v>
      </c>
      <c r="D704" s="0" t="s">
        <v>63</v>
      </c>
      <c r="E704" s="2" t="n">
        <v>46179</v>
      </c>
      <c r="F704" s="3" t="s">
        <v>20</v>
      </c>
      <c r="G704" s="3" t="s">
        <v>39</v>
      </c>
      <c r="H704" s="3" t="s">
        <v>29</v>
      </c>
      <c r="I704" s="3" t="n">
        <f aca="false">YEAR(E704)</f>
        <v>2026</v>
      </c>
      <c r="J704" s="3" t="n">
        <f aca="false">MONTH(E704)</f>
        <v>6</v>
      </c>
      <c r="K704" s="3" t="n">
        <f aca="false">COUNTIFS($B$2:$B$4077,B704,$C$2:$C$4077,C704,$I$2:$I$4077,I704)</f>
        <v>4</v>
      </c>
      <c r="L704" s="3" t="n">
        <f aca="false">IF(COUNTIFS($B$2:B704,B704,$C$2:C704,C704,$I$2:I704,I704)=1,1,0)</f>
        <v>1</v>
      </c>
      <c r="M704" s="3" t="n">
        <f aca="false">IF(K704&gt;=Parametri!$B$1,1,0)</f>
        <v>1</v>
      </c>
      <c r="N704" s="3" t="n">
        <f aca="false">L704*M704</f>
        <v>1</v>
      </c>
    </row>
    <row r="705" customFormat="false" ht="15" hidden="false" customHeight="false" outlineLevel="0" collapsed="false">
      <c r="A705" s="0" t="s">
        <v>1305</v>
      </c>
      <c r="B705" s="0" t="s">
        <v>31</v>
      </c>
      <c r="C705" s="0" t="s">
        <v>1306</v>
      </c>
      <c r="D705" s="0" t="s">
        <v>38</v>
      </c>
      <c r="E705" s="2" t="n">
        <v>45971</v>
      </c>
      <c r="F705" s="3" t="s">
        <v>20</v>
      </c>
      <c r="G705" s="3" t="s">
        <v>21</v>
      </c>
      <c r="H705" s="3" t="s">
        <v>48</v>
      </c>
      <c r="I705" s="3" t="n">
        <f aca="false">YEAR(E705)</f>
        <v>2025</v>
      </c>
      <c r="J705" s="3" t="n">
        <f aca="false">MONTH(E705)</f>
        <v>11</v>
      </c>
      <c r="K705" s="3" t="n">
        <f aca="false">COUNTIFS($B$2:$B$4077,B705,$C$2:$C$4077,C705,$I$2:$I$4077,I705)</f>
        <v>2</v>
      </c>
      <c r="L705" s="3" t="n">
        <f aca="false">IF(COUNTIFS($B$2:B705,B705,$C$2:C705,C705,$I$2:I705,I705)=1,1,0)</f>
        <v>1</v>
      </c>
      <c r="M705" s="3" t="n">
        <f aca="false">IF(K705&gt;=Parametri!$B$1,1,0)</f>
        <v>1</v>
      </c>
      <c r="N705" s="3" t="n">
        <f aca="false">L705*M705</f>
        <v>1</v>
      </c>
    </row>
    <row r="706" customFormat="false" ht="15" hidden="false" customHeight="false" outlineLevel="0" collapsed="false">
      <c r="A706" s="0" t="s">
        <v>1307</v>
      </c>
      <c r="B706" s="0" t="s">
        <v>41</v>
      </c>
      <c r="C706" s="0" t="s">
        <v>1308</v>
      </c>
      <c r="D706" s="0" t="s">
        <v>77</v>
      </c>
      <c r="E706" s="2" t="n">
        <v>46116</v>
      </c>
      <c r="F706" s="3" t="s">
        <v>27</v>
      </c>
      <c r="G706" s="3" t="s">
        <v>28</v>
      </c>
      <c r="H706" s="3" t="s">
        <v>44</v>
      </c>
      <c r="I706" s="3" t="n">
        <f aca="false">YEAR(E706)</f>
        <v>2026</v>
      </c>
      <c r="J706" s="3" t="n">
        <f aca="false">MONTH(E706)</f>
        <v>4</v>
      </c>
      <c r="K706" s="3" t="n">
        <f aca="false">COUNTIFS($B$2:$B$4077,B706,$C$2:$C$4077,C706,$I$2:$I$4077,I706)</f>
        <v>1</v>
      </c>
      <c r="L706" s="3" t="n">
        <f aca="false">IF(COUNTIFS($B$2:B706,B706,$C$2:C706,C706,$I$2:I706,I706)=1,1,0)</f>
        <v>1</v>
      </c>
      <c r="M706" s="3" t="n">
        <f aca="false">IF(K706&gt;=Parametri!$B$1,1,0)</f>
        <v>0</v>
      </c>
      <c r="N706" s="3" t="n">
        <f aca="false">L706*M706</f>
        <v>0</v>
      </c>
    </row>
    <row r="707" customFormat="false" ht="15" hidden="false" customHeight="false" outlineLevel="0" collapsed="false">
      <c r="A707" s="0" t="s">
        <v>1309</v>
      </c>
      <c r="B707" s="0" t="s">
        <v>50</v>
      </c>
      <c r="C707" s="0" t="s">
        <v>1038</v>
      </c>
      <c r="D707" s="0" t="s">
        <v>54</v>
      </c>
      <c r="E707" s="2" t="n">
        <v>46185</v>
      </c>
      <c r="F707" s="3" t="s">
        <v>20</v>
      </c>
      <c r="G707" s="3" t="s">
        <v>72</v>
      </c>
      <c r="H707" s="3" t="s">
        <v>29</v>
      </c>
      <c r="I707" s="3" t="n">
        <f aca="false">YEAR(E707)</f>
        <v>2026</v>
      </c>
      <c r="J707" s="3" t="n">
        <f aca="false">MONTH(E707)</f>
        <v>6</v>
      </c>
      <c r="K707" s="3" t="n">
        <f aca="false">COUNTIFS($B$2:$B$4077,B707,$C$2:$C$4077,C707,$I$2:$I$4077,I707)</f>
        <v>1</v>
      </c>
      <c r="L707" s="3" t="n">
        <f aca="false">IF(COUNTIFS($B$2:B707,B707,$C$2:C707,C707,$I$2:I707,I707)=1,1,0)</f>
        <v>1</v>
      </c>
      <c r="M707" s="3" t="n">
        <f aca="false">IF(K707&gt;=Parametri!$B$1,1,0)</f>
        <v>0</v>
      </c>
      <c r="N707" s="3" t="n">
        <f aca="false">L707*M707</f>
        <v>0</v>
      </c>
    </row>
    <row r="708" customFormat="false" ht="15" hidden="false" customHeight="false" outlineLevel="0" collapsed="false">
      <c r="A708" s="0" t="s">
        <v>1310</v>
      </c>
      <c r="B708" s="0" t="s">
        <v>124</v>
      </c>
      <c r="C708" s="0" t="s">
        <v>1311</v>
      </c>
      <c r="D708" s="0" t="s">
        <v>66</v>
      </c>
      <c r="E708" s="2" t="n">
        <v>46191</v>
      </c>
      <c r="F708" s="3" t="s">
        <v>20</v>
      </c>
      <c r="G708" s="3" t="s">
        <v>72</v>
      </c>
      <c r="H708" s="3" t="s">
        <v>22</v>
      </c>
      <c r="I708" s="3" t="n">
        <f aca="false">YEAR(E708)</f>
        <v>2026</v>
      </c>
      <c r="J708" s="3" t="n">
        <f aca="false">MONTH(E708)</f>
        <v>6</v>
      </c>
      <c r="K708" s="3" t="n">
        <f aca="false">COUNTIFS($B$2:$B$4077,B708,$C$2:$C$4077,C708,$I$2:$I$4077,I708)</f>
        <v>1</v>
      </c>
      <c r="L708" s="3" t="n">
        <f aca="false">IF(COUNTIFS($B$2:B708,B708,$C$2:C708,C708,$I$2:I708,I708)=1,1,0)</f>
        <v>1</v>
      </c>
      <c r="M708" s="3" t="n">
        <f aca="false">IF(K708&gt;=Parametri!$B$1,1,0)</f>
        <v>0</v>
      </c>
      <c r="N708" s="3" t="n">
        <f aca="false">L708*M708</f>
        <v>0</v>
      </c>
    </row>
    <row r="709" customFormat="false" ht="15" hidden="false" customHeight="false" outlineLevel="0" collapsed="false">
      <c r="A709" s="0" t="s">
        <v>1312</v>
      </c>
      <c r="B709" s="0" t="s">
        <v>31</v>
      </c>
      <c r="C709" s="0" t="s">
        <v>1313</v>
      </c>
      <c r="D709" s="0" t="s">
        <v>33</v>
      </c>
      <c r="E709" s="2" t="n">
        <v>45950</v>
      </c>
      <c r="F709" s="3" t="s">
        <v>20</v>
      </c>
      <c r="G709" s="3" t="s">
        <v>72</v>
      </c>
      <c r="H709" s="3" t="s">
        <v>44</v>
      </c>
      <c r="I709" s="3" t="n">
        <f aca="false">YEAR(E709)</f>
        <v>2025</v>
      </c>
      <c r="J709" s="3" t="n">
        <f aca="false">MONTH(E709)</f>
        <v>10</v>
      </c>
      <c r="K709" s="3" t="n">
        <f aca="false">COUNTIFS($B$2:$B$4077,B709,$C$2:$C$4077,C709,$I$2:$I$4077,I709)</f>
        <v>1</v>
      </c>
      <c r="L709" s="3" t="n">
        <f aca="false">IF(COUNTIFS($B$2:B709,B709,$C$2:C709,C709,$I$2:I709,I709)=1,1,0)</f>
        <v>1</v>
      </c>
      <c r="M709" s="3" t="n">
        <f aca="false">IF(K709&gt;=Parametri!$B$1,1,0)</f>
        <v>0</v>
      </c>
      <c r="N709" s="3" t="n">
        <f aca="false">L709*M709</f>
        <v>0</v>
      </c>
    </row>
    <row r="710" customFormat="false" ht="15" hidden="false" customHeight="false" outlineLevel="0" collapsed="false">
      <c r="A710" s="0" t="s">
        <v>1314</v>
      </c>
      <c r="B710" s="0" t="s">
        <v>124</v>
      </c>
      <c r="C710" s="0" t="s">
        <v>1315</v>
      </c>
      <c r="D710" s="0" t="s">
        <v>38</v>
      </c>
      <c r="E710" s="2" t="n">
        <v>45825</v>
      </c>
      <c r="F710" s="3" t="s">
        <v>34</v>
      </c>
      <c r="G710" s="3" t="s">
        <v>35</v>
      </c>
      <c r="H710" s="3" t="s">
        <v>44</v>
      </c>
      <c r="I710" s="3" t="n">
        <f aca="false">YEAR(E710)</f>
        <v>2025</v>
      </c>
      <c r="J710" s="3" t="n">
        <f aca="false">MONTH(E710)</f>
        <v>6</v>
      </c>
      <c r="K710" s="3" t="n">
        <f aca="false">COUNTIFS($B$2:$B$4077,B710,$C$2:$C$4077,C710,$I$2:$I$4077,I710)</f>
        <v>1</v>
      </c>
      <c r="L710" s="3" t="n">
        <f aca="false">IF(COUNTIFS($B$2:B710,B710,$C$2:C710,C710,$I$2:I710,I710)=1,1,0)</f>
        <v>1</v>
      </c>
      <c r="M710" s="3" t="n">
        <f aca="false">IF(K710&gt;=Parametri!$B$1,1,0)</f>
        <v>0</v>
      </c>
      <c r="N710" s="3" t="n">
        <f aca="false">L710*M710</f>
        <v>0</v>
      </c>
    </row>
    <row r="711" customFormat="false" ht="15" hidden="false" customHeight="false" outlineLevel="0" collapsed="false">
      <c r="A711" s="0" t="s">
        <v>1316</v>
      </c>
      <c r="B711" s="0" t="s">
        <v>79</v>
      </c>
      <c r="C711" s="0" t="s">
        <v>883</v>
      </c>
      <c r="D711" s="0" t="s">
        <v>26</v>
      </c>
      <c r="E711" s="2" t="n">
        <v>45934</v>
      </c>
      <c r="F711" s="3" t="s">
        <v>34</v>
      </c>
      <c r="G711" s="3" t="s">
        <v>89</v>
      </c>
      <c r="H711" s="3" t="s">
        <v>44</v>
      </c>
      <c r="I711" s="3" t="n">
        <f aca="false">YEAR(E711)</f>
        <v>2025</v>
      </c>
      <c r="J711" s="3" t="n">
        <f aca="false">MONTH(E711)</f>
        <v>10</v>
      </c>
      <c r="K711" s="3" t="n">
        <f aca="false">COUNTIFS($B$2:$B$4077,B711,$C$2:$C$4077,C711,$I$2:$I$4077,I711)</f>
        <v>3</v>
      </c>
      <c r="L711" s="3" t="n">
        <f aca="false">IF(COUNTIFS($B$2:B711,B711,$C$2:C711,C711,$I$2:I711,I711)=1,1,0)</f>
        <v>0</v>
      </c>
      <c r="M711" s="3" t="n">
        <f aca="false">IF(K711&gt;=Parametri!$B$1,1,0)</f>
        <v>1</v>
      </c>
      <c r="N711" s="3" t="n">
        <f aca="false">L711*M711</f>
        <v>0</v>
      </c>
    </row>
    <row r="712" customFormat="false" ht="15" hidden="false" customHeight="false" outlineLevel="0" collapsed="false">
      <c r="A712" s="0" t="s">
        <v>1317</v>
      </c>
      <c r="B712" s="0" t="s">
        <v>17</v>
      </c>
      <c r="C712" s="0" t="s">
        <v>95</v>
      </c>
      <c r="D712" s="0" t="s">
        <v>38</v>
      </c>
      <c r="E712" s="2" t="n">
        <v>46165</v>
      </c>
      <c r="F712" s="3" t="s">
        <v>34</v>
      </c>
      <c r="G712" s="3" t="s">
        <v>43</v>
      </c>
      <c r="H712" s="3" t="s">
        <v>22</v>
      </c>
      <c r="I712" s="3" t="n">
        <f aca="false">YEAR(E712)</f>
        <v>2026</v>
      </c>
      <c r="J712" s="3" t="n">
        <f aca="false">MONTH(E712)</f>
        <v>5</v>
      </c>
      <c r="K712" s="3" t="n">
        <f aca="false">COUNTIFS($B$2:$B$4077,B712,$C$2:$C$4077,C712,$I$2:$I$4077,I712)</f>
        <v>3</v>
      </c>
      <c r="L712" s="3" t="n">
        <f aca="false">IF(COUNTIFS($B$2:B712,B712,$C$2:C712,C712,$I$2:I712,I712)=1,1,0)</f>
        <v>1</v>
      </c>
      <c r="M712" s="3" t="n">
        <f aca="false">IF(K712&gt;=Parametri!$B$1,1,0)</f>
        <v>1</v>
      </c>
      <c r="N712" s="3" t="n">
        <f aca="false">L712*M712</f>
        <v>1</v>
      </c>
    </row>
    <row r="713" customFormat="false" ht="15" hidden="false" customHeight="false" outlineLevel="0" collapsed="false">
      <c r="A713" s="0" t="s">
        <v>1318</v>
      </c>
      <c r="B713" s="0" t="s">
        <v>124</v>
      </c>
      <c r="C713" s="0" t="s">
        <v>939</v>
      </c>
      <c r="D713" s="0" t="s">
        <v>33</v>
      </c>
      <c r="E713" s="2" t="n">
        <v>45718</v>
      </c>
      <c r="F713" s="3" t="s">
        <v>20</v>
      </c>
      <c r="G713" s="3" t="s">
        <v>89</v>
      </c>
      <c r="H713" s="3" t="s">
        <v>48</v>
      </c>
      <c r="I713" s="3" t="n">
        <f aca="false">YEAR(E713)</f>
        <v>2025</v>
      </c>
      <c r="J713" s="3" t="n">
        <f aca="false">MONTH(E713)</f>
        <v>3</v>
      </c>
      <c r="K713" s="3" t="n">
        <f aca="false">COUNTIFS($B$2:$B$4077,B713,$C$2:$C$4077,C713,$I$2:$I$4077,I713)</f>
        <v>4</v>
      </c>
      <c r="L713" s="3" t="n">
        <f aca="false">IF(COUNTIFS($B$2:B713,B713,$C$2:C713,C713,$I$2:I713,I713)=1,1,0)</f>
        <v>0</v>
      </c>
      <c r="M713" s="3" t="n">
        <f aca="false">IF(K713&gt;=Parametri!$B$1,1,0)</f>
        <v>1</v>
      </c>
      <c r="N713" s="3" t="n">
        <f aca="false">L713*M713</f>
        <v>0</v>
      </c>
    </row>
    <row r="714" customFormat="false" ht="15" hidden="false" customHeight="false" outlineLevel="0" collapsed="false">
      <c r="A714" s="0" t="s">
        <v>1319</v>
      </c>
      <c r="B714" s="0" t="s">
        <v>57</v>
      </c>
      <c r="C714" s="0" t="s">
        <v>178</v>
      </c>
      <c r="D714" s="0" t="s">
        <v>63</v>
      </c>
      <c r="E714" s="2" t="n">
        <v>45780</v>
      </c>
      <c r="F714" s="3" t="s">
        <v>27</v>
      </c>
      <c r="G714" s="3" t="s">
        <v>89</v>
      </c>
      <c r="H714" s="3" t="s">
        <v>48</v>
      </c>
      <c r="I714" s="3" t="n">
        <f aca="false">YEAR(E714)</f>
        <v>2025</v>
      </c>
      <c r="J714" s="3" t="n">
        <f aca="false">MONTH(E714)</f>
        <v>5</v>
      </c>
      <c r="K714" s="3" t="n">
        <f aca="false">COUNTIFS($B$2:$B$4077,B714,$C$2:$C$4077,C714,$I$2:$I$4077,I714)</f>
        <v>1</v>
      </c>
      <c r="L714" s="3" t="n">
        <f aca="false">IF(COUNTIFS($B$2:B714,B714,$C$2:C714,C714,$I$2:I714,I714)=1,1,0)</f>
        <v>1</v>
      </c>
      <c r="M714" s="3" t="n">
        <f aca="false">IF(K714&gt;=Parametri!$B$1,1,0)</f>
        <v>0</v>
      </c>
      <c r="N714" s="3" t="n">
        <f aca="false">L714*M714</f>
        <v>0</v>
      </c>
    </row>
    <row r="715" customFormat="false" ht="15" hidden="false" customHeight="false" outlineLevel="0" collapsed="false">
      <c r="A715" s="0" t="s">
        <v>1320</v>
      </c>
      <c r="B715" s="0" t="s">
        <v>46</v>
      </c>
      <c r="C715" s="0" t="s">
        <v>1321</v>
      </c>
      <c r="D715" s="0" t="s">
        <v>19</v>
      </c>
      <c r="E715" s="2" t="n">
        <v>46149</v>
      </c>
      <c r="F715" s="3" t="s">
        <v>20</v>
      </c>
      <c r="G715" s="3" t="s">
        <v>55</v>
      </c>
      <c r="H715" s="3" t="s">
        <v>48</v>
      </c>
      <c r="I715" s="3" t="n">
        <f aca="false">YEAR(E715)</f>
        <v>2026</v>
      </c>
      <c r="J715" s="3" t="n">
        <f aca="false">MONTH(E715)</f>
        <v>5</v>
      </c>
      <c r="K715" s="3" t="n">
        <f aca="false">COUNTIFS($B$2:$B$4077,B715,$C$2:$C$4077,C715,$I$2:$I$4077,I715)</f>
        <v>2</v>
      </c>
      <c r="L715" s="3" t="n">
        <f aca="false">IF(COUNTIFS($B$2:B715,B715,$C$2:C715,C715,$I$2:I715,I715)=1,1,0)</f>
        <v>1</v>
      </c>
      <c r="M715" s="3" t="n">
        <f aca="false">IF(K715&gt;=Parametri!$B$1,1,0)</f>
        <v>1</v>
      </c>
      <c r="N715" s="3" t="n">
        <f aca="false">L715*M715</f>
        <v>1</v>
      </c>
    </row>
    <row r="716" customFormat="false" ht="15" hidden="false" customHeight="false" outlineLevel="0" collapsed="false">
      <c r="A716" s="0" t="s">
        <v>1322</v>
      </c>
      <c r="B716" s="0" t="s">
        <v>124</v>
      </c>
      <c r="C716" s="0" t="s">
        <v>710</v>
      </c>
      <c r="D716" s="0" t="s">
        <v>26</v>
      </c>
      <c r="E716" s="2" t="n">
        <v>46008</v>
      </c>
      <c r="F716" s="3" t="s">
        <v>20</v>
      </c>
      <c r="G716" s="3" t="s">
        <v>55</v>
      </c>
      <c r="H716" s="3" t="s">
        <v>22</v>
      </c>
      <c r="I716" s="3" t="n">
        <f aca="false">YEAR(E716)</f>
        <v>2025</v>
      </c>
      <c r="J716" s="3" t="n">
        <f aca="false">MONTH(E716)</f>
        <v>12</v>
      </c>
      <c r="K716" s="3" t="n">
        <f aca="false">COUNTIFS($B$2:$B$4077,B716,$C$2:$C$4077,C716,$I$2:$I$4077,I716)</f>
        <v>8</v>
      </c>
      <c r="L716" s="3" t="n">
        <f aca="false">IF(COUNTIFS($B$2:B716,B716,$C$2:C716,C716,$I$2:I716,I716)=1,1,0)</f>
        <v>0</v>
      </c>
      <c r="M716" s="3" t="n">
        <f aca="false">IF(K716&gt;=Parametri!$B$1,1,0)</f>
        <v>1</v>
      </c>
      <c r="N716" s="3" t="n">
        <f aca="false">L716*M716</f>
        <v>0</v>
      </c>
    </row>
    <row r="717" customFormat="false" ht="15" hidden="false" customHeight="false" outlineLevel="0" collapsed="false">
      <c r="A717" s="0" t="s">
        <v>1323</v>
      </c>
      <c r="B717" s="0" t="s">
        <v>68</v>
      </c>
      <c r="C717" s="0" t="s">
        <v>1324</v>
      </c>
      <c r="D717" s="0" t="s">
        <v>77</v>
      </c>
      <c r="E717" s="2" t="n">
        <v>46064</v>
      </c>
      <c r="F717" s="3" t="s">
        <v>34</v>
      </c>
      <c r="G717" s="3" t="s">
        <v>55</v>
      </c>
      <c r="H717" s="3" t="s">
        <v>44</v>
      </c>
      <c r="I717" s="3" t="n">
        <f aca="false">YEAR(E717)</f>
        <v>2026</v>
      </c>
      <c r="J717" s="3" t="n">
        <f aca="false">MONTH(E717)</f>
        <v>2</v>
      </c>
      <c r="K717" s="3" t="n">
        <f aca="false">COUNTIFS($B$2:$B$4077,B717,$C$2:$C$4077,C717,$I$2:$I$4077,I717)</f>
        <v>1</v>
      </c>
      <c r="L717" s="3" t="n">
        <f aca="false">IF(COUNTIFS($B$2:B717,B717,$C$2:C717,C717,$I$2:I717,I717)=1,1,0)</f>
        <v>1</v>
      </c>
      <c r="M717" s="3" t="n">
        <f aca="false">IF(K717&gt;=Parametri!$B$1,1,0)</f>
        <v>0</v>
      </c>
      <c r="N717" s="3" t="n">
        <f aca="false">L717*M717</f>
        <v>0</v>
      </c>
    </row>
    <row r="718" customFormat="false" ht="15" hidden="false" customHeight="false" outlineLevel="0" collapsed="false">
      <c r="A718" s="0" t="s">
        <v>1325</v>
      </c>
      <c r="B718" s="0" t="s">
        <v>124</v>
      </c>
      <c r="C718" s="0" t="s">
        <v>410</v>
      </c>
      <c r="D718" s="0" t="s">
        <v>19</v>
      </c>
      <c r="E718" s="2" t="n">
        <v>45757</v>
      </c>
      <c r="F718" s="3" t="s">
        <v>20</v>
      </c>
      <c r="G718" s="3" t="s">
        <v>28</v>
      </c>
      <c r="H718" s="3" t="s">
        <v>22</v>
      </c>
      <c r="I718" s="3" t="n">
        <f aca="false">YEAR(E718)</f>
        <v>2025</v>
      </c>
      <c r="J718" s="3" t="n">
        <f aca="false">MONTH(E718)</f>
        <v>4</v>
      </c>
      <c r="K718" s="3" t="n">
        <f aca="false">COUNTIFS($B$2:$B$4077,B718,$C$2:$C$4077,C718,$I$2:$I$4077,I718)</f>
        <v>6</v>
      </c>
      <c r="L718" s="3" t="n">
        <f aca="false">IF(COUNTIFS($B$2:B718,B718,$C$2:C718,C718,$I$2:I718,I718)=1,1,0)</f>
        <v>0</v>
      </c>
      <c r="M718" s="3" t="n">
        <f aca="false">IF(K718&gt;=Parametri!$B$1,1,0)</f>
        <v>1</v>
      </c>
      <c r="N718" s="3" t="n">
        <f aca="false">L718*M718</f>
        <v>0</v>
      </c>
    </row>
    <row r="719" customFormat="false" ht="15" hidden="false" customHeight="false" outlineLevel="0" collapsed="false">
      <c r="A719" s="0" t="s">
        <v>1326</v>
      </c>
      <c r="B719" s="0" t="s">
        <v>50</v>
      </c>
      <c r="C719" s="0" t="s">
        <v>84</v>
      </c>
      <c r="D719" s="0" t="s">
        <v>54</v>
      </c>
      <c r="E719" s="2" t="n">
        <v>45645</v>
      </c>
      <c r="F719" s="3" t="s">
        <v>20</v>
      </c>
      <c r="G719" s="3" t="s">
        <v>28</v>
      </c>
      <c r="H719" s="3" t="s">
        <v>22</v>
      </c>
      <c r="I719" s="3" t="n">
        <f aca="false">YEAR(E719)</f>
        <v>2024</v>
      </c>
      <c r="J719" s="3" t="n">
        <f aca="false">MONTH(E719)</f>
        <v>12</v>
      </c>
      <c r="K719" s="3" t="n">
        <f aca="false">COUNTIFS($B$2:$B$4077,B719,$C$2:$C$4077,C719,$I$2:$I$4077,I719)</f>
        <v>2</v>
      </c>
      <c r="L719" s="3" t="n">
        <f aca="false">IF(COUNTIFS($B$2:B719,B719,$C$2:C719,C719,$I$2:I719,I719)=1,1,0)</f>
        <v>0</v>
      </c>
      <c r="M719" s="3" t="n">
        <f aca="false">IF(K719&gt;=Parametri!$B$1,1,0)</f>
        <v>1</v>
      </c>
      <c r="N719" s="3" t="n">
        <f aca="false">L719*M719</f>
        <v>0</v>
      </c>
    </row>
    <row r="720" customFormat="false" ht="15" hidden="false" customHeight="false" outlineLevel="0" collapsed="false">
      <c r="A720" s="0" t="s">
        <v>1327</v>
      </c>
      <c r="B720" s="0" t="s">
        <v>124</v>
      </c>
      <c r="C720" s="0" t="s">
        <v>1279</v>
      </c>
      <c r="D720" s="0" t="s">
        <v>33</v>
      </c>
      <c r="E720" s="2" t="n">
        <v>45674</v>
      </c>
      <c r="F720" s="3" t="s">
        <v>27</v>
      </c>
      <c r="G720" s="3" t="s">
        <v>72</v>
      </c>
      <c r="H720" s="3" t="s">
        <v>48</v>
      </c>
      <c r="I720" s="3" t="n">
        <f aca="false">YEAR(E720)</f>
        <v>2025</v>
      </c>
      <c r="J720" s="3" t="n">
        <f aca="false">MONTH(E720)</f>
        <v>1</v>
      </c>
      <c r="K720" s="3" t="n">
        <f aca="false">COUNTIFS($B$2:$B$4077,B720,$C$2:$C$4077,C720,$I$2:$I$4077,I720)</f>
        <v>8</v>
      </c>
      <c r="L720" s="3" t="n">
        <f aca="false">IF(COUNTIFS($B$2:B720,B720,$C$2:C720,C720,$I$2:I720,I720)=1,1,0)</f>
        <v>0</v>
      </c>
      <c r="M720" s="3" t="n">
        <f aca="false">IF(K720&gt;=Parametri!$B$1,1,0)</f>
        <v>1</v>
      </c>
      <c r="N720" s="3" t="n">
        <f aca="false">L720*M720</f>
        <v>0</v>
      </c>
    </row>
    <row r="721" customFormat="false" ht="15" hidden="false" customHeight="false" outlineLevel="0" collapsed="false">
      <c r="A721" s="0" t="s">
        <v>1328</v>
      </c>
      <c r="B721" s="0" t="s">
        <v>57</v>
      </c>
      <c r="C721" s="0" t="s">
        <v>832</v>
      </c>
      <c r="D721" s="0" t="s">
        <v>38</v>
      </c>
      <c r="E721" s="2" t="n">
        <v>45581</v>
      </c>
      <c r="F721" s="3" t="s">
        <v>20</v>
      </c>
      <c r="G721" s="3" t="s">
        <v>39</v>
      </c>
      <c r="H721" s="3" t="s">
        <v>29</v>
      </c>
      <c r="I721" s="3" t="n">
        <f aca="false">YEAR(E721)</f>
        <v>2024</v>
      </c>
      <c r="J721" s="3" t="n">
        <f aca="false">MONTH(E721)</f>
        <v>10</v>
      </c>
      <c r="K721" s="3" t="n">
        <f aca="false">COUNTIFS($B$2:$B$4077,B721,$C$2:$C$4077,C721,$I$2:$I$4077,I721)</f>
        <v>1</v>
      </c>
      <c r="L721" s="3" t="n">
        <f aca="false">IF(COUNTIFS($B$2:B721,B721,$C$2:C721,C721,$I$2:I721,I721)=1,1,0)</f>
        <v>1</v>
      </c>
      <c r="M721" s="3" t="n">
        <f aca="false">IF(K721&gt;=Parametri!$B$1,1,0)</f>
        <v>0</v>
      </c>
      <c r="N721" s="3" t="n">
        <f aca="false">L721*M721</f>
        <v>0</v>
      </c>
    </row>
    <row r="722" customFormat="false" ht="15" hidden="false" customHeight="false" outlineLevel="0" collapsed="false">
      <c r="A722" s="0" t="s">
        <v>1329</v>
      </c>
      <c r="B722" s="0" t="s">
        <v>124</v>
      </c>
      <c r="C722" s="0" t="s">
        <v>1330</v>
      </c>
      <c r="D722" s="0" t="s">
        <v>19</v>
      </c>
      <c r="E722" s="2" t="n">
        <v>46264</v>
      </c>
      <c r="F722" s="3" t="s">
        <v>34</v>
      </c>
      <c r="G722" s="3" t="s">
        <v>55</v>
      </c>
      <c r="H722" s="3" t="s">
        <v>44</v>
      </c>
      <c r="I722" s="3" t="n">
        <f aca="false">YEAR(E722)</f>
        <v>2026</v>
      </c>
      <c r="J722" s="3" t="n">
        <f aca="false">MONTH(E722)</f>
        <v>8</v>
      </c>
      <c r="K722" s="3" t="n">
        <f aca="false">COUNTIFS($B$2:$B$4077,B722,$C$2:$C$4077,C722,$I$2:$I$4077,I722)</f>
        <v>1</v>
      </c>
      <c r="L722" s="3" t="n">
        <f aca="false">IF(COUNTIFS($B$2:B722,B722,$C$2:C722,C722,$I$2:I722,I722)=1,1,0)</f>
        <v>1</v>
      </c>
      <c r="M722" s="3" t="n">
        <f aca="false">IF(K722&gt;=Parametri!$B$1,1,0)</f>
        <v>0</v>
      </c>
      <c r="N722" s="3" t="n">
        <f aca="false">L722*M722</f>
        <v>0</v>
      </c>
    </row>
    <row r="723" customFormat="false" ht="15" hidden="false" customHeight="false" outlineLevel="0" collapsed="false">
      <c r="A723" s="0" t="s">
        <v>1331</v>
      </c>
      <c r="B723" s="0" t="s">
        <v>46</v>
      </c>
      <c r="C723" s="0" t="s">
        <v>1332</v>
      </c>
      <c r="D723" s="0" t="s">
        <v>33</v>
      </c>
      <c r="E723" s="2" t="n">
        <v>45529</v>
      </c>
      <c r="F723" s="3" t="s">
        <v>27</v>
      </c>
      <c r="G723" s="3" t="s">
        <v>72</v>
      </c>
      <c r="H723" s="3" t="s">
        <v>22</v>
      </c>
      <c r="I723" s="3" t="n">
        <f aca="false">YEAR(E723)</f>
        <v>2024</v>
      </c>
      <c r="J723" s="3" t="n">
        <f aca="false">MONTH(E723)</f>
        <v>8</v>
      </c>
      <c r="K723" s="3" t="n">
        <f aca="false">COUNTIFS($B$2:$B$4077,B723,$C$2:$C$4077,C723,$I$2:$I$4077,I723)</f>
        <v>1</v>
      </c>
      <c r="L723" s="3" t="n">
        <f aca="false">IF(COUNTIFS($B$2:B723,B723,$C$2:C723,C723,$I$2:I723,I723)=1,1,0)</f>
        <v>1</v>
      </c>
      <c r="M723" s="3" t="n">
        <f aca="false">IF(K723&gt;=Parametri!$B$1,1,0)</f>
        <v>0</v>
      </c>
      <c r="N723" s="3" t="n">
        <f aca="false">L723*M723</f>
        <v>0</v>
      </c>
    </row>
    <row r="724" customFormat="false" ht="15" hidden="false" customHeight="false" outlineLevel="0" collapsed="false">
      <c r="A724" s="0" t="s">
        <v>1333</v>
      </c>
      <c r="B724" s="0" t="s">
        <v>124</v>
      </c>
      <c r="C724" s="0" t="s">
        <v>1040</v>
      </c>
      <c r="D724" s="0" t="s">
        <v>38</v>
      </c>
      <c r="E724" s="2" t="n">
        <v>45943</v>
      </c>
      <c r="F724" s="3" t="s">
        <v>20</v>
      </c>
      <c r="G724" s="3" t="s">
        <v>89</v>
      </c>
      <c r="H724" s="3" t="s">
        <v>48</v>
      </c>
      <c r="I724" s="3" t="n">
        <f aca="false">YEAR(E724)</f>
        <v>2025</v>
      </c>
      <c r="J724" s="3" t="n">
        <f aca="false">MONTH(E724)</f>
        <v>10</v>
      </c>
      <c r="K724" s="3" t="n">
        <f aca="false">COUNTIFS($B$2:$B$4077,B724,$C$2:$C$4077,C724,$I$2:$I$4077,I724)</f>
        <v>3</v>
      </c>
      <c r="L724" s="3" t="n">
        <f aca="false">IF(COUNTIFS($B$2:B724,B724,$C$2:C724,C724,$I$2:I724,I724)=1,1,0)</f>
        <v>1</v>
      </c>
      <c r="M724" s="3" t="n">
        <f aca="false">IF(K724&gt;=Parametri!$B$1,1,0)</f>
        <v>1</v>
      </c>
      <c r="N724" s="3" t="n">
        <f aca="false">L724*M724</f>
        <v>1</v>
      </c>
    </row>
    <row r="725" customFormat="false" ht="15" hidden="false" customHeight="false" outlineLevel="0" collapsed="false">
      <c r="A725" s="0" t="s">
        <v>1334</v>
      </c>
      <c r="B725" s="0" t="s">
        <v>24</v>
      </c>
      <c r="C725" s="0" t="s">
        <v>1335</v>
      </c>
      <c r="D725" s="0" t="s">
        <v>19</v>
      </c>
      <c r="E725" s="2" t="n">
        <v>45765</v>
      </c>
      <c r="F725" s="3" t="s">
        <v>20</v>
      </c>
      <c r="G725" s="3" t="s">
        <v>89</v>
      </c>
      <c r="H725" s="3" t="s">
        <v>44</v>
      </c>
      <c r="I725" s="3" t="n">
        <f aca="false">YEAR(E725)</f>
        <v>2025</v>
      </c>
      <c r="J725" s="3" t="n">
        <f aca="false">MONTH(E725)</f>
        <v>4</v>
      </c>
      <c r="K725" s="3" t="n">
        <f aca="false">COUNTIFS($B$2:$B$4077,B725,$C$2:$C$4077,C725,$I$2:$I$4077,I725)</f>
        <v>1</v>
      </c>
      <c r="L725" s="3" t="n">
        <f aca="false">IF(COUNTIFS($B$2:B725,B725,$C$2:C725,C725,$I$2:I725,I725)=1,1,0)</f>
        <v>1</v>
      </c>
      <c r="M725" s="3" t="n">
        <f aca="false">IF(K725&gt;=Parametri!$B$1,1,0)</f>
        <v>0</v>
      </c>
      <c r="N725" s="3" t="n">
        <f aca="false">L725*M725</f>
        <v>0</v>
      </c>
    </row>
    <row r="726" customFormat="false" ht="15" hidden="false" customHeight="false" outlineLevel="0" collapsed="false">
      <c r="A726" s="0" t="s">
        <v>1336</v>
      </c>
      <c r="B726" s="0" t="s">
        <v>41</v>
      </c>
      <c r="C726" s="0" t="s">
        <v>780</v>
      </c>
      <c r="D726" s="0" t="s">
        <v>66</v>
      </c>
      <c r="E726" s="2" t="n">
        <v>45338</v>
      </c>
      <c r="F726" s="3" t="s">
        <v>20</v>
      </c>
      <c r="G726" s="3" t="s">
        <v>39</v>
      </c>
      <c r="H726" s="3" t="s">
        <v>44</v>
      </c>
      <c r="I726" s="3" t="n">
        <f aca="false">YEAR(E726)</f>
        <v>2024</v>
      </c>
      <c r="J726" s="3" t="n">
        <f aca="false">MONTH(E726)</f>
        <v>2</v>
      </c>
      <c r="K726" s="3" t="n">
        <f aca="false">COUNTIFS($B$2:$B$4077,B726,$C$2:$C$4077,C726,$I$2:$I$4077,I726)</f>
        <v>2</v>
      </c>
      <c r="L726" s="3" t="n">
        <f aca="false">IF(COUNTIFS($B$2:B726,B726,$C$2:C726,C726,$I$2:I726,I726)=1,1,0)</f>
        <v>1</v>
      </c>
      <c r="M726" s="3" t="n">
        <f aca="false">IF(K726&gt;=Parametri!$B$1,1,0)</f>
        <v>1</v>
      </c>
      <c r="N726" s="3" t="n">
        <f aca="false">L726*M726</f>
        <v>1</v>
      </c>
    </row>
    <row r="727" customFormat="false" ht="15" hidden="false" customHeight="false" outlineLevel="0" collapsed="false">
      <c r="A727" s="0" t="s">
        <v>1337</v>
      </c>
      <c r="B727" s="0" t="s">
        <v>57</v>
      </c>
      <c r="C727" s="0" t="s">
        <v>1338</v>
      </c>
      <c r="D727" s="0" t="s">
        <v>63</v>
      </c>
      <c r="E727" s="2" t="n">
        <v>45645</v>
      </c>
      <c r="F727" s="3" t="s">
        <v>34</v>
      </c>
      <c r="G727" s="3" t="s">
        <v>39</v>
      </c>
      <c r="H727" s="3" t="s">
        <v>48</v>
      </c>
      <c r="I727" s="3" t="n">
        <f aca="false">YEAR(E727)</f>
        <v>2024</v>
      </c>
      <c r="J727" s="3" t="n">
        <f aca="false">MONTH(E727)</f>
        <v>12</v>
      </c>
      <c r="K727" s="3" t="n">
        <f aca="false">COUNTIFS($B$2:$B$4077,B727,$C$2:$C$4077,C727,$I$2:$I$4077,I727)</f>
        <v>2</v>
      </c>
      <c r="L727" s="3" t="n">
        <f aca="false">IF(COUNTIFS($B$2:B727,B727,$C$2:C727,C727,$I$2:I727,I727)=1,1,0)</f>
        <v>1</v>
      </c>
      <c r="M727" s="3" t="n">
        <f aca="false">IF(K727&gt;=Parametri!$B$1,1,0)</f>
        <v>1</v>
      </c>
      <c r="N727" s="3" t="n">
        <f aca="false">L727*M727</f>
        <v>1</v>
      </c>
    </row>
    <row r="728" customFormat="false" ht="15" hidden="false" customHeight="false" outlineLevel="0" collapsed="false">
      <c r="A728" s="0" t="s">
        <v>1339</v>
      </c>
      <c r="B728" s="0" t="s">
        <v>50</v>
      </c>
      <c r="C728" s="0" t="s">
        <v>1340</v>
      </c>
      <c r="D728" s="0" t="s">
        <v>26</v>
      </c>
      <c r="E728" s="2" t="n">
        <v>46124</v>
      </c>
      <c r="F728" s="3" t="s">
        <v>20</v>
      </c>
      <c r="G728" s="3" t="s">
        <v>39</v>
      </c>
      <c r="H728" s="3" t="s">
        <v>29</v>
      </c>
      <c r="I728" s="3" t="n">
        <f aca="false">YEAR(E728)</f>
        <v>2026</v>
      </c>
      <c r="J728" s="3" t="n">
        <f aca="false">MONTH(E728)</f>
        <v>4</v>
      </c>
      <c r="K728" s="3" t="n">
        <f aca="false">COUNTIFS($B$2:$B$4077,B728,$C$2:$C$4077,C728,$I$2:$I$4077,I728)</f>
        <v>1</v>
      </c>
      <c r="L728" s="3" t="n">
        <f aca="false">IF(COUNTIFS($B$2:B728,B728,$C$2:C728,C728,$I$2:I728,I728)=1,1,0)</f>
        <v>1</v>
      </c>
      <c r="M728" s="3" t="n">
        <f aca="false">IF(K728&gt;=Parametri!$B$1,1,0)</f>
        <v>0</v>
      </c>
      <c r="N728" s="3" t="n">
        <f aca="false">L728*M728</f>
        <v>0</v>
      </c>
    </row>
    <row r="729" customFormat="false" ht="15" hidden="false" customHeight="false" outlineLevel="0" collapsed="false">
      <c r="A729" s="0" t="s">
        <v>1341</v>
      </c>
      <c r="B729" s="0" t="s">
        <v>68</v>
      </c>
      <c r="C729" s="0" t="s">
        <v>1342</v>
      </c>
      <c r="D729" s="0" t="s">
        <v>19</v>
      </c>
      <c r="E729" s="2" t="n">
        <v>46216</v>
      </c>
      <c r="F729" s="3" t="s">
        <v>27</v>
      </c>
      <c r="G729" s="3" t="s">
        <v>43</v>
      </c>
      <c r="H729" s="3" t="s">
        <v>29</v>
      </c>
      <c r="I729" s="3" t="n">
        <f aca="false">YEAR(E729)</f>
        <v>2026</v>
      </c>
      <c r="J729" s="3" t="n">
        <f aca="false">MONTH(E729)</f>
        <v>7</v>
      </c>
      <c r="K729" s="3" t="n">
        <f aca="false">COUNTIFS($B$2:$B$4077,B729,$C$2:$C$4077,C729,$I$2:$I$4077,I729)</f>
        <v>1</v>
      </c>
      <c r="L729" s="3" t="n">
        <f aca="false">IF(COUNTIFS($B$2:B729,B729,$C$2:C729,C729,$I$2:I729,I729)=1,1,0)</f>
        <v>1</v>
      </c>
      <c r="M729" s="3" t="n">
        <f aca="false">IF(K729&gt;=Parametri!$B$1,1,0)</f>
        <v>0</v>
      </c>
      <c r="N729" s="3" t="n">
        <f aca="false">L729*M729</f>
        <v>0</v>
      </c>
    </row>
    <row r="730" customFormat="false" ht="15" hidden="false" customHeight="false" outlineLevel="0" collapsed="false">
      <c r="A730" s="0" t="s">
        <v>1343</v>
      </c>
      <c r="B730" s="0" t="s">
        <v>124</v>
      </c>
      <c r="C730" s="0" t="s">
        <v>1344</v>
      </c>
      <c r="D730" s="0" t="s">
        <v>38</v>
      </c>
      <c r="E730" s="2" t="n">
        <v>45743</v>
      </c>
      <c r="F730" s="3" t="s">
        <v>20</v>
      </c>
      <c r="G730" s="3" t="s">
        <v>28</v>
      </c>
      <c r="H730" s="3" t="s">
        <v>48</v>
      </c>
      <c r="I730" s="3" t="n">
        <f aca="false">YEAR(E730)</f>
        <v>2025</v>
      </c>
      <c r="J730" s="3" t="n">
        <f aca="false">MONTH(E730)</f>
        <v>3</v>
      </c>
      <c r="K730" s="3" t="n">
        <f aca="false">COUNTIFS($B$2:$B$4077,B730,$C$2:$C$4077,C730,$I$2:$I$4077,I730)</f>
        <v>1</v>
      </c>
      <c r="L730" s="3" t="n">
        <f aca="false">IF(COUNTIFS($B$2:B730,B730,$C$2:C730,C730,$I$2:I730,I730)=1,1,0)</f>
        <v>1</v>
      </c>
      <c r="M730" s="3" t="n">
        <f aca="false">IF(K730&gt;=Parametri!$B$1,1,0)</f>
        <v>0</v>
      </c>
      <c r="N730" s="3" t="n">
        <f aca="false">L730*M730</f>
        <v>0</v>
      </c>
    </row>
    <row r="731" customFormat="false" ht="15" hidden="false" customHeight="false" outlineLevel="0" collapsed="false">
      <c r="A731" s="0" t="s">
        <v>1345</v>
      </c>
      <c r="B731" s="0" t="s">
        <v>124</v>
      </c>
      <c r="C731" s="0" t="s">
        <v>1346</v>
      </c>
      <c r="D731" s="0" t="s">
        <v>54</v>
      </c>
      <c r="E731" s="2" t="n">
        <v>45759</v>
      </c>
      <c r="F731" s="3" t="s">
        <v>20</v>
      </c>
      <c r="G731" s="3" t="s">
        <v>72</v>
      </c>
      <c r="H731" s="3" t="s">
        <v>22</v>
      </c>
      <c r="I731" s="3" t="n">
        <f aca="false">YEAR(E731)</f>
        <v>2025</v>
      </c>
      <c r="J731" s="3" t="n">
        <f aca="false">MONTH(E731)</f>
        <v>4</v>
      </c>
      <c r="K731" s="3" t="n">
        <f aca="false">COUNTIFS($B$2:$B$4077,B731,$C$2:$C$4077,C731,$I$2:$I$4077,I731)</f>
        <v>1</v>
      </c>
      <c r="L731" s="3" t="n">
        <f aca="false">IF(COUNTIFS($B$2:B731,B731,$C$2:C731,C731,$I$2:I731,I731)=1,1,0)</f>
        <v>1</v>
      </c>
      <c r="M731" s="3" t="n">
        <f aca="false">IF(K731&gt;=Parametri!$B$1,1,0)</f>
        <v>0</v>
      </c>
      <c r="N731" s="3" t="n">
        <f aca="false">L731*M731</f>
        <v>0</v>
      </c>
    </row>
    <row r="732" customFormat="false" ht="15" hidden="false" customHeight="false" outlineLevel="0" collapsed="false">
      <c r="A732" s="0" t="s">
        <v>1347</v>
      </c>
      <c r="B732" s="0" t="s">
        <v>79</v>
      </c>
      <c r="C732" s="0" t="s">
        <v>149</v>
      </c>
      <c r="D732" s="0" t="s">
        <v>19</v>
      </c>
      <c r="E732" s="2" t="n">
        <v>46129</v>
      </c>
      <c r="F732" s="3" t="s">
        <v>34</v>
      </c>
      <c r="G732" s="3" t="s">
        <v>21</v>
      </c>
      <c r="H732" s="3" t="s">
        <v>22</v>
      </c>
      <c r="I732" s="3" t="n">
        <f aca="false">YEAR(E732)</f>
        <v>2026</v>
      </c>
      <c r="J732" s="3" t="n">
        <f aca="false">MONTH(E732)</f>
        <v>4</v>
      </c>
      <c r="K732" s="3" t="n">
        <f aca="false">COUNTIFS($B$2:$B$4077,B732,$C$2:$C$4077,C732,$I$2:$I$4077,I732)</f>
        <v>2</v>
      </c>
      <c r="L732" s="3" t="n">
        <f aca="false">IF(COUNTIFS($B$2:B732,B732,$C$2:C732,C732,$I$2:I732,I732)=1,1,0)</f>
        <v>1</v>
      </c>
      <c r="M732" s="3" t="n">
        <f aca="false">IF(K732&gt;=Parametri!$B$1,1,0)</f>
        <v>1</v>
      </c>
      <c r="N732" s="3" t="n">
        <f aca="false">L732*M732</f>
        <v>1</v>
      </c>
    </row>
    <row r="733" customFormat="false" ht="15" hidden="false" customHeight="false" outlineLevel="0" collapsed="false">
      <c r="A733" s="0" t="s">
        <v>1348</v>
      </c>
      <c r="B733" s="0" t="s">
        <v>41</v>
      </c>
      <c r="C733" s="0" t="s">
        <v>1349</v>
      </c>
      <c r="D733" s="0" t="s">
        <v>26</v>
      </c>
      <c r="E733" s="2" t="n">
        <v>45795</v>
      </c>
      <c r="F733" s="3" t="s">
        <v>20</v>
      </c>
      <c r="G733" s="3" t="s">
        <v>55</v>
      </c>
      <c r="H733" s="3" t="s">
        <v>44</v>
      </c>
      <c r="I733" s="3" t="n">
        <f aca="false">YEAR(E733)</f>
        <v>2025</v>
      </c>
      <c r="J733" s="3" t="n">
        <f aca="false">MONTH(E733)</f>
        <v>5</v>
      </c>
      <c r="K733" s="3" t="n">
        <f aca="false">COUNTIFS($B$2:$B$4077,B733,$C$2:$C$4077,C733,$I$2:$I$4077,I733)</f>
        <v>1</v>
      </c>
      <c r="L733" s="3" t="n">
        <f aca="false">IF(COUNTIFS($B$2:B733,B733,$C$2:C733,C733,$I$2:I733,I733)=1,1,0)</f>
        <v>1</v>
      </c>
      <c r="M733" s="3" t="n">
        <f aca="false">IF(K733&gt;=Parametri!$B$1,1,0)</f>
        <v>0</v>
      </c>
      <c r="N733" s="3" t="n">
        <f aca="false">L733*M733</f>
        <v>0</v>
      </c>
    </row>
    <row r="734" customFormat="false" ht="15" hidden="false" customHeight="false" outlineLevel="0" collapsed="false">
      <c r="A734" s="0" t="s">
        <v>1350</v>
      </c>
      <c r="B734" s="0" t="s">
        <v>50</v>
      </c>
      <c r="C734" s="0" t="s">
        <v>1351</v>
      </c>
      <c r="D734" s="0" t="s">
        <v>19</v>
      </c>
      <c r="E734" s="2" t="n">
        <v>45982</v>
      </c>
      <c r="F734" s="3" t="s">
        <v>20</v>
      </c>
      <c r="G734" s="3" t="s">
        <v>21</v>
      </c>
      <c r="H734" s="3" t="s">
        <v>48</v>
      </c>
      <c r="I734" s="3" t="n">
        <f aca="false">YEAR(E734)</f>
        <v>2025</v>
      </c>
      <c r="J734" s="3" t="n">
        <f aca="false">MONTH(E734)</f>
        <v>11</v>
      </c>
      <c r="K734" s="3" t="n">
        <f aca="false">COUNTIFS($B$2:$B$4077,B734,$C$2:$C$4077,C734,$I$2:$I$4077,I734)</f>
        <v>1</v>
      </c>
      <c r="L734" s="3" t="n">
        <f aca="false">IF(COUNTIFS($B$2:B734,B734,$C$2:C734,C734,$I$2:I734,I734)=1,1,0)</f>
        <v>1</v>
      </c>
      <c r="M734" s="3" t="n">
        <f aca="false">IF(K734&gt;=Parametri!$B$1,1,0)</f>
        <v>0</v>
      </c>
      <c r="N734" s="3" t="n">
        <f aca="false">L734*M734</f>
        <v>0</v>
      </c>
    </row>
    <row r="735" customFormat="false" ht="15" hidden="false" customHeight="false" outlineLevel="0" collapsed="false">
      <c r="A735" s="0" t="s">
        <v>1352</v>
      </c>
      <c r="B735" s="0" t="s">
        <v>68</v>
      </c>
      <c r="C735" s="0" t="s">
        <v>1353</v>
      </c>
      <c r="D735" s="0" t="s">
        <v>26</v>
      </c>
      <c r="E735" s="2" t="n">
        <v>46254</v>
      </c>
      <c r="F735" s="3" t="s">
        <v>20</v>
      </c>
      <c r="G735" s="3" t="s">
        <v>35</v>
      </c>
      <c r="H735" s="3" t="s">
        <v>44</v>
      </c>
      <c r="I735" s="3" t="n">
        <f aca="false">YEAR(E735)</f>
        <v>2026</v>
      </c>
      <c r="J735" s="3" t="n">
        <f aca="false">MONTH(E735)</f>
        <v>8</v>
      </c>
      <c r="K735" s="3" t="n">
        <f aca="false">COUNTIFS($B$2:$B$4077,B735,$C$2:$C$4077,C735,$I$2:$I$4077,I735)</f>
        <v>1</v>
      </c>
      <c r="L735" s="3" t="n">
        <f aca="false">IF(COUNTIFS($B$2:B735,B735,$C$2:C735,C735,$I$2:I735,I735)=1,1,0)</f>
        <v>1</v>
      </c>
      <c r="M735" s="3" t="n">
        <f aca="false">IF(K735&gt;=Parametri!$B$1,1,0)</f>
        <v>0</v>
      </c>
      <c r="N735" s="3" t="n">
        <f aca="false">L735*M735</f>
        <v>0</v>
      </c>
    </row>
    <row r="736" customFormat="false" ht="15" hidden="false" customHeight="false" outlineLevel="0" collapsed="false">
      <c r="A736" s="0" t="s">
        <v>1354</v>
      </c>
      <c r="B736" s="0" t="s">
        <v>24</v>
      </c>
      <c r="C736" s="0" t="s">
        <v>1355</v>
      </c>
      <c r="D736" s="0" t="s">
        <v>77</v>
      </c>
      <c r="E736" s="2" t="n">
        <v>45873</v>
      </c>
      <c r="F736" s="3" t="s">
        <v>20</v>
      </c>
      <c r="G736" s="3" t="s">
        <v>39</v>
      </c>
      <c r="H736" s="3" t="s">
        <v>29</v>
      </c>
      <c r="I736" s="3" t="n">
        <f aca="false">YEAR(E736)</f>
        <v>2025</v>
      </c>
      <c r="J736" s="3" t="n">
        <f aca="false">MONTH(E736)</f>
        <v>8</v>
      </c>
      <c r="K736" s="3" t="n">
        <f aca="false">COUNTIFS($B$2:$B$4077,B736,$C$2:$C$4077,C736,$I$2:$I$4077,I736)</f>
        <v>1</v>
      </c>
      <c r="L736" s="3" t="n">
        <f aca="false">IF(COUNTIFS($B$2:B736,B736,$C$2:C736,C736,$I$2:I736,I736)=1,1,0)</f>
        <v>1</v>
      </c>
      <c r="M736" s="3" t="n">
        <f aca="false">IF(K736&gt;=Parametri!$B$1,1,0)</f>
        <v>0</v>
      </c>
      <c r="N736" s="3" t="n">
        <f aca="false">L736*M736</f>
        <v>0</v>
      </c>
    </row>
    <row r="737" customFormat="false" ht="15" hidden="false" customHeight="false" outlineLevel="0" collapsed="false">
      <c r="A737" s="0" t="s">
        <v>1356</v>
      </c>
      <c r="B737" s="0" t="s">
        <v>31</v>
      </c>
      <c r="C737" s="0" t="s">
        <v>1016</v>
      </c>
      <c r="D737" s="0" t="s">
        <v>54</v>
      </c>
      <c r="E737" s="2" t="n">
        <v>45363</v>
      </c>
      <c r="F737" s="3" t="s">
        <v>20</v>
      </c>
      <c r="G737" s="3" t="s">
        <v>72</v>
      </c>
      <c r="H737" s="3" t="s">
        <v>44</v>
      </c>
      <c r="I737" s="3" t="n">
        <f aca="false">YEAR(E737)</f>
        <v>2024</v>
      </c>
      <c r="J737" s="3" t="n">
        <f aca="false">MONTH(E737)</f>
        <v>3</v>
      </c>
      <c r="K737" s="3" t="n">
        <f aca="false">COUNTIFS($B$2:$B$4077,B737,$C$2:$C$4077,C737,$I$2:$I$4077,I737)</f>
        <v>1</v>
      </c>
      <c r="L737" s="3" t="n">
        <f aca="false">IF(COUNTIFS($B$2:B737,B737,$C$2:C737,C737,$I$2:I737,I737)=1,1,0)</f>
        <v>1</v>
      </c>
      <c r="M737" s="3" t="n">
        <f aca="false">IF(K737&gt;=Parametri!$B$1,1,0)</f>
        <v>0</v>
      </c>
      <c r="N737" s="3" t="n">
        <f aca="false">L737*M737</f>
        <v>0</v>
      </c>
    </row>
    <row r="738" customFormat="false" ht="15" hidden="false" customHeight="false" outlineLevel="0" collapsed="false">
      <c r="A738" s="0" t="s">
        <v>1357</v>
      </c>
      <c r="B738" s="0" t="s">
        <v>50</v>
      </c>
      <c r="C738" s="0" t="s">
        <v>362</v>
      </c>
      <c r="D738" s="0" t="s">
        <v>33</v>
      </c>
      <c r="E738" s="2" t="n">
        <v>45406</v>
      </c>
      <c r="F738" s="3" t="s">
        <v>20</v>
      </c>
      <c r="G738" s="3" t="s">
        <v>55</v>
      </c>
      <c r="H738" s="3" t="s">
        <v>44</v>
      </c>
      <c r="I738" s="3" t="n">
        <f aca="false">YEAR(E738)</f>
        <v>2024</v>
      </c>
      <c r="J738" s="3" t="n">
        <f aca="false">MONTH(E738)</f>
        <v>4</v>
      </c>
      <c r="K738" s="3" t="n">
        <f aca="false">COUNTIFS($B$2:$B$4077,B738,$C$2:$C$4077,C738,$I$2:$I$4077,I738)</f>
        <v>2</v>
      </c>
      <c r="L738" s="3" t="n">
        <f aca="false">IF(COUNTIFS($B$2:B738,B738,$C$2:C738,C738,$I$2:I738,I738)=1,1,0)</f>
        <v>1</v>
      </c>
      <c r="M738" s="3" t="n">
        <f aca="false">IF(K738&gt;=Parametri!$B$1,1,0)</f>
        <v>1</v>
      </c>
      <c r="N738" s="3" t="n">
        <f aca="false">L738*M738</f>
        <v>1</v>
      </c>
    </row>
    <row r="739" customFormat="false" ht="15" hidden="false" customHeight="false" outlineLevel="0" collapsed="false">
      <c r="A739" s="0" t="s">
        <v>1358</v>
      </c>
      <c r="B739" s="0" t="s">
        <v>46</v>
      </c>
      <c r="C739" s="0" t="s">
        <v>1359</v>
      </c>
      <c r="D739" s="0" t="s">
        <v>66</v>
      </c>
      <c r="E739" s="2" t="n">
        <v>45794</v>
      </c>
      <c r="F739" s="3" t="s">
        <v>27</v>
      </c>
      <c r="G739" s="3" t="s">
        <v>43</v>
      </c>
      <c r="H739" s="3" t="s">
        <v>29</v>
      </c>
      <c r="I739" s="3" t="n">
        <f aca="false">YEAR(E739)</f>
        <v>2025</v>
      </c>
      <c r="J739" s="3" t="n">
        <f aca="false">MONTH(E739)</f>
        <v>5</v>
      </c>
      <c r="K739" s="3" t="n">
        <f aca="false">COUNTIFS($B$2:$B$4077,B739,$C$2:$C$4077,C739,$I$2:$I$4077,I739)</f>
        <v>1</v>
      </c>
      <c r="L739" s="3" t="n">
        <f aca="false">IF(COUNTIFS($B$2:B739,B739,$C$2:C739,C739,$I$2:I739,I739)=1,1,0)</f>
        <v>1</v>
      </c>
      <c r="M739" s="3" t="n">
        <f aca="false">IF(K739&gt;=Parametri!$B$1,1,0)</f>
        <v>0</v>
      </c>
      <c r="N739" s="3" t="n">
        <f aca="false">L739*M739</f>
        <v>0</v>
      </c>
    </row>
    <row r="740" customFormat="false" ht="15" hidden="false" customHeight="false" outlineLevel="0" collapsed="false">
      <c r="A740" s="0" t="s">
        <v>1360</v>
      </c>
      <c r="B740" s="0" t="s">
        <v>17</v>
      </c>
      <c r="C740" s="0" t="s">
        <v>897</v>
      </c>
      <c r="D740" s="0" t="s">
        <v>38</v>
      </c>
      <c r="E740" s="2" t="n">
        <v>45380</v>
      </c>
      <c r="F740" s="3" t="s">
        <v>20</v>
      </c>
      <c r="G740" s="3" t="s">
        <v>28</v>
      </c>
      <c r="H740" s="3" t="s">
        <v>29</v>
      </c>
      <c r="I740" s="3" t="n">
        <f aca="false">YEAR(E740)</f>
        <v>2024</v>
      </c>
      <c r="J740" s="3" t="n">
        <f aca="false">MONTH(E740)</f>
        <v>3</v>
      </c>
      <c r="K740" s="3" t="n">
        <f aca="false">COUNTIFS($B$2:$B$4077,B740,$C$2:$C$4077,C740,$I$2:$I$4077,I740)</f>
        <v>2</v>
      </c>
      <c r="L740" s="3" t="n">
        <f aca="false">IF(COUNTIFS($B$2:B740,B740,$C$2:C740,C740,$I$2:I740,I740)=1,1,0)</f>
        <v>0</v>
      </c>
      <c r="M740" s="3" t="n">
        <f aca="false">IF(K740&gt;=Parametri!$B$1,1,0)</f>
        <v>1</v>
      </c>
      <c r="N740" s="3" t="n">
        <f aca="false">L740*M740</f>
        <v>0</v>
      </c>
    </row>
    <row r="741" customFormat="false" ht="15" hidden="false" customHeight="false" outlineLevel="0" collapsed="false">
      <c r="A741" s="0" t="s">
        <v>1361</v>
      </c>
      <c r="B741" s="0" t="s">
        <v>79</v>
      </c>
      <c r="C741" s="0" t="s">
        <v>471</v>
      </c>
      <c r="D741" s="0" t="s">
        <v>54</v>
      </c>
      <c r="E741" s="2" t="n">
        <v>45354</v>
      </c>
      <c r="F741" s="3" t="s">
        <v>20</v>
      </c>
      <c r="G741" s="3" t="s">
        <v>89</v>
      </c>
      <c r="H741" s="3" t="s">
        <v>22</v>
      </c>
      <c r="I741" s="3" t="n">
        <f aca="false">YEAR(E741)</f>
        <v>2024</v>
      </c>
      <c r="J741" s="3" t="n">
        <f aca="false">MONTH(E741)</f>
        <v>3</v>
      </c>
      <c r="K741" s="3" t="n">
        <f aca="false">COUNTIFS($B$2:$B$4077,B741,$C$2:$C$4077,C741,$I$2:$I$4077,I741)</f>
        <v>2</v>
      </c>
      <c r="L741" s="3" t="n">
        <f aca="false">IF(COUNTIFS($B$2:B741,B741,$C$2:C741,C741,$I$2:I741,I741)=1,1,0)</f>
        <v>0</v>
      </c>
      <c r="M741" s="3" t="n">
        <f aca="false">IF(K741&gt;=Parametri!$B$1,1,0)</f>
        <v>1</v>
      </c>
      <c r="N741" s="3" t="n">
        <f aca="false">L741*M741</f>
        <v>0</v>
      </c>
    </row>
    <row r="742" customFormat="false" ht="15" hidden="false" customHeight="false" outlineLevel="0" collapsed="false">
      <c r="A742" s="0" t="s">
        <v>1362</v>
      </c>
      <c r="B742" s="0" t="s">
        <v>68</v>
      </c>
      <c r="C742" s="0" t="s">
        <v>243</v>
      </c>
      <c r="D742" s="0" t="s">
        <v>63</v>
      </c>
      <c r="E742" s="2" t="n">
        <v>45752</v>
      </c>
      <c r="F742" s="3" t="s">
        <v>20</v>
      </c>
      <c r="G742" s="3" t="s">
        <v>89</v>
      </c>
      <c r="H742" s="3" t="s">
        <v>29</v>
      </c>
      <c r="I742" s="3" t="n">
        <f aca="false">YEAR(E742)</f>
        <v>2025</v>
      </c>
      <c r="J742" s="3" t="n">
        <f aca="false">MONTH(E742)</f>
        <v>4</v>
      </c>
      <c r="K742" s="3" t="n">
        <f aca="false">COUNTIFS($B$2:$B$4077,B742,$C$2:$C$4077,C742,$I$2:$I$4077,I742)</f>
        <v>4</v>
      </c>
      <c r="L742" s="3" t="n">
        <f aca="false">IF(COUNTIFS($B$2:B742,B742,$C$2:C742,C742,$I$2:I742,I742)=1,1,0)</f>
        <v>0</v>
      </c>
      <c r="M742" s="3" t="n">
        <f aca="false">IF(K742&gt;=Parametri!$B$1,1,0)</f>
        <v>1</v>
      </c>
      <c r="N742" s="3" t="n">
        <f aca="false">L742*M742</f>
        <v>0</v>
      </c>
    </row>
    <row r="743" customFormat="false" ht="15" hidden="false" customHeight="false" outlineLevel="0" collapsed="false">
      <c r="A743" s="0" t="s">
        <v>1363</v>
      </c>
      <c r="B743" s="0" t="s">
        <v>124</v>
      </c>
      <c r="C743" s="0" t="s">
        <v>1364</v>
      </c>
      <c r="D743" s="0" t="s">
        <v>63</v>
      </c>
      <c r="E743" s="2" t="n">
        <v>45682</v>
      </c>
      <c r="F743" s="3" t="s">
        <v>20</v>
      </c>
      <c r="G743" s="3" t="s">
        <v>39</v>
      </c>
      <c r="H743" s="3" t="s">
        <v>29</v>
      </c>
      <c r="I743" s="3" t="n">
        <f aca="false">YEAR(E743)</f>
        <v>2025</v>
      </c>
      <c r="J743" s="3" t="n">
        <f aca="false">MONTH(E743)</f>
        <v>1</v>
      </c>
      <c r="K743" s="3" t="n">
        <f aca="false">COUNTIFS($B$2:$B$4077,B743,$C$2:$C$4077,C743,$I$2:$I$4077,I743)</f>
        <v>2</v>
      </c>
      <c r="L743" s="3" t="n">
        <f aca="false">IF(COUNTIFS($B$2:B743,B743,$C$2:C743,C743,$I$2:I743,I743)=1,1,0)</f>
        <v>1</v>
      </c>
      <c r="M743" s="3" t="n">
        <f aca="false">IF(K743&gt;=Parametri!$B$1,1,0)</f>
        <v>1</v>
      </c>
      <c r="N743" s="3" t="n">
        <f aca="false">L743*M743</f>
        <v>1</v>
      </c>
    </row>
    <row r="744" customFormat="false" ht="15" hidden="false" customHeight="false" outlineLevel="0" collapsed="false">
      <c r="A744" s="0" t="s">
        <v>1365</v>
      </c>
      <c r="B744" s="0" t="s">
        <v>79</v>
      </c>
      <c r="C744" s="0" t="s">
        <v>1366</v>
      </c>
      <c r="D744" s="0" t="s">
        <v>63</v>
      </c>
      <c r="E744" s="2" t="n">
        <v>45790</v>
      </c>
      <c r="F744" s="3" t="s">
        <v>20</v>
      </c>
      <c r="G744" s="3" t="s">
        <v>35</v>
      </c>
      <c r="H744" s="3" t="s">
        <v>44</v>
      </c>
      <c r="I744" s="3" t="n">
        <f aca="false">YEAR(E744)</f>
        <v>2025</v>
      </c>
      <c r="J744" s="3" t="n">
        <f aca="false">MONTH(E744)</f>
        <v>5</v>
      </c>
      <c r="K744" s="3" t="n">
        <f aca="false">COUNTIFS($B$2:$B$4077,B744,$C$2:$C$4077,C744,$I$2:$I$4077,I744)</f>
        <v>5</v>
      </c>
      <c r="L744" s="3" t="n">
        <f aca="false">IF(COUNTIFS($B$2:B744,B744,$C$2:C744,C744,$I$2:I744,I744)=1,1,0)</f>
        <v>1</v>
      </c>
      <c r="M744" s="3" t="n">
        <f aca="false">IF(K744&gt;=Parametri!$B$1,1,0)</f>
        <v>1</v>
      </c>
      <c r="N744" s="3" t="n">
        <f aca="false">L744*M744</f>
        <v>1</v>
      </c>
    </row>
    <row r="745" customFormat="false" ht="15" hidden="false" customHeight="false" outlineLevel="0" collapsed="false">
      <c r="A745" s="0" t="s">
        <v>1367</v>
      </c>
      <c r="B745" s="0" t="s">
        <v>68</v>
      </c>
      <c r="C745" s="0" t="s">
        <v>1368</v>
      </c>
      <c r="D745" s="0" t="s">
        <v>26</v>
      </c>
      <c r="E745" s="2" t="n">
        <v>45617</v>
      </c>
      <c r="F745" s="3" t="s">
        <v>34</v>
      </c>
      <c r="G745" s="3" t="s">
        <v>89</v>
      </c>
      <c r="H745" s="3" t="s">
        <v>29</v>
      </c>
      <c r="I745" s="3" t="n">
        <f aca="false">YEAR(E745)</f>
        <v>2024</v>
      </c>
      <c r="J745" s="3" t="n">
        <f aca="false">MONTH(E745)</f>
        <v>11</v>
      </c>
      <c r="K745" s="3" t="n">
        <f aca="false">COUNTIFS($B$2:$B$4077,B745,$C$2:$C$4077,C745,$I$2:$I$4077,I745)</f>
        <v>1</v>
      </c>
      <c r="L745" s="3" t="n">
        <f aca="false">IF(COUNTIFS($B$2:B745,B745,$C$2:C745,C745,$I$2:I745,I745)=1,1,0)</f>
        <v>1</v>
      </c>
      <c r="M745" s="3" t="n">
        <f aca="false">IF(K745&gt;=Parametri!$B$1,1,0)</f>
        <v>0</v>
      </c>
      <c r="N745" s="3" t="n">
        <f aca="false">L745*M745</f>
        <v>0</v>
      </c>
    </row>
    <row r="746" customFormat="false" ht="15" hidden="false" customHeight="false" outlineLevel="0" collapsed="false">
      <c r="A746" s="0" t="s">
        <v>1369</v>
      </c>
      <c r="B746" s="0" t="s">
        <v>41</v>
      </c>
      <c r="C746" s="0" t="s">
        <v>1370</v>
      </c>
      <c r="D746" s="0" t="s">
        <v>63</v>
      </c>
      <c r="E746" s="2" t="n">
        <v>45402</v>
      </c>
      <c r="F746" s="3" t="s">
        <v>27</v>
      </c>
      <c r="G746" s="3" t="s">
        <v>72</v>
      </c>
      <c r="H746" s="3" t="s">
        <v>29</v>
      </c>
      <c r="I746" s="3" t="n">
        <f aca="false">YEAR(E746)</f>
        <v>2024</v>
      </c>
      <c r="J746" s="3" t="n">
        <f aca="false">MONTH(E746)</f>
        <v>4</v>
      </c>
      <c r="K746" s="3" t="n">
        <f aca="false">COUNTIFS($B$2:$B$4077,B746,$C$2:$C$4077,C746,$I$2:$I$4077,I746)</f>
        <v>1</v>
      </c>
      <c r="L746" s="3" t="n">
        <f aca="false">IF(COUNTIFS($B$2:B746,B746,$C$2:C746,C746,$I$2:I746,I746)=1,1,0)</f>
        <v>1</v>
      </c>
      <c r="M746" s="3" t="n">
        <f aca="false">IF(K746&gt;=Parametri!$B$1,1,0)</f>
        <v>0</v>
      </c>
      <c r="N746" s="3" t="n">
        <f aca="false">L746*M746</f>
        <v>0</v>
      </c>
    </row>
    <row r="747" customFormat="false" ht="15" hidden="false" customHeight="false" outlineLevel="0" collapsed="false">
      <c r="A747" s="0" t="s">
        <v>1371</v>
      </c>
      <c r="B747" s="0" t="s">
        <v>17</v>
      </c>
      <c r="C747" s="0" t="s">
        <v>208</v>
      </c>
      <c r="D747" s="0" t="s">
        <v>19</v>
      </c>
      <c r="E747" s="2" t="n">
        <v>45781</v>
      </c>
      <c r="F747" s="3" t="s">
        <v>27</v>
      </c>
      <c r="G747" s="3" t="s">
        <v>43</v>
      </c>
      <c r="H747" s="3" t="s">
        <v>29</v>
      </c>
      <c r="I747" s="3" t="n">
        <f aca="false">YEAR(E747)</f>
        <v>2025</v>
      </c>
      <c r="J747" s="3" t="n">
        <f aca="false">MONTH(E747)</f>
        <v>5</v>
      </c>
      <c r="K747" s="3" t="n">
        <f aca="false">COUNTIFS($B$2:$B$4077,B747,$C$2:$C$4077,C747,$I$2:$I$4077,I747)</f>
        <v>4</v>
      </c>
      <c r="L747" s="3" t="n">
        <f aca="false">IF(COUNTIFS($B$2:B747,B747,$C$2:C747,C747,$I$2:I747,I747)=1,1,0)</f>
        <v>1</v>
      </c>
      <c r="M747" s="3" t="n">
        <f aca="false">IF(K747&gt;=Parametri!$B$1,1,0)</f>
        <v>1</v>
      </c>
      <c r="N747" s="3" t="n">
        <f aca="false">L747*M747</f>
        <v>1</v>
      </c>
    </row>
    <row r="748" customFormat="false" ht="15" hidden="false" customHeight="false" outlineLevel="0" collapsed="false">
      <c r="A748" s="0" t="s">
        <v>1372</v>
      </c>
      <c r="B748" s="0" t="s">
        <v>57</v>
      </c>
      <c r="C748" s="0" t="s">
        <v>1373</v>
      </c>
      <c r="D748" s="0" t="s">
        <v>63</v>
      </c>
      <c r="E748" s="2" t="n">
        <v>45326</v>
      </c>
      <c r="F748" s="3" t="s">
        <v>27</v>
      </c>
      <c r="G748" s="3" t="s">
        <v>35</v>
      </c>
      <c r="H748" s="3" t="s">
        <v>44</v>
      </c>
      <c r="I748" s="3" t="n">
        <f aca="false">YEAR(E748)</f>
        <v>2024</v>
      </c>
      <c r="J748" s="3" t="n">
        <f aca="false">MONTH(E748)</f>
        <v>2</v>
      </c>
      <c r="K748" s="3" t="n">
        <f aca="false">COUNTIFS($B$2:$B$4077,B748,$C$2:$C$4077,C748,$I$2:$I$4077,I748)</f>
        <v>1</v>
      </c>
      <c r="L748" s="3" t="n">
        <f aca="false">IF(COUNTIFS($B$2:B748,B748,$C$2:C748,C748,$I$2:I748,I748)=1,1,0)</f>
        <v>1</v>
      </c>
      <c r="M748" s="3" t="n">
        <f aca="false">IF(K748&gt;=Parametri!$B$1,1,0)</f>
        <v>0</v>
      </c>
      <c r="N748" s="3" t="n">
        <f aca="false">L748*M748</f>
        <v>0</v>
      </c>
    </row>
    <row r="749" customFormat="false" ht="15" hidden="false" customHeight="false" outlineLevel="0" collapsed="false">
      <c r="A749" s="0" t="s">
        <v>1374</v>
      </c>
      <c r="B749" s="0" t="s">
        <v>17</v>
      </c>
      <c r="C749" s="0" t="s">
        <v>1375</v>
      </c>
      <c r="D749" s="0" t="s">
        <v>19</v>
      </c>
      <c r="E749" s="2" t="n">
        <v>45680</v>
      </c>
      <c r="F749" s="3" t="s">
        <v>34</v>
      </c>
      <c r="G749" s="3" t="s">
        <v>21</v>
      </c>
      <c r="H749" s="3" t="s">
        <v>22</v>
      </c>
      <c r="I749" s="3" t="n">
        <f aca="false">YEAR(E749)</f>
        <v>2025</v>
      </c>
      <c r="J749" s="3" t="n">
        <f aca="false">MONTH(E749)</f>
        <v>1</v>
      </c>
      <c r="K749" s="3" t="n">
        <f aca="false">COUNTIFS($B$2:$B$4077,B749,$C$2:$C$4077,C749,$I$2:$I$4077,I749)</f>
        <v>1</v>
      </c>
      <c r="L749" s="3" t="n">
        <f aca="false">IF(COUNTIFS($B$2:B749,B749,$C$2:C749,C749,$I$2:I749,I749)=1,1,0)</f>
        <v>1</v>
      </c>
      <c r="M749" s="3" t="n">
        <f aca="false">IF(K749&gt;=Parametri!$B$1,1,0)</f>
        <v>0</v>
      </c>
      <c r="N749" s="3" t="n">
        <f aca="false">L749*M749</f>
        <v>0</v>
      </c>
    </row>
    <row r="750" customFormat="false" ht="15" hidden="false" customHeight="false" outlineLevel="0" collapsed="false">
      <c r="A750" s="0" t="s">
        <v>1376</v>
      </c>
      <c r="B750" s="0" t="s">
        <v>50</v>
      </c>
      <c r="C750" s="0" t="s">
        <v>533</v>
      </c>
      <c r="D750" s="0" t="s">
        <v>33</v>
      </c>
      <c r="E750" s="2" t="n">
        <v>46118</v>
      </c>
      <c r="F750" s="3" t="s">
        <v>20</v>
      </c>
      <c r="G750" s="3" t="s">
        <v>43</v>
      </c>
      <c r="H750" s="3" t="s">
        <v>44</v>
      </c>
      <c r="I750" s="3" t="n">
        <f aca="false">YEAR(E750)</f>
        <v>2026</v>
      </c>
      <c r="J750" s="3" t="n">
        <f aca="false">MONTH(E750)</f>
        <v>4</v>
      </c>
      <c r="K750" s="3" t="n">
        <f aca="false">COUNTIFS($B$2:$B$4077,B750,$C$2:$C$4077,C750,$I$2:$I$4077,I750)</f>
        <v>3</v>
      </c>
      <c r="L750" s="3" t="n">
        <f aca="false">IF(COUNTIFS($B$2:B750,B750,$C$2:C750,C750,$I$2:I750,I750)=1,1,0)</f>
        <v>1</v>
      </c>
      <c r="M750" s="3" t="n">
        <f aca="false">IF(K750&gt;=Parametri!$B$1,1,0)</f>
        <v>1</v>
      </c>
      <c r="N750" s="3" t="n">
        <f aca="false">L750*M750</f>
        <v>1</v>
      </c>
    </row>
    <row r="751" customFormat="false" ht="15" hidden="false" customHeight="false" outlineLevel="0" collapsed="false">
      <c r="A751" s="0" t="s">
        <v>1377</v>
      </c>
      <c r="B751" s="0" t="s">
        <v>124</v>
      </c>
      <c r="C751" s="0" t="s">
        <v>758</v>
      </c>
      <c r="D751" s="0" t="s">
        <v>66</v>
      </c>
      <c r="E751" s="2" t="n">
        <v>45794</v>
      </c>
      <c r="F751" s="3" t="s">
        <v>34</v>
      </c>
      <c r="G751" s="3" t="s">
        <v>28</v>
      </c>
      <c r="H751" s="3" t="s">
        <v>22</v>
      </c>
      <c r="I751" s="3" t="n">
        <f aca="false">YEAR(E751)</f>
        <v>2025</v>
      </c>
      <c r="J751" s="3" t="n">
        <f aca="false">MONTH(E751)</f>
        <v>5</v>
      </c>
      <c r="K751" s="3" t="n">
        <f aca="false">COUNTIFS($B$2:$B$4077,B751,$C$2:$C$4077,C751,$I$2:$I$4077,I751)</f>
        <v>3</v>
      </c>
      <c r="L751" s="3" t="n">
        <f aca="false">IF(COUNTIFS($B$2:B751,B751,$C$2:C751,C751,$I$2:I751,I751)=1,1,0)</f>
        <v>0</v>
      </c>
      <c r="M751" s="3" t="n">
        <f aca="false">IF(K751&gt;=Parametri!$B$1,1,0)</f>
        <v>1</v>
      </c>
      <c r="N751" s="3" t="n">
        <f aca="false">L751*M751</f>
        <v>0</v>
      </c>
    </row>
    <row r="752" customFormat="false" ht="15" hidden="false" customHeight="false" outlineLevel="0" collapsed="false">
      <c r="A752" s="0" t="s">
        <v>1378</v>
      </c>
      <c r="B752" s="0" t="s">
        <v>124</v>
      </c>
      <c r="C752" s="0" t="s">
        <v>290</v>
      </c>
      <c r="D752" s="0" t="s">
        <v>77</v>
      </c>
      <c r="E752" s="2" t="n">
        <v>46206</v>
      </c>
      <c r="F752" s="3" t="s">
        <v>20</v>
      </c>
      <c r="G752" s="3" t="s">
        <v>72</v>
      </c>
      <c r="H752" s="3" t="s">
        <v>48</v>
      </c>
      <c r="I752" s="3" t="n">
        <f aca="false">YEAR(E752)</f>
        <v>2026</v>
      </c>
      <c r="J752" s="3" t="n">
        <f aca="false">MONTH(E752)</f>
        <v>7</v>
      </c>
      <c r="K752" s="3" t="n">
        <f aca="false">COUNTIFS($B$2:$B$4077,B752,$C$2:$C$4077,C752,$I$2:$I$4077,I752)</f>
        <v>2</v>
      </c>
      <c r="L752" s="3" t="n">
        <f aca="false">IF(COUNTIFS($B$2:B752,B752,$C$2:C752,C752,$I$2:I752,I752)=1,1,0)</f>
        <v>0</v>
      </c>
      <c r="M752" s="3" t="n">
        <f aca="false">IF(K752&gt;=Parametri!$B$1,1,0)</f>
        <v>1</v>
      </c>
      <c r="N752" s="3" t="n">
        <f aca="false">L752*M752</f>
        <v>0</v>
      </c>
    </row>
    <row r="753" customFormat="false" ht="15" hidden="false" customHeight="false" outlineLevel="0" collapsed="false">
      <c r="A753" s="0" t="s">
        <v>1379</v>
      </c>
      <c r="B753" s="0" t="s">
        <v>46</v>
      </c>
      <c r="C753" s="0" t="s">
        <v>1380</v>
      </c>
      <c r="D753" s="0" t="s">
        <v>26</v>
      </c>
      <c r="E753" s="2" t="n">
        <v>45316</v>
      </c>
      <c r="F753" s="3" t="s">
        <v>20</v>
      </c>
      <c r="G753" s="3" t="s">
        <v>39</v>
      </c>
      <c r="H753" s="3" t="s">
        <v>44</v>
      </c>
      <c r="I753" s="3" t="n">
        <f aca="false">YEAR(E753)</f>
        <v>2024</v>
      </c>
      <c r="J753" s="3" t="n">
        <f aca="false">MONTH(E753)</f>
        <v>1</v>
      </c>
      <c r="K753" s="3" t="n">
        <f aca="false">COUNTIFS($B$2:$B$4077,B753,$C$2:$C$4077,C753,$I$2:$I$4077,I753)</f>
        <v>1</v>
      </c>
      <c r="L753" s="3" t="n">
        <f aca="false">IF(COUNTIFS($B$2:B753,B753,$C$2:C753,C753,$I$2:I753,I753)=1,1,0)</f>
        <v>1</v>
      </c>
      <c r="M753" s="3" t="n">
        <f aca="false">IF(K753&gt;=Parametri!$B$1,1,0)</f>
        <v>0</v>
      </c>
      <c r="N753" s="3" t="n">
        <f aca="false">L753*M753</f>
        <v>0</v>
      </c>
    </row>
    <row r="754" customFormat="false" ht="15" hidden="false" customHeight="false" outlineLevel="0" collapsed="false">
      <c r="A754" s="0" t="s">
        <v>1381</v>
      </c>
      <c r="B754" s="0" t="s">
        <v>57</v>
      </c>
      <c r="C754" s="0" t="s">
        <v>425</v>
      </c>
      <c r="D754" s="0" t="s">
        <v>19</v>
      </c>
      <c r="E754" s="2" t="n">
        <v>45522</v>
      </c>
      <c r="F754" s="3" t="s">
        <v>20</v>
      </c>
      <c r="G754" s="3" t="s">
        <v>21</v>
      </c>
      <c r="H754" s="3" t="s">
        <v>29</v>
      </c>
      <c r="I754" s="3" t="n">
        <f aca="false">YEAR(E754)</f>
        <v>2024</v>
      </c>
      <c r="J754" s="3" t="n">
        <f aca="false">MONTH(E754)</f>
        <v>8</v>
      </c>
      <c r="K754" s="3" t="n">
        <f aca="false">COUNTIFS($B$2:$B$4077,B754,$C$2:$C$4077,C754,$I$2:$I$4077,I754)</f>
        <v>3</v>
      </c>
      <c r="L754" s="3" t="n">
        <f aca="false">IF(COUNTIFS($B$2:B754,B754,$C$2:C754,C754,$I$2:I754,I754)=1,1,0)</f>
        <v>1</v>
      </c>
      <c r="M754" s="3" t="n">
        <f aca="false">IF(K754&gt;=Parametri!$B$1,1,0)</f>
        <v>1</v>
      </c>
      <c r="N754" s="3" t="n">
        <f aca="false">L754*M754</f>
        <v>1</v>
      </c>
    </row>
    <row r="755" customFormat="false" ht="15" hidden="false" customHeight="false" outlineLevel="0" collapsed="false">
      <c r="A755" s="0" t="s">
        <v>1382</v>
      </c>
      <c r="B755" s="0" t="s">
        <v>79</v>
      </c>
      <c r="C755" s="0" t="s">
        <v>182</v>
      </c>
      <c r="D755" s="0" t="s">
        <v>26</v>
      </c>
      <c r="E755" s="2" t="n">
        <v>45900</v>
      </c>
      <c r="F755" s="3" t="s">
        <v>27</v>
      </c>
      <c r="G755" s="3" t="s">
        <v>28</v>
      </c>
      <c r="H755" s="3" t="s">
        <v>44</v>
      </c>
      <c r="I755" s="3" t="n">
        <f aca="false">YEAR(E755)</f>
        <v>2025</v>
      </c>
      <c r="J755" s="3" t="n">
        <f aca="false">MONTH(E755)</f>
        <v>8</v>
      </c>
      <c r="K755" s="3" t="n">
        <f aca="false">COUNTIFS($B$2:$B$4077,B755,$C$2:$C$4077,C755,$I$2:$I$4077,I755)</f>
        <v>4</v>
      </c>
      <c r="L755" s="3" t="n">
        <f aca="false">IF(COUNTIFS($B$2:B755,B755,$C$2:C755,C755,$I$2:I755,I755)=1,1,0)</f>
        <v>0</v>
      </c>
      <c r="M755" s="3" t="n">
        <f aca="false">IF(K755&gt;=Parametri!$B$1,1,0)</f>
        <v>1</v>
      </c>
      <c r="N755" s="3" t="n">
        <f aca="false">L755*M755</f>
        <v>0</v>
      </c>
    </row>
    <row r="756" customFormat="false" ht="15" hidden="false" customHeight="false" outlineLevel="0" collapsed="false">
      <c r="A756" s="0" t="s">
        <v>1383</v>
      </c>
      <c r="B756" s="0" t="s">
        <v>41</v>
      </c>
      <c r="C756" s="0" t="s">
        <v>1384</v>
      </c>
      <c r="D756" s="0" t="s">
        <v>66</v>
      </c>
      <c r="E756" s="2" t="n">
        <v>45874</v>
      </c>
      <c r="F756" s="3" t="s">
        <v>27</v>
      </c>
      <c r="G756" s="3" t="s">
        <v>21</v>
      </c>
      <c r="H756" s="3" t="s">
        <v>48</v>
      </c>
      <c r="I756" s="3" t="n">
        <f aca="false">YEAR(E756)</f>
        <v>2025</v>
      </c>
      <c r="J756" s="3" t="n">
        <f aca="false">MONTH(E756)</f>
        <v>8</v>
      </c>
      <c r="K756" s="3" t="n">
        <f aca="false">COUNTIFS($B$2:$B$4077,B756,$C$2:$C$4077,C756,$I$2:$I$4077,I756)</f>
        <v>1</v>
      </c>
      <c r="L756" s="3" t="n">
        <f aca="false">IF(COUNTIFS($B$2:B756,B756,$C$2:C756,C756,$I$2:I756,I756)=1,1,0)</f>
        <v>1</v>
      </c>
      <c r="M756" s="3" t="n">
        <f aca="false">IF(K756&gt;=Parametri!$B$1,1,0)</f>
        <v>0</v>
      </c>
      <c r="N756" s="3" t="n">
        <f aca="false">L756*M756</f>
        <v>0</v>
      </c>
    </row>
    <row r="757" customFormat="false" ht="15" hidden="false" customHeight="false" outlineLevel="0" collapsed="false">
      <c r="A757" s="0" t="s">
        <v>1385</v>
      </c>
      <c r="B757" s="0" t="s">
        <v>79</v>
      </c>
      <c r="C757" s="0" t="s">
        <v>182</v>
      </c>
      <c r="D757" s="0" t="s">
        <v>77</v>
      </c>
      <c r="E757" s="2" t="n">
        <v>46152</v>
      </c>
      <c r="F757" s="3" t="s">
        <v>27</v>
      </c>
      <c r="G757" s="3" t="s">
        <v>39</v>
      </c>
      <c r="H757" s="3" t="s">
        <v>48</v>
      </c>
      <c r="I757" s="3" t="n">
        <f aca="false">YEAR(E757)</f>
        <v>2026</v>
      </c>
      <c r="J757" s="3" t="n">
        <f aca="false">MONTH(E757)</f>
        <v>5</v>
      </c>
      <c r="K757" s="3" t="n">
        <f aca="false">COUNTIFS($B$2:$B$4077,B757,$C$2:$C$4077,C757,$I$2:$I$4077,I757)</f>
        <v>1</v>
      </c>
      <c r="L757" s="3" t="n">
        <f aca="false">IF(COUNTIFS($B$2:B757,B757,$C$2:C757,C757,$I$2:I757,I757)=1,1,0)</f>
        <v>1</v>
      </c>
      <c r="M757" s="3" t="n">
        <f aca="false">IF(K757&gt;=Parametri!$B$1,1,0)</f>
        <v>0</v>
      </c>
      <c r="N757" s="3" t="n">
        <f aca="false">L757*M757</f>
        <v>0</v>
      </c>
    </row>
    <row r="758" customFormat="false" ht="15" hidden="false" customHeight="false" outlineLevel="0" collapsed="false">
      <c r="A758" s="0" t="s">
        <v>1386</v>
      </c>
      <c r="B758" s="0" t="s">
        <v>79</v>
      </c>
      <c r="C758" s="0" t="s">
        <v>1387</v>
      </c>
      <c r="D758" s="0" t="s">
        <v>54</v>
      </c>
      <c r="E758" s="2" t="n">
        <v>46088</v>
      </c>
      <c r="F758" s="3" t="s">
        <v>34</v>
      </c>
      <c r="G758" s="3" t="s">
        <v>39</v>
      </c>
      <c r="H758" s="3" t="s">
        <v>44</v>
      </c>
      <c r="I758" s="3" t="n">
        <f aca="false">YEAR(E758)</f>
        <v>2026</v>
      </c>
      <c r="J758" s="3" t="n">
        <f aca="false">MONTH(E758)</f>
        <v>3</v>
      </c>
      <c r="K758" s="3" t="n">
        <f aca="false">COUNTIFS($B$2:$B$4077,B758,$C$2:$C$4077,C758,$I$2:$I$4077,I758)</f>
        <v>1</v>
      </c>
      <c r="L758" s="3" t="n">
        <f aca="false">IF(COUNTIFS($B$2:B758,B758,$C$2:C758,C758,$I$2:I758,I758)=1,1,0)</f>
        <v>1</v>
      </c>
      <c r="M758" s="3" t="n">
        <f aca="false">IF(K758&gt;=Parametri!$B$1,1,0)</f>
        <v>0</v>
      </c>
      <c r="N758" s="3" t="n">
        <f aca="false">L758*M758</f>
        <v>0</v>
      </c>
    </row>
    <row r="759" customFormat="false" ht="15" hidden="false" customHeight="false" outlineLevel="0" collapsed="false">
      <c r="A759" s="0" t="s">
        <v>1388</v>
      </c>
      <c r="B759" s="0" t="s">
        <v>124</v>
      </c>
      <c r="C759" s="0" t="s">
        <v>1389</v>
      </c>
      <c r="D759" s="0" t="s">
        <v>54</v>
      </c>
      <c r="E759" s="2" t="n">
        <v>45704</v>
      </c>
      <c r="F759" s="3" t="s">
        <v>27</v>
      </c>
      <c r="G759" s="3" t="s">
        <v>28</v>
      </c>
      <c r="H759" s="3" t="s">
        <v>29</v>
      </c>
      <c r="I759" s="3" t="n">
        <f aca="false">YEAR(E759)</f>
        <v>2025</v>
      </c>
      <c r="J759" s="3" t="n">
        <f aca="false">MONTH(E759)</f>
        <v>2</v>
      </c>
      <c r="K759" s="3" t="n">
        <f aca="false">COUNTIFS($B$2:$B$4077,B759,$C$2:$C$4077,C759,$I$2:$I$4077,I759)</f>
        <v>2</v>
      </c>
      <c r="L759" s="3" t="n">
        <f aca="false">IF(COUNTIFS($B$2:B759,B759,$C$2:C759,C759,$I$2:I759,I759)=1,1,0)</f>
        <v>1</v>
      </c>
      <c r="M759" s="3" t="n">
        <f aca="false">IF(K759&gt;=Parametri!$B$1,1,0)</f>
        <v>1</v>
      </c>
      <c r="N759" s="3" t="n">
        <f aca="false">L759*M759</f>
        <v>1</v>
      </c>
    </row>
    <row r="760" customFormat="false" ht="15" hidden="false" customHeight="false" outlineLevel="0" collapsed="false">
      <c r="A760" s="0" t="s">
        <v>1390</v>
      </c>
      <c r="B760" s="0" t="s">
        <v>57</v>
      </c>
      <c r="C760" s="0" t="s">
        <v>1064</v>
      </c>
      <c r="D760" s="0" t="s">
        <v>19</v>
      </c>
      <c r="E760" s="2" t="n">
        <v>45768</v>
      </c>
      <c r="F760" s="3" t="s">
        <v>27</v>
      </c>
      <c r="G760" s="3" t="s">
        <v>104</v>
      </c>
      <c r="H760" s="3" t="s">
        <v>48</v>
      </c>
      <c r="I760" s="3" t="n">
        <f aca="false">YEAR(E760)</f>
        <v>2025</v>
      </c>
      <c r="J760" s="3" t="n">
        <f aca="false">MONTH(E760)</f>
        <v>4</v>
      </c>
      <c r="K760" s="3" t="n">
        <f aca="false">COUNTIFS($B$2:$B$4077,B760,$C$2:$C$4077,C760,$I$2:$I$4077,I760)</f>
        <v>3</v>
      </c>
      <c r="L760" s="3" t="n">
        <f aca="false">IF(COUNTIFS($B$2:B760,B760,$C$2:C760,C760,$I$2:I760,I760)=1,1,0)</f>
        <v>1</v>
      </c>
      <c r="M760" s="3" t="n">
        <f aca="false">IF(K760&gt;=Parametri!$B$1,1,0)</f>
        <v>1</v>
      </c>
      <c r="N760" s="3" t="n">
        <f aca="false">L760*M760</f>
        <v>1</v>
      </c>
    </row>
    <row r="761" customFormat="false" ht="15" hidden="false" customHeight="false" outlineLevel="0" collapsed="false">
      <c r="A761" s="0" t="s">
        <v>1391</v>
      </c>
      <c r="B761" s="0" t="s">
        <v>41</v>
      </c>
      <c r="C761" s="0" t="s">
        <v>1392</v>
      </c>
      <c r="D761" s="0" t="s">
        <v>77</v>
      </c>
      <c r="E761" s="2" t="n">
        <v>45755</v>
      </c>
      <c r="F761" s="3" t="s">
        <v>20</v>
      </c>
      <c r="G761" s="3" t="s">
        <v>43</v>
      </c>
      <c r="H761" s="3" t="s">
        <v>44</v>
      </c>
      <c r="I761" s="3" t="n">
        <f aca="false">YEAR(E761)</f>
        <v>2025</v>
      </c>
      <c r="J761" s="3" t="n">
        <f aca="false">MONTH(E761)</f>
        <v>4</v>
      </c>
      <c r="K761" s="3" t="n">
        <f aca="false">COUNTIFS($B$2:$B$4077,B761,$C$2:$C$4077,C761,$I$2:$I$4077,I761)</f>
        <v>2</v>
      </c>
      <c r="L761" s="3" t="n">
        <f aca="false">IF(COUNTIFS($B$2:B761,B761,$C$2:C761,C761,$I$2:I761,I761)=1,1,0)</f>
        <v>1</v>
      </c>
      <c r="M761" s="3" t="n">
        <f aca="false">IF(K761&gt;=Parametri!$B$1,1,0)</f>
        <v>1</v>
      </c>
      <c r="N761" s="3" t="n">
        <f aca="false">L761*M761</f>
        <v>1</v>
      </c>
    </row>
    <row r="762" customFormat="false" ht="15" hidden="false" customHeight="false" outlineLevel="0" collapsed="false">
      <c r="A762" s="0" t="s">
        <v>1393</v>
      </c>
      <c r="B762" s="0" t="s">
        <v>124</v>
      </c>
      <c r="C762" s="0" t="s">
        <v>292</v>
      </c>
      <c r="D762" s="0" t="s">
        <v>33</v>
      </c>
      <c r="E762" s="2" t="n">
        <v>46051</v>
      </c>
      <c r="F762" s="3" t="s">
        <v>34</v>
      </c>
      <c r="G762" s="3" t="s">
        <v>89</v>
      </c>
      <c r="H762" s="3" t="s">
        <v>22</v>
      </c>
      <c r="I762" s="3" t="n">
        <f aca="false">YEAR(E762)</f>
        <v>2026</v>
      </c>
      <c r="J762" s="3" t="n">
        <f aca="false">MONTH(E762)</f>
        <v>1</v>
      </c>
      <c r="K762" s="3" t="n">
        <f aca="false">COUNTIFS($B$2:$B$4077,B762,$C$2:$C$4077,C762,$I$2:$I$4077,I762)</f>
        <v>3</v>
      </c>
      <c r="L762" s="3" t="n">
        <f aca="false">IF(COUNTIFS($B$2:B762,B762,$C$2:C762,C762,$I$2:I762,I762)=1,1,0)</f>
        <v>1</v>
      </c>
      <c r="M762" s="3" t="n">
        <f aca="false">IF(K762&gt;=Parametri!$B$1,1,0)</f>
        <v>1</v>
      </c>
      <c r="N762" s="3" t="n">
        <f aca="false">L762*M762</f>
        <v>1</v>
      </c>
    </row>
    <row r="763" customFormat="false" ht="15" hidden="false" customHeight="false" outlineLevel="0" collapsed="false">
      <c r="A763" s="0" t="s">
        <v>1394</v>
      </c>
      <c r="B763" s="0" t="s">
        <v>17</v>
      </c>
      <c r="C763" s="0" t="s">
        <v>231</v>
      </c>
      <c r="D763" s="0" t="s">
        <v>33</v>
      </c>
      <c r="E763" s="2" t="n">
        <v>46047</v>
      </c>
      <c r="F763" s="3" t="s">
        <v>20</v>
      </c>
      <c r="G763" s="3" t="s">
        <v>43</v>
      </c>
      <c r="H763" s="3" t="s">
        <v>22</v>
      </c>
      <c r="I763" s="3" t="n">
        <f aca="false">YEAR(E763)</f>
        <v>2026</v>
      </c>
      <c r="J763" s="3" t="n">
        <f aca="false">MONTH(E763)</f>
        <v>1</v>
      </c>
      <c r="K763" s="3" t="n">
        <f aca="false">COUNTIFS($B$2:$B$4077,B763,$C$2:$C$4077,C763,$I$2:$I$4077,I763)</f>
        <v>3</v>
      </c>
      <c r="L763" s="3" t="n">
        <f aca="false">IF(COUNTIFS($B$2:B763,B763,$C$2:C763,C763,$I$2:I763,I763)=1,1,0)</f>
        <v>1</v>
      </c>
      <c r="M763" s="3" t="n">
        <f aca="false">IF(K763&gt;=Parametri!$B$1,1,0)</f>
        <v>1</v>
      </c>
      <c r="N763" s="3" t="n">
        <f aca="false">L763*M763</f>
        <v>1</v>
      </c>
    </row>
    <row r="764" customFormat="false" ht="15" hidden="false" customHeight="false" outlineLevel="0" collapsed="false">
      <c r="A764" s="0" t="s">
        <v>1395</v>
      </c>
      <c r="B764" s="0" t="s">
        <v>79</v>
      </c>
      <c r="C764" s="0" t="s">
        <v>1396</v>
      </c>
      <c r="D764" s="0" t="s">
        <v>66</v>
      </c>
      <c r="E764" s="2" t="n">
        <v>45803</v>
      </c>
      <c r="F764" s="3" t="s">
        <v>20</v>
      </c>
      <c r="G764" s="3" t="s">
        <v>35</v>
      </c>
      <c r="H764" s="3" t="s">
        <v>29</v>
      </c>
      <c r="I764" s="3" t="n">
        <f aca="false">YEAR(E764)</f>
        <v>2025</v>
      </c>
      <c r="J764" s="3" t="n">
        <f aca="false">MONTH(E764)</f>
        <v>5</v>
      </c>
      <c r="K764" s="3" t="n">
        <f aca="false">COUNTIFS($B$2:$B$4077,B764,$C$2:$C$4077,C764,$I$2:$I$4077,I764)</f>
        <v>1</v>
      </c>
      <c r="L764" s="3" t="n">
        <f aca="false">IF(COUNTIFS($B$2:B764,B764,$C$2:C764,C764,$I$2:I764,I764)=1,1,0)</f>
        <v>1</v>
      </c>
      <c r="M764" s="3" t="n">
        <f aca="false">IF(K764&gt;=Parametri!$B$1,1,0)</f>
        <v>0</v>
      </c>
      <c r="N764" s="3" t="n">
        <f aca="false">L764*M764</f>
        <v>0</v>
      </c>
    </row>
    <row r="765" customFormat="false" ht="15" hidden="false" customHeight="false" outlineLevel="0" collapsed="false">
      <c r="A765" s="0" t="s">
        <v>1397</v>
      </c>
      <c r="B765" s="0" t="s">
        <v>68</v>
      </c>
      <c r="C765" s="0" t="s">
        <v>1398</v>
      </c>
      <c r="D765" s="0" t="s">
        <v>19</v>
      </c>
      <c r="E765" s="2" t="n">
        <v>45801</v>
      </c>
      <c r="F765" s="3" t="s">
        <v>20</v>
      </c>
      <c r="G765" s="3" t="s">
        <v>28</v>
      </c>
      <c r="H765" s="3" t="s">
        <v>48</v>
      </c>
      <c r="I765" s="3" t="n">
        <f aca="false">YEAR(E765)</f>
        <v>2025</v>
      </c>
      <c r="J765" s="3" t="n">
        <f aca="false">MONTH(E765)</f>
        <v>5</v>
      </c>
      <c r="K765" s="3" t="n">
        <f aca="false">COUNTIFS($B$2:$B$4077,B765,$C$2:$C$4077,C765,$I$2:$I$4077,I765)</f>
        <v>1</v>
      </c>
      <c r="L765" s="3" t="n">
        <f aca="false">IF(COUNTIFS($B$2:B765,B765,$C$2:C765,C765,$I$2:I765,I765)=1,1,0)</f>
        <v>1</v>
      </c>
      <c r="M765" s="3" t="n">
        <f aca="false">IF(K765&gt;=Parametri!$B$1,1,0)</f>
        <v>0</v>
      </c>
      <c r="N765" s="3" t="n">
        <f aca="false">L765*M765</f>
        <v>0</v>
      </c>
    </row>
    <row r="766" customFormat="false" ht="15" hidden="false" customHeight="false" outlineLevel="0" collapsed="false">
      <c r="A766" s="0" t="s">
        <v>1399</v>
      </c>
      <c r="B766" s="0" t="s">
        <v>68</v>
      </c>
      <c r="C766" s="0" t="s">
        <v>106</v>
      </c>
      <c r="D766" s="0" t="s">
        <v>63</v>
      </c>
      <c r="E766" s="2" t="n">
        <v>45587</v>
      </c>
      <c r="F766" s="3" t="s">
        <v>20</v>
      </c>
      <c r="G766" s="3" t="s">
        <v>43</v>
      </c>
      <c r="H766" s="3" t="s">
        <v>22</v>
      </c>
      <c r="I766" s="3" t="n">
        <f aca="false">YEAR(E766)</f>
        <v>2024</v>
      </c>
      <c r="J766" s="3" t="n">
        <f aca="false">MONTH(E766)</f>
        <v>10</v>
      </c>
      <c r="K766" s="3" t="n">
        <f aca="false">COUNTIFS($B$2:$B$4077,B766,$C$2:$C$4077,C766,$I$2:$I$4077,I766)</f>
        <v>3</v>
      </c>
      <c r="L766" s="3" t="n">
        <f aca="false">IF(COUNTIFS($B$2:B766,B766,$C$2:C766,C766,$I$2:I766,I766)=1,1,0)</f>
        <v>1</v>
      </c>
      <c r="M766" s="3" t="n">
        <f aca="false">IF(K766&gt;=Parametri!$B$1,1,0)</f>
        <v>1</v>
      </c>
      <c r="N766" s="3" t="n">
        <f aca="false">L766*M766</f>
        <v>1</v>
      </c>
    </row>
    <row r="767" customFormat="false" ht="15" hidden="false" customHeight="false" outlineLevel="0" collapsed="false">
      <c r="A767" s="0" t="s">
        <v>1400</v>
      </c>
      <c r="B767" s="0" t="s">
        <v>50</v>
      </c>
      <c r="C767" s="0" t="s">
        <v>1401</v>
      </c>
      <c r="D767" s="0" t="s">
        <v>54</v>
      </c>
      <c r="E767" s="2" t="n">
        <v>45545</v>
      </c>
      <c r="F767" s="3" t="s">
        <v>20</v>
      </c>
      <c r="G767" s="3" t="s">
        <v>35</v>
      </c>
      <c r="H767" s="3" t="s">
        <v>29</v>
      </c>
      <c r="I767" s="3" t="n">
        <f aca="false">YEAR(E767)</f>
        <v>2024</v>
      </c>
      <c r="J767" s="3" t="n">
        <f aca="false">MONTH(E767)</f>
        <v>9</v>
      </c>
      <c r="K767" s="3" t="n">
        <f aca="false">COUNTIFS($B$2:$B$4077,B767,$C$2:$C$4077,C767,$I$2:$I$4077,I767)</f>
        <v>1</v>
      </c>
      <c r="L767" s="3" t="n">
        <f aca="false">IF(COUNTIFS($B$2:B767,B767,$C$2:C767,C767,$I$2:I767,I767)=1,1,0)</f>
        <v>1</v>
      </c>
      <c r="M767" s="3" t="n">
        <f aca="false">IF(K767&gt;=Parametri!$B$1,1,0)</f>
        <v>0</v>
      </c>
      <c r="N767" s="3" t="n">
        <f aca="false">L767*M767</f>
        <v>0</v>
      </c>
    </row>
    <row r="768" customFormat="false" ht="15" hidden="false" customHeight="false" outlineLevel="0" collapsed="false">
      <c r="A768" s="0" t="s">
        <v>1402</v>
      </c>
      <c r="B768" s="0" t="s">
        <v>41</v>
      </c>
      <c r="C768" s="0" t="s">
        <v>1403</v>
      </c>
      <c r="D768" s="0" t="s">
        <v>26</v>
      </c>
      <c r="E768" s="2" t="n">
        <v>45460</v>
      </c>
      <c r="F768" s="3" t="s">
        <v>20</v>
      </c>
      <c r="G768" s="3" t="s">
        <v>72</v>
      </c>
      <c r="H768" s="3" t="s">
        <v>44</v>
      </c>
      <c r="I768" s="3" t="n">
        <f aca="false">YEAR(E768)</f>
        <v>2024</v>
      </c>
      <c r="J768" s="3" t="n">
        <f aca="false">MONTH(E768)</f>
        <v>6</v>
      </c>
      <c r="K768" s="3" t="n">
        <f aca="false">COUNTIFS($B$2:$B$4077,B768,$C$2:$C$4077,C768,$I$2:$I$4077,I768)</f>
        <v>2</v>
      </c>
      <c r="L768" s="3" t="n">
        <f aca="false">IF(COUNTIFS($B$2:B768,B768,$C$2:C768,C768,$I$2:I768,I768)=1,1,0)</f>
        <v>1</v>
      </c>
      <c r="M768" s="3" t="n">
        <f aca="false">IF(K768&gt;=Parametri!$B$1,1,0)</f>
        <v>1</v>
      </c>
      <c r="N768" s="3" t="n">
        <f aca="false">L768*M768</f>
        <v>1</v>
      </c>
    </row>
    <row r="769" customFormat="false" ht="15" hidden="false" customHeight="false" outlineLevel="0" collapsed="false">
      <c r="A769" s="0" t="s">
        <v>1404</v>
      </c>
      <c r="B769" s="0" t="s">
        <v>50</v>
      </c>
      <c r="C769" s="0" t="s">
        <v>1405</v>
      </c>
      <c r="D769" s="0" t="s">
        <v>38</v>
      </c>
      <c r="E769" s="2" t="n">
        <v>46054</v>
      </c>
      <c r="F769" s="3" t="s">
        <v>27</v>
      </c>
      <c r="G769" s="3" t="s">
        <v>104</v>
      </c>
      <c r="H769" s="3" t="s">
        <v>104</v>
      </c>
      <c r="I769" s="3" t="n">
        <f aca="false">YEAR(E769)</f>
        <v>2026</v>
      </c>
      <c r="J769" s="3" t="n">
        <f aca="false">MONTH(E769)</f>
        <v>2</v>
      </c>
      <c r="K769" s="3" t="n">
        <f aca="false">COUNTIFS($B$2:$B$4077,B769,$C$2:$C$4077,C769,$I$2:$I$4077,I769)</f>
        <v>1</v>
      </c>
      <c r="L769" s="3" t="n">
        <f aca="false">IF(COUNTIFS($B$2:B769,B769,$C$2:C769,C769,$I$2:I769,I769)=1,1,0)</f>
        <v>1</v>
      </c>
      <c r="M769" s="3" t="n">
        <f aca="false">IF(K769&gt;=Parametri!$B$1,1,0)</f>
        <v>0</v>
      </c>
      <c r="N769" s="3" t="n">
        <f aca="false">L769*M769</f>
        <v>0</v>
      </c>
    </row>
    <row r="770" customFormat="false" ht="15" hidden="false" customHeight="false" outlineLevel="0" collapsed="false">
      <c r="A770" s="0" t="s">
        <v>1406</v>
      </c>
      <c r="B770" s="0" t="s">
        <v>124</v>
      </c>
      <c r="C770" s="0" t="s">
        <v>1407</v>
      </c>
      <c r="D770" s="0" t="s">
        <v>33</v>
      </c>
      <c r="E770" s="2" t="n">
        <v>45768</v>
      </c>
      <c r="F770" s="3" t="s">
        <v>20</v>
      </c>
      <c r="G770" s="3" t="s">
        <v>43</v>
      </c>
      <c r="H770" s="3" t="s">
        <v>44</v>
      </c>
      <c r="I770" s="3" t="n">
        <f aca="false">YEAR(E770)</f>
        <v>2025</v>
      </c>
      <c r="J770" s="3" t="n">
        <f aca="false">MONTH(E770)</f>
        <v>4</v>
      </c>
      <c r="K770" s="3" t="n">
        <f aca="false">COUNTIFS($B$2:$B$4077,B770,$C$2:$C$4077,C770,$I$2:$I$4077,I770)</f>
        <v>4</v>
      </c>
      <c r="L770" s="3" t="n">
        <f aca="false">IF(COUNTIFS($B$2:B770,B770,$C$2:C770,C770,$I$2:I770,I770)=1,1,0)</f>
        <v>1</v>
      </c>
      <c r="M770" s="3" t="n">
        <f aca="false">IF(K770&gt;=Parametri!$B$1,1,0)</f>
        <v>1</v>
      </c>
      <c r="N770" s="3" t="n">
        <f aca="false">L770*M770</f>
        <v>1</v>
      </c>
    </row>
    <row r="771" customFormat="false" ht="15" hidden="false" customHeight="false" outlineLevel="0" collapsed="false">
      <c r="A771" s="0" t="s">
        <v>1408</v>
      </c>
      <c r="B771" s="0" t="s">
        <v>31</v>
      </c>
      <c r="C771" s="0" t="s">
        <v>1062</v>
      </c>
      <c r="D771" s="0" t="s">
        <v>33</v>
      </c>
      <c r="E771" s="2" t="n">
        <v>45604</v>
      </c>
      <c r="F771" s="3" t="s">
        <v>27</v>
      </c>
      <c r="G771" s="3" t="s">
        <v>55</v>
      </c>
      <c r="H771" s="3" t="s">
        <v>29</v>
      </c>
      <c r="I771" s="3" t="n">
        <f aca="false">YEAR(E771)</f>
        <v>2024</v>
      </c>
      <c r="J771" s="3" t="n">
        <f aca="false">MONTH(E771)</f>
        <v>11</v>
      </c>
      <c r="K771" s="3" t="n">
        <f aca="false">COUNTIFS($B$2:$B$4077,B771,$C$2:$C$4077,C771,$I$2:$I$4077,I771)</f>
        <v>2</v>
      </c>
      <c r="L771" s="3" t="n">
        <f aca="false">IF(COUNTIFS($B$2:B771,B771,$C$2:C771,C771,$I$2:I771,I771)=1,1,0)</f>
        <v>0</v>
      </c>
      <c r="M771" s="3" t="n">
        <f aca="false">IF(K771&gt;=Parametri!$B$1,1,0)</f>
        <v>1</v>
      </c>
      <c r="N771" s="3" t="n">
        <f aca="false">L771*M771</f>
        <v>0</v>
      </c>
    </row>
    <row r="772" customFormat="false" ht="15" hidden="false" customHeight="false" outlineLevel="0" collapsed="false">
      <c r="A772" s="0" t="s">
        <v>1409</v>
      </c>
      <c r="B772" s="0" t="s">
        <v>24</v>
      </c>
      <c r="C772" s="0" t="s">
        <v>1410</v>
      </c>
      <c r="D772" s="0" t="s">
        <v>54</v>
      </c>
      <c r="E772" s="2" t="n">
        <v>46127</v>
      </c>
      <c r="F772" s="3" t="s">
        <v>34</v>
      </c>
      <c r="G772" s="3" t="s">
        <v>21</v>
      </c>
      <c r="H772" s="3" t="s">
        <v>22</v>
      </c>
      <c r="I772" s="3" t="n">
        <f aca="false">YEAR(E772)</f>
        <v>2026</v>
      </c>
      <c r="J772" s="3" t="n">
        <f aca="false">MONTH(E772)</f>
        <v>4</v>
      </c>
      <c r="K772" s="3" t="n">
        <f aca="false">COUNTIFS($B$2:$B$4077,B772,$C$2:$C$4077,C772,$I$2:$I$4077,I772)</f>
        <v>1</v>
      </c>
      <c r="L772" s="3" t="n">
        <f aca="false">IF(COUNTIFS($B$2:B772,B772,$C$2:C772,C772,$I$2:I772,I772)=1,1,0)</f>
        <v>1</v>
      </c>
      <c r="M772" s="3" t="n">
        <f aca="false">IF(K772&gt;=Parametri!$B$1,1,0)</f>
        <v>0</v>
      </c>
      <c r="N772" s="3" t="n">
        <f aca="false">L772*M772</f>
        <v>0</v>
      </c>
    </row>
    <row r="773" customFormat="false" ht="15" hidden="false" customHeight="false" outlineLevel="0" collapsed="false">
      <c r="A773" s="0" t="s">
        <v>1411</v>
      </c>
      <c r="B773" s="0" t="s">
        <v>46</v>
      </c>
      <c r="C773" s="0" t="s">
        <v>988</v>
      </c>
      <c r="D773" s="0" t="s">
        <v>26</v>
      </c>
      <c r="E773" s="2" t="n">
        <v>46036</v>
      </c>
      <c r="F773" s="3" t="s">
        <v>34</v>
      </c>
      <c r="G773" s="3" t="s">
        <v>28</v>
      </c>
      <c r="H773" s="3" t="s">
        <v>44</v>
      </c>
      <c r="I773" s="3" t="n">
        <f aca="false">YEAR(E773)</f>
        <v>2026</v>
      </c>
      <c r="J773" s="3" t="n">
        <f aca="false">MONTH(E773)</f>
        <v>1</v>
      </c>
      <c r="K773" s="3" t="n">
        <f aca="false">COUNTIFS($B$2:$B$4077,B773,$C$2:$C$4077,C773,$I$2:$I$4077,I773)</f>
        <v>3</v>
      </c>
      <c r="L773" s="3" t="n">
        <f aca="false">IF(COUNTIFS($B$2:B773,B773,$C$2:C773,C773,$I$2:I773,I773)=1,1,0)</f>
        <v>0</v>
      </c>
      <c r="M773" s="3" t="n">
        <f aca="false">IF(K773&gt;=Parametri!$B$1,1,0)</f>
        <v>1</v>
      </c>
      <c r="N773" s="3" t="n">
        <f aca="false">L773*M773</f>
        <v>0</v>
      </c>
    </row>
    <row r="774" customFormat="false" ht="15" hidden="false" customHeight="false" outlineLevel="0" collapsed="false">
      <c r="A774" s="0" t="s">
        <v>1412</v>
      </c>
      <c r="B774" s="0" t="s">
        <v>24</v>
      </c>
      <c r="C774" s="0" t="s">
        <v>325</v>
      </c>
      <c r="D774" s="0" t="s">
        <v>26</v>
      </c>
      <c r="E774" s="2" t="n">
        <v>45527</v>
      </c>
      <c r="F774" s="3" t="s">
        <v>20</v>
      </c>
      <c r="G774" s="3" t="s">
        <v>89</v>
      </c>
      <c r="H774" s="3" t="s">
        <v>22</v>
      </c>
      <c r="I774" s="3" t="n">
        <f aca="false">YEAR(E774)</f>
        <v>2024</v>
      </c>
      <c r="J774" s="3" t="n">
        <f aca="false">MONTH(E774)</f>
        <v>8</v>
      </c>
      <c r="K774" s="3" t="n">
        <f aca="false">COUNTIFS($B$2:$B$4077,B774,$C$2:$C$4077,C774,$I$2:$I$4077,I774)</f>
        <v>7</v>
      </c>
      <c r="L774" s="3" t="n">
        <f aca="false">IF(COUNTIFS($B$2:B774,B774,$C$2:C774,C774,$I$2:I774,I774)=1,1,0)</f>
        <v>0</v>
      </c>
      <c r="M774" s="3" t="n">
        <f aca="false">IF(K774&gt;=Parametri!$B$1,1,0)</f>
        <v>1</v>
      </c>
      <c r="N774" s="3" t="n">
        <f aca="false">L774*M774</f>
        <v>0</v>
      </c>
    </row>
    <row r="775" customFormat="false" ht="15" hidden="false" customHeight="false" outlineLevel="0" collapsed="false">
      <c r="A775" s="0" t="s">
        <v>1413</v>
      </c>
      <c r="B775" s="0" t="s">
        <v>17</v>
      </c>
      <c r="C775" s="0" t="s">
        <v>1414</v>
      </c>
      <c r="D775" s="0" t="s">
        <v>54</v>
      </c>
      <c r="E775" s="2" t="n">
        <v>45968</v>
      </c>
      <c r="F775" s="3" t="s">
        <v>20</v>
      </c>
      <c r="G775" s="3" t="s">
        <v>28</v>
      </c>
      <c r="H775" s="3" t="s">
        <v>29</v>
      </c>
      <c r="I775" s="3" t="n">
        <f aca="false">YEAR(E775)</f>
        <v>2025</v>
      </c>
      <c r="J775" s="3" t="n">
        <f aca="false">MONTH(E775)</f>
        <v>11</v>
      </c>
      <c r="K775" s="3" t="n">
        <f aca="false">COUNTIFS($B$2:$B$4077,B775,$C$2:$C$4077,C775,$I$2:$I$4077,I775)</f>
        <v>1</v>
      </c>
      <c r="L775" s="3" t="n">
        <f aca="false">IF(COUNTIFS($B$2:B775,B775,$C$2:C775,C775,$I$2:I775,I775)=1,1,0)</f>
        <v>1</v>
      </c>
      <c r="M775" s="3" t="n">
        <f aca="false">IF(K775&gt;=Parametri!$B$1,1,0)</f>
        <v>0</v>
      </c>
      <c r="N775" s="3" t="n">
        <f aca="false">L775*M775</f>
        <v>0</v>
      </c>
    </row>
    <row r="776" customFormat="false" ht="15" hidden="false" customHeight="false" outlineLevel="0" collapsed="false">
      <c r="A776" s="0" t="s">
        <v>1415</v>
      </c>
      <c r="B776" s="0" t="s">
        <v>79</v>
      </c>
      <c r="C776" s="0" t="s">
        <v>1416</v>
      </c>
      <c r="D776" s="0" t="s">
        <v>63</v>
      </c>
      <c r="E776" s="2" t="n">
        <v>45309</v>
      </c>
      <c r="F776" s="3" t="s">
        <v>34</v>
      </c>
      <c r="G776" s="3" t="s">
        <v>35</v>
      </c>
      <c r="H776" s="3" t="s">
        <v>48</v>
      </c>
      <c r="I776" s="3" t="n">
        <f aca="false">YEAR(E776)</f>
        <v>2024</v>
      </c>
      <c r="J776" s="3" t="n">
        <f aca="false">MONTH(E776)</f>
        <v>1</v>
      </c>
      <c r="K776" s="3" t="n">
        <f aca="false">COUNTIFS($B$2:$B$4077,B776,$C$2:$C$4077,C776,$I$2:$I$4077,I776)</f>
        <v>3</v>
      </c>
      <c r="L776" s="3" t="n">
        <f aca="false">IF(COUNTIFS($B$2:B776,B776,$C$2:C776,C776,$I$2:I776,I776)=1,1,0)</f>
        <v>1</v>
      </c>
      <c r="M776" s="3" t="n">
        <f aca="false">IF(K776&gt;=Parametri!$B$1,1,0)</f>
        <v>1</v>
      </c>
      <c r="N776" s="3" t="n">
        <f aca="false">L776*M776</f>
        <v>1</v>
      </c>
    </row>
    <row r="777" customFormat="false" ht="15" hidden="false" customHeight="false" outlineLevel="0" collapsed="false">
      <c r="A777" s="0" t="s">
        <v>1417</v>
      </c>
      <c r="B777" s="0" t="s">
        <v>17</v>
      </c>
      <c r="C777" s="0" t="s">
        <v>95</v>
      </c>
      <c r="D777" s="0" t="s">
        <v>63</v>
      </c>
      <c r="E777" s="2" t="n">
        <v>46261</v>
      </c>
      <c r="F777" s="3" t="s">
        <v>20</v>
      </c>
      <c r="G777" s="3" t="s">
        <v>39</v>
      </c>
      <c r="H777" s="3" t="s">
        <v>44</v>
      </c>
      <c r="I777" s="3" t="n">
        <f aca="false">YEAR(E777)</f>
        <v>2026</v>
      </c>
      <c r="J777" s="3" t="n">
        <f aca="false">MONTH(E777)</f>
        <v>8</v>
      </c>
      <c r="K777" s="3" t="n">
        <f aca="false">COUNTIFS($B$2:$B$4077,B777,$C$2:$C$4077,C777,$I$2:$I$4077,I777)</f>
        <v>3</v>
      </c>
      <c r="L777" s="3" t="n">
        <f aca="false">IF(COUNTIFS($B$2:B777,B777,$C$2:C777,C777,$I$2:I777,I777)=1,1,0)</f>
        <v>0</v>
      </c>
      <c r="M777" s="3" t="n">
        <f aca="false">IF(K777&gt;=Parametri!$B$1,1,0)</f>
        <v>1</v>
      </c>
      <c r="N777" s="3" t="n">
        <f aca="false">L777*M777</f>
        <v>0</v>
      </c>
    </row>
    <row r="778" customFormat="false" ht="15" hidden="false" customHeight="false" outlineLevel="0" collapsed="false">
      <c r="A778" s="0" t="s">
        <v>1418</v>
      </c>
      <c r="B778" s="0" t="s">
        <v>79</v>
      </c>
      <c r="C778" s="0" t="s">
        <v>227</v>
      </c>
      <c r="D778" s="0" t="s">
        <v>77</v>
      </c>
      <c r="E778" s="2" t="n">
        <v>45640</v>
      </c>
      <c r="F778" s="3" t="s">
        <v>34</v>
      </c>
      <c r="G778" s="3" t="s">
        <v>35</v>
      </c>
      <c r="H778" s="3" t="s">
        <v>48</v>
      </c>
      <c r="I778" s="3" t="n">
        <f aca="false">YEAR(E778)</f>
        <v>2024</v>
      </c>
      <c r="J778" s="3" t="n">
        <f aca="false">MONTH(E778)</f>
        <v>12</v>
      </c>
      <c r="K778" s="3" t="n">
        <f aca="false">COUNTIFS($B$2:$B$4077,B778,$C$2:$C$4077,C778,$I$2:$I$4077,I778)</f>
        <v>1</v>
      </c>
      <c r="L778" s="3" t="n">
        <f aca="false">IF(COUNTIFS($B$2:B778,B778,$C$2:C778,C778,$I$2:I778,I778)=1,1,0)</f>
        <v>1</v>
      </c>
      <c r="M778" s="3" t="n">
        <f aca="false">IF(K778&gt;=Parametri!$B$1,1,0)</f>
        <v>0</v>
      </c>
      <c r="N778" s="3" t="n">
        <f aca="false">L778*M778</f>
        <v>0</v>
      </c>
    </row>
    <row r="779" customFormat="false" ht="15" hidden="false" customHeight="false" outlineLevel="0" collapsed="false">
      <c r="A779" s="0" t="s">
        <v>1419</v>
      </c>
      <c r="B779" s="0" t="s">
        <v>31</v>
      </c>
      <c r="C779" s="0" t="s">
        <v>558</v>
      </c>
      <c r="D779" s="0" t="s">
        <v>38</v>
      </c>
      <c r="E779" s="2" t="n">
        <v>46014</v>
      </c>
      <c r="F779" s="3" t="s">
        <v>20</v>
      </c>
      <c r="G779" s="3" t="s">
        <v>55</v>
      </c>
      <c r="H779" s="3" t="s">
        <v>44</v>
      </c>
      <c r="I779" s="3" t="n">
        <f aca="false">YEAR(E779)</f>
        <v>2025</v>
      </c>
      <c r="J779" s="3" t="n">
        <f aca="false">MONTH(E779)</f>
        <v>12</v>
      </c>
      <c r="K779" s="3" t="n">
        <f aca="false">COUNTIFS($B$2:$B$4077,B779,$C$2:$C$4077,C779,$I$2:$I$4077,I779)</f>
        <v>1</v>
      </c>
      <c r="L779" s="3" t="n">
        <f aca="false">IF(COUNTIFS($B$2:B779,B779,$C$2:C779,C779,$I$2:I779,I779)=1,1,0)</f>
        <v>1</v>
      </c>
      <c r="M779" s="3" t="n">
        <f aca="false">IF(K779&gt;=Parametri!$B$1,1,0)</f>
        <v>0</v>
      </c>
      <c r="N779" s="3" t="n">
        <f aca="false">L779*M779</f>
        <v>0</v>
      </c>
    </row>
    <row r="780" customFormat="false" ht="15" hidden="false" customHeight="false" outlineLevel="0" collapsed="false">
      <c r="A780" s="0" t="s">
        <v>1420</v>
      </c>
      <c r="B780" s="0" t="s">
        <v>24</v>
      </c>
      <c r="C780" s="0" t="s">
        <v>1421</v>
      </c>
      <c r="D780" s="0" t="s">
        <v>63</v>
      </c>
      <c r="E780" s="2" t="n">
        <v>45953</v>
      </c>
      <c r="F780" s="3" t="s">
        <v>20</v>
      </c>
      <c r="G780" s="3" t="s">
        <v>104</v>
      </c>
      <c r="H780" s="3" t="s">
        <v>44</v>
      </c>
      <c r="I780" s="3" t="n">
        <f aca="false">YEAR(E780)</f>
        <v>2025</v>
      </c>
      <c r="J780" s="3" t="n">
        <f aca="false">MONTH(E780)</f>
        <v>10</v>
      </c>
      <c r="K780" s="3" t="n">
        <f aca="false">COUNTIFS($B$2:$B$4077,B780,$C$2:$C$4077,C780,$I$2:$I$4077,I780)</f>
        <v>2</v>
      </c>
      <c r="L780" s="3" t="n">
        <f aca="false">IF(COUNTIFS($B$2:B780,B780,$C$2:C780,C780,$I$2:I780,I780)=1,1,0)</f>
        <v>1</v>
      </c>
      <c r="M780" s="3" t="n">
        <f aca="false">IF(K780&gt;=Parametri!$B$1,1,0)</f>
        <v>1</v>
      </c>
      <c r="N780" s="3" t="n">
        <f aca="false">L780*M780</f>
        <v>1</v>
      </c>
    </row>
    <row r="781" customFormat="false" ht="15" hidden="false" customHeight="false" outlineLevel="0" collapsed="false">
      <c r="A781" s="0" t="s">
        <v>1422</v>
      </c>
      <c r="B781" s="0" t="s">
        <v>41</v>
      </c>
      <c r="C781" s="0" t="s">
        <v>1423</v>
      </c>
      <c r="D781" s="0" t="s">
        <v>63</v>
      </c>
      <c r="E781" s="2" t="n">
        <v>46151</v>
      </c>
      <c r="F781" s="3" t="s">
        <v>27</v>
      </c>
      <c r="G781" s="3" t="s">
        <v>39</v>
      </c>
      <c r="H781" s="3" t="s">
        <v>29</v>
      </c>
      <c r="I781" s="3" t="n">
        <f aca="false">YEAR(E781)</f>
        <v>2026</v>
      </c>
      <c r="J781" s="3" t="n">
        <f aca="false">MONTH(E781)</f>
        <v>5</v>
      </c>
      <c r="K781" s="3" t="n">
        <f aca="false">COUNTIFS($B$2:$B$4077,B781,$C$2:$C$4077,C781,$I$2:$I$4077,I781)</f>
        <v>1</v>
      </c>
      <c r="L781" s="3" t="n">
        <f aca="false">IF(COUNTIFS($B$2:B781,B781,$C$2:C781,C781,$I$2:I781,I781)=1,1,0)</f>
        <v>1</v>
      </c>
      <c r="M781" s="3" t="n">
        <f aca="false">IF(K781&gt;=Parametri!$B$1,1,0)</f>
        <v>0</v>
      </c>
      <c r="N781" s="3" t="n">
        <f aca="false">L781*M781</f>
        <v>0</v>
      </c>
    </row>
    <row r="782" customFormat="false" ht="15" hidden="false" customHeight="false" outlineLevel="0" collapsed="false">
      <c r="A782" s="0" t="s">
        <v>1424</v>
      </c>
      <c r="B782" s="0" t="s">
        <v>46</v>
      </c>
      <c r="C782" s="0" t="s">
        <v>1425</v>
      </c>
      <c r="D782" s="0" t="s">
        <v>66</v>
      </c>
      <c r="E782" s="2" t="n">
        <v>45740</v>
      </c>
      <c r="F782" s="3" t="s">
        <v>34</v>
      </c>
      <c r="G782" s="3" t="s">
        <v>72</v>
      </c>
      <c r="H782" s="3" t="s">
        <v>44</v>
      </c>
      <c r="I782" s="3" t="n">
        <f aca="false">YEAR(E782)</f>
        <v>2025</v>
      </c>
      <c r="J782" s="3" t="n">
        <f aca="false">MONTH(E782)</f>
        <v>3</v>
      </c>
      <c r="K782" s="3" t="n">
        <f aca="false">COUNTIFS($B$2:$B$4077,B782,$C$2:$C$4077,C782,$I$2:$I$4077,I782)</f>
        <v>2</v>
      </c>
      <c r="L782" s="3" t="n">
        <f aca="false">IF(COUNTIFS($B$2:B782,B782,$C$2:C782,C782,$I$2:I782,I782)=1,1,0)</f>
        <v>1</v>
      </c>
      <c r="M782" s="3" t="n">
        <f aca="false">IF(K782&gt;=Parametri!$B$1,1,0)</f>
        <v>1</v>
      </c>
      <c r="N782" s="3" t="n">
        <f aca="false">L782*M782</f>
        <v>1</v>
      </c>
    </row>
    <row r="783" customFormat="false" ht="15" hidden="false" customHeight="false" outlineLevel="0" collapsed="false">
      <c r="A783" s="0" t="s">
        <v>1426</v>
      </c>
      <c r="B783" s="0" t="s">
        <v>24</v>
      </c>
      <c r="C783" s="0" t="s">
        <v>1427</v>
      </c>
      <c r="D783" s="0" t="s">
        <v>54</v>
      </c>
      <c r="E783" s="2" t="n">
        <v>45411</v>
      </c>
      <c r="F783" s="3" t="s">
        <v>27</v>
      </c>
      <c r="G783" s="3" t="s">
        <v>35</v>
      </c>
      <c r="H783" s="3" t="s">
        <v>44</v>
      </c>
      <c r="I783" s="3" t="n">
        <f aca="false">YEAR(E783)</f>
        <v>2024</v>
      </c>
      <c r="J783" s="3" t="n">
        <f aca="false">MONTH(E783)</f>
        <v>4</v>
      </c>
      <c r="K783" s="3" t="n">
        <f aca="false">COUNTIFS($B$2:$B$4077,B783,$C$2:$C$4077,C783,$I$2:$I$4077,I783)</f>
        <v>2</v>
      </c>
      <c r="L783" s="3" t="n">
        <f aca="false">IF(COUNTIFS($B$2:B783,B783,$C$2:C783,C783,$I$2:I783,I783)=1,1,0)</f>
        <v>1</v>
      </c>
      <c r="M783" s="3" t="n">
        <f aca="false">IF(K783&gt;=Parametri!$B$1,1,0)</f>
        <v>1</v>
      </c>
      <c r="N783" s="3" t="n">
        <f aca="false">L783*M783</f>
        <v>1</v>
      </c>
    </row>
    <row r="784" customFormat="false" ht="15" hidden="false" customHeight="false" outlineLevel="0" collapsed="false">
      <c r="A784" s="0" t="s">
        <v>1428</v>
      </c>
      <c r="B784" s="0" t="s">
        <v>79</v>
      </c>
      <c r="C784" s="0" t="s">
        <v>116</v>
      </c>
      <c r="D784" s="0" t="s">
        <v>66</v>
      </c>
      <c r="E784" s="2" t="n">
        <v>45896</v>
      </c>
      <c r="F784" s="3" t="s">
        <v>20</v>
      </c>
      <c r="G784" s="3" t="s">
        <v>21</v>
      </c>
      <c r="H784" s="3" t="s">
        <v>44</v>
      </c>
      <c r="I784" s="3" t="n">
        <f aca="false">YEAR(E784)</f>
        <v>2025</v>
      </c>
      <c r="J784" s="3" t="n">
        <f aca="false">MONTH(E784)</f>
        <v>8</v>
      </c>
      <c r="K784" s="3" t="n">
        <f aca="false">COUNTIFS($B$2:$B$4077,B784,$C$2:$C$4077,C784,$I$2:$I$4077,I784)</f>
        <v>6</v>
      </c>
      <c r="L784" s="3" t="n">
        <f aca="false">IF(COUNTIFS($B$2:B784,B784,$C$2:C784,C784,$I$2:I784,I784)=1,1,0)</f>
        <v>0</v>
      </c>
      <c r="M784" s="3" t="n">
        <f aca="false">IF(K784&gt;=Parametri!$B$1,1,0)</f>
        <v>1</v>
      </c>
      <c r="N784" s="3" t="n">
        <f aca="false">L784*M784</f>
        <v>0</v>
      </c>
    </row>
    <row r="785" customFormat="false" ht="15" hidden="false" customHeight="false" outlineLevel="0" collapsed="false">
      <c r="A785" s="0" t="s">
        <v>1429</v>
      </c>
      <c r="B785" s="0" t="s">
        <v>41</v>
      </c>
      <c r="C785" s="0" t="s">
        <v>1430</v>
      </c>
      <c r="D785" s="0" t="s">
        <v>54</v>
      </c>
      <c r="E785" s="2" t="n">
        <v>45378</v>
      </c>
      <c r="F785" s="3" t="s">
        <v>27</v>
      </c>
      <c r="G785" s="3" t="s">
        <v>55</v>
      </c>
      <c r="H785" s="3" t="s">
        <v>29</v>
      </c>
      <c r="I785" s="3" t="n">
        <f aca="false">YEAR(E785)</f>
        <v>2024</v>
      </c>
      <c r="J785" s="3" t="n">
        <f aca="false">MONTH(E785)</f>
        <v>3</v>
      </c>
      <c r="K785" s="3" t="n">
        <f aca="false">COUNTIFS($B$2:$B$4077,B785,$C$2:$C$4077,C785,$I$2:$I$4077,I785)</f>
        <v>1</v>
      </c>
      <c r="L785" s="3" t="n">
        <f aca="false">IF(COUNTIFS($B$2:B785,B785,$C$2:C785,C785,$I$2:I785,I785)=1,1,0)</f>
        <v>1</v>
      </c>
      <c r="M785" s="3" t="n">
        <f aca="false">IF(K785&gt;=Parametri!$B$1,1,0)</f>
        <v>0</v>
      </c>
      <c r="N785" s="3" t="n">
        <f aca="false">L785*M785</f>
        <v>0</v>
      </c>
    </row>
    <row r="786" customFormat="false" ht="15" hidden="false" customHeight="false" outlineLevel="0" collapsed="false">
      <c r="A786" s="0" t="s">
        <v>1431</v>
      </c>
      <c r="B786" s="0" t="s">
        <v>50</v>
      </c>
      <c r="C786" s="0" t="s">
        <v>1432</v>
      </c>
      <c r="D786" s="0" t="s">
        <v>54</v>
      </c>
      <c r="E786" s="2" t="n">
        <v>45421</v>
      </c>
      <c r="F786" s="3" t="s">
        <v>20</v>
      </c>
      <c r="G786" s="3" t="s">
        <v>43</v>
      </c>
      <c r="H786" s="3" t="s">
        <v>29</v>
      </c>
      <c r="I786" s="3" t="n">
        <f aca="false">YEAR(E786)</f>
        <v>2024</v>
      </c>
      <c r="J786" s="3" t="n">
        <f aca="false">MONTH(E786)</f>
        <v>5</v>
      </c>
      <c r="K786" s="3" t="n">
        <f aca="false">COUNTIFS($B$2:$B$4077,B786,$C$2:$C$4077,C786,$I$2:$I$4077,I786)</f>
        <v>1</v>
      </c>
      <c r="L786" s="3" t="n">
        <f aca="false">IF(COUNTIFS($B$2:B786,B786,$C$2:C786,C786,$I$2:I786,I786)=1,1,0)</f>
        <v>1</v>
      </c>
      <c r="M786" s="3" t="n">
        <f aca="false">IF(K786&gt;=Parametri!$B$1,1,0)</f>
        <v>0</v>
      </c>
      <c r="N786" s="3" t="n">
        <f aca="false">L786*M786</f>
        <v>0</v>
      </c>
    </row>
    <row r="787" customFormat="false" ht="15" hidden="false" customHeight="false" outlineLevel="0" collapsed="false">
      <c r="A787" s="0" t="s">
        <v>1433</v>
      </c>
      <c r="B787" s="0" t="s">
        <v>46</v>
      </c>
      <c r="C787" s="0" t="s">
        <v>885</v>
      </c>
      <c r="D787" s="0" t="s">
        <v>66</v>
      </c>
      <c r="E787" s="2" t="n">
        <v>45694</v>
      </c>
      <c r="F787" s="3" t="s">
        <v>20</v>
      </c>
      <c r="G787" s="3" t="s">
        <v>21</v>
      </c>
      <c r="H787" s="3" t="s">
        <v>44</v>
      </c>
      <c r="I787" s="3" t="n">
        <f aca="false">YEAR(E787)</f>
        <v>2025</v>
      </c>
      <c r="J787" s="3" t="n">
        <f aca="false">MONTH(E787)</f>
        <v>2</v>
      </c>
      <c r="K787" s="3" t="n">
        <f aca="false">COUNTIFS($B$2:$B$4077,B787,$C$2:$C$4077,C787,$I$2:$I$4077,I787)</f>
        <v>1</v>
      </c>
      <c r="L787" s="3" t="n">
        <f aca="false">IF(COUNTIFS($B$2:B787,B787,$C$2:C787,C787,$I$2:I787,I787)=1,1,0)</f>
        <v>1</v>
      </c>
      <c r="M787" s="3" t="n">
        <f aca="false">IF(K787&gt;=Parametri!$B$1,1,0)</f>
        <v>0</v>
      </c>
      <c r="N787" s="3" t="n">
        <f aca="false">L787*M787</f>
        <v>0</v>
      </c>
    </row>
    <row r="788" customFormat="false" ht="15" hidden="false" customHeight="false" outlineLevel="0" collapsed="false">
      <c r="A788" s="0" t="s">
        <v>1434</v>
      </c>
      <c r="B788" s="0" t="s">
        <v>68</v>
      </c>
      <c r="C788" s="0" t="s">
        <v>979</v>
      </c>
      <c r="D788" s="0" t="s">
        <v>66</v>
      </c>
      <c r="E788" s="2" t="n">
        <v>46080</v>
      </c>
      <c r="F788" s="3" t="s">
        <v>34</v>
      </c>
      <c r="G788" s="3" t="s">
        <v>43</v>
      </c>
      <c r="H788" s="3" t="s">
        <v>29</v>
      </c>
      <c r="I788" s="3" t="n">
        <f aca="false">YEAR(E788)</f>
        <v>2026</v>
      </c>
      <c r="J788" s="3" t="n">
        <f aca="false">MONTH(E788)</f>
        <v>2</v>
      </c>
      <c r="K788" s="3" t="n">
        <f aca="false">COUNTIFS($B$2:$B$4077,B788,$C$2:$C$4077,C788,$I$2:$I$4077,I788)</f>
        <v>1</v>
      </c>
      <c r="L788" s="3" t="n">
        <f aca="false">IF(COUNTIFS($B$2:B788,B788,$C$2:C788,C788,$I$2:I788,I788)=1,1,0)</f>
        <v>1</v>
      </c>
      <c r="M788" s="3" t="n">
        <f aca="false">IF(K788&gt;=Parametri!$B$1,1,0)</f>
        <v>0</v>
      </c>
      <c r="N788" s="3" t="n">
        <f aca="false">L788*M788</f>
        <v>0</v>
      </c>
    </row>
    <row r="789" customFormat="false" ht="15" hidden="false" customHeight="false" outlineLevel="0" collapsed="false">
      <c r="A789" s="0" t="s">
        <v>1435</v>
      </c>
      <c r="B789" s="0" t="s">
        <v>50</v>
      </c>
      <c r="C789" s="0" t="s">
        <v>1436</v>
      </c>
      <c r="D789" s="0" t="s">
        <v>63</v>
      </c>
      <c r="E789" s="2" t="n">
        <v>45758</v>
      </c>
      <c r="F789" s="3" t="s">
        <v>20</v>
      </c>
      <c r="G789" s="3" t="s">
        <v>39</v>
      </c>
      <c r="H789" s="3" t="s">
        <v>44</v>
      </c>
      <c r="I789" s="3" t="n">
        <f aca="false">YEAR(E789)</f>
        <v>2025</v>
      </c>
      <c r="J789" s="3" t="n">
        <f aca="false">MONTH(E789)</f>
        <v>4</v>
      </c>
      <c r="K789" s="3" t="n">
        <f aca="false">COUNTIFS($B$2:$B$4077,B789,$C$2:$C$4077,C789,$I$2:$I$4077,I789)</f>
        <v>4</v>
      </c>
      <c r="L789" s="3" t="n">
        <f aca="false">IF(COUNTIFS($B$2:B789,B789,$C$2:C789,C789,$I$2:I789,I789)=1,1,0)</f>
        <v>1</v>
      </c>
      <c r="M789" s="3" t="n">
        <f aca="false">IF(K789&gt;=Parametri!$B$1,1,0)</f>
        <v>1</v>
      </c>
      <c r="N789" s="3" t="n">
        <f aca="false">L789*M789</f>
        <v>1</v>
      </c>
    </row>
    <row r="790" customFormat="false" ht="15" hidden="false" customHeight="false" outlineLevel="0" collapsed="false">
      <c r="A790" s="0" t="s">
        <v>1437</v>
      </c>
      <c r="B790" s="0" t="s">
        <v>41</v>
      </c>
      <c r="C790" s="0" t="s">
        <v>1438</v>
      </c>
      <c r="D790" s="0" t="s">
        <v>63</v>
      </c>
      <c r="E790" s="2" t="n">
        <v>46045</v>
      </c>
      <c r="F790" s="3" t="s">
        <v>34</v>
      </c>
      <c r="G790" s="3" t="s">
        <v>89</v>
      </c>
      <c r="H790" s="3" t="s">
        <v>44</v>
      </c>
      <c r="I790" s="3" t="n">
        <f aca="false">YEAR(E790)</f>
        <v>2026</v>
      </c>
      <c r="J790" s="3" t="n">
        <f aca="false">MONTH(E790)</f>
        <v>1</v>
      </c>
      <c r="K790" s="3" t="n">
        <f aca="false">COUNTIFS($B$2:$B$4077,B790,$C$2:$C$4077,C790,$I$2:$I$4077,I790)</f>
        <v>1</v>
      </c>
      <c r="L790" s="3" t="n">
        <f aca="false">IF(COUNTIFS($B$2:B790,B790,$C$2:C790,C790,$I$2:I790,I790)=1,1,0)</f>
        <v>1</v>
      </c>
      <c r="M790" s="3" t="n">
        <f aca="false">IF(K790&gt;=Parametri!$B$1,1,0)</f>
        <v>0</v>
      </c>
      <c r="N790" s="3" t="n">
        <f aca="false">L790*M790</f>
        <v>0</v>
      </c>
    </row>
    <row r="791" customFormat="false" ht="15" hidden="false" customHeight="false" outlineLevel="0" collapsed="false">
      <c r="A791" s="0" t="s">
        <v>1439</v>
      </c>
      <c r="B791" s="0" t="s">
        <v>17</v>
      </c>
      <c r="C791" s="0" t="s">
        <v>791</v>
      </c>
      <c r="D791" s="0" t="s">
        <v>77</v>
      </c>
      <c r="E791" s="2" t="n">
        <v>45296</v>
      </c>
      <c r="F791" s="3" t="s">
        <v>20</v>
      </c>
      <c r="G791" s="3" t="s">
        <v>35</v>
      </c>
      <c r="H791" s="3" t="s">
        <v>22</v>
      </c>
      <c r="I791" s="3" t="n">
        <f aca="false">YEAR(E791)</f>
        <v>2024</v>
      </c>
      <c r="J791" s="3" t="n">
        <f aca="false">MONTH(E791)</f>
        <v>1</v>
      </c>
      <c r="K791" s="3" t="n">
        <f aca="false">COUNTIFS($B$2:$B$4077,B791,$C$2:$C$4077,C791,$I$2:$I$4077,I791)</f>
        <v>7</v>
      </c>
      <c r="L791" s="3" t="n">
        <f aca="false">IF(COUNTIFS($B$2:B791,B791,$C$2:C791,C791,$I$2:I791,I791)=1,1,0)</f>
        <v>0</v>
      </c>
      <c r="M791" s="3" t="n">
        <f aca="false">IF(K791&gt;=Parametri!$B$1,1,0)</f>
        <v>1</v>
      </c>
      <c r="N791" s="3" t="n">
        <f aca="false">L791*M791</f>
        <v>0</v>
      </c>
    </row>
    <row r="792" customFormat="false" ht="15" hidden="false" customHeight="false" outlineLevel="0" collapsed="false">
      <c r="A792" s="0" t="s">
        <v>1440</v>
      </c>
      <c r="B792" s="0" t="s">
        <v>24</v>
      </c>
      <c r="C792" s="0" t="s">
        <v>1421</v>
      </c>
      <c r="D792" s="0" t="s">
        <v>33</v>
      </c>
      <c r="E792" s="2" t="n">
        <v>45830</v>
      </c>
      <c r="F792" s="3" t="s">
        <v>34</v>
      </c>
      <c r="G792" s="3" t="s">
        <v>89</v>
      </c>
      <c r="H792" s="3" t="s">
        <v>48</v>
      </c>
      <c r="I792" s="3" t="n">
        <f aca="false">YEAR(E792)</f>
        <v>2025</v>
      </c>
      <c r="J792" s="3" t="n">
        <f aca="false">MONTH(E792)</f>
        <v>6</v>
      </c>
      <c r="K792" s="3" t="n">
        <f aca="false">COUNTIFS($B$2:$B$4077,B792,$C$2:$C$4077,C792,$I$2:$I$4077,I792)</f>
        <v>2</v>
      </c>
      <c r="L792" s="3" t="n">
        <f aca="false">IF(COUNTIFS($B$2:B792,B792,$C$2:C792,C792,$I$2:I792,I792)=1,1,0)</f>
        <v>0</v>
      </c>
      <c r="M792" s="3" t="n">
        <f aca="false">IF(K792&gt;=Parametri!$B$1,1,0)</f>
        <v>1</v>
      </c>
      <c r="N792" s="3" t="n">
        <f aca="false">L792*M792</f>
        <v>0</v>
      </c>
    </row>
    <row r="793" customFormat="false" ht="15" hidden="false" customHeight="false" outlineLevel="0" collapsed="false">
      <c r="A793" s="0" t="s">
        <v>1441</v>
      </c>
      <c r="B793" s="0" t="s">
        <v>41</v>
      </c>
      <c r="C793" s="0" t="s">
        <v>1442</v>
      </c>
      <c r="D793" s="0" t="s">
        <v>66</v>
      </c>
      <c r="E793" s="2" t="n">
        <v>46230</v>
      </c>
      <c r="F793" s="3" t="s">
        <v>34</v>
      </c>
      <c r="G793" s="3" t="s">
        <v>55</v>
      </c>
      <c r="H793" s="3" t="s">
        <v>44</v>
      </c>
      <c r="I793" s="3" t="n">
        <f aca="false">YEAR(E793)</f>
        <v>2026</v>
      </c>
      <c r="J793" s="3" t="n">
        <f aca="false">MONTH(E793)</f>
        <v>7</v>
      </c>
      <c r="K793" s="3" t="n">
        <f aca="false">COUNTIFS($B$2:$B$4077,B793,$C$2:$C$4077,C793,$I$2:$I$4077,I793)</f>
        <v>1</v>
      </c>
      <c r="L793" s="3" t="n">
        <f aca="false">IF(COUNTIFS($B$2:B793,B793,$C$2:C793,C793,$I$2:I793,I793)=1,1,0)</f>
        <v>1</v>
      </c>
      <c r="M793" s="3" t="n">
        <f aca="false">IF(K793&gt;=Parametri!$B$1,1,0)</f>
        <v>0</v>
      </c>
      <c r="N793" s="3" t="n">
        <f aca="false">L793*M793</f>
        <v>0</v>
      </c>
    </row>
    <row r="794" customFormat="false" ht="15" hidden="false" customHeight="false" outlineLevel="0" collapsed="false">
      <c r="A794" s="0" t="s">
        <v>1443</v>
      </c>
      <c r="B794" s="0" t="s">
        <v>46</v>
      </c>
      <c r="C794" s="0" t="s">
        <v>65</v>
      </c>
      <c r="D794" s="0" t="s">
        <v>54</v>
      </c>
      <c r="E794" s="2" t="n">
        <v>45386</v>
      </c>
      <c r="F794" s="3" t="s">
        <v>34</v>
      </c>
      <c r="G794" s="3" t="s">
        <v>21</v>
      </c>
      <c r="H794" s="3" t="s">
        <v>22</v>
      </c>
      <c r="I794" s="3" t="n">
        <f aca="false">YEAR(E794)</f>
        <v>2024</v>
      </c>
      <c r="J794" s="3" t="n">
        <f aca="false">MONTH(E794)</f>
        <v>4</v>
      </c>
      <c r="K794" s="3" t="n">
        <f aca="false">COUNTIFS($B$2:$B$4077,B794,$C$2:$C$4077,C794,$I$2:$I$4077,I794)</f>
        <v>7</v>
      </c>
      <c r="L794" s="3" t="n">
        <f aca="false">IF(COUNTIFS($B$2:B794,B794,$C$2:C794,C794,$I$2:I794,I794)=1,1,0)</f>
        <v>0</v>
      </c>
      <c r="M794" s="3" t="n">
        <f aca="false">IF(K794&gt;=Parametri!$B$1,1,0)</f>
        <v>1</v>
      </c>
      <c r="N794" s="3" t="n">
        <f aca="false">L794*M794</f>
        <v>0</v>
      </c>
    </row>
    <row r="795" customFormat="false" ht="15" hidden="false" customHeight="false" outlineLevel="0" collapsed="false">
      <c r="A795" s="0" t="s">
        <v>1444</v>
      </c>
      <c r="B795" s="0" t="s">
        <v>57</v>
      </c>
      <c r="C795" s="0" t="s">
        <v>583</v>
      </c>
      <c r="D795" s="0" t="s">
        <v>54</v>
      </c>
      <c r="E795" s="2" t="n">
        <v>45662</v>
      </c>
      <c r="F795" s="3" t="s">
        <v>27</v>
      </c>
      <c r="G795" s="3" t="s">
        <v>55</v>
      </c>
      <c r="H795" s="3" t="s">
        <v>44</v>
      </c>
      <c r="I795" s="3" t="n">
        <f aca="false">YEAR(E795)</f>
        <v>2025</v>
      </c>
      <c r="J795" s="3" t="n">
        <f aca="false">MONTH(E795)</f>
        <v>1</v>
      </c>
      <c r="K795" s="3" t="n">
        <f aca="false">COUNTIFS($B$2:$B$4077,B795,$C$2:$C$4077,C795,$I$2:$I$4077,I795)</f>
        <v>4</v>
      </c>
      <c r="L795" s="3" t="n">
        <f aca="false">IF(COUNTIFS($B$2:B795,B795,$C$2:C795,C795,$I$2:I795,I795)=1,1,0)</f>
        <v>1</v>
      </c>
      <c r="M795" s="3" t="n">
        <f aca="false">IF(K795&gt;=Parametri!$B$1,1,0)</f>
        <v>1</v>
      </c>
      <c r="N795" s="3" t="n">
        <f aca="false">L795*M795</f>
        <v>1</v>
      </c>
    </row>
    <row r="796" customFormat="false" ht="15" hidden="false" customHeight="false" outlineLevel="0" collapsed="false">
      <c r="A796" s="0" t="s">
        <v>1445</v>
      </c>
      <c r="B796" s="0" t="s">
        <v>68</v>
      </c>
      <c r="C796" s="0" t="s">
        <v>1446</v>
      </c>
      <c r="D796" s="0" t="s">
        <v>54</v>
      </c>
      <c r="E796" s="2" t="n">
        <v>45553</v>
      </c>
      <c r="F796" s="3" t="s">
        <v>20</v>
      </c>
      <c r="G796" s="3" t="s">
        <v>21</v>
      </c>
      <c r="H796" s="3" t="s">
        <v>29</v>
      </c>
      <c r="I796" s="3" t="n">
        <f aca="false">YEAR(E796)</f>
        <v>2024</v>
      </c>
      <c r="J796" s="3" t="n">
        <f aca="false">MONTH(E796)</f>
        <v>9</v>
      </c>
      <c r="K796" s="3" t="n">
        <f aca="false">COUNTIFS($B$2:$B$4077,B796,$C$2:$C$4077,C796,$I$2:$I$4077,I796)</f>
        <v>1</v>
      </c>
      <c r="L796" s="3" t="n">
        <f aca="false">IF(COUNTIFS($B$2:B796,B796,$C$2:C796,C796,$I$2:I796,I796)=1,1,0)</f>
        <v>1</v>
      </c>
      <c r="M796" s="3" t="n">
        <f aca="false">IF(K796&gt;=Parametri!$B$1,1,0)</f>
        <v>0</v>
      </c>
      <c r="N796" s="3" t="n">
        <f aca="false">L796*M796</f>
        <v>0</v>
      </c>
    </row>
    <row r="797" customFormat="false" ht="15" hidden="false" customHeight="false" outlineLevel="0" collapsed="false">
      <c r="A797" s="0" t="s">
        <v>1447</v>
      </c>
      <c r="B797" s="0" t="s">
        <v>17</v>
      </c>
      <c r="C797" s="0" t="s">
        <v>915</v>
      </c>
      <c r="D797" s="0" t="s">
        <v>66</v>
      </c>
      <c r="E797" s="2" t="n">
        <v>45334</v>
      </c>
      <c r="F797" s="3" t="s">
        <v>27</v>
      </c>
      <c r="G797" s="3" t="s">
        <v>21</v>
      </c>
      <c r="H797" s="3" t="s">
        <v>22</v>
      </c>
      <c r="I797" s="3" t="n">
        <f aca="false">YEAR(E797)</f>
        <v>2024</v>
      </c>
      <c r="J797" s="3" t="n">
        <f aca="false">MONTH(E797)</f>
        <v>2</v>
      </c>
      <c r="K797" s="3" t="n">
        <f aca="false">COUNTIFS($B$2:$B$4077,B797,$C$2:$C$4077,C797,$I$2:$I$4077,I797)</f>
        <v>5</v>
      </c>
      <c r="L797" s="3" t="n">
        <f aca="false">IF(COUNTIFS($B$2:B797,B797,$C$2:C797,C797,$I$2:I797,I797)=1,1,0)</f>
        <v>1</v>
      </c>
      <c r="M797" s="3" t="n">
        <f aca="false">IF(K797&gt;=Parametri!$B$1,1,0)</f>
        <v>1</v>
      </c>
      <c r="N797" s="3" t="n">
        <f aca="false">L797*M797</f>
        <v>1</v>
      </c>
    </row>
    <row r="798" customFormat="false" ht="15" hidden="false" customHeight="false" outlineLevel="0" collapsed="false">
      <c r="A798" s="0" t="s">
        <v>1448</v>
      </c>
      <c r="B798" s="0" t="s">
        <v>24</v>
      </c>
      <c r="C798" s="0" t="s">
        <v>1449</v>
      </c>
      <c r="D798" s="0" t="s">
        <v>54</v>
      </c>
      <c r="E798" s="2" t="n">
        <v>45750</v>
      </c>
      <c r="F798" s="3" t="s">
        <v>20</v>
      </c>
      <c r="G798" s="3" t="s">
        <v>89</v>
      </c>
      <c r="H798" s="3" t="s">
        <v>44</v>
      </c>
      <c r="I798" s="3" t="n">
        <f aca="false">YEAR(E798)</f>
        <v>2025</v>
      </c>
      <c r="J798" s="3" t="n">
        <f aca="false">MONTH(E798)</f>
        <v>4</v>
      </c>
      <c r="K798" s="3" t="n">
        <f aca="false">COUNTIFS($B$2:$B$4077,B798,$C$2:$C$4077,C798,$I$2:$I$4077,I798)</f>
        <v>1</v>
      </c>
      <c r="L798" s="3" t="n">
        <f aca="false">IF(COUNTIFS($B$2:B798,B798,$C$2:C798,C798,$I$2:I798,I798)=1,1,0)</f>
        <v>1</v>
      </c>
      <c r="M798" s="3" t="n">
        <f aca="false">IF(K798&gt;=Parametri!$B$1,1,0)</f>
        <v>0</v>
      </c>
      <c r="N798" s="3" t="n">
        <f aca="false">L798*M798</f>
        <v>0</v>
      </c>
    </row>
    <row r="799" customFormat="false" ht="15" hidden="false" customHeight="false" outlineLevel="0" collapsed="false">
      <c r="A799" s="0" t="s">
        <v>1450</v>
      </c>
      <c r="B799" s="0" t="s">
        <v>41</v>
      </c>
      <c r="C799" s="0" t="s">
        <v>1370</v>
      </c>
      <c r="D799" s="0" t="s">
        <v>38</v>
      </c>
      <c r="E799" s="2" t="n">
        <v>46070</v>
      </c>
      <c r="F799" s="3" t="s">
        <v>27</v>
      </c>
      <c r="G799" s="3" t="s">
        <v>39</v>
      </c>
      <c r="H799" s="3" t="s">
        <v>44</v>
      </c>
      <c r="I799" s="3" t="n">
        <f aca="false">YEAR(E799)</f>
        <v>2026</v>
      </c>
      <c r="J799" s="3" t="n">
        <f aca="false">MONTH(E799)</f>
        <v>2</v>
      </c>
      <c r="K799" s="3" t="n">
        <f aca="false">COUNTIFS($B$2:$B$4077,B799,$C$2:$C$4077,C799,$I$2:$I$4077,I799)</f>
        <v>1</v>
      </c>
      <c r="L799" s="3" t="n">
        <f aca="false">IF(COUNTIFS($B$2:B799,B799,$C$2:C799,C799,$I$2:I799,I799)=1,1,0)</f>
        <v>1</v>
      </c>
      <c r="M799" s="3" t="n">
        <f aca="false">IF(K799&gt;=Parametri!$B$1,1,0)</f>
        <v>0</v>
      </c>
      <c r="N799" s="3" t="n">
        <f aca="false">L799*M799</f>
        <v>0</v>
      </c>
    </row>
    <row r="800" customFormat="false" ht="15" hidden="false" customHeight="false" outlineLevel="0" collapsed="false">
      <c r="A800" s="0" t="s">
        <v>1451</v>
      </c>
      <c r="B800" s="0" t="s">
        <v>50</v>
      </c>
      <c r="C800" s="0" t="s">
        <v>819</v>
      </c>
      <c r="D800" s="0" t="s">
        <v>66</v>
      </c>
      <c r="E800" s="2" t="n">
        <v>45487</v>
      </c>
      <c r="F800" s="3" t="s">
        <v>27</v>
      </c>
      <c r="G800" s="3" t="s">
        <v>43</v>
      </c>
      <c r="H800" s="3" t="s">
        <v>22</v>
      </c>
      <c r="I800" s="3" t="n">
        <f aca="false">YEAR(E800)</f>
        <v>2024</v>
      </c>
      <c r="J800" s="3" t="n">
        <f aca="false">MONTH(E800)</f>
        <v>7</v>
      </c>
      <c r="K800" s="3" t="n">
        <f aca="false">COUNTIFS($B$2:$B$4077,B800,$C$2:$C$4077,C800,$I$2:$I$4077,I800)</f>
        <v>5</v>
      </c>
      <c r="L800" s="3" t="n">
        <f aca="false">IF(COUNTIFS($B$2:B800,B800,$C$2:C800,C800,$I$2:I800,I800)=1,1,0)</f>
        <v>1</v>
      </c>
      <c r="M800" s="3" t="n">
        <f aca="false">IF(K800&gt;=Parametri!$B$1,1,0)</f>
        <v>1</v>
      </c>
      <c r="N800" s="3" t="n">
        <f aca="false">L800*M800</f>
        <v>1</v>
      </c>
    </row>
    <row r="801" customFormat="false" ht="15" hidden="false" customHeight="false" outlineLevel="0" collapsed="false">
      <c r="A801" s="0" t="s">
        <v>1452</v>
      </c>
      <c r="B801" s="0" t="s">
        <v>79</v>
      </c>
      <c r="C801" s="0" t="s">
        <v>727</v>
      </c>
      <c r="D801" s="0" t="s">
        <v>54</v>
      </c>
      <c r="E801" s="2" t="n">
        <v>46113</v>
      </c>
      <c r="F801" s="3" t="s">
        <v>20</v>
      </c>
      <c r="G801" s="3" t="s">
        <v>21</v>
      </c>
      <c r="H801" s="3" t="s">
        <v>22</v>
      </c>
      <c r="I801" s="3" t="n">
        <f aca="false">YEAR(E801)</f>
        <v>2026</v>
      </c>
      <c r="J801" s="3" t="n">
        <f aca="false">MONTH(E801)</f>
        <v>4</v>
      </c>
      <c r="K801" s="3" t="n">
        <f aca="false">COUNTIFS($B$2:$B$4077,B801,$C$2:$C$4077,C801,$I$2:$I$4077,I801)</f>
        <v>2</v>
      </c>
      <c r="L801" s="3" t="n">
        <f aca="false">IF(COUNTIFS($B$2:B801,B801,$C$2:C801,C801,$I$2:I801,I801)=1,1,0)</f>
        <v>1</v>
      </c>
      <c r="M801" s="3" t="n">
        <f aca="false">IF(K801&gt;=Parametri!$B$1,1,0)</f>
        <v>1</v>
      </c>
      <c r="N801" s="3" t="n">
        <f aca="false">L801*M801</f>
        <v>1</v>
      </c>
    </row>
    <row r="802" customFormat="false" ht="15" hidden="false" customHeight="false" outlineLevel="0" collapsed="false">
      <c r="A802" s="0" t="s">
        <v>1453</v>
      </c>
      <c r="B802" s="0" t="s">
        <v>57</v>
      </c>
      <c r="C802" s="0" t="s">
        <v>263</v>
      </c>
      <c r="D802" s="0" t="s">
        <v>33</v>
      </c>
      <c r="E802" s="2" t="n">
        <v>46092</v>
      </c>
      <c r="F802" s="3" t="s">
        <v>34</v>
      </c>
      <c r="G802" s="3" t="s">
        <v>55</v>
      </c>
      <c r="H802" s="3" t="s">
        <v>44</v>
      </c>
      <c r="I802" s="3" t="n">
        <f aca="false">YEAR(E802)</f>
        <v>2026</v>
      </c>
      <c r="J802" s="3" t="n">
        <f aca="false">MONTH(E802)</f>
        <v>3</v>
      </c>
      <c r="K802" s="3" t="n">
        <f aca="false">COUNTIFS($B$2:$B$4077,B802,$C$2:$C$4077,C802,$I$2:$I$4077,I802)</f>
        <v>2</v>
      </c>
      <c r="L802" s="3" t="n">
        <f aca="false">IF(COUNTIFS($B$2:B802,B802,$C$2:C802,C802,$I$2:I802,I802)=1,1,0)</f>
        <v>1</v>
      </c>
      <c r="M802" s="3" t="n">
        <f aca="false">IF(K802&gt;=Parametri!$B$1,1,0)</f>
        <v>1</v>
      </c>
      <c r="N802" s="3" t="n">
        <f aca="false">L802*M802</f>
        <v>1</v>
      </c>
    </row>
    <row r="803" customFormat="false" ht="15" hidden="false" customHeight="false" outlineLevel="0" collapsed="false">
      <c r="A803" s="0" t="s">
        <v>1454</v>
      </c>
      <c r="B803" s="0" t="s">
        <v>124</v>
      </c>
      <c r="C803" s="0" t="s">
        <v>410</v>
      </c>
      <c r="D803" s="0" t="s">
        <v>26</v>
      </c>
      <c r="E803" s="2" t="n">
        <v>45544</v>
      </c>
      <c r="F803" s="3" t="s">
        <v>34</v>
      </c>
      <c r="G803" s="3" t="s">
        <v>89</v>
      </c>
      <c r="H803" s="3" t="s">
        <v>29</v>
      </c>
      <c r="I803" s="3" t="n">
        <f aca="false">YEAR(E803)</f>
        <v>2024</v>
      </c>
      <c r="J803" s="3" t="n">
        <f aca="false">MONTH(E803)</f>
        <v>9</v>
      </c>
      <c r="K803" s="3" t="n">
        <f aca="false">COUNTIFS($B$2:$B$4077,B803,$C$2:$C$4077,C803,$I$2:$I$4077,I803)</f>
        <v>4</v>
      </c>
      <c r="L803" s="3" t="n">
        <f aca="false">IF(COUNTIFS($B$2:B803,B803,$C$2:C803,C803,$I$2:I803,I803)=1,1,0)</f>
        <v>1</v>
      </c>
      <c r="M803" s="3" t="n">
        <f aca="false">IF(K803&gt;=Parametri!$B$1,1,0)</f>
        <v>1</v>
      </c>
      <c r="N803" s="3" t="n">
        <f aca="false">L803*M803</f>
        <v>1</v>
      </c>
    </row>
    <row r="804" customFormat="false" ht="15" hidden="false" customHeight="false" outlineLevel="0" collapsed="false">
      <c r="A804" s="0" t="s">
        <v>1455</v>
      </c>
      <c r="B804" s="0" t="s">
        <v>124</v>
      </c>
      <c r="C804" s="0" t="s">
        <v>580</v>
      </c>
      <c r="D804" s="0" t="s">
        <v>38</v>
      </c>
      <c r="E804" s="2" t="n">
        <v>45654</v>
      </c>
      <c r="F804" s="3" t="s">
        <v>27</v>
      </c>
      <c r="G804" s="3" t="s">
        <v>39</v>
      </c>
      <c r="H804" s="3" t="s">
        <v>29</v>
      </c>
      <c r="I804" s="3" t="n">
        <f aca="false">YEAR(E804)</f>
        <v>2024</v>
      </c>
      <c r="J804" s="3" t="n">
        <f aca="false">MONTH(E804)</f>
        <v>12</v>
      </c>
      <c r="K804" s="3" t="n">
        <f aca="false">COUNTIFS($B$2:$B$4077,B804,$C$2:$C$4077,C804,$I$2:$I$4077,I804)</f>
        <v>2</v>
      </c>
      <c r="L804" s="3" t="n">
        <f aca="false">IF(COUNTIFS($B$2:B804,B804,$C$2:C804,C804,$I$2:I804,I804)=1,1,0)</f>
        <v>0</v>
      </c>
      <c r="M804" s="3" t="n">
        <f aca="false">IF(K804&gt;=Parametri!$B$1,1,0)</f>
        <v>1</v>
      </c>
      <c r="N804" s="3" t="n">
        <f aca="false">L804*M804</f>
        <v>0</v>
      </c>
    </row>
    <row r="805" customFormat="false" ht="15" hidden="false" customHeight="false" outlineLevel="0" collapsed="false">
      <c r="A805" s="0" t="s">
        <v>1456</v>
      </c>
      <c r="B805" s="0" t="s">
        <v>68</v>
      </c>
      <c r="C805" s="0" t="s">
        <v>1457</v>
      </c>
      <c r="D805" s="0" t="s">
        <v>38</v>
      </c>
      <c r="E805" s="2" t="n">
        <v>46203</v>
      </c>
      <c r="F805" s="3" t="s">
        <v>34</v>
      </c>
      <c r="G805" s="3" t="s">
        <v>55</v>
      </c>
      <c r="H805" s="3" t="s">
        <v>22</v>
      </c>
      <c r="I805" s="3" t="n">
        <f aca="false">YEAR(E805)</f>
        <v>2026</v>
      </c>
      <c r="J805" s="3" t="n">
        <f aca="false">MONTH(E805)</f>
        <v>6</v>
      </c>
      <c r="K805" s="3" t="n">
        <f aca="false">COUNTIFS($B$2:$B$4077,B805,$C$2:$C$4077,C805,$I$2:$I$4077,I805)</f>
        <v>6</v>
      </c>
      <c r="L805" s="3" t="n">
        <f aca="false">IF(COUNTIFS($B$2:B805,B805,$C$2:C805,C805,$I$2:I805,I805)=1,1,0)</f>
        <v>1</v>
      </c>
      <c r="M805" s="3" t="n">
        <f aca="false">IF(K805&gt;=Parametri!$B$1,1,0)</f>
        <v>1</v>
      </c>
      <c r="N805" s="3" t="n">
        <f aca="false">L805*M805</f>
        <v>1</v>
      </c>
    </row>
    <row r="806" customFormat="false" ht="15" hidden="false" customHeight="false" outlineLevel="0" collapsed="false">
      <c r="A806" s="0" t="s">
        <v>1458</v>
      </c>
      <c r="B806" s="0" t="s">
        <v>24</v>
      </c>
      <c r="C806" s="0" t="s">
        <v>1148</v>
      </c>
      <c r="D806" s="0" t="s">
        <v>26</v>
      </c>
      <c r="E806" s="2" t="n">
        <v>46262</v>
      </c>
      <c r="F806" s="3" t="s">
        <v>27</v>
      </c>
      <c r="G806" s="3" t="s">
        <v>39</v>
      </c>
      <c r="H806" s="3" t="s">
        <v>44</v>
      </c>
      <c r="I806" s="3" t="n">
        <f aca="false">YEAR(E806)</f>
        <v>2026</v>
      </c>
      <c r="J806" s="3" t="n">
        <f aca="false">MONTH(E806)</f>
        <v>8</v>
      </c>
      <c r="K806" s="3" t="n">
        <f aca="false">COUNTIFS($B$2:$B$4077,B806,$C$2:$C$4077,C806,$I$2:$I$4077,I806)</f>
        <v>4</v>
      </c>
      <c r="L806" s="3" t="n">
        <f aca="false">IF(COUNTIFS($B$2:B806,B806,$C$2:C806,C806,$I$2:I806,I806)=1,1,0)</f>
        <v>0</v>
      </c>
      <c r="M806" s="3" t="n">
        <f aca="false">IF(K806&gt;=Parametri!$B$1,1,0)</f>
        <v>1</v>
      </c>
      <c r="N806" s="3" t="n">
        <f aca="false">L806*M806</f>
        <v>0</v>
      </c>
    </row>
    <row r="807" customFormat="false" ht="15" hidden="false" customHeight="false" outlineLevel="0" collapsed="false">
      <c r="A807" s="0" t="s">
        <v>1459</v>
      </c>
      <c r="B807" s="0" t="s">
        <v>46</v>
      </c>
      <c r="C807" s="0" t="s">
        <v>1228</v>
      </c>
      <c r="D807" s="0" t="s">
        <v>77</v>
      </c>
      <c r="E807" s="2" t="n">
        <v>46225</v>
      </c>
      <c r="F807" s="3" t="s">
        <v>20</v>
      </c>
      <c r="G807" s="3" t="s">
        <v>72</v>
      </c>
      <c r="H807" s="3" t="s">
        <v>48</v>
      </c>
      <c r="I807" s="3" t="n">
        <f aca="false">YEAR(E807)</f>
        <v>2026</v>
      </c>
      <c r="J807" s="3" t="n">
        <f aca="false">MONTH(E807)</f>
        <v>7</v>
      </c>
      <c r="K807" s="3" t="n">
        <f aca="false">COUNTIFS($B$2:$B$4077,B807,$C$2:$C$4077,C807,$I$2:$I$4077,I807)</f>
        <v>3</v>
      </c>
      <c r="L807" s="3" t="n">
        <f aca="false">IF(COUNTIFS($B$2:B807,B807,$C$2:C807,C807,$I$2:I807,I807)=1,1,0)</f>
        <v>1</v>
      </c>
      <c r="M807" s="3" t="n">
        <f aca="false">IF(K807&gt;=Parametri!$B$1,1,0)</f>
        <v>1</v>
      </c>
      <c r="N807" s="3" t="n">
        <f aca="false">L807*M807</f>
        <v>1</v>
      </c>
    </row>
    <row r="808" customFormat="false" ht="15" hidden="false" customHeight="false" outlineLevel="0" collapsed="false">
      <c r="A808" s="0" t="s">
        <v>1460</v>
      </c>
      <c r="B808" s="0" t="s">
        <v>79</v>
      </c>
      <c r="C808" s="0" t="s">
        <v>1461</v>
      </c>
      <c r="D808" s="0" t="s">
        <v>33</v>
      </c>
      <c r="E808" s="2" t="n">
        <v>45373</v>
      </c>
      <c r="F808" s="3" t="s">
        <v>27</v>
      </c>
      <c r="G808" s="3" t="s">
        <v>72</v>
      </c>
      <c r="H808" s="3" t="s">
        <v>44</v>
      </c>
      <c r="I808" s="3" t="n">
        <f aca="false">YEAR(E808)</f>
        <v>2024</v>
      </c>
      <c r="J808" s="3" t="n">
        <f aca="false">MONTH(E808)</f>
        <v>3</v>
      </c>
      <c r="K808" s="3" t="n">
        <f aca="false">COUNTIFS($B$2:$B$4077,B808,$C$2:$C$4077,C808,$I$2:$I$4077,I808)</f>
        <v>2</v>
      </c>
      <c r="L808" s="3" t="n">
        <f aca="false">IF(COUNTIFS($B$2:B808,B808,$C$2:C808,C808,$I$2:I808,I808)=1,1,0)</f>
        <v>1</v>
      </c>
      <c r="M808" s="3" t="n">
        <f aca="false">IF(K808&gt;=Parametri!$B$1,1,0)</f>
        <v>1</v>
      </c>
      <c r="N808" s="3" t="n">
        <f aca="false">L808*M808</f>
        <v>1</v>
      </c>
    </row>
    <row r="809" customFormat="false" ht="15" hidden="false" customHeight="false" outlineLevel="0" collapsed="false">
      <c r="A809" s="0" t="s">
        <v>1462</v>
      </c>
      <c r="B809" s="0" t="s">
        <v>46</v>
      </c>
      <c r="C809" s="0" t="s">
        <v>1463</v>
      </c>
      <c r="D809" s="0" t="s">
        <v>66</v>
      </c>
      <c r="E809" s="2" t="n">
        <v>45987</v>
      </c>
      <c r="F809" s="3" t="s">
        <v>20</v>
      </c>
      <c r="G809" s="3" t="s">
        <v>55</v>
      </c>
      <c r="H809" s="3" t="s">
        <v>44</v>
      </c>
      <c r="I809" s="3" t="n">
        <f aca="false">YEAR(E809)</f>
        <v>2025</v>
      </c>
      <c r="J809" s="3" t="n">
        <f aca="false">MONTH(E809)</f>
        <v>11</v>
      </c>
      <c r="K809" s="3" t="n">
        <f aca="false">COUNTIFS($B$2:$B$4077,B809,$C$2:$C$4077,C809,$I$2:$I$4077,I809)</f>
        <v>1</v>
      </c>
      <c r="L809" s="3" t="n">
        <f aca="false">IF(COUNTIFS($B$2:B809,B809,$C$2:C809,C809,$I$2:I809,I809)=1,1,0)</f>
        <v>1</v>
      </c>
      <c r="M809" s="3" t="n">
        <f aca="false">IF(K809&gt;=Parametri!$B$1,1,0)</f>
        <v>0</v>
      </c>
      <c r="N809" s="3" t="n">
        <f aca="false">L809*M809</f>
        <v>0</v>
      </c>
    </row>
    <row r="810" customFormat="false" ht="15" hidden="false" customHeight="false" outlineLevel="0" collapsed="false">
      <c r="A810" s="0" t="s">
        <v>1464</v>
      </c>
      <c r="B810" s="0" t="s">
        <v>124</v>
      </c>
      <c r="C810" s="0" t="s">
        <v>1465</v>
      </c>
      <c r="D810" s="0" t="s">
        <v>77</v>
      </c>
      <c r="E810" s="2" t="n">
        <v>45493</v>
      </c>
      <c r="F810" s="3" t="s">
        <v>20</v>
      </c>
      <c r="G810" s="3" t="s">
        <v>89</v>
      </c>
      <c r="H810" s="3" t="s">
        <v>22</v>
      </c>
      <c r="I810" s="3" t="n">
        <f aca="false">YEAR(E810)</f>
        <v>2024</v>
      </c>
      <c r="J810" s="3" t="n">
        <f aca="false">MONTH(E810)</f>
        <v>7</v>
      </c>
      <c r="K810" s="3" t="n">
        <f aca="false">COUNTIFS($B$2:$B$4077,B810,$C$2:$C$4077,C810,$I$2:$I$4077,I810)</f>
        <v>1</v>
      </c>
      <c r="L810" s="3" t="n">
        <f aca="false">IF(COUNTIFS($B$2:B810,B810,$C$2:C810,C810,$I$2:I810,I810)=1,1,0)</f>
        <v>1</v>
      </c>
      <c r="M810" s="3" t="n">
        <f aca="false">IF(K810&gt;=Parametri!$B$1,1,0)</f>
        <v>0</v>
      </c>
      <c r="N810" s="3" t="n">
        <f aca="false">L810*M810</f>
        <v>0</v>
      </c>
    </row>
    <row r="811" customFormat="false" ht="15" hidden="false" customHeight="false" outlineLevel="0" collapsed="false">
      <c r="A811" s="0" t="s">
        <v>1466</v>
      </c>
      <c r="B811" s="0" t="s">
        <v>46</v>
      </c>
      <c r="C811" s="0" t="s">
        <v>625</v>
      </c>
      <c r="D811" s="0" t="s">
        <v>66</v>
      </c>
      <c r="E811" s="2" t="n">
        <v>46006</v>
      </c>
      <c r="F811" s="3" t="s">
        <v>34</v>
      </c>
      <c r="G811" s="3" t="s">
        <v>39</v>
      </c>
      <c r="H811" s="3" t="s">
        <v>48</v>
      </c>
      <c r="I811" s="3" t="n">
        <f aca="false">YEAR(E811)</f>
        <v>2025</v>
      </c>
      <c r="J811" s="3" t="n">
        <f aca="false">MONTH(E811)</f>
        <v>12</v>
      </c>
      <c r="K811" s="3" t="n">
        <f aca="false">COUNTIFS($B$2:$B$4077,B811,$C$2:$C$4077,C811,$I$2:$I$4077,I811)</f>
        <v>1</v>
      </c>
      <c r="L811" s="3" t="n">
        <f aca="false">IF(COUNTIFS($B$2:B811,B811,$C$2:C811,C811,$I$2:I811,I811)=1,1,0)</f>
        <v>1</v>
      </c>
      <c r="M811" s="3" t="n">
        <f aca="false">IF(K811&gt;=Parametri!$B$1,1,0)</f>
        <v>0</v>
      </c>
      <c r="N811" s="3" t="n">
        <f aca="false">L811*M811</f>
        <v>0</v>
      </c>
    </row>
    <row r="812" customFormat="false" ht="15" hidden="false" customHeight="false" outlineLevel="0" collapsed="false">
      <c r="A812" s="0" t="s">
        <v>1467</v>
      </c>
      <c r="B812" s="0" t="s">
        <v>79</v>
      </c>
      <c r="C812" s="0" t="s">
        <v>149</v>
      </c>
      <c r="D812" s="0" t="s">
        <v>26</v>
      </c>
      <c r="E812" s="2" t="n">
        <v>45791</v>
      </c>
      <c r="F812" s="3" t="s">
        <v>20</v>
      </c>
      <c r="G812" s="3" t="s">
        <v>35</v>
      </c>
      <c r="H812" s="3" t="s">
        <v>29</v>
      </c>
      <c r="I812" s="3" t="n">
        <f aca="false">YEAR(E812)</f>
        <v>2025</v>
      </c>
      <c r="J812" s="3" t="n">
        <f aca="false">MONTH(E812)</f>
        <v>5</v>
      </c>
      <c r="K812" s="3" t="n">
        <f aca="false">COUNTIFS($B$2:$B$4077,B812,$C$2:$C$4077,C812,$I$2:$I$4077,I812)</f>
        <v>5</v>
      </c>
      <c r="L812" s="3" t="n">
        <f aca="false">IF(COUNTIFS($B$2:B812,B812,$C$2:C812,C812,$I$2:I812,I812)=1,1,0)</f>
        <v>0</v>
      </c>
      <c r="M812" s="3" t="n">
        <f aca="false">IF(K812&gt;=Parametri!$B$1,1,0)</f>
        <v>1</v>
      </c>
      <c r="N812" s="3" t="n">
        <f aca="false">L812*M812</f>
        <v>0</v>
      </c>
    </row>
    <row r="813" customFormat="false" ht="15" hidden="false" customHeight="false" outlineLevel="0" collapsed="false">
      <c r="A813" s="0" t="s">
        <v>1468</v>
      </c>
      <c r="B813" s="0" t="s">
        <v>50</v>
      </c>
      <c r="C813" s="0" t="s">
        <v>1469</v>
      </c>
      <c r="D813" s="0" t="s">
        <v>38</v>
      </c>
      <c r="E813" s="2" t="n">
        <v>45955</v>
      </c>
      <c r="F813" s="3" t="s">
        <v>20</v>
      </c>
      <c r="G813" s="3" t="s">
        <v>43</v>
      </c>
      <c r="H813" s="3" t="s">
        <v>29</v>
      </c>
      <c r="I813" s="3" t="n">
        <f aca="false">YEAR(E813)</f>
        <v>2025</v>
      </c>
      <c r="J813" s="3" t="n">
        <f aca="false">MONTH(E813)</f>
        <v>10</v>
      </c>
      <c r="K813" s="3" t="n">
        <f aca="false">COUNTIFS($B$2:$B$4077,B813,$C$2:$C$4077,C813,$I$2:$I$4077,I813)</f>
        <v>1</v>
      </c>
      <c r="L813" s="3" t="n">
        <f aca="false">IF(COUNTIFS($B$2:B813,B813,$C$2:C813,C813,$I$2:I813,I813)=1,1,0)</f>
        <v>1</v>
      </c>
      <c r="M813" s="3" t="n">
        <f aca="false">IF(K813&gt;=Parametri!$B$1,1,0)</f>
        <v>0</v>
      </c>
      <c r="N813" s="3" t="n">
        <f aca="false">L813*M813</f>
        <v>0</v>
      </c>
    </row>
    <row r="814" customFormat="false" ht="15" hidden="false" customHeight="false" outlineLevel="0" collapsed="false">
      <c r="A814" s="0" t="s">
        <v>1470</v>
      </c>
      <c r="B814" s="0" t="s">
        <v>50</v>
      </c>
      <c r="C814" s="0" t="s">
        <v>1471</v>
      </c>
      <c r="D814" s="0" t="s">
        <v>38</v>
      </c>
      <c r="E814" s="2" t="n">
        <v>45643</v>
      </c>
      <c r="F814" s="3" t="s">
        <v>27</v>
      </c>
      <c r="G814" s="3" t="s">
        <v>28</v>
      </c>
      <c r="H814" s="3" t="s">
        <v>22</v>
      </c>
      <c r="I814" s="3" t="n">
        <f aca="false">YEAR(E814)</f>
        <v>2024</v>
      </c>
      <c r="J814" s="3" t="n">
        <f aca="false">MONTH(E814)</f>
        <v>12</v>
      </c>
      <c r="K814" s="3" t="n">
        <f aca="false">COUNTIFS($B$2:$B$4077,B814,$C$2:$C$4077,C814,$I$2:$I$4077,I814)</f>
        <v>1</v>
      </c>
      <c r="L814" s="3" t="n">
        <f aca="false">IF(COUNTIFS($B$2:B814,B814,$C$2:C814,C814,$I$2:I814,I814)=1,1,0)</f>
        <v>1</v>
      </c>
      <c r="M814" s="3" t="n">
        <f aca="false">IF(K814&gt;=Parametri!$B$1,1,0)</f>
        <v>0</v>
      </c>
      <c r="N814" s="3" t="n">
        <f aca="false">L814*M814</f>
        <v>0</v>
      </c>
    </row>
    <row r="815" customFormat="false" ht="15" hidden="false" customHeight="false" outlineLevel="0" collapsed="false">
      <c r="A815" s="0" t="s">
        <v>1472</v>
      </c>
      <c r="B815" s="0" t="s">
        <v>24</v>
      </c>
      <c r="C815" s="0" t="s">
        <v>1473</v>
      </c>
      <c r="D815" s="0" t="s">
        <v>63</v>
      </c>
      <c r="E815" s="2" t="n">
        <v>45988</v>
      </c>
      <c r="F815" s="3" t="s">
        <v>27</v>
      </c>
      <c r="G815" s="3" t="s">
        <v>43</v>
      </c>
      <c r="H815" s="3" t="s">
        <v>44</v>
      </c>
      <c r="I815" s="3" t="n">
        <f aca="false">YEAR(E815)</f>
        <v>2025</v>
      </c>
      <c r="J815" s="3" t="n">
        <f aca="false">MONTH(E815)</f>
        <v>11</v>
      </c>
      <c r="K815" s="3" t="n">
        <f aca="false">COUNTIFS($B$2:$B$4077,B815,$C$2:$C$4077,C815,$I$2:$I$4077,I815)</f>
        <v>1</v>
      </c>
      <c r="L815" s="3" t="n">
        <f aca="false">IF(COUNTIFS($B$2:B815,B815,$C$2:C815,C815,$I$2:I815,I815)=1,1,0)</f>
        <v>1</v>
      </c>
      <c r="M815" s="3" t="n">
        <f aca="false">IF(K815&gt;=Parametri!$B$1,1,0)</f>
        <v>0</v>
      </c>
      <c r="N815" s="3" t="n">
        <f aca="false">L815*M815</f>
        <v>0</v>
      </c>
    </row>
    <row r="816" customFormat="false" ht="15" hidden="false" customHeight="false" outlineLevel="0" collapsed="false">
      <c r="A816" s="0" t="s">
        <v>1474</v>
      </c>
      <c r="B816" s="0" t="s">
        <v>17</v>
      </c>
      <c r="C816" s="0" t="s">
        <v>1475</v>
      </c>
      <c r="D816" s="0" t="s">
        <v>77</v>
      </c>
      <c r="E816" s="2" t="n">
        <v>45471</v>
      </c>
      <c r="F816" s="3" t="s">
        <v>34</v>
      </c>
      <c r="G816" s="3" t="s">
        <v>39</v>
      </c>
      <c r="H816" s="3" t="s">
        <v>22</v>
      </c>
      <c r="I816" s="3" t="n">
        <f aca="false">YEAR(E816)</f>
        <v>2024</v>
      </c>
      <c r="J816" s="3" t="n">
        <f aca="false">MONTH(E816)</f>
        <v>6</v>
      </c>
      <c r="K816" s="3" t="n">
        <f aca="false">COUNTIFS($B$2:$B$4077,B816,$C$2:$C$4077,C816,$I$2:$I$4077,I816)</f>
        <v>1</v>
      </c>
      <c r="L816" s="3" t="n">
        <f aca="false">IF(COUNTIFS($B$2:B816,B816,$C$2:C816,C816,$I$2:I816,I816)=1,1,0)</f>
        <v>1</v>
      </c>
      <c r="M816" s="3" t="n">
        <f aca="false">IF(K816&gt;=Parametri!$B$1,1,0)</f>
        <v>0</v>
      </c>
      <c r="N816" s="3" t="n">
        <f aca="false">L816*M816</f>
        <v>0</v>
      </c>
    </row>
    <row r="817" customFormat="false" ht="15" hidden="false" customHeight="false" outlineLevel="0" collapsed="false">
      <c r="A817" s="0" t="s">
        <v>1476</v>
      </c>
      <c r="B817" s="0" t="s">
        <v>24</v>
      </c>
      <c r="C817" s="0" t="s">
        <v>1477</v>
      </c>
      <c r="D817" s="0" t="s">
        <v>66</v>
      </c>
      <c r="E817" s="2" t="n">
        <v>45707</v>
      </c>
      <c r="F817" s="3" t="s">
        <v>27</v>
      </c>
      <c r="G817" s="3" t="s">
        <v>28</v>
      </c>
      <c r="H817" s="3" t="s">
        <v>44</v>
      </c>
      <c r="I817" s="3" t="n">
        <f aca="false">YEAR(E817)</f>
        <v>2025</v>
      </c>
      <c r="J817" s="3" t="n">
        <f aca="false">MONTH(E817)</f>
        <v>2</v>
      </c>
      <c r="K817" s="3" t="n">
        <f aca="false">COUNTIFS($B$2:$B$4077,B817,$C$2:$C$4077,C817,$I$2:$I$4077,I817)</f>
        <v>1</v>
      </c>
      <c r="L817" s="3" t="n">
        <f aca="false">IF(COUNTIFS($B$2:B817,B817,$C$2:C817,C817,$I$2:I817,I817)=1,1,0)</f>
        <v>1</v>
      </c>
      <c r="M817" s="3" t="n">
        <f aca="false">IF(K817&gt;=Parametri!$B$1,1,0)</f>
        <v>0</v>
      </c>
      <c r="N817" s="3" t="n">
        <f aca="false">L817*M817</f>
        <v>0</v>
      </c>
    </row>
    <row r="818" customFormat="false" ht="15" hidden="false" customHeight="false" outlineLevel="0" collapsed="false">
      <c r="A818" s="0" t="s">
        <v>1478</v>
      </c>
      <c r="B818" s="0" t="s">
        <v>31</v>
      </c>
      <c r="C818" s="0" t="s">
        <v>712</v>
      </c>
      <c r="D818" s="0" t="s">
        <v>26</v>
      </c>
      <c r="E818" s="2" t="n">
        <v>45681</v>
      </c>
      <c r="F818" s="3" t="s">
        <v>27</v>
      </c>
      <c r="G818" s="3" t="s">
        <v>55</v>
      </c>
      <c r="H818" s="3" t="s">
        <v>48</v>
      </c>
      <c r="I818" s="3" t="n">
        <f aca="false">YEAR(E818)</f>
        <v>2025</v>
      </c>
      <c r="J818" s="3" t="n">
        <f aca="false">MONTH(E818)</f>
        <v>1</v>
      </c>
      <c r="K818" s="3" t="n">
        <f aca="false">COUNTIFS($B$2:$B$4077,B818,$C$2:$C$4077,C818,$I$2:$I$4077,I818)</f>
        <v>6</v>
      </c>
      <c r="L818" s="3" t="n">
        <f aca="false">IF(COUNTIFS($B$2:B818,B818,$C$2:C818,C818,$I$2:I818,I818)=1,1,0)</f>
        <v>1</v>
      </c>
      <c r="M818" s="3" t="n">
        <f aca="false">IF(K818&gt;=Parametri!$B$1,1,0)</f>
        <v>1</v>
      </c>
      <c r="N818" s="3" t="n">
        <f aca="false">L818*M818</f>
        <v>1</v>
      </c>
    </row>
    <row r="819" customFormat="false" ht="15" hidden="false" customHeight="false" outlineLevel="0" collapsed="false">
      <c r="A819" s="0" t="s">
        <v>1479</v>
      </c>
      <c r="B819" s="0" t="s">
        <v>46</v>
      </c>
      <c r="C819" s="0" t="s">
        <v>1480</v>
      </c>
      <c r="D819" s="0" t="s">
        <v>33</v>
      </c>
      <c r="E819" s="2" t="n">
        <v>46213</v>
      </c>
      <c r="F819" s="3" t="s">
        <v>20</v>
      </c>
      <c r="G819" s="3" t="s">
        <v>104</v>
      </c>
      <c r="H819" s="3" t="s">
        <v>48</v>
      </c>
      <c r="I819" s="3" t="n">
        <f aca="false">YEAR(E819)</f>
        <v>2026</v>
      </c>
      <c r="J819" s="3" t="n">
        <f aca="false">MONTH(E819)</f>
        <v>7</v>
      </c>
      <c r="K819" s="3" t="n">
        <f aca="false">COUNTIFS($B$2:$B$4077,B819,$C$2:$C$4077,C819,$I$2:$I$4077,I819)</f>
        <v>1</v>
      </c>
      <c r="L819" s="3" t="n">
        <f aca="false">IF(COUNTIFS($B$2:B819,B819,$C$2:C819,C819,$I$2:I819,I819)=1,1,0)</f>
        <v>1</v>
      </c>
      <c r="M819" s="3" t="n">
        <f aca="false">IF(K819&gt;=Parametri!$B$1,1,0)</f>
        <v>0</v>
      </c>
      <c r="N819" s="3" t="n">
        <f aca="false">L819*M819</f>
        <v>0</v>
      </c>
    </row>
    <row r="820" customFormat="false" ht="15" hidden="false" customHeight="false" outlineLevel="0" collapsed="false">
      <c r="A820" s="0" t="s">
        <v>1481</v>
      </c>
      <c r="B820" s="0" t="s">
        <v>17</v>
      </c>
      <c r="C820" s="0" t="s">
        <v>1482</v>
      </c>
      <c r="D820" s="0" t="s">
        <v>77</v>
      </c>
      <c r="E820" s="2" t="n">
        <v>46133</v>
      </c>
      <c r="F820" s="3" t="s">
        <v>27</v>
      </c>
      <c r="G820" s="3" t="s">
        <v>39</v>
      </c>
      <c r="H820" s="3" t="s">
        <v>48</v>
      </c>
      <c r="I820" s="3" t="n">
        <f aca="false">YEAR(E820)</f>
        <v>2026</v>
      </c>
      <c r="J820" s="3" t="n">
        <f aca="false">MONTH(E820)</f>
        <v>4</v>
      </c>
      <c r="K820" s="3" t="n">
        <f aca="false">COUNTIFS($B$2:$B$4077,B820,$C$2:$C$4077,C820,$I$2:$I$4077,I820)</f>
        <v>2</v>
      </c>
      <c r="L820" s="3" t="n">
        <f aca="false">IF(COUNTIFS($B$2:B820,B820,$C$2:C820,C820,$I$2:I820,I820)=1,1,0)</f>
        <v>1</v>
      </c>
      <c r="M820" s="3" t="n">
        <f aca="false">IF(K820&gt;=Parametri!$B$1,1,0)</f>
        <v>1</v>
      </c>
      <c r="N820" s="3" t="n">
        <f aca="false">L820*M820</f>
        <v>1</v>
      </c>
    </row>
    <row r="821" customFormat="false" ht="15" hidden="false" customHeight="false" outlineLevel="0" collapsed="false">
      <c r="A821" s="0" t="s">
        <v>1483</v>
      </c>
      <c r="B821" s="0" t="s">
        <v>31</v>
      </c>
      <c r="C821" s="0" t="s">
        <v>1484</v>
      </c>
      <c r="D821" s="0" t="s">
        <v>66</v>
      </c>
      <c r="E821" s="2" t="n">
        <v>45804</v>
      </c>
      <c r="F821" s="3" t="s">
        <v>20</v>
      </c>
      <c r="G821" s="3" t="s">
        <v>89</v>
      </c>
      <c r="H821" s="3" t="s">
        <v>22</v>
      </c>
      <c r="I821" s="3" t="n">
        <f aca="false">YEAR(E821)</f>
        <v>2025</v>
      </c>
      <c r="J821" s="3" t="n">
        <f aca="false">MONTH(E821)</f>
        <v>5</v>
      </c>
      <c r="K821" s="3" t="n">
        <f aca="false">COUNTIFS($B$2:$B$4077,B821,$C$2:$C$4077,C821,$I$2:$I$4077,I821)</f>
        <v>2</v>
      </c>
      <c r="L821" s="3" t="n">
        <f aca="false">IF(COUNTIFS($B$2:B821,B821,$C$2:C821,C821,$I$2:I821,I821)=1,1,0)</f>
        <v>1</v>
      </c>
      <c r="M821" s="3" t="n">
        <f aca="false">IF(K821&gt;=Parametri!$B$1,1,0)</f>
        <v>1</v>
      </c>
      <c r="N821" s="3" t="n">
        <f aca="false">L821*M821</f>
        <v>1</v>
      </c>
    </row>
    <row r="822" customFormat="false" ht="15" hidden="false" customHeight="false" outlineLevel="0" collapsed="false">
      <c r="A822" s="0" t="s">
        <v>1485</v>
      </c>
      <c r="B822" s="0" t="s">
        <v>31</v>
      </c>
      <c r="C822" s="0" t="s">
        <v>1486</v>
      </c>
      <c r="D822" s="0" t="s">
        <v>54</v>
      </c>
      <c r="E822" s="2" t="n">
        <v>46243</v>
      </c>
      <c r="F822" s="3" t="s">
        <v>20</v>
      </c>
      <c r="G822" s="3" t="s">
        <v>72</v>
      </c>
      <c r="H822" s="3" t="s">
        <v>44</v>
      </c>
      <c r="I822" s="3" t="n">
        <f aca="false">YEAR(E822)</f>
        <v>2026</v>
      </c>
      <c r="J822" s="3" t="n">
        <f aca="false">MONTH(E822)</f>
        <v>8</v>
      </c>
      <c r="K822" s="3" t="n">
        <f aca="false">COUNTIFS($B$2:$B$4077,B822,$C$2:$C$4077,C822,$I$2:$I$4077,I822)</f>
        <v>1</v>
      </c>
      <c r="L822" s="3" t="n">
        <f aca="false">IF(COUNTIFS($B$2:B822,B822,$C$2:C822,C822,$I$2:I822,I822)=1,1,0)</f>
        <v>1</v>
      </c>
      <c r="M822" s="3" t="n">
        <f aca="false">IF(K822&gt;=Parametri!$B$1,1,0)</f>
        <v>0</v>
      </c>
      <c r="N822" s="3" t="n">
        <f aca="false">L822*M822</f>
        <v>0</v>
      </c>
    </row>
    <row r="823" customFormat="false" ht="15" hidden="false" customHeight="false" outlineLevel="0" collapsed="false">
      <c r="A823" s="0" t="s">
        <v>1487</v>
      </c>
      <c r="B823" s="0" t="s">
        <v>41</v>
      </c>
      <c r="C823" s="0" t="s">
        <v>1488</v>
      </c>
      <c r="D823" s="0" t="s">
        <v>33</v>
      </c>
      <c r="E823" s="2" t="n">
        <v>46171</v>
      </c>
      <c r="F823" s="3" t="s">
        <v>34</v>
      </c>
      <c r="G823" s="3" t="s">
        <v>21</v>
      </c>
      <c r="H823" s="3" t="s">
        <v>44</v>
      </c>
      <c r="I823" s="3" t="n">
        <f aca="false">YEAR(E823)</f>
        <v>2026</v>
      </c>
      <c r="J823" s="3" t="n">
        <f aca="false">MONTH(E823)</f>
        <v>5</v>
      </c>
      <c r="K823" s="3" t="n">
        <f aca="false">COUNTIFS($B$2:$B$4077,B823,$C$2:$C$4077,C823,$I$2:$I$4077,I823)</f>
        <v>1</v>
      </c>
      <c r="L823" s="3" t="n">
        <f aca="false">IF(COUNTIFS($B$2:B823,B823,$C$2:C823,C823,$I$2:I823,I823)=1,1,0)</f>
        <v>1</v>
      </c>
      <c r="M823" s="3" t="n">
        <f aca="false">IF(K823&gt;=Parametri!$B$1,1,0)</f>
        <v>0</v>
      </c>
      <c r="N823" s="3" t="n">
        <f aca="false">L823*M823</f>
        <v>0</v>
      </c>
    </row>
    <row r="824" customFormat="false" ht="15" hidden="false" customHeight="false" outlineLevel="0" collapsed="false">
      <c r="A824" s="0" t="s">
        <v>1489</v>
      </c>
      <c r="B824" s="0" t="s">
        <v>50</v>
      </c>
      <c r="C824" s="0" t="s">
        <v>1490</v>
      </c>
      <c r="D824" s="0" t="s">
        <v>26</v>
      </c>
      <c r="E824" s="2" t="n">
        <v>45860</v>
      </c>
      <c r="F824" s="3" t="s">
        <v>27</v>
      </c>
      <c r="G824" s="3" t="s">
        <v>89</v>
      </c>
      <c r="H824" s="3" t="s">
        <v>29</v>
      </c>
      <c r="I824" s="3" t="n">
        <f aca="false">YEAR(E824)</f>
        <v>2025</v>
      </c>
      <c r="J824" s="3" t="n">
        <f aca="false">MONTH(E824)</f>
        <v>7</v>
      </c>
      <c r="K824" s="3" t="n">
        <f aca="false">COUNTIFS($B$2:$B$4077,B824,$C$2:$C$4077,C824,$I$2:$I$4077,I824)</f>
        <v>1</v>
      </c>
      <c r="L824" s="3" t="n">
        <f aca="false">IF(COUNTIFS($B$2:B824,B824,$C$2:C824,C824,$I$2:I824,I824)=1,1,0)</f>
        <v>1</v>
      </c>
      <c r="M824" s="3" t="n">
        <f aca="false">IF(K824&gt;=Parametri!$B$1,1,0)</f>
        <v>0</v>
      </c>
      <c r="N824" s="3" t="n">
        <f aca="false">L824*M824</f>
        <v>0</v>
      </c>
    </row>
    <row r="825" customFormat="false" ht="15" hidden="false" customHeight="false" outlineLevel="0" collapsed="false">
      <c r="A825" s="0" t="s">
        <v>1491</v>
      </c>
      <c r="B825" s="0" t="s">
        <v>41</v>
      </c>
      <c r="C825" s="0" t="s">
        <v>256</v>
      </c>
      <c r="D825" s="0" t="s">
        <v>26</v>
      </c>
      <c r="E825" s="2" t="n">
        <v>45986</v>
      </c>
      <c r="F825" s="3" t="s">
        <v>20</v>
      </c>
      <c r="G825" s="3" t="s">
        <v>43</v>
      </c>
      <c r="H825" s="3" t="s">
        <v>22</v>
      </c>
      <c r="I825" s="3" t="n">
        <f aca="false">YEAR(E825)</f>
        <v>2025</v>
      </c>
      <c r="J825" s="3" t="n">
        <f aca="false">MONTH(E825)</f>
        <v>11</v>
      </c>
      <c r="K825" s="3" t="n">
        <f aca="false">COUNTIFS($B$2:$B$4077,B825,$C$2:$C$4077,C825,$I$2:$I$4077,I825)</f>
        <v>3</v>
      </c>
      <c r="L825" s="3" t="n">
        <f aca="false">IF(COUNTIFS($B$2:B825,B825,$C$2:C825,C825,$I$2:I825,I825)=1,1,0)</f>
        <v>0</v>
      </c>
      <c r="M825" s="3" t="n">
        <f aca="false">IF(K825&gt;=Parametri!$B$1,1,0)</f>
        <v>1</v>
      </c>
      <c r="N825" s="3" t="n">
        <f aca="false">L825*M825</f>
        <v>0</v>
      </c>
    </row>
    <row r="826" customFormat="false" ht="15" hidden="false" customHeight="false" outlineLevel="0" collapsed="false">
      <c r="A826" s="0" t="s">
        <v>1492</v>
      </c>
      <c r="B826" s="0" t="s">
        <v>46</v>
      </c>
      <c r="C826" s="0" t="s">
        <v>1493</v>
      </c>
      <c r="D826" s="0" t="s">
        <v>54</v>
      </c>
      <c r="E826" s="2" t="n">
        <v>45585</v>
      </c>
      <c r="F826" s="3" t="s">
        <v>27</v>
      </c>
      <c r="G826" s="3" t="s">
        <v>28</v>
      </c>
      <c r="H826" s="3" t="s">
        <v>22</v>
      </c>
      <c r="I826" s="3" t="n">
        <f aca="false">YEAR(E826)</f>
        <v>2024</v>
      </c>
      <c r="J826" s="3" t="n">
        <f aca="false">MONTH(E826)</f>
        <v>10</v>
      </c>
      <c r="K826" s="3" t="n">
        <f aca="false">COUNTIFS($B$2:$B$4077,B826,$C$2:$C$4077,C826,$I$2:$I$4077,I826)</f>
        <v>1</v>
      </c>
      <c r="L826" s="3" t="n">
        <f aca="false">IF(COUNTIFS($B$2:B826,B826,$C$2:C826,C826,$I$2:I826,I826)=1,1,0)</f>
        <v>1</v>
      </c>
      <c r="M826" s="3" t="n">
        <f aca="false">IF(K826&gt;=Parametri!$B$1,1,0)</f>
        <v>0</v>
      </c>
      <c r="N826" s="3" t="n">
        <f aca="false">L826*M826</f>
        <v>0</v>
      </c>
    </row>
    <row r="827" customFormat="false" ht="15" hidden="false" customHeight="false" outlineLevel="0" collapsed="false">
      <c r="A827" s="0" t="s">
        <v>1494</v>
      </c>
      <c r="B827" s="0" t="s">
        <v>124</v>
      </c>
      <c r="C827" s="0" t="s">
        <v>810</v>
      </c>
      <c r="D827" s="0" t="s">
        <v>66</v>
      </c>
      <c r="E827" s="2" t="n">
        <v>46012</v>
      </c>
      <c r="F827" s="3" t="s">
        <v>20</v>
      </c>
      <c r="G827" s="3" t="s">
        <v>35</v>
      </c>
      <c r="H827" s="3" t="s">
        <v>22</v>
      </c>
      <c r="I827" s="3" t="n">
        <f aca="false">YEAR(E827)</f>
        <v>2025</v>
      </c>
      <c r="J827" s="3" t="n">
        <f aca="false">MONTH(E827)</f>
        <v>12</v>
      </c>
      <c r="K827" s="3" t="n">
        <f aca="false">COUNTIFS($B$2:$B$4077,B827,$C$2:$C$4077,C827,$I$2:$I$4077,I827)</f>
        <v>3</v>
      </c>
      <c r="L827" s="3" t="n">
        <f aca="false">IF(COUNTIFS($B$2:B827,B827,$C$2:C827,C827,$I$2:I827,I827)=1,1,0)</f>
        <v>0</v>
      </c>
      <c r="M827" s="3" t="n">
        <f aca="false">IF(K827&gt;=Parametri!$B$1,1,0)</f>
        <v>1</v>
      </c>
      <c r="N827" s="3" t="n">
        <f aca="false">L827*M827</f>
        <v>0</v>
      </c>
    </row>
    <row r="828" customFormat="false" ht="15" hidden="false" customHeight="false" outlineLevel="0" collapsed="false">
      <c r="A828" s="0" t="s">
        <v>1495</v>
      </c>
      <c r="B828" s="0" t="s">
        <v>24</v>
      </c>
      <c r="C828" s="0" t="s">
        <v>325</v>
      </c>
      <c r="D828" s="0" t="s">
        <v>77</v>
      </c>
      <c r="E828" s="2" t="n">
        <v>45518</v>
      </c>
      <c r="F828" s="3" t="s">
        <v>20</v>
      </c>
      <c r="G828" s="3" t="s">
        <v>89</v>
      </c>
      <c r="H828" s="3" t="s">
        <v>48</v>
      </c>
      <c r="I828" s="3" t="n">
        <f aca="false">YEAR(E828)</f>
        <v>2024</v>
      </c>
      <c r="J828" s="3" t="n">
        <f aca="false">MONTH(E828)</f>
        <v>8</v>
      </c>
      <c r="K828" s="3" t="n">
        <f aca="false">COUNTIFS($B$2:$B$4077,B828,$C$2:$C$4077,C828,$I$2:$I$4077,I828)</f>
        <v>7</v>
      </c>
      <c r="L828" s="3" t="n">
        <f aca="false">IF(COUNTIFS($B$2:B828,B828,$C$2:C828,C828,$I$2:I828,I828)=1,1,0)</f>
        <v>0</v>
      </c>
      <c r="M828" s="3" t="n">
        <f aca="false">IF(K828&gt;=Parametri!$B$1,1,0)</f>
        <v>1</v>
      </c>
      <c r="N828" s="3" t="n">
        <f aca="false">L828*M828</f>
        <v>0</v>
      </c>
    </row>
    <row r="829" customFormat="false" ht="15" hidden="false" customHeight="false" outlineLevel="0" collapsed="false">
      <c r="A829" s="0" t="s">
        <v>1496</v>
      </c>
      <c r="B829" s="0" t="s">
        <v>124</v>
      </c>
      <c r="C829" s="0" t="s">
        <v>1497</v>
      </c>
      <c r="D829" s="0" t="s">
        <v>19</v>
      </c>
      <c r="E829" s="2" t="n">
        <v>45601</v>
      </c>
      <c r="F829" s="3" t="s">
        <v>20</v>
      </c>
      <c r="G829" s="3" t="s">
        <v>72</v>
      </c>
      <c r="H829" s="3" t="s">
        <v>22</v>
      </c>
      <c r="I829" s="3" t="n">
        <f aca="false">YEAR(E829)</f>
        <v>2024</v>
      </c>
      <c r="J829" s="3" t="n">
        <f aca="false">MONTH(E829)</f>
        <v>11</v>
      </c>
      <c r="K829" s="3" t="n">
        <f aca="false">COUNTIFS($B$2:$B$4077,B829,$C$2:$C$4077,C829,$I$2:$I$4077,I829)</f>
        <v>2</v>
      </c>
      <c r="L829" s="3" t="n">
        <f aca="false">IF(COUNTIFS($B$2:B829,B829,$C$2:C829,C829,$I$2:I829,I829)=1,1,0)</f>
        <v>1</v>
      </c>
      <c r="M829" s="3" t="n">
        <f aca="false">IF(K829&gt;=Parametri!$B$1,1,0)</f>
        <v>1</v>
      </c>
      <c r="N829" s="3" t="n">
        <f aca="false">L829*M829</f>
        <v>1</v>
      </c>
    </row>
    <row r="830" customFormat="false" ht="15" hidden="false" customHeight="false" outlineLevel="0" collapsed="false">
      <c r="A830" s="0" t="s">
        <v>1498</v>
      </c>
      <c r="B830" s="0" t="s">
        <v>41</v>
      </c>
      <c r="C830" s="0" t="s">
        <v>343</v>
      </c>
      <c r="D830" s="0" t="s">
        <v>19</v>
      </c>
      <c r="E830" s="2" t="n">
        <v>45857</v>
      </c>
      <c r="F830" s="3" t="s">
        <v>20</v>
      </c>
      <c r="G830" s="3" t="s">
        <v>55</v>
      </c>
      <c r="H830" s="3" t="s">
        <v>44</v>
      </c>
      <c r="I830" s="3" t="n">
        <f aca="false">YEAR(E830)</f>
        <v>2025</v>
      </c>
      <c r="J830" s="3" t="n">
        <f aca="false">MONTH(E830)</f>
        <v>7</v>
      </c>
      <c r="K830" s="3" t="n">
        <f aca="false">COUNTIFS($B$2:$B$4077,B830,$C$2:$C$4077,C830,$I$2:$I$4077,I830)</f>
        <v>7</v>
      </c>
      <c r="L830" s="3" t="n">
        <f aca="false">IF(COUNTIFS($B$2:B830,B830,$C$2:C830,C830,$I$2:I830,I830)=1,1,0)</f>
        <v>0</v>
      </c>
      <c r="M830" s="3" t="n">
        <f aca="false">IF(K830&gt;=Parametri!$B$1,1,0)</f>
        <v>1</v>
      </c>
      <c r="N830" s="3" t="n">
        <f aca="false">L830*M830</f>
        <v>0</v>
      </c>
    </row>
    <row r="831" customFormat="false" ht="15" hidden="false" customHeight="false" outlineLevel="0" collapsed="false">
      <c r="A831" s="0" t="s">
        <v>1499</v>
      </c>
      <c r="B831" s="0" t="s">
        <v>46</v>
      </c>
      <c r="C831" s="0" t="s">
        <v>1500</v>
      </c>
      <c r="D831" s="0" t="s">
        <v>26</v>
      </c>
      <c r="E831" s="2" t="n">
        <v>46099</v>
      </c>
      <c r="F831" s="3" t="s">
        <v>34</v>
      </c>
      <c r="G831" s="3" t="s">
        <v>35</v>
      </c>
      <c r="H831" s="3" t="s">
        <v>44</v>
      </c>
      <c r="I831" s="3" t="n">
        <f aca="false">YEAR(E831)</f>
        <v>2026</v>
      </c>
      <c r="J831" s="3" t="n">
        <f aca="false">MONTH(E831)</f>
        <v>3</v>
      </c>
      <c r="K831" s="3" t="n">
        <f aca="false">COUNTIFS($B$2:$B$4077,B831,$C$2:$C$4077,C831,$I$2:$I$4077,I831)</f>
        <v>1</v>
      </c>
      <c r="L831" s="3" t="n">
        <f aca="false">IF(COUNTIFS($B$2:B831,B831,$C$2:C831,C831,$I$2:I831,I831)=1,1,0)</f>
        <v>1</v>
      </c>
      <c r="M831" s="3" t="n">
        <f aca="false">IF(K831&gt;=Parametri!$B$1,1,0)</f>
        <v>0</v>
      </c>
      <c r="N831" s="3" t="n">
        <f aca="false">L831*M831</f>
        <v>0</v>
      </c>
    </row>
    <row r="832" customFormat="false" ht="15" hidden="false" customHeight="false" outlineLevel="0" collapsed="false">
      <c r="A832" s="0" t="s">
        <v>1501</v>
      </c>
      <c r="B832" s="0" t="s">
        <v>68</v>
      </c>
      <c r="C832" s="0" t="s">
        <v>1153</v>
      </c>
      <c r="D832" s="0" t="s">
        <v>63</v>
      </c>
      <c r="E832" s="2" t="n">
        <v>45747</v>
      </c>
      <c r="F832" s="3" t="s">
        <v>20</v>
      </c>
      <c r="G832" s="3" t="s">
        <v>35</v>
      </c>
      <c r="H832" s="3" t="s">
        <v>44</v>
      </c>
      <c r="I832" s="3" t="n">
        <f aca="false">YEAR(E832)</f>
        <v>2025</v>
      </c>
      <c r="J832" s="3" t="n">
        <f aca="false">MONTH(E832)</f>
        <v>3</v>
      </c>
      <c r="K832" s="3" t="n">
        <f aca="false">COUNTIFS($B$2:$B$4077,B832,$C$2:$C$4077,C832,$I$2:$I$4077,I832)</f>
        <v>2</v>
      </c>
      <c r="L832" s="3" t="n">
        <f aca="false">IF(COUNTIFS($B$2:B832,B832,$C$2:C832,C832,$I$2:I832,I832)=1,1,0)</f>
        <v>0</v>
      </c>
      <c r="M832" s="3" t="n">
        <f aca="false">IF(K832&gt;=Parametri!$B$1,1,0)</f>
        <v>1</v>
      </c>
      <c r="N832" s="3" t="n">
        <f aca="false">L832*M832</f>
        <v>0</v>
      </c>
    </row>
    <row r="833" customFormat="false" ht="15" hidden="false" customHeight="false" outlineLevel="0" collapsed="false">
      <c r="A833" s="0" t="s">
        <v>1502</v>
      </c>
      <c r="B833" s="0" t="s">
        <v>124</v>
      </c>
      <c r="C833" s="0" t="s">
        <v>1503</v>
      </c>
      <c r="D833" s="0" t="s">
        <v>33</v>
      </c>
      <c r="E833" s="2" t="n">
        <v>46232</v>
      </c>
      <c r="F833" s="3" t="s">
        <v>20</v>
      </c>
      <c r="G833" s="3" t="s">
        <v>28</v>
      </c>
      <c r="H833" s="3" t="s">
        <v>22</v>
      </c>
      <c r="I833" s="3" t="n">
        <f aca="false">YEAR(E833)</f>
        <v>2026</v>
      </c>
      <c r="J833" s="3" t="n">
        <f aca="false">MONTH(E833)</f>
        <v>7</v>
      </c>
      <c r="K833" s="3" t="n">
        <f aca="false">COUNTIFS($B$2:$B$4077,B833,$C$2:$C$4077,C833,$I$2:$I$4077,I833)</f>
        <v>2</v>
      </c>
      <c r="L833" s="3" t="n">
        <f aca="false">IF(COUNTIFS($B$2:B833,B833,$C$2:C833,C833,$I$2:I833,I833)=1,1,0)</f>
        <v>1</v>
      </c>
      <c r="M833" s="3" t="n">
        <f aca="false">IF(K833&gt;=Parametri!$B$1,1,0)</f>
        <v>1</v>
      </c>
      <c r="N833" s="3" t="n">
        <f aca="false">L833*M833</f>
        <v>1</v>
      </c>
    </row>
    <row r="834" customFormat="false" ht="15" hidden="false" customHeight="false" outlineLevel="0" collapsed="false">
      <c r="A834" s="0" t="s">
        <v>1504</v>
      </c>
      <c r="B834" s="0" t="s">
        <v>31</v>
      </c>
      <c r="C834" s="0" t="s">
        <v>640</v>
      </c>
      <c r="D834" s="0" t="s">
        <v>63</v>
      </c>
      <c r="E834" s="2" t="n">
        <v>45409</v>
      </c>
      <c r="F834" s="3" t="s">
        <v>34</v>
      </c>
      <c r="G834" s="3" t="s">
        <v>35</v>
      </c>
      <c r="H834" s="3" t="s">
        <v>44</v>
      </c>
      <c r="I834" s="3" t="n">
        <f aca="false">YEAR(E834)</f>
        <v>2024</v>
      </c>
      <c r="J834" s="3" t="n">
        <f aca="false">MONTH(E834)</f>
        <v>4</v>
      </c>
      <c r="K834" s="3" t="n">
        <f aca="false">COUNTIFS($B$2:$B$4077,B834,$C$2:$C$4077,C834,$I$2:$I$4077,I834)</f>
        <v>2</v>
      </c>
      <c r="L834" s="3" t="n">
        <f aca="false">IF(COUNTIFS($B$2:B834,B834,$C$2:C834,C834,$I$2:I834,I834)=1,1,0)</f>
        <v>0</v>
      </c>
      <c r="M834" s="3" t="n">
        <f aca="false">IF(K834&gt;=Parametri!$B$1,1,0)</f>
        <v>1</v>
      </c>
      <c r="N834" s="3" t="n">
        <f aca="false">L834*M834</f>
        <v>0</v>
      </c>
    </row>
    <row r="835" customFormat="false" ht="15" hidden="false" customHeight="false" outlineLevel="0" collapsed="false">
      <c r="A835" s="0" t="s">
        <v>1505</v>
      </c>
      <c r="B835" s="0" t="s">
        <v>124</v>
      </c>
      <c r="C835" s="0" t="s">
        <v>929</v>
      </c>
      <c r="D835" s="0" t="s">
        <v>66</v>
      </c>
      <c r="E835" s="2" t="n">
        <v>45967</v>
      </c>
      <c r="F835" s="3" t="s">
        <v>20</v>
      </c>
      <c r="G835" s="3" t="s">
        <v>43</v>
      </c>
      <c r="H835" s="3" t="s">
        <v>48</v>
      </c>
      <c r="I835" s="3" t="n">
        <f aca="false">YEAR(E835)</f>
        <v>2025</v>
      </c>
      <c r="J835" s="3" t="n">
        <f aca="false">MONTH(E835)</f>
        <v>11</v>
      </c>
      <c r="K835" s="3" t="n">
        <f aca="false">COUNTIFS($B$2:$B$4077,B835,$C$2:$C$4077,C835,$I$2:$I$4077,I835)</f>
        <v>3</v>
      </c>
      <c r="L835" s="3" t="n">
        <f aca="false">IF(COUNTIFS($B$2:B835,B835,$C$2:C835,C835,$I$2:I835,I835)=1,1,0)</f>
        <v>0</v>
      </c>
      <c r="M835" s="3" t="n">
        <f aca="false">IF(K835&gt;=Parametri!$B$1,1,0)</f>
        <v>1</v>
      </c>
      <c r="N835" s="3" t="n">
        <f aca="false">L835*M835</f>
        <v>0</v>
      </c>
    </row>
    <row r="836" customFormat="false" ht="15" hidden="false" customHeight="false" outlineLevel="0" collapsed="false">
      <c r="A836" s="0" t="s">
        <v>1506</v>
      </c>
      <c r="B836" s="0" t="s">
        <v>17</v>
      </c>
      <c r="C836" s="0" t="s">
        <v>1507</v>
      </c>
      <c r="D836" s="0" t="s">
        <v>26</v>
      </c>
      <c r="E836" s="2" t="n">
        <v>46188</v>
      </c>
      <c r="F836" s="3" t="s">
        <v>27</v>
      </c>
      <c r="G836" s="3" t="s">
        <v>72</v>
      </c>
      <c r="H836" s="3" t="s">
        <v>48</v>
      </c>
      <c r="I836" s="3" t="n">
        <f aca="false">YEAR(E836)</f>
        <v>2026</v>
      </c>
      <c r="J836" s="3" t="n">
        <f aca="false">MONTH(E836)</f>
        <v>6</v>
      </c>
      <c r="K836" s="3" t="n">
        <f aca="false">COUNTIFS($B$2:$B$4077,B836,$C$2:$C$4077,C836,$I$2:$I$4077,I836)</f>
        <v>2</v>
      </c>
      <c r="L836" s="3" t="n">
        <f aca="false">IF(COUNTIFS($B$2:B836,B836,$C$2:C836,C836,$I$2:I836,I836)=1,1,0)</f>
        <v>1</v>
      </c>
      <c r="M836" s="3" t="n">
        <f aca="false">IF(K836&gt;=Parametri!$B$1,1,0)</f>
        <v>1</v>
      </c>
      <c r="N836" s="3" t="n">
        <f aca="false">L836*M836</f>
        <v>1</v>
      </c>
    </row>
    <row r="837" customFormat="false" ht="15" hidden="false" customHeight="false" outlineLevel="0" collapsed="false">
      <c r="A837" s="0" t="s">
        <v>1508</v>
      </c>
      <c r="B837" s="0" t="s">
        <v>41</v>
      </c>
      <c r="C837" s="0" t="s">
        <v>408</v>
      </c>
      <c r="D837" s="0" t="s">
        <v>63</v>
      </c>
      <c r="E837" s="2" t="n">
        <v>46033</v>
      </c>
      <c r="F837" s="3" t="s">
        <v>27</v>
      </c>
      <c r="G837" s="3" t="s">
        <v>21</v>
      </c>
      <c r="H837" s="3" t="s">
        <v>29</v>
      </c>
      <c r="I837" s="3" t="n">
        <f aca="false">YEAR(E837)</f>
        <v>2026</v>
      </c>
      <c r="J837" s="3" t="n">
        <f aca="false">MONTH(E837)</f>
        <v>1</v>
      </c>
      <c r="K837" s="3" t="n">
        <f aca="false">COUNTIFS($B$2:$B$4077,B837,$C$2:$C$4077,C837,$I$2:$I$4077,I837)</f>
        <v>1</v>
      </c>
      <c r="L837" s="3" t="n">
        <f aca="false">IF(COUNTIFS($B$2:B837,B837,$C$2:C837,C837,$I$2:I837,I837)=1,1,0)</f>
        <v>1</v>
      </c>
      <c r="M837" s="3" t="n">
        <f aca="false">IF(K837&gt;=Parametri!$B$1,1,0)</f>
        <v>0</v>
      </c>
      <c r="N837" s="3" t="n">
        <f aca="false">L837*M837</f>
        <v>0</v>
      </c>
    </row>
    <row r="838" customFormat="false" ht="15" hidden="false" customHeight="false" outlineLevel="0" collapsed="false">
      <c r="A838" s="0" t="s">
        <v>1509</v>
      </c>
      <c r="B838" s="0" t="s">
        <v>17</v>
      </c>
      <c r="C838" s="0" t="s">
        <v>1510</v>
      </c>
      <c r="D838" s="0" t="s">
        <v>54</v>
      </c>
      <c r="E838" s="2" t="n">
        <v>45312</v>
      </c>
      <c r="F838" s="3" t="s">
        <v>20</v>
      </c>
      <c r="G838" s="3" t="s">
        <v>55</v>
      </c>
      <c r="H838" s="3" t="s">
        <v>29</v>
      </c>
      <c r="I838" s="3" t="n">
        <f aca="false">YEAR(E838)</f>
        <v>2024</v>
      </c>
      <c r="J838" s="3" t="n">
        <f aca="false">MONTH(E838)</f>
        <v>1</v>
      </c>
      <c r="K838" s="3" t="n">
        <f aca="false">COUNTIFS($B$2:$B$4077,B838,$C$2:$C$4077,C838,$I$2:$I$4077,I838)</f>
        <v>1</v>
      </c>
      <c r="L838" s="3" t="n">
        <f aca="false">IF(COUNTIFS($B$2:B838,B838,$C$2:C838,C838,$I$2:I838,I838)=1,1,0)</f>
        <v>1</v>
      </c>
      <c r="M838" s="3" t="n">
        <f aca="false">IF(K838&gt;=Parametri!$B$1,1,0)</f>
        <v>0</v>
      </c>
      <c r="N838" s="3" t="n">
        <f aca="false">L838*M838</f>
        <v>0</v>
      </c>
    </row>
    <row r="839" customFormat="false" ht="15" hidden="false" customHeight="false" outlineLevel="0" collapsed="false">
      <c r="A839" s="0" t="s">
        <v>1511</v>
      </c>
      <c r="B839" s="0" t="s">
        <v>46</v>
      </c>
      <c r="C839" s="0" t="s">
        <v>1512</v>
      </c>
      <c r="D839" s="0" t="s">
        <v>66</v>
      </c>
      <c r="E839" s="2" t="n">
        <v>46202</v>
      </c>
      <c r="F839" s="3" t="s">
        <v>27</v>
      </c>
      <c r="G839" s="3" t="s">
        <v>72</v>
      </c>
      <c r="H839" s="3" t="s">
        <v>44</v>
      </c>
      <c r="I839" s="3" t="n">
        <f aca="false">YEAR(E839)</f>
        <v>2026</v>
      </c>
      <c r="J839" s="3" t="n">
        <f aca="false">MONTH(E839)</f>
        <v>6</v>
      </c>
      <c r="K839" s="3" t="n">
        <f aca="false">COUNTIFS($B$2:$B$4077,B839,$C$2:$C$4077,C839,$I$2:$I$4077,I839)</f>
        <v>2</v>
      </c>
      <c r="L839" s="3" t="n">
        <f aca="false">IF(COUNTIFS($B$2:B839,B839,$C$2:C839,C839,$I$2:I839,I839)=1,1,0)</f>
        <v>1</v>
      </c>
      <c r="M839" s="3" t="n">
        <f aca="false">IF(K839&gt;=Parametri!$B$1,1,0)</f>
        <v>1</v>
      </c>
      <c r="N839" s="3" t="n">
        <f aca="false">L839*M839</f>
        <v>1</v>
      </c>
    </row>
    <row r="840" customFormat="false" ht="15" hidden="false" customHeight="false" outlineLevel="0" collapsed="false">
      <c r="A840" s="0" t="s">
        <v>1513</v>
      </c>
      <c r="B840" s="0" t="s">
        <v>31</v>
      </c>
      <c r="C840" s="0" t="s">
        <v>1514</v>
      </c>
      <c r="D840" s="0" t="s">
        <v>54</v>
      </c>
      <c r="E840" s="2" t="n">
        <v>46170</v>
      </c>
      <c r="F840" s="3" t="s">
        <v>20</v>
      </c>
      <c r="G840" s="3" t="s">
        <v>55</v>
      </c>
      <c r="H840" s="3" t="s">
        <v>44</v>
      </c>
      <c r="I840" s="3" t="n">
        <f aca="false">YEAR(E840)</f>
        <v>2026</v>
      </c>
      <c r="J840" s="3" t="n">
        <f aca="false">MONTH(E840)</f>
        <v>5</v>
      </c>
      <c r="K840" s="3" t="n">
        <f aca="false">COUNTIFS($B$2:$B$4077,B840,$C$2:$C$4077,C840,$I$2:$I$4077,I840)</f>
        <v>1</v>
      </c>
      <c r="L840" s="3" t="n">
        <f aca="false">IF(COUNTIFS($B$2:B840,B840,$C$2:C840,C840,$I$2:I840,I840)=1,1,0)</f>
        <v>1</v>
      </c>
      <c r="M840" s="3" t="n">
        <f aca="false">IF(K840&gt;=Parametri!$B$1,1,0)</f>
        <v>0</v>
      </c>
      <c r="N840" s="3" t="n">
        <f aca="false">L840*M840</f>
        <v>0</v>
      </c>
    </row>
    <row r="841" customFormat="false" ht="15" hidden="false" customHeight="false" outlineLevel="0" collapsed="false">
      <c r="A841" s="0" t="s">
        <v>1515</v>
      </c>
      <c r="B841" s="0" t="s">
        <v>50</v>
      </c>
      <c r="C841" s="0" t="s">
        <v>1516</v>
      </c>
      <c r="D841" s="0" t="s">
        <v>63</v>
      </c>
      <c r="E841" s="2" t="n">
        <v>45697</v>
      </c>
      <c r="F841" s="3" t="s">
        <v>34</v>
      </c>
      <c r="G841" s="3" t="s">
        <v>35</v>
      </c>
      <c r="H841" s="3" t="s">
        <v>48</v>
      </c>
      <c r="I841" s="3" t="n">
        <f aca="false">YEAR(E841)</f>
        <v>2025</v>
      </c>
      <c r="J841" s="3" t="n">
        <f aca="false">MONTH(E841)</f>
        <v>2</v>
      </c>
      <c r="K841" s="3" t="n">
        <f aca="false">COUNTIFS($B$2:$B$4077,B841,$C$2:$C$4077,C841,$I$2:$I$4077,I841)</f>
        <v>1</v>
      </c>
      <c r="L841" s="3" t="n">
        <f aca="false">IF(COUNTIFS($B$2:B841,B841,$C$2:C841,C841,$I$2:I841,I841)=1,1,0)</f>
        <v>1</v>
      </c>
      <c r="M841" s="3" t="n">
        <f aca="false">IF(K841&gt;=Parametri!$B$1,1,0)</f>
        <v>0</v>
      </c>
      <c r="N841" s="3" t="n">
        <f aca="false">L841*M841</f>
        <v>0</v>
      </c>
    </row>
    <row r="842" customFormat="false" ht="15" hidden="false" customHeight="false" outlineLevel="0" collapsed="false">
      <c r="A842" s="0" t="s">
        <v>1517</v>
      </c>
      <c r="B842" s="0" t="s">
        <v>17</v>
      </c>
      <c r="C842" s="0" t="s">
        <v>671</v>
      </c>
      <c r="D842" s="0" t="s">
        <v>54</v>
      </c>
      <c r="E842" s="2" t="n">
        <v>46023</v>
      </c>
      <c r="F842" s="3" t="s">
        <v>34</v>
      </c>
      <c r="G842" s="3" t="s">
        <v>55</v>
      </c>
      <c r="H842" s="3" t="s">
        <v>22</v>
      </c>
      <c r="I842" s="3" t="n">
        <f aca="false">YEAR(E842)</f>
        <v>2026</v>
      </c>
      <c r="J842" s="3" t="n">
        <f aca="false">MONTH(E842)</f>
        <v>1</v>
      </c>
      <c r="K842" s="3" t="n">
        <f aca="false">COUNTIFS($B$2:$B$4077,B842,$C$2:$C$4077,C842,$I$2:$I$4077,I842)</f>
        <v>2</v>
      </c>
      <c r="L842" s="3" t="n">
        <f aca="false">IF(COUNTIFS($B$2:B842,B842,$C$2:C842,C842,$I$2:I842,I842)=1,1,0)</f>
        <v>1</v>
      </c>
      <c r="M842" s="3" t="n">
        <f aca="false">IF(K842&gt;=Parametri!$B$1,1,0)</f>
        <v>1</v>
      </c>
      <c r="N842" s="3" t="n">
        <f aca="false">L842*M842</f>
        <v>1</v>
      </c>
    </row>
    <row r="843" customFormat="false" ht="15" hidden="false" customHeight="false" outlineLevel="0" collapsed="false">
      <c r="A843" s="0" t="s">
        <v>1518</v>
      </c>
      <c r="B843" s="0" t="s">
        <v>46</v>
      </c>
      <c r="C843" s="0" t="s">
        <v>1519</v>
      </c>
      <c r="D843" s="0" t="s">
        <v>26</v>
      </c>
      <c r="E843" s="2" t="n">
        <v>45845</v>
      </c>
      <c r="F843" s="3" t="s">
        <v>20</v>
      </c>
      <c r="G843" s="3" t="s">
        <v>28</v>
      </c>
      <c r="H843" s="3" t="s">
        <v>29</v>
      </c>
      <c r="I843" s="3" t="n">
        <f aca="false">YEAR(E843)</f>
        <v>2025</v>
      </c>
      <c r="J843" s="3" t="n">
        <f aca="false">MONTH(E843)</f>
        <v>7</v>
      </c>
      <c r="K843" s="3" t="n">
        <f aca="false">COUNTIFS($B$2:$B$4077,B843,$C$2:$C$4077,C843,$I$2:$I$4077,I843)</f>
        <v>1</v>
      </c>
      <c r="L843" s="3" t="n">
        <f aca="false">IF(COUNTIFS($B$2:B843,B843,$C$2:C843,C843,$I$2:I843,I843)=1,1,0)</f>
        <v>1</v>
      </c>
      <c r="M843" s="3" t="n">
        <f aca="false">IF(K843&gt;=Parametri!$B$1,1,0)</f>
        <v>0</v>
      </c>
      <c r="N843" s="3" t="n">
        <f aca="false">L843*M843</f>
        <v>0</v>
      </c>
    </row>
    <row r="844" customFormat="false" ht="15" hidden="false" customHeight="false" outlineLevel="0" collapsed="false">
      <c r="A844" s="0" t="s">
        <v>1520</v>
      </c>
      <c r="B844" s="0" t="s">
        <v>79</v>
      </c>
      <c r="C844" s="0" t="s">
        <v>1521</v>
      </c>
      <c r="D844" s="0" t="s">
        <v>63</v>
      </c>
      <c r="E844" s="2" t="n">
        <v>45495</v>
      </c>
      <c r="F844" s="3" t="s">
        <v>27</v>
      </c>
      <c r="G844" s="3" t="s">
        <v>39</v>
      </c>
      <c r="H844" s="3" t="s">
        <v>29</v>
      </c>
      <c r="I844" s="3" t="n">
        <f aca="false">YEAR(E844)</f>
        <v>2024</v>
      </c>
      <c r="J844" s="3" t="n">
        <f aca="false">MONTH(E844)</f>
        <v>7</v>
      </c>
      <c r="K844" s="3" t="n">
        <f aca="false">COUNTIFS($B$2:$B$4077,B844,$C$2:$C$4077,C844,$I$2:$I$4077,I844)</f>
        <v>2</v>
      </c>
      <c r="L844" s="3" t="n">
        <f aca="false">IF(COUNTIFS($B$2:B844,B844,$C$2:C844,C844,$I$2:I844,I844)=1,1,0)</f>
        <v>1</v>
      </c>
      <c r="M844" s="3" t="n">
        <f aca="false">IF(K844&gt;=Parametri!$B$1,1,0)</f>
        <v>1</v>
      </c>
      <c r="N844" s="3" t="n">
        <f aca="false">L844*M844</f>
        <v>1</v>
      </c>
    </row>
    <row r="845" customFormat="false" ht="15" hidden="false" customHeight="false" outlineLevel="0" collapsed="false">
      <c r="A845" s="0" t="s">
        <v>1522</v>
      </c>
      <c r="B845" s="0" t="s">
        <v>31</v>
      </c>
      <c r="C845" s="0" t="s">
        <v>1523</v>
      </c>
      <c r="D845" s="0" t="s">
        <v>38</v>
      </c>
      <c r="E845" s="2" t="n">
        <v>45340</v>
      </c>
      <c r="F845" s="3" t="s">
        <v>20</v>
      </c>
      <c r="G845" s="3" t="s">
        <v>21</v>
      </c>
      <c r="H845" s="3" t="s">
        <v>29</v>
      </c>
      <c r="I845" s="3" t="n">
        <f aca="false">YEAR(E845)</f>
        <v>2024</v>
      </c>
      <c r="J845" s="3" t="n">
        <f aca="false">MONTH(E845)</f>
        <v>2</v>
      </c>
      <c r="K845" s="3" t="n">
        <f aca="false">COUNTIFS($B$2:$B$4077,B845,$C$2:$C$4077,C845,$I$2:$I$4077,I845)</f>
        <v>1</v>
      </c>
      <c r="L845" s="3" t="n">
        <f aca="false">IF(COUNTIFS($B$2:B845,B845,$C$2:C845,C845,$I$2:I845,I845)=1,1,0)</f>
        <v>1</v>
      </c>
      <c r="M845" s="3" t="n">
        <f aca="false">IF(K845&gt;=Parametri!$B$1,1,0)</f>
        <v>0</v>
      </c>
      <c r="N845" s="3" t="n">
        <f aca="false">L845*M845</f>
        <v>0</v>
      </c>
    </row>
    <row r="846" customFormat="false" ht="15" hidden="false" customHeight="false" outlineLevel="0" collapsed="false">
      <c r="A846" s="0" t="s">
        <v>1524</v>
      </c>
      <c r="B846" s="0" t="s">
        <v>24</v>
      </c>
      <c r="C846" s="0" t="s">
        <v>1302</v>
      </c>
      <c r="D846" s="0" t="s">
        <v>77</v>
      </c>
      <c r="E846" s="2" t="n">
        <v>45952</v>
      </c>
      <c r="F846" s="3" t="s">
        <v>20</v>
      </c>
      <c r="G846" s="3" t="s">
        <v>21</v>
      </c>
      <c r="H846" s="3" t="s">
        <v>44</v>
      </c>
      <c r="I846" s="3" t="n">
        <f aca="false">YEAR(E846)</f>
        <v>2025</v>
      </c>
      <c r="J846" s="3" t="n">
        <f aca="false">MONTH(E846)</f>
        <v>10</v>
      </c>
      <c r="K846" s="3" t="n">
        <f aca="false">COUNTIFS($B$2:$B$4077,B846,$C$2:$C$4077,C846,$I$2:$I$4077,I846)</f>
        <v>1</v>
      </c>
      <c r="L846" s="3" t="n">
        <f aca="false">IF(COUNTIFS($B$2:B846,B846,$C$2:C846,C846,$I$2:I846,I846)=1,1,0)</f>
        <v>1</v>
      </c>
      <c r="M846" s="3" t="n">
        <f aca="false">IF(K846&gt;=Parametri!$B$1,1,0)</f>
        <v>0</v>
      </c>
      <c r="N846" s="3" t="n">
        <f aca="false">L846*M846</f>
        <v>0</v>
      </c>
    </row>
    <row r="847" customFormat="false" ht="15" hidden="false" customHeight="false" outlineLevel="0" collapsed="false">
      <c r="A847" s="0" t="s">
        <v>1525</v>
      </c>
      <c r="B847" s="0" t="s">
        <v>57</v>
      </c>
      <c r="C847" s="0" t="s">
        <v>216</v>
      </c>
      <c r="D847" s="0" t="s">
        <v>77</v>
      </c>
      <c r="E847" s="2" t="n">
        <v>45446</v>
      </c>
      <c r="F847" s="3" t="s">
        <v>34</v>
      </c>
      <c r="G847" s="3" t="s">
        <v>21</v>
      </c>
      <c r="H847" s="3" t="s">
        <v>29</v>
      </c>
      <c r="I847" s="3" t="n">
        <f aca="false">YEAR(E847)</f>
        <v>2024</v>
      </c>
      <c r="J847" s="3" t="n">
        <f aca="false">MONTH(E847)</f>
        <v>6</v>
      </c>
      <c r="K847" s="3" t="n">
        <f aca="false">COUNTIFS($B$2:$B$4077,B847,$C$2:$C$4077,C847,$I$2:$I$4077,I847)</f>
        <v>3</v>
      </c>
      <c r="L847" s="3" t="n">
        <f aca="false">IF(COUNTIFS($B$2:B847,B847,$C$2:C847,C847,$I$2:I847,I847)=1,1,0)</f>
        <v>0</v>
      </c>
      <c r="M847" s="3" t="n">
        <f aca="false">IF(K847&gt;=Parametri!$B$1,1,0)</f>
        <v>1</v>
      </c>
      <c r="N847" s="3" t="n">
        <f aca="false">L847*M847</f>
        <v>0</v>
      </c>
    </row>
    <row r="848" customFormat="false" ht="15" hidden="false" customHeight="false" outlineLevel="0" collapsed="false">
      <c r="A848" s="0" t="s">
        <v>1526</v>
      </c>
      <c r="B848" s="0" t="s">
        <v>24</v>
      </c>
      <c r="C848" s="0" t="s">
        <v>681</v>
      </c>
      <c r="D848" s="0" t="s">
        <v>63</v>
      </c>
      <c r="E848" s="2" t="n">
        <v>45376</v>
      </c>
      <c r="F848" s="3" t="s">
        <v>20</v>
      </c>
      <c r="G848" s="3" t="s">
        <v>39</v>
      </c>
      <c r="H848" s="3" t="s">
        <v>22</v>
      </c>
      <c r="I848" s="3" t="n">
        <f aca="false">YEAR(E848)</f>
        <v>2024</v>
      </c>
      <c r="J848" s="3" t="n">
        <f aca="false">MONTH(E848)</f>
        <v>3</v>
      </c>
      <c r="K848" s="3" t="n">
        <f aca="false">COUNTIFS($B$2:$B$4077,B848,$C$2:$C$4077,C848,$I$2:$I$4077,I848)</f>
        <v>2</v>
      </c>
      <c r="L848" s="3" t="n">
        <f aca="false">IF(COUNTIFS($B$2:B848,B848,$C$2:C848,C848,$I$2:I848,I848)=1,1,0)</f>
        <v>1</v>
      </c>
      <c r="M848" s="3" t="n">
        <f aca="false">IF(K848&gt;=Parametri!$B$1,1,0)</f>
        <v>1</v>
      </c>
      <c r="N848" s="3" t="n">
        <f aca="false">L848*M848</f>
        <v>1</v>
      </c>
    </row>
    <row r="849" customFormat="false" ht="15" hidden="false" customHeight="false" outlineLevel="0" collapsed="false">
      <c r="A849" s="0" t="s">
        <v>1527</v>
      </c>
      <c r="B849" s="0" t="s">
        <v>24</v>
      </c>
      <c r="C849" s="0" t="s">
        <v>1528</v>
      </c>
      <c r="D849" s="0" t="s">
        <v>33</v>
      </c>
      <c r="E849" s="2" t="n">
        <v>46152</v>
      </c>
      <c r="F849" s="3" t="s">
        <v>27</v>
      </c>
      <c r="G849" s="3" t="s">
        <v>72</v>
      </c>
      <c r="H849" s="3" t="s">
        <v>29</v>
      </c>
      <c r="I849" s="3" t="n">
        <f aca="false">YEAR(E849)</f>
        <v>2026</v>
      </c>
      <c r="J849" s="3" t="n">
        <f aca="false">MONTH(E849)</f>
        <v>5</v>
      </c>
      <c r="K849" s="3" t="n">
        <f aca="false">COUNTIFS($B$2:$B$4077,B849,$C$2:$C$4077,C849,$I$2:$I$4077,I849)</f>
        <v>3</v>
      </c>
      <c r="L849" s="3" t="n">
        <f aca="false">IF(COUNTIFS($B$2:B849,B849,$C$2:C849,C849,$I$2:I849,I849)=1,1,0)</f>
        <v>1</v>
      </c>
      <c r="M849" s="3" t="n">
        <f aca="false">IF(K849&gt;=Parametri!$B$1,1,0)</f>
        <v>1</v>
      </c>
      <c r="N849" s="3" t="n">
        <f aca="false">L849*M849</f>
        <v>1</v>
      </c>
    </row>
    <row r="850" customFormat="false" ht="15" hidden="false" customHeight="false" outlineLevel="0" collapsed="false">
      <c r="A850" s="0" t="s">
        <v>1529</v>
      </c>
      <c r="B850" s="0" t="s">
        <v>46</v>
      </c>
      <c r="C850" s="0" t="s">
        <v>718</v>
      </c>
      <c r="D850" s="0" t="s">
        <v>19</v>
      </c>
      <c r="E850" s="2" t="n">
        <v>46098</v>
      </c>
      <c r="F850" s="3" t="s">
        <v>27</v>
      </c>
      <c r="G850" s="3" t="s">
        <v>28</v>
      </c>
      <c r="H850" s="3" t="s">
        <v>48</v>
      </c>
      <c r="I850" s="3" t="n">
        <f aca="false">YEAR(E850)</f>
        <v>2026</v>
      </c>
      <c r="J850" s="3" t="n">
        <f aca="false">MONTH(E850)</f>
        <v>3</v>
      </c>
      <c r="K850" s="3" t="n">
        <f aca="false">COUNTIFS($B$2:$B$4077,B850,$C$2:$C$4077,C850,$I$2:$I$4077,I850)</f>
        <v>2</v>
      </c>
      <c r="L850" s="3" t="n">
        <f aca="false">IF(COUNTIFS($B$2:B850,B850,$C$2:C850,C850,$I$2:I850,I850)=1,1,0)</f>
        <v>0</v>
      </c>
      <c r="M850" s="3" t="n">
        <f aca="false">IF(K850&gt;=Parametri!$B$1,1,0)</f>
        <v>1</v>
      </c>
      <c r="N850" s="3" t="n">
        <f aca="false">L850*M850</f>
        <v>0</v>
      </c>
    </row>
    <row r="851" customFormat="false" ht="15" hidden="false" customHeight="false" outlineLevel="0" collapsed="false">
      <c r="A851" s="0" t="s">
        <v>1530</v>
      </c>
      <c r="B851" s="0" t="s">
        <v>57</v>
      </c>
      <c r="C851" s="0" t="s">
        <v>1531</v>
      </c>
      <c r="D851" s="0" t="s">
        <v>19</v>
      </c>
      <c r="E851" s="2" t="n">
        <v>45722</v>
      </c>
      <c r="F851" s="3" t="s">
        <v>27</v>
      </c>
      <c r="G851" s="3" t="s">
        <v>35</v>
      </c>
      <c r="H851" s="3" t="s">
        <v>44</v>
      </c>
      <c r="I851" s="3" t="n">
        <f aca="false">YEAR(E851)</f>
        <v>2025</v>
      </c>
      <c r="J851" s="3" t="n">
        <f aca="false">MONTH(E851)</f>
        <v>3</v>
      </c>
      <c r="K851" s="3" t="n">
        <f aca="false">COUNTIFS($B$2:$B$4077,B851,$C$2:$C$4077,C851,$I$2:$I$4077,I851)</f>
        <v>7</v>
      </c>
      <c r="L851" s="3" t="n">
        <f aca="false">IF(COUNTIFS($B$2:B851,B851,$C$2:C851,C851,$I$2:I851,I851)=1,1,0)</f>
        <v>1</v>
      </c>
      <c r="M851" s="3" t="n">
        <f aca="false">IF(K851&gt;=Parametri!$B$1,1,0)</f>
        <v>1</v>
      </c>
      <c r="N851" s="3" t="n">
        <f aca="false">L851*M851</f>
        <v>1</v>
      </c>
    </row>
    <row r="852" customFormat="false" ht="15" hidden="false" customHeight="false" outlineLevel="0" collapsed="false">
      <c r="A852" s="0" t="s">
        <v>1532</v>
      </c>
      <c r="B852" s="0" t="s">
        <v>24</v>
      </c>
      <c r="C852" s="0" t="s">
        <v>1533</v>
      </c>
      <c r="D852" s="0" t="s">
        <v>33</v>
      </c>
      <c r="E852" s="2" t="n">
        <v>45826</v>
      </c>
      <c r="F852" s="3" t="s">
        <v>27</v>
      </c>
      <c r="G852" s="3" t="s">
        <v>72</v>
      </c>
      <c r="H852" s="3" t="s">
        <v>22</v>
      </c>
      <c r="I852" s="3" t="n">
        <f aca="false">YEAR(E852)</f>
        <v>2025</v>
      </c>
      <c r="J852" s="3" t="n">
        <f aca="false">MONTH(E852)</f>
        <v>6</v>
      </c>
      <c r="K852" s="3" t="n">
        <f aca="false">COUNTIFS($B$2:$B$4077,B852,$C$2:$C$4077,C852,$I$2:$I$4077,I852)</f>
        <v>2</v>
      </c>
      <c r="L852" s="3" t="n">
        <f aca="false">IF(COUNTIFS($B$2:B852,B852,$C$2:C852,C852,$I$2:I852,I852)=1,1,0)</f>
        <v>1</v>
      </c>
      <c r="M852" s="3" t="n">
        <f aca="false">IF(K852&gt;=Parametri!$B$1,1,0)</f>
        <v>1</v>
      </c>
      <c r="N852" s="3" t="n">
        <f aca="false">L852*M852</f>
        <v>1</v>
      </c>
    </row>
    <row r="853" customFormat="false" ht="15" hidden="false" customHeight="false" outlineLevel="0" collapsed="false">
      <c r="A853" s="0" t="s">
        <v>1534</v>
      </c>
      <c r="B853" s="0" t="s">
        <v>57</v>
      </c>
      <c r="C853" s="0" t="s">
        <v>216</v>
      </c>
      <c r="D853" s="0" t="s">
        <v>54</v>
      </c>
      <c r="E853" s="2" t="n">
        <v>45697</v>
      </c>
      <c r="F853" s="3" t="s">
        <v>27</v>
      </c>
      <c r="G853" s="3" t="s">
        <v>21</v>
      </c>
      <c r="H853" s="3" t="s">
        <v>22</v>
      </c>
      <c r="I853" s="3" t="n">
        <f aca="false">YEAR(E853)</f>
        <v>2025</v>
      </c>
      <c r="J853" s="3" t="n">
        <f aca="false">MONTH(E853)</f>
        <v>2</v>
      </c>
      <c r="K853" s="3" t="n">
        <f aca="false">COUNTIFS($B$2:$B$4077,B853,$C$2:$C$4077,C853,$I$2:$I$4077,I853)</f>
        <v>2</v>
      </c>
      <c r="L853" s="3" t="n">
        <f aca="false">IF(COUNTIFS($B$2:B853,B853,$C$2:C853,C853,$I$2:I853,I853)=1,1,0)</f>
        <v>1</v>
      </c>
      <c r="M853" s="3" t="n">
        <f aca="false">IF(K853&gt;=Parametri!$B$1,1,0)</f>
        <v>1</v>
      </c>
      <c r="N853" s="3" t="n">
        <f aca="false">L853*M853</f>
        <v>1</v>
      </c>
    </row>
    <row r="854" customFormat="false" ht="15" hidden="false" customHeight="false" outlineLevel="0" collapsed="false">
      <c r="A854" s="0" t="s">
        <v>1535</v>
      </c>
      <c r="B854" s="0" t="s">
        <v>41</v>
      </c>
      <c r="C854" s="0" t="s">
        <v>1536</v>
      </c>
      <c r="D854" s="0" t="s">
        <v>19</v>
      </c>
      <c r="E854" s="2" t="n">
        <v>45478</v>
      </c>
      <c r="F854" s="3" t="s">
        <v>20</v>
      </c>
      <c r="G854" s="3" t="s">
        <v>55</v>
      </c>
      <c r="H854" s="3" t="s">
        <v>44</v>
      </c>
      <c r="I854" s="3" t="n">
        <f aca="false">YEAR(E854)</f>
        <v>2024</v>
      </c>
      <c r="J854" s="3" t="n">
        <f aca="false">MONTH(E854)</f>
        <v>7</v>
      </c>
      <c r="K854" s="3" t="n">
        <f aca="false">COUNTIFS($B$2:$B$4077,B854,$C$2:$C$4077,C854,$I$2:$I$4077,I854)</f>
        <v>2</v>
      </c>
      <c r="L854" s="3" t="n">
        <f aca="false">IF(COUNTIFS($B$2:B854,B854,$C$2:C854,C854,$I$2:I854,I854)=1,1,0)</f>
        <v>1</v>
      </c>
      <c r="M854" s="3" t="n">
        <f aca="false">IF(K854&gt;=Parametri!$B$1,1,0)</f>
        <v>1</v>
      </c>
      <c r="N854" s="3" t="n">
        <f aca="false">L854*M854</f>
        <v>1</v>
      </c>
    </row>
    <row r="855" customFormat="false" ht="15" hidden="false" customHeight="false" outlineLevel="0" collapsed="false">
      <c r="A855" s="0" t="s">
        <v>1537</v>
      </c>
      <c r="B855" s="0" t="s">
        <v>68</v>
      </c>
      <c r="C855" s="0" t="s">
        <v>1538</v>
      </c>
      <c r="D855" s="0" t="s">
        <v>66</v>
      </c>
      <c r="E855" s="2" t="n">
        <v>45759</v>
      </c>
      <c r="F855" s="3" t="s">
        <v>20</v>
      </c>
      <c r="G855" s="3" t="s">
        <v>72</v>
      </c>
      <c r="H855" s="3" t="s">
        <v>44</v>
      </c>
      <c r="I855" s="3" t="n">
        <f aca="false">YEAR(E855)</f>
        <v>2025</v>
      </c>
      <c r="J855" s="3" t="n">
        <f aca="false">MONTH(E855)</f>
        <v>4</v>
      </c>
      <c r="K855" s="3" t="n">
        <f aca="false">COUNTIFS($B$2:$B$4077,B855,$C$2:$C$4077,C855,$I$2:$I$4077,I855)</f>
        <v>1</v>
      </c>
      <c r="L855" s="3" t="n">
        <f aca="false">IF(COUNTIFS($B$2:B855,B855,$C$2:C855,C855,$I$2:I855,I855)=1,1,0)</f>
        <v>1</v>
      </c>
      <c r="M855" s="3" t="n">
        <f aca="false">IF(K855&gt;=Parametri!$B$1,1,0)</f>
        <v>0</v>
      </c>
      <c r="N855" s="3" t="n">
        <f aca="false">L855*M855</f>
        <v>0</v>
      </c>
    </row>
    <row r="856" customFormat="false" ht="15" hidden="false" customHeight="false" outlineLevel="0" collapsed="false">
      <c r="A856" s="0" t="s">
        <v>1539</v>
      </c>
      <c r="B856" s="0" t="s">
        <v>46</v>
      </c>
      <c r="C856" s="0" t="s">
        <v>1540</v>
      </c>
      <c r="D856" s="0" t="s">
        <v>33</v>
      </c>
      <c r="E856" s="2" t="n">
        <v>45466</v>
      </c>
      <c r="F856" s="3" t="s">
        <v>20</v>
      </c>
      <c r="G856" s="3" t="s">
        <v>43</v>
      </c>
      <c r="H856" s="3" t="s">
        <v>29</v>
      </c>
      <c r="I856" s="3" t="n">
        <f aca="false">YEAR(E856)</f>
        <v>2024</v>
      </c>
      <c r="J856" s="3" t="n">
        <f aca="false">MONTH(E856)</f>
        <v>6</v>
      </c>
      <c r="K856" s="3" t="n">
        <f aca="false">COUNTIFS($B$2:$B$4077,B856,$C$2:$C$4077,C856,$I$2:$I$4077,I856)</f>
        <v>1</v>
      </c>
      <c r="L856" s="3" t="n">
        <f aca="false">IF(COUNTIFS($B$2:B856,B856,$C$2:C856,C856,$I$2:I856,I856)=1,1,0)</f>
        <v>1</v>
      </c>
      <c r="M856" s="3" t="n">
        <f aca="false">IF(K856&gt;=Parametri!$B$1,1,0)</f>
        <v>0</v>
      </c>
      <c r="N856" s="3" t="n">
        <f aca="false">L856*M856</f>
        <v>0</v>
      </c>
    </row>
    <row r="857" customFormat="false" ht="15" hidden="false" customHeight="false" outlineLevel="0" collapsed="false">
      <c r="A857" s="0" t="s">
        <v>1541</v>
      </c>
      <c r="B857" s="0" t="s">
        <v>50</v>
      </c>
      <c r="C857" s="0" t="s">
        <v>1542</v>
      </c>
      <c r="D857" s="0" t="s">
        <v>38</v>
      </c>
      <c r="E857" s="2" t="n">
        <v>45712</v>
      </c>
      <c r="F857" s="3" t="s">
        <v>20</v>
      </c>
      <c r="G857" s="3" t="s">
        <v>72</v>
      </c>
      <c r="H857" s="3" t="s">
        <v>29</v>
      </c>
      <c r="I857" s="3" t="n">
        <f aca="false">YEAR(E857)</f>
        <v>2025</v>
      </c>
      <c r="J857" s="3" t="n">
        <f aca="false">MONTH(E857)</f>
        <v>2</v>
      </c>
      <c r="K857" s="3" t="n">
        <f aca="false">COUNTIFS($B$2:$B$4077,B857,$C$2:$C$4077,C857,$I$2:$I$4077,I857)</f>
        <v>1</v>
      </c>
      <c r="L857" s="3" t="n">
        <f aca="false">IF(COUNTIFS($B$2:B857,B857,$C$2:C857,C857,$I$2:I857,I857)=1,1,0)</f>
        <v>1</v>
      </c>
      <c r="M857" s="3" t="n">
        <f aca="false">IF(K857&gt;=Parametri!$B$1,1,0)</f>
        <v>0</v>
      </c>
      <c r="N857" s="3" t="n">
        <f aca="false">L857*M857</f>
        <v>0</v>
      </c>
    </row>
    <row r="858" customFormat="false" ht="15" hidden="false" customHeight="false" outlineLevel="0" collapsed="false">
      <c r="A858" s="0" t="s">
        <v>1543</v>
      </c>
      <c r="B858" s="0" t="s">
        <v>124</v>
      </c>
      <c r="C858" s="0" t="s">
        <v>1544</v>
      </c>
      <c r="D858" s="0" t="s">
        <v>33</v>
      </c>
      <c r="E858" s="2" t="n">
        <v>45506</v>
      </c>
      <c r="F858" s="3" t="s">
        <v>34</v>
      </c>
      <c r="G858" s="3" t="s">
        <v>21</v>
      </c>
      <c r="H858" s="3" t="s">
        <v>29</v>
      </c>
      <c r="I858" s="3" t="n">
        <f aca="false">YEAR(E858)</f>
        <v>2024</v>
      </c>
      <c r="J858" s="3" t="n">
        <f aca="false">MONTH(E858)</f>
        <v>8</v>
      </c>
      <c r="K858" s="3" t="n">
        <f aca="false">COUNTIFS($B$2:$B$4077,B858,$C$2:$C$4077,C858,$I$2:$I$4077,I858)</f>
        <v>1</v>
      </c>
      <c r="L858" s="3" t="n">
        <f aca="false">IF(COUNTIFS($B$2:B858,B858,$C$2:C858,C858,$I$2:I858,I858)=1,1,0)</f>
        <v>1</v>
      </c>
      <c r="M858" s="3" t="n">
        <f aca="false">IF(K858&gt;=Parametri!$B$1,1,0)</f>
        <v>0</v>
      </c>
      <c r="N858" s="3" t="n">
        <f aca="false">L858*M858</f>
        <v>0</v>
      </c>
    </row>
    <row r="859" customFormat="false" ht="15" hidden="false" customHeight="false" outlineLevel="0" collapsed="false">
      <c r="A859" s="0" t="s">
        <v>1545</v>
      </c>
      <c r="B859" s="0" t="s">
        <v>124</v>
      </c>
      <c r="C859" s="0" t="s">
        <v>1546</v>
      </c>
      <c r="D859" s="0" t="s">
        <v>19</v>
      </c>
      <c r="E859" s="2" t="n">
        <v>45504</v>
      </c>
      <c r="F859" s="3" t="s">
        <v>27</v>
      </c>
      <c r="G859" s="3" t="s">
        <v>28</v>
      </c>
      <c r="H859" s="3" t="s">
        <v>22</v>
      </c>
      <c r="I859" s="3" t="n">
        <f aca="false">YEAR(E859)</f>
        <v>2024</v>
      </c>
      <c r="J859" s="3" t="n">
        <f aca="false">MONTH(E859)</f>
        <v>7</v>
      </c>
      <c r="K859" s="3" t="n">
        <f aca="false">COUNTIFS($B$2:$B$4077,B859,$C$2:$C$4077,C859,$I$2:$I$4077,I859)</f>
        <v>3</v>
      </c>
      <c r="L859" s="3" t="n">
        <f aca="false">IF(COUNTIFS($B$2:B859,B859,$C$2:C859,C859,$I$2:I859,I859)=1,1,0)</f>
        <v>1</v>
      </c>
      <c r="M859" s="3" t="n">
        <f aca="false">IF(K859&gt;=Parametri!$B$1,1,0)</f>
        <v>1</v>
      </c>
      <c r="N859" s="3" t="n">
        <f aca="false">L859*M859</f>
        <v>1</v>
      </c>
    </row>
    <row r="860" customFormat="false" ht="15" hidden="false" customHeight="false" outlineLevel="0" collapsed="false">
      <c r="A860" s="0" t="s">
        <v>1547</v>
      </c>
      <c r="B860" s="0" t="s">
        <v>41</v>
      </c>
      <c r="C860" s="0" t="s">
        <v>456</v>
      </c>
      <c r="D860" s="0" t="s">
        <v>33</v>
      </c>
      <c r="E860" s="2" t="n">
        <v>45983</v>
      </c>
      <c r="F860" s="3" t="s">
        <v>34</v>
      </c>
      <c r="G860" s="3" t="s">
        <v>89</v>
      </c>
      <c r="H860" s="3" t="s">
        <v>29</v>
      </c>
      <c r="I860" s="3" t="n">
        <f aca="false">YEAR(E860)</f>
        <v>2025</v>
      </c>
      <c r="J860" s="3" t="n">
        <f aca="false">MONTH(E860)</f>
        <v>11</v>
      </c>
      <c r="K860" s="3" t="n">
        <f aca="false">COUNTIFS($B$2:$B$4077,B860,$C$2:$C$4077,C860,$I$2:$I$4077,I860)</f>
        <v>6</v>
      </c>
      <c r="L860" s="3" t="n">
        <f aca="false">IF(COUNTIFS($B$2:B860,B860,$C$2:C860,C860,$I$2:I860,I860)=1,1,0)</f>
        <v>1</v>
      </c>
      <c r="M860" s="3" t="n">
        <f aca="false">IF(K860&gt;=Parametri!$B$1,1,0)</f>
        <v>1</v>
      </c>
      <c r="N860" s="3" t="n">
        <f aca="false">L860*M860</f>
        <v>1</v>
      </c>
    </row>
    <row r="861" customFormat="false" ht="15" hidden="false" customHeight="false" outlineLevel="0" collapsed="false">
      <c r="A861" s="0" t="s">
        <v>1548</v>
      </c>
      <c r="B861" s="0" t="s">
        <v>31</v>
      </c>
      <c r="C861" s="0" t="s">
        <v>1549</v>
      </c>
      <c r="D861" s="0" t="s">
        <v>38</v>
      </c>
      <c r="E861" s="2" t="n">
        <v>45588</v>
      </c>
      <c r="F861" s="3" t="s">
        <v>34</v>
      </c>
      <c r="G861" s="3" t="s">
        <v>72</v>
      </c>
      <c r="H861" s="3" t="s">
        <v>44</v>
      </c>
      <c r="I861" s="3" t="n">
        <f aca="false">YEAR(E861)</f>
        <v>2024</v>
      </c>
      <c r="J861" s="3" t="n">
        <f aca="false">MONTH(E861)</f>
        <v>10</v>
      </c>
      <c r="K861" s="3" t="n">
        <f aca="false">COUNTIFS($B$2:$B$4077,B861,$C$2:$C$4077,C861,$I$2:$I$4077,I861)</f>
        <v>1</v>
      </c>
      <c r="L861" s="3" t="n">
        <f aca="false">IF(COUNTIFS($B$2:B861,B861,$C$2:C861,C861,$I$2:I861,I861)=1,1,0)</f>
        <v>1</v>
      </c>
      <c r="M861" s="3" t="n">
        <f aca="false">IF(K861&gt;=Parametri!$B$1,1,0)</f>
        <v>0</v>
      </c>
      <c r="N861" s="3" t="n">
        <f aca="false">L861*M861</f>
        <v>0</v>
      </c>
    </row>
    <row r="862" customFormat="false" ht="15" hidden="false" customHeight="false" outlineLevel="0" collapsed="false">
      <c r="A862" s="0" t="s">
        <v>1550</v>
      </c>
      <c r="B862" s="0" t="s">
        <v>79</v>
      </c>
      <c r="C862" s="0" t="s">
        <v>417</v>
      </c>
      <c r="D862" s="0" t="s">
        <v>19</v>
      </c>
      <c r="E862" s="2" t="n">
        <v>46192</v>
      </c>
      <c r="F862" s="3" t="s">
        <v>104</v>
      </c>
      <c r="G862" s="3" t="s">
        <v>104</v>
      </c>
      <c r="H862" s="3" t="s">
        <v>104</v>
      </c>
      <c r="I862" s="3" t="n">
        <f aca="false">YEAR(E862)</f>
        <v>2026</v>
      </c>
      <c r="J862" s="3" t="n">
        <f aca="false">MONTH(E862)</f>
        <v>6</v>
      </c>
      <c r="K862" s="3" t="n">
        <f aca="false">COUNTIFS($B$2:$B$4077,B862,$C$2:$C$4077,C862,$I$2:$I$4077,I862)</f>
        <v>2</v>
      </c>
      <c r="L862" s="3" t="n">
        <f aca="false">IF(COUNTIFS($B$2:B862,B862,$C$2:C862,C862,$I$2:I862,I862)=1,1,0)</f>
        <v>0</v>
      </c>
      <c r="M862" s="3" t="n">
        <f aca="false">IF(K862&gt;=Parametri!$B$1,1,0)</f>
        <v>1</v>
      </c>
      <c r="N862" s="3" t="n">
        <f aca="false">L862*M862</f>
        <v>0</v>
      </c>
    </row>
    <row r="863" customFormat="false" ht="15" hidden="false" customHeight="false" outlineLevel="0" collapsed="false">
      <c r="A863" s="0" t="s">
        <v>1551</v>
      </c>
      <c r="B863" s="0" t="s">
        <v>24</v>
      </c>
      <c r="C863" s="0" t="s">
        <v>1148</v>
      </c>
      <c r="D863" s="0" t="s">
        <v>63</v>
      </c>
      <c r="E863" s="2" t="n">
        <v>45331</v>
      </c>
      <c r="F863" s="3" t="s">
        <v>20</v>
      </c>
      <c r="G863" s="3" t="s">
        <v>43</v>
      </c>
      <c r="H863" s="3" t="s">
        <v>22</v>
      </c>
      <c r="I863" s="3" t="n">
        <f aca="false">YEAR(E863)</f>
        <v>2024</v>
      </c>
      <c r="J863" s="3" t="n">
        <f aca="false">MONTH(E863)</f>
        <v>2</v>
      </c>
      <c r="K863" s="3" t="n">
        <f aca="false">COUNTIFS($B$2:$B$4077,B863,$C$2:$C$4077,C863,$I$2:$I$4077,I863)</f>
        <v>2</v>
      </c>
      <c r="L863" s="3" t="n">
        <f aca="false">IF(COUNTIFS($B$2:B863,B863,$C$2:C863,C863,$I$2:I863,I863)=1,1,0)</f>
        <v>1</v>
      </c>
      <c r="M863" s="3" t="n">
        <f aca="false">IF(K863&gt;=Parametri!$B$1,1,0)</f>
        <v>1</v>
      </c>
      <c r="N863" s="3" t="n">
        <f aca="false">L863*M863</f>
        <v>1</v>
      </c>
    </row>
    <row r="864" customFormat="false" ht="15" hidden="false" customHeight="false" outlineLevel="0" collapsed="false">
      <c r="A864" s="0" t="s">
        <v>1552</v>
      </c>
      <c r="B864" s="0" t="s">
        <v>41</v>
      </c>
      <c r="C864" s="0" t="s">
        <v>1553</v>
      </c>
      <c r="D864" s="0" t="s">
        <v>63</v>
      </c>
      <c r="E864" s="2" t="n">
        <v>45994</v>
      </c>
      <c r="F864" s="3" t="s">
        <v>27</v>
      </c>
      <c r="G864" s="3" t="s">
        <v>35</v>
      </c>
      <c r="H864" s="3" t="s">
        <v>29</v>
      </c>
      <c r="I864" s="3" t="n">
        <f aca="false">YEAR(E864)</f>
        <v>2025</v>
      </c>
      <c r="J864" s="3" t="n">
        <f aca="false">MONTH(E864)</f>
        <v>12</v>
      </c>
      <c r="K864" s="3" t="n">
        <f aca="false">COUNTIFS($B$2:$B$4077,B864,$C$2:$C$4077,C864,$I$2:$I$4077,I864)</f>
        <v>1</v>
      </c>
      <c r="L864" s="3" t="n">
        <f aca="false">IF(COUNTIFS($B$2:B864,B864,$C$2:C864,C864,$I$2:I864,I864)=1,1,0)</f>
        <v>1</v>
      </c>
      <c r="M864" s="3" t="n">
        <f aca="false">IF(K864&gt;=Parametri!$B$1,1,0)</f>
        <v>0</v>
      </c>
      <c r="N864" s="3" t="n">
        <f aca="false">L864*M864</f>
        <v>0</v>
      </c>
    </row>
    <row r="865" customFormat="false" ht="15" hidden="false" customHeight="false" outlineLevel="0" collapsed="false">
      <c r="A865" s="0" t="s">
        <v>1554</v>
      </c>
      <c r="B865" s="0" t="s">
        <v>57</v>
      </c>
      <c r="C865" s="0" t="s">
        <v>288</v>
      </c>
      <c r="D865" s="0" t="s">
        <v>33</v>
      </c>
      <c r="E865" s="2" t="n">
        <v>45992</v>
      </c>
      <c r="F865" s="3" t="s">
        <v>27</v>
      </c>
      <c r="G865" s="3" t="s">
        <v>35</v>
      </c>
      <c r="H865" s="3" t="s">
        <v>22</v>
      </c>
      <c r="I865" s="3" t="n">
        <f aca="false">YEAR(E865)</f>
        <v>2025</v>
      </c>
      <c r="J865" s="3" t="n">
        <f aca="false">MONTH(E865)</f>
        <v>12</v>
      </c>
      <c r="K865" s="3" t="n">
        <f aca="false">COUNTIFS($B$2:$B$4077,B865,$C$2:$C$4077,C865,$I$2:$I$4077,I865)</f>
        <v>3</v>
      </c>
      <c r="L865" s="3" t="n">
        <f aca="false">IF(COUNTIFS($B$2:B865,B865,$C$2:C865,C865,$I$2:I865,I865)=1,1,0)</f>
        <v>1</v>
      </c>
      <c r="M865" s="3" t="n">
        <f aca="false">IF(K865&gt;=Parametri!$B$1,1,0)</f>
        <v>1</v>
      </c>
      <c r="N865" s="3" t="n">
        <f aca="false">L865*M865</f>
        <v>1</v>
      </c>
    </row>
    <row r="866" customFormat="false" ht="15" hidden="false" customHeight="false" outlineLevel="0" collapsed="false">
      <c r="A866" s="0" t="s">
        <v>1555</v>
      </c>
      <c r="B866" s="0" t="s">
        <v>68</v>
      </c>
      <c r="C866" s="0" t="s">
        <v>1556</v>
      </c>
      <c r="D866" s="0" t="s">
        <v>66</v>
      </c>
      <c r="E866" s="2" t="n">
        <v>45902</v>
      </c>
      <c r="F866" s="3" t="s">
        <v>20</v>
      </c>
      <c r="G866" s="3" t="s">
        <v>55</v>
      </c>
      <c r="H866" s="3" t="s">
        <v>44</v>
      </c>
      <c r="I866" s="3" t="n">
        <f aca="false">YEAR(E866)</f>
        <v>2025</v>
      </c>
      <c r="J866" s="3" t="n">
        <f aca="false">MONTH(E866)</f>
        <v>9</v>
      </c>
      <c r="K866" s="3" t="n">
        <f aca="false">COUNTIFS($B$2:$B$4077,B866,$C$2:$C$4077,C866,$I$2:$I$4077,I866)</f>
        <v>2</v>
      </c>
      <c r="L866" s="3" t="n">
        <f aca="false">IF(COUNTIFS($B$2:B866,B866,$C$2:C866,C866,$I$2:I866,I866)=1,1,0)</f>
        <v>1</v>
      </c>
      <c r="M866" s="3" t="n">
        <f aca="false">IF(K866&gt;=Parametri!$B$1,1,0)</f>
        <v>1</v>
      </c>
      <c r="N866" s="3" t="n">
        <f aca="false">L866*M866</f>
        <v>1</v>
      </c>
    </row>
    <row r="867" customFormat="false" ht="15" hidden="false" customHeight="false" outlineLevel="0" collapsed="false">
      <c r="A867" s="0" t="s">
        <v>1557</v>
      </c>
      <c r="B867" s="0" t="s">
        <v>50</v>
      </c>
      <c r="C867" s="0" t="s">
        <v>1558</v>
      </c>
      <c r="D867" s="0" t="s">
        <v>38</v>
      </c>
      <c r="E867" s="2" t="n">
        <v>45953</v>
      </c>
      <c r="F867" s="3" t="s">
        <v>20</v>
      </c>
      <c r="G867" s="3" t="s">
        <v>72</v>
      </c>
      <c r="H867" s="3" t="s">
        <v>29</v>
      </c>
      <c r="I867" s="3" t="n">
        <f aca="false">YEAR(E867)</f>
        <v>2025</v>
      </c>
      <c r="J867" s="3" t="n">
        <f aca="false">MONTH(E867)</f>
        <v>10</v>
      </c>
      <c r="K867" s="3" t="n">
        <f aca="false">COUNTIFS($B$2:$B$4077,B867,$C$2:$C$4077,C867,$I$2:$I$4077,I867)</f>
        <v>2</v>
      </c>
      <c r="L867" s="3" t="n">
        <f aca="false">IF(COUNTIFS($B$2:B867,B867,$C$2:C867,C867,$I$2:I867,I867)=1,1,0)</f>
        <v>1</v>
      </c>
      <c r="M867" s="3" t="n">
        <f aca="false">IF(K867&gt;=Parametri!$B$1,1,0)</f>
        <v>1</v>
      </c>
      <c r="N867" s="3" t="n">
        <f aca="false">L867*M867</f>
        <v>1</v>
      </c>
    </row>
    <row r="868" customFormat="false" ht="15" hidden="false" customHeight="false" outlineLevel="0" collapsed="false">
      <c r="A868" s="0" t="s">
        <v>1559</v>
      </c>
      <c r="B868" s="0" t="s">
        <v>68</v>
      </c>
      <c r="C868" s="0" t="s">
        <v>1560</v>
      </c>
      <c r="D868" s="0" t="s">
        <v>63</v>
      </c>
      <c r="E868" s="2" t="n">
        <v>45737</v>
      </c>
      <c r="F868" s="3" t="s">
        <v>27</v>
      </c>
      <c r="G868" s="3" t="s">
        <v>39</v>
      </c>
      <c r="H868" s="3" t="s">
        <v>22</v>
      </c>
      <c r="I868" s="3" t="n">
        <f aca="false">YEAR(E868)</f>
        <v>2025</v>
      </c>
      <c r="J868" s="3" t="n">
        <f aca="false">MONTH(E868)</f>
        <v>3</v>
      </c>
      <c r="K868" s="3" t="n">
        <f aca="false">COUNTIFS($B$2:$B$4077,B868,$C$2:$C$4077,C868,$I$2:$I$4077,I868)</f>
        <v>1</v>
      </c>
      <c r="L868" s="3" t="n">
        <f aca="false">IF(COUNTIFS($B$2:B868,B868,$C$2:C868,C868,$I$2:I868,I868)=1,1,0)</f>
        <v>1</v>
      </c>
      <c r="M868" s="3" t="n">
        <f aca="false">IF(K868&gt;=Parametri!$B$1,1,0)</f>
        <v>0</v>
      </c>
      <c r="N868" s="3" t="n">
        <f aca="false">L868*M868</f>
        <v>0</v>
      </c>
    </row>
    <row r="869" customFormat="false" ht="15" hidden="false" customHeight="false" outlineLevel="0" collapsed="false">
      <c r="A869" s="0" t="s">
        <v>1561</v>
      </c>
      <c r="B869" s="0" t="s">
        <v>50</v>
      </c>
      <c r="C869" s="0" t="s">
        <v>942</v>
      </c>
      <c r="D869" s="0" t="s">
        <v>77</v>
      </c>
      <c r="E869" s="2" t="n">
        <v>45796</v>
      </c>
      <c r="F869" s="3" t="s">
        <v>20</v>
      </c>
      <c r="G869" s="3" t="s">
        <v>43</v>
      </c>
      <c r="H869" s="3" t="s">
        <v>29</v>
      </c>
      <c r="I869" s="3" t="n">
        <f aca="false">YEAR(E869)</f>
        <v>2025</v>
      </c>
      <c r="J869" s="3" t="n">
        <f aca="false">MONTH(E869)</f>
        <v>5</v>
      </c>
      <c r="K869" s="3" t="n">
        <f aca="false">COUNTIFS($B$2:$B$4077,B869,$C$2:$C$4077,C869,$I$2:$I$4077,I869)</f>
        <v>7</v>
      </c>
      <c r="L869" s="3" t="n">
        <f aca="false">IF(COUNTIFS($B$2:B869,B869,$C$2:C869,C869,$I$2:I869,I869)=1,1,0)</f>
        <v>0</v>
      </c>
      <c r="M869" s="3" t="n">
        <f aca="false">IF(K869&gt;=Parametri!$B$1,1,0)</f>
        <v>1</v>
      </c>
      <c r="N869" s="3" t="n">
        <f aca="false">L869*M869</f>
        <v>0</v>
      </c>
    </row>
    <row r="870" customFormat="false" ht="15" hidden="false" customHeight="false" outlineLevel="0" collapsed="false">
      <c r="A870" s="0" t="s">
        <v>1562</v>
      </c>
      <c r="B870" s="0" t="s">
        <v>50</v>
      </c>
      <c r="C870" s="0" t="s">
        <v>1171</v>
      </c>
      <c r="D870" s="0" t="s">
        <v>77</v>
      </c>
      <c r="E870" s="2" t="n">
        <v>45755</v>
      </c>
      <c r="F870" s="3" t="s">
        <v>20</v>
      </c>
      <c r="G870" s="3" t="s">
        <v>72</v>
      </c>
      <c r="H870" s="3" t="s">
        <v>29</v>
      </c>
      <c r="I870" s="3" t="n">
        <f aca="false">YEAR(E870)</f>
        <v>2025</v>
      </c>
      <c r="J870" s="3" t="n">
        <f aca="false">MONTH(E870)</f>
        <v>4</v>
      </c>
      <c r="K870" s="3" t="n">
        <f aca="false">COUNTIFS($B$2:$B$4077,B870,$C$2:$C$4077,C870,$I$2:$I$4077,I870)</f>
        <v>1</v>
      </c>
      <c r="L870" s="3" t="n">
        <f aca="false">IF(COUNTIFS($B$2:B870,B870,$C$2:C870,C870,$I$2:I870,I870)=1,1,0)</f>
        <v>1</v>
      </c>
      <c r="M870" s="3" t="n">
        <f aca="false">IF(K870&gt;=Parametri!$B$1,1,0)</f>
        <v>0</v>
      </c>
      <c r="N870" s="3" t="n">
        <f aca="false">L870*M870</f>
        <v>0</v>
      </c>
    </row>
    <row r="871" customFormat="false" ht="15" hidden="false" customHeight="false" outlineLevel="0" collapsed="false">
      <c r="A871" s="0" t="s">
        <v>1563</v>
      </c>
      <c r="B871" s="0" t="s">
        <v>79</v>
      </c>
      <c r="C871" s="0" t="s">
        <v>80</v>
      </c>
      <c r="D871" s="0" t="s">
        <v>38</v>
      </c>
      <c r="E871" s="2" t="n">
        <v>45427</v>
      </c>
      <c r="F871" s="3" t="s">
        <v>27</v>
      </c>
      <c r="G871" s="3" t="s">
        <v>104</v>
      </c>
      <c r="H871" s="3" t="s">
        <v>48</v>
      </c>
      <c r="I871" s="3" t="n">
        <f aca="false">YEAR(E871)</f>
        <v>2024</v>
      </c>
      <c r="J871" s="3" t="n">
        <f aca="false">MONTH(E871)</f>
        <v>5</v>
      </c>
      <c r="K871" s="3" t="n">
        <f aca="false">COUNTIFS($B$2:$B$4077,B871,$C$2:$C$4077,C871,$I$2:$I$4077,I871)</f>
        <v>1</v>
      </c>
      <c r="L871" s="3" t="n">
        <f aca="false">IF(COUNTIFS($B$2:B871,B871,$C$2:C871,C871,$I$2:I871,I871)=1,1,0)</f>
        <v>1</v>
      </c>
      <c r="M871" s="3" t="n">
        <f aca="false">IF(K871&gt;=Parametri!$B$1,1,0)</f>
        <v>0</v>
      </c>
      <c r="N871" s="3" t="n">
        <f aca="false">L871*M871</f>
        <v>0</v>
      </c>
    </row>
    <row r="872" customFormat="false" ht="15" hidden="false" customHeight="false" outlineLevel="0" collapsed="false">
      <c r="A872" s="0" t="s">
        <v>1564</v>
      </c>
      <c r="B872" s="0" t="s">
        <v>41</v>
      </c>
      <c r="C872" s="0" t="s">
        <v>1565</v>
      </c>
      <c r="D872" s="0" t="s">
        <v>63</v>
      </c>
      <c r="E872" s="2" t="n">
        <v>45557</v>
      </c>
      <c r="F872" s="3" t="s">
        <v>27</v>
      </c>
      <c r="G872" s="3" t="s">
        <v>39</v>
      </c>
      <c r="H872" s="3" t="s">
        <v>48</v>
      </c>
      <c r="I872" s="3" t="n">
        <f aca="false">YEAR(E872)</f>
        <v>2024</v>
      </c>
      <c r="J872" s="3" t="n">
        <f aca="false">MONTH(E872)</f>
        <v>9</v>
      </c>
      <c r="K872" s="3" t="n">
        <f aca="false">COUNTIFS($B$2:$B$4077,B872,$C$2:$C$4077,C872,$I$2:$I$4077,I872)</f>
        <v>1</v>
      </c>
      <c r="L872" s="3" t="n">
        <f aca="false">IF(COUNTIFS($B$2:B872,B872,$C$2:C872,C872,$I$2:I872,I872)=1,1,0)</f>
        <v>1</v>
      </c>
      <c r="M872" s="3" t="n">
        <f aca="false">IF(K872&gt;=Parametri!$B$1,1,0)</f>
        <v>0</v>
      </c>
      <c r="N872" s="3" t="n">
        <f aca="false">L872*M872</f>
        <v>0</v>
      </c>
    </row>
    <row r="873" customFormat="false" ht="15" hidden="false" customHeight="false" outlineLevel="0" collapsed="false">
      <c r="A873" s="0" t="s">
        <v>1566</v>
      </c>
      <c r="B873" s="0" t="s">
        <v>68</v>
      </c>
      <c r="C873" s="0" t="s">
        <v>1567</v>
      </c>
      <c r="D873" s="0" t="s">
        <v>66</v>
      </c>
      <c r="E873" s="2" t="n">
        <v>46196</v>
      </c>
      <c r="F873" s="3" t="s">
        <v>27</v>
      </c>
      <c r="G873" s="3" t="s">
        <v>89</v>
      </c>
      <c r="H873" s="3" t="s">
        <v>44</v>
      </c>
      <c r="I873" s="3" t="n">
        <f aca="false">YEAR(E873)</f>
        <v>2026</v>
      </c>
      <c r="J873" s="3" t="n">
        <f aca="false">MONTH(E873)</f>
        <v>6</v>
      </c>
      <c r="K873" s="3" t="n">
        <f aca="false">COUNTIFS($B$2:$B$4077,B873,$C$2:$C$4077,C873,$I$2:$I$4077,I873)</f>
        <v>1</v>
      </c>
      <c r="L873" s="3" t="n">
        <f aca="false">IF(COUNTIFS($B$2:B873,B873,$C$2:C873,C873,$I$2:I873,I873)=1,1,0)</f>
        <v>1</v>
      </c>
      <c r="M873" s="3" t="n">
        <f aca="false">IF(K873&gt;=Parametri!$B$1,1,0)</f>
        <v>0</v>
      </c>
      <c r="N873" s="3" t="n">
        <f aca="false">L873*M873</f>
        <v>0</v>
      </c>
    </row>
    <row r="874" customFormat="false" ht="15" hidden="false" customHeight="false" outlineLevel="0" collapsed="false">
      <c r="A874" s="0" t="s">
        <v>1568</v>
      </c>
      <c r="B874" s="0" t="s">
        <v>41</v>
      </c>
      <c r="C874" s="0" t="s">
        <v>1569</v>
      </c>
      <c r="D874" s="0" t="s">
        <v>77</v>
      </c>
      <c r="E874" s="2" t="n">
        <v>45344</v>
      </c>
      <c r="F874" s="3" t="s">
        <v>20</v>
      </c>
      <c r="G874" s="3" t="s">
        <v>43</v>
      </c>
      <c r="H874" s="3" t="s">
        <v>22</v>
      </c>
      <c r="I874" s="3" t="n">
        <f aca="false">YEAR(E874)</f>
        <v>2024</v>
      </c>
      <c r="J874" s="3" t="n">
        <f aca="false">MONTH(E874)</f>
        <v>2</v>
      </c>
      <c r="K874" s="3" t="n">
        <f aca="false">COUNTIFS($B$2:$B$4077,B874,$C$2:$C$4077,C874,$I$2:$I$4077,I874)</f>
        <v>1</v>
      </c>
      <c r="L874" s="3" t="n">
        <f aca="false">IF(COUNTIFS($B$2:B874,B874,$C$2:C874,C874,$I$2:I874,I874)=1,1,0)</f>
        <v>1</v>
      </c>
      <c r="M874" s="3" t="n">
        <f aca="false">IF(K874&gt;=Parametri!$B$1,1,0)</f>
        <v>0</v>
      </c>
      <c r="N874" s="3" t="n">
        <f aca="false">L874*M874</f>
        <v>0</v>
      </c>
    </row>
    <row r="875" customFormat="false" ht="15" hidden="false" customHeight="false" outlineLevel="0" collapsed="false">
      <c r="A875" s="0" t="s">
        <v>1570</v>
      </c>
      <c r="B875" s="0" t="s">
        <v>50</v>
      </c>
      <c r="C875" s="0" t="s">
        <v>1164</v>
      </c>
      <c r="D875" s="0" t="s">
        <v>38</v>
      </c>
      <c r="E875" s="2" t="n">
        <v>45696</v>
      </c>
      <c r="F875" s="3" t="s">
        <v>20</v>
      </c>
      <c r="G875" s="3" t="s">
        <v>43</v>
      </c>
      <c r="H875" s="3" t="s">
        <v>29</v>
      </c>
      <c r="I875" s="3" t="n">
        <f aca="false">YEAR(E875)</f>
        <v>2025</v>
      </c>
      <c r="J875" s="3" t="n">
        <f aca="false">MONTH(E875)</f>
        <v>2</v>
      </c>
      <c r="K875" s="3" t="n">
        <f aca="false">COUNTIFS($B$2:$B$4077,B875,$C$2:$C$4077,C875,$I$2:$I$4077,I875)</f>
        <v>1</v>
      </c>
      <c r="L875" s="3" t="n">
        <f aca="false">IF(COUNTIFS($B$2:B875,B875,$C$2:C875,C875,$I$2:I875,I875)=1,1,0)</f>
        <v>1</v>
      </c>
      <c r="M875" s="3" t="n">
        <f aca="false">IF(K875&gt;=Parametri!$B$1,1,0)</f>
        <v>0</v>
      </c>
      <c r="N875" s="3" t="n">
        <f aca="false">L875*M875</f>
        <v>0</v>
      </c>
    </row>
    <row r="876" customFormat="false" ht="15" hidden="false" customHeight="false" outlineLevel="0" collapsed="false">
      <c r="A876" s="0" t="s">
        <v>1571</v>
      </c>
      <c r="B876" s="0" t="s">
        <v>46</v>
      </c>
      <c r="C876" s="0" t="s">
        <v>1572</v>
      </c>
      <c r="D876" s="0" t="s">
        <v>26</v>
      </c>
      <c r="E876" s="2" t="n">
        <v>46064</v>
      </c>
      <c r="F876" s="3" t="s">
        <v>20</v>
      </c>
      <c r="G876" s="3" t="s">
        <v>39</v>
      </c>
      <c r="H876" s="3" t="s">
        <v>29</v>
      </c>
      <c r="I876" s="3" t="n">
        <f aca="false">YEAR(E876)</f>
        <v>2026</v>
      </c>
      <c r="J876" s="3" t="n">
        <f aca="false">MONTH(E876)</f>
        <v>2</v>
      </c>
      <c r="K876" s="3" t="n">
        <f aca="false">COUNTIFS($B$2:$B$4077,B876,$C$2:$C$4077,C876,$I$2:$I$4077,I876)</f>
        <v>1</v>
      </c>
      <c r="L876" s="3" t="n">
        <f aca="false">IF(COUNTIFS($B$2:B876,B876,$C$2:C876,C876,$I$2:I876,I876)=1,1,0)</f>
        <v>1</v>
      </c>
      <c r="M876" s="3" t="n">
        <f aca="false">IF(K876&gt;=Parametri!$B$1,1,0)</f>
        <v>0</v>
      </c>
      <c r="N876" s="3" t="n">
        <f aca="false">L876*M876</f>
        <v>0</v>
      </c>
    </row>
    <row r="877" customFormat="false" ht="15" hidden="false" customHeight="false" outlineLevel="0" collapsed="false">
      <c r="A877" s="0" t="s">
        <v>1573</v>
      </c>
      <c r="B877" s="0" t="s">
        <v>124</v>
      </c>
      <c r="C877" s="0" t="s">
        <v>1574</v>
      </c>
      <c r="D877" s="0" t="s">
        <v>54</v>
      </c>
      <c r="E877" s="2" t="n">
        <v>45547</v>
      </c>
      <c r="F877" s="3" t="s">
        <v>20</v>
      </c>
      <c r="G877" s="3" t="s">
        <v>21</v>
      </c>
      <c r="H877" s="3" t="s">
        <v>22</v>
      </c>
      <c r="I877" s="3" t="n">
        <f aca="false">YEAR(E877)</f>
        <v>2024</v>
      </c>
      <c r="J877" s="3" t="n">
        <f aca="false">MONTH(E877)</f>
        <v>9</v>
      </c>
      <c r="K877" s="3" t="n">
        <f aca="false">COUNTIFS($B$2:$B$4077,B877,$C$2:$C$4077,C877,$I$2:$I$4077,I877)</f>
        <v>4</v>
      </c>
      <c r="L877" s="3" t="n">
        <f aca="false">IF(COUNTIFS($B$2:B877,B877,$C$2:C877,C877,$I$2:I877,I877)=1,1,0)</f>
        <v>1</v>
      </c>
      <c r="M877" s="3" t="n">
        <f aca="false">IF(K877&gt;=Parametri!$B$1,1,0)</f>
        <v>1</v>
      </c>
      <c r="N877" s="3" t="n">
        <f aca="false">L877*M877</f>
        <v>1</v>
      </c>
    </row>
    <row r="878" customFormat="false" ht="15" hidden="false" customHeight="false" outlineLevel="0" collapsed="false">
      <c r="A878" s="0" t="s">
        <v>1575</v>
      </c>
      <c r="B878" s="0" t="s">
        <v>17</v>
      </c>
      <c r="C878" s="0" t="s">
        <v>60</v>
      </c>
      <c r="D878" s="0" t="s">
        <v>63</v>
      </c>
      <c r="E878" s="2" t="n">
        <v>45593</v>
      </c>
      <c r="F878" s="3" t="s">
        <v>20</v>
      </c>
      <c r="G878" s="3" t="s">
        <v>43</v>
      </c>
      <c r="H878" s="3" t="s">
        <v>22</v>
      </c>
      <c r="I878" s="3" t="n">
        <f aca="false">YEAR(E878)</f>
        <v>2024</v>
      </c>
      <c r="J878" s="3" t="n">
        <f aca="false">MONTH(E878)</f>
        <v>10</v>
      </c>
      <c r="K878" s="3" t="n">
        <f aca="false">COUNTIFS($B$2:$B$4077,B878,$C$2:$C$4077,C878,$I$2:$I$4077,I878)</f>
        <v>4</v>
      </c>
      <c r="L878" s="3" t="n">
        <f aca="false">IF(COUNTIFS($B$2:B878,B878,$C$2:C878,C878,$I$2:I878,I878)=1,1,0)</f>
        <v>0</v>
      </c>
      <c r="M878" s="3" t="n">
        <f aca="false">IF(K878&gt;=Parametri!$B$1,1,0)</f>
        <v>1</v>
      </c>
      <c r="N878" s="3" t="n">
        <f aca="false">L878*M878</f>
        <v>0</v>
      </c>
    </row>
    <row r="879" customFormat="false" ht="15" hidden="false" customHeight="false" outlineLevel="0" collapsed="false">
      <c r="A879" s="0" t="s">
        <v>1576</v>
      </c>
      <c r="B879" s="0" t="s">
        <v>50</v>
      </c>
      <c r="C879" s="0" t="s">
        <v>1490</v>
      </c>
      <c r="D879" s="0" t="s">
        <v>19</v>
      </c>
      <c r="E879" s="2" t="n">
        <v>46172</v>
      </c>
      <c r="F879" s="3" t="s">
        <v>20</v>
      </c>
      <c r="G879" s="3" t="s">
        <v>35</v>
      </c>
      <c r="H879" s="3" t="s">
        <v>48</v>
      </c>
      <c r="I879" s="3" t="n">
        <f aca="false">YEAR(E879)</f>
        <v>2026</v>
      </c>
      <c r="J879" s="3" t="n">
        <f aca="false">MONTH(E879)</f>
        <v>5</v>
      </c>
      <c r="K879" s="3" t="n">
        <f aca="false">COUNTIFS($B$2:$B$4077,B879,$C$2:$C$4077,C879,$I$2:$I$4077,I879)</f>
        <v>1</v>
      </c>
      <c r="L879" s="3" t="n">
        <f aca="false">IF(COUNTIFS($B$2:B879,B879,$C$2:C879,C879,$I$2:I879,I879)=1,1,0)</f>
        <v>1</v>
      </c>
      <c r="M879" s="3" t="n">
        <f aca="false">IF(K879&gt;=Parametri!$B$1,1,0)</f>
        <v>0</v>
      </c>
      <c r="N879" s="3" t="n">
        <f aca="false">L879*M879</f>
        <v>0</v>
      </c>
    </row>
    <row r="880" customFormat="false" ht="15" hidden="false" customHeight="false" outlineLevel="0" collapsed="false">
      <c r="A880" s="0" t="s">
        <v>1577</v>
      </c>
      <c r="B880" s="0" t="s">
        <v>17</v>
      </c>
      <c r="C880" s="0" t="s">
        <v>208</v>
      </c>
      <c r="D880" s="0" t="s">
        <v>63</v>
      </c>
      <c r="E880" s="2" t="n">
        <v>45691</v>
      </c>
      <c r="F880" s="3" t="s">
        <v>20</v>
      </c>
      <c r="G880" s="3" t="s">
        <v>21</v>
      </c>
      <c r="H880" s="3" t="s">
        <v>29</v>
      </c>
      <c r="I880" s="3" t="n">
        <f aca="false">YEAR(E880)</f>
        <v>2025</v>
      </c>
      <c r="J880" s="3" t="n">
        <f aca="false">MONTH(E880)</f>
        <v>2</v>
      </c>
      <c r="K880" s="3" t="n">
        <f aca="false">COUNTIFS($B$2:$B$4077,B880,$C$2:$C$4077,C880,$I$2:$I$4077,I880)</f>
        <v>4</v>
      </c>
      <c r="L880" s="3" t="n">
        <f aca="false">IF(COUNTIFS($B$2:B880,B880,$C$2:C880,C880,$I$2:I880,I880)=1,1,0)</f>
        <v>0</v>
      </c>
      <c r="M880" s="3" t="n">
        <f aca="false">IF(K880&gt;=Parametri!$B$1,1,0)</f>
        <v>1</v>
      </c>
      <c r="N880" s="3" t="n">
        <f aca="false">L880*M880</f>
        <v>0</v>
      </c>
    </row>
    <row r="881" customFormat="false" ht="15" hidden="false" customHeight="false" outlineLevel="0" collapsed="false">
      <c r="A881" s="0" t="s">
        <v>1578</v>
      </c>
      <c r="B881" s="0" t="s">
        <v>17</v>
      </c>
      <c r="C881" s="0" t="s">
        <v>481</v>
      </c>
      <c r="D881" s="0" t="s">
        <v>77</v>
      </c>
      <c r="E881" s="2" t="n">
        <v>46140</v>
      </c>
      <c r="F881" s="3" t="s">
        <v>20</v>
      </c>
      <c r="G881" s="3" t="s">
        <v>55</v>
      </c>
      <c r="H881" s="3" t="s">
        <v>44</v>
      </c>
      <c r="I881" s="3" t="n">
        <f aca="false">YEAR(E881)</f>
        <v>2026</v>
      </c>
      <c r="J881" s="3" t="n">
        <f aca="false">MONTH(E881)</f>
        <v>4</v>
      </c>
      <c r="K881" s="3" t="n">
        <f aca="false">COUNTIFS($B$2:$B$4077,B881,$C$2:$C$4077,C881,$I$2:$I$4077,I881)</f>
        <v>5</v>
      </c>
      <c r="L881" s="3" t="n">
        <f aca="false">IF(COUNTIFS($B$2:B881,B881,$C$2:C881,C881,$I$2:I881,I881)=1,1,0)</f>
        <v>0</v>
      </c>
      <c r="M881" s="3" t="n">
        <f aca="false">IF(K881&gt;=Parametri!$B$1,1,0)</f>
        <v>1</v>
      </c>
      <c r="N881" s="3" t="n">
        <f aca="false">L881*M881</f>
        <v>0</v>
      </c>
    </row>
    <row r="882" customFormat="false" ht="15" hidden="false" customHeight="false" outlineLevel="0" collapsed="false">
      <c r="A882" s="0" t="s">
        <v>1579</v>
      </c>
      <c r="B882" s="0" t="s">
        <v>31</v>
      </c>
      <c r="C882" s="0" t="s">
        <v>1580</v>
      </c>
      <c r="D882" s="0" t="s">
        <v>33</v>
      </c>
      <c r="E882" s="2" t="n">
        <v>45732</v>
      </c>
      <c r="F882" s="3" t="s">
        <v>20</v>
      </c>
      <c r="G882" s="3" t="s">
        <v>39</v>
      </c>
      <c r="H882" s="3" t="s">
        <v>22</v>
      </c>
      <c r="I882" s="3" t="n">
        <f aca="false">YEAR(E882)</f>
        <v>2025</v>
      </c>
      <c r="J882" s="3" t="n">
        <f aca="false">MONTH(E882)</f>
        <v>3</v>
      </c>
      <c r="K882" s="3" t="n">
        <f aca="false">COUNTIFS($B$2:$B$4077,B882,$C$2:$C$4077,C882,$I$2:$I$4077,I882)</f>
        <v>1</v>
      </c>
      <c r="L882" s="3" t="n">
        <f aca="false">IF(COUNTIFS($B$2:B882,B882,$C$2:C882,C882,$I$2:I882,I882)=1,1,0)</f>
        <v>1</v>
      </c>
      <c r="M882" s="3" t="n">
        <f aca="false">IF(K882&gt;=Parametri!$B$1,1,0)</f>
        <v>0</v>
      </c>
      <c r="N882" s="3" t="n">
        <f aca="false">L882*M882</f>
        <v>0</v>
      </c>
    </row>
    <row r="883" customFormat="false" ht="15" hidden="false" customHeight="false" outlineLevel="0" collapsed="false">
      <c r="A883" s="0" t="s">
        <v>1581</v>
      </c>
      <c r="B883" s="0" t="s">
        <v>24</v>
      </c>
      <c r="C883" s="0" t="s">
        <v>1582</v>
      </c>
      <c r="D883" s="0" t="s">
        <v>63</v>
      </c>
      <c r="E883" s="2" t="n">
        <v>45654</v>
      </c>
      <c r="F883" s="3" t="s">
        <v>34</v>
      </c>
      <c r="G883" s="3" t="s">
        <v>43</v>
      </c>
      <c r="H883" s="3" t="s">
        <v>29</v>
      </c>
      <c r="I883" s="3" t="n">
        <f aca="false">YEAR(E883)</f>
        <v>2024</v>
      </c>
      <c r="J883" s="3" t="n">
        <f aca="false">MONTH(E883)</f>
        <v>12</v>
      </c>
      <c r="K883" s="3" t="n">
        <f aca="false">COUNTIFS($B$2:$B$4077,B883,$C$2:$C$4077,C883,$I$2:$I$4077,I883)</f>
        <v>1</v>
      </c>
      <c r="L883" s="3" t="n">
        <f aca="false">IF(COUNTIFS($B$2:B883,B883,$C$2:C883,C883,$I$2:I883,I883)=1,1,0)</f>
        <v>1</v>
      </c>
      <c r="M883" s="3" t="n">
        <f aca="false">IF(K883&gt;=Parametri!$B$1,1,0)</f>
        <v>0</v>
      </c>
      <c r="N883" s="3" t="n">
        <f aca="false">L883*M883</f>
        <v>0</v>
      </c>
    </row>
    <row r="884" customFormat="false" ht="15" hidden="false" customHeight="false" outlineLevel="0" collapsed="false">
      <c r="A884" s="0" t="s">
        <v>1583</v>
      </c>
      <c r="B884" s="0" t="s">
        <v>24</v>
      </c>
      <c r="C884" s="0" t="s">
        <v>204</v>
      </c>
      <c r="D884" s="0" t="s">
        <v>66</v>
      </c>
      <c r="E884" s="2" t="n">
        <v>45658</v>
      </c>
      <c r="F884" s="3" t="s">
        <v>20</v>
      </c>
      <c r="G884" s="3" t="s">
        <v>55</v>
      </c>
      <c r="H884" s="3" t="s">
        <v>44</v>
      </c>
      <c r="I884" s="3" t="n">
        <f aca="false">YEAR(E884)</f>
        <v>2025</v>
      </c>
      <c r="J884" s="3" t="n">
        <f aca="false">MONTH(E884)</f>
        <v>1</v>
      </c>
      <c r="K884" s="3" t="n">
        <f aca="false">COUNTIFS($B$2:$B$4077,B884,$C$2:$C$4077,C884,$I$2:$I$4077,I884)</f>
        <v>6</v>
      </c>
      <c r="L884" s="3" t="n">
        <f aca="false">IF(COUNTIFS($B$2:B884,B884,$C$2:C884,C884,$I$2:I884,I884)=1,1,0)</f>
        <v>0</v>
      </c>
      <c r="M884" s="3" t="n">
        <f aca="false">IF(K884&gt;=Parametri!$B$1,1,0)</f>
        <v>1</v>
      </c>
      <c r="N884" s="3" t="n">
        <f aca="false">L884*M884</f>
        <v>0</v>
      </c>
    </row>
    <row r="885" customFormat="false" ht="15" hidden="false" customHeight="false" outlineLevel="0" collapsed="false">
      <c r="A885" s="0" t="s">
        <v>1584</v>
      </c>
      <c r="B885" s="0" t="s">
        <v>24</v>
      </c>
      <c r="C885" s="0" t="s">
        <v>1585</v>
      </c>
      <c r="D885" s="0" t="s">
        <v>33</v>
      </c>
      <c r="E885" s="2" t="n">
        <v>46083</v>
      </c>
      <c r="F885" s="3" t="s">
        <v>34</v>
      </c>
      <c r="G885" s="3" t="s">
        <v>39</v>
      </c>
      <c r="H885" s="3" t="s">
        <v>29</v>
      </c>
      <c r="I885" s="3" t="n">
        <f aca="false">YEAR(E885)</f>
        <v>2026</v>
      </c>
      <c r="J885" s="3" t="n">
        <f aca="false">MONTH(E885)</f>
        <v>3</v>
      </c>
      <c r="K885" s="3" t="n">
        <f aca="false">COUNTIFS($B$2:$B$4077,B885,$C$2:$C$4077,C885,$I$2:$I$4077,I885)</f>
        <v>1</v>
      </c>
      <c r="L885" s="3" t="n">
        <f aca="false">IF(COUNTIFS($B$2:B885,B885,$C$2:C885,C885,$I$2:I885,I885)=1,1,0)</f>
        <v>1</v>
      </c>
      <c r="M885" s="3" t="n">
        <f aca="false">IF(K885&gt;=Parametri!$B$1,1,0)</f>
        <v>0</v>
      </c>
      <c r="N885" s="3" t="n">
        <f aca="false">L885*M885</f>
        <v>0</v>
      </c>
    </row>
    <row r="886" customFormat="false" ht="15" hidden="false" customHeight="false" outlineLevel="0" collapsed="false">
      <c r="A886" s="0" t="s">
        <v>1586</v>
      </c>
      <c r="B886" s="0" t="s">
        <v>24</v>
      </c>
      <c r="C886" s="0" t="s">
        <v>271</v>
      </c>
      <c r="D886" s="0" t="s">
        <v>54</v>
      </c>
      <c r="E886" s="2" t="n">
        <v>45521</v>
      </c>
      <c r="F886" s="3" t="s">
        <v>27</v>
      </c>
      <c r="G886" s="3" t="s">
        <v>43</v>
      </c>
      <c r="H886" s="3" t="s">
        <v>22</v>
      </c>
      <c r="I886" s="3" t="n">
        <f aca="false">YEAR(E886)</f>
        <v>2024</v>
      </c>
      <c r="J886" s="3" t="n">
        <f aca="false">MONTH(E886)</f>
        <v>8</v>
      </c>
      <c r="K886" s="3" t="n">
        <f aca="false">COUNTIFS($B$2:$B$4077,B886,$C$2:$C$4077,C886,$I$2:$I$4077,I886)</f>
        <v>6</v>
      </c>
      <c r="L886" s="3" t="n">
        <f aca="false">IF(COUNTIFS($B$2:B886,B886,$C$2:C886,C886,$I$2:I886,I886)=1,1,0)</f>
        <v>0</v>
      </c>
      <c r="M886" s="3" t="n">
        <f aca="false">IF(K886&gt;=Parametri!$B$1,1,0)</f>
        <v>1</v>
      </c>
      <c r="N886" s="3" t="n">
        <f aca="false">L886*M886</f>
        <v>0</v>
      </c>
    </row>
    <row r="887" customFormat="false" ht="15" hidden="false" customHeight="false" outlineLevel="0" collapsed="false">
      <c r="A887" s="0" t="s">
        <v>1587</v>
      </c>
      <c r="B887" s="0" t="s">
        <v>57</v>
      </c>
      <c r="C887" s="0" t="s">
        <v>1531</v>
      </c>
      <c r="D887" s="0" t="s">
        <v>19</v>
      </c>
      <c r="E887" s="2" t="n">
        <v>45733</v>
      </c>
      <c r="F887" s="3" t="s">
        <v>34</v>
      </c>
      <c r="G887" s="3" t="s">
        <v>39</v>
      </c>
      <c r="H887" s="3" t="s">
        <v>44</v>
      </c>
      <c r="I887" s="3" t="n">
        <f aca="false">YEAR(E887)</f>
        <v>2025</v>
      </c>
      <c r="J887" s="3" t="n">
        <f aca="false">MONTH(E887)</f>
        <v>3</v>
      </c>
      <c r="K887" s="3" t="n">
        <f aca="false">COUNTIFS($B$2:$B$4077,B887,$C$2:$C$4077,C887,$I$2:$I$4077,I887)</f>
        <v>7</v>
      </c>
      <c r="L887" s="3" t="n">
        <f aca="false">IF(COUNTIFS($B$2:B887,B887,$C$2:C887,C887,$I$2:I887,I887)=1,1,0)</f>
        <v>0</v>
      </c>
      <c r="M887" s="3" t="n">
        <f aca="false">IF(K887&gt;=Parametri!$B$1,1,0)</f>
        <v>1</v>
      </c>
      <c r="N887" s="3" t="n">
        <f aca="false">L887*M887</f>
        <v>0</v>
      </c>
    </row>
    <row r="888" customFormat="false" ht="15" hidden="false" customHeight="false" outlineLevel="0" collapsed="false">
      <c r="A888" s="0" t="s">
        <v>1588</v>
      </c>
      <c r="B888" s="0" t="s">
        <v>68</v>
      </c>
      <c r="C888" s="0" t="s">
        <v>1589</v>
      </c>
      <c r="D888" s="0" t="s">
        <v>54</v>
      </c>
      <c r="E888" s="2" t="n">
        <v>45649</v>
      </c>
      <c r="F888" s="3" t="s">
        <v>20</v>
      </c>
      <c r="G888" s="3" t="s">
        <v>35</v>
      </c>
      <c r="H888" s="3" t="s">
        <v>22</v>
      </c>
      <c r="I888" s="3" t="n">
        <f aca="false">YEAR(E888)</f>
        <v>2024</v>
      </c>
      <c r="J888" s="3" t="n">
        <f aca="false">MONTH(E888)</f>
        <v>12</v>
      </c>
      <c r="K888" s="3" t="n">
        <f aca="false">COUNTIFS($B$2:$B$4077,B888,$C$2:$C$4077,C888,$I$2:$I$4077,I888)</f>
        <v>2</v>
      </c>
      <c r="L888" s="3" t="n">
        <f aca="false">IF(COUNTIFS($B$2:B888,B888,$C$2:C888,C888,$I$2:I888,I888)=1,1,0)</f>
        <v>1</v>
      </c>
      <c r="M888" s="3" t="n">
        <f aca="false">IF(K888&gt;=Parametri!$B$1,1,0)</f>
        <v>1</v>
      </c>
      <c r="N888" s="3" t="n">
        <f aca="false">L888*M888</f>
        <v>1</v>
      </c>
    </row>
    <row r="889" customFormat="false" ht="15" hidden="false" customHeight="false" outlineLevel="0" collapsed="false">
      <c r="A889" s="0" t="s">
        <v>1590</v>
      </c>
      <c r="B889" s="0" t="s">
        <v>50</v>
      </c>
      <c r="C889" s="0" t="s">
        <v>1591</v>
      </c>
      <c r="D889" s="0" t="s">
        <v>63</v>
      </c>
      <c r="E889" s="2" t="n">
        <v>45584</v>
      </c>
      <c r="F889" s="3" t="s">
        <v>20</v>
      </c>
      <c r="G889" s="3" t="s">
        <v>21</v>
      </c>
      <c r="H889" s="3" t="s">
        <v>29</v>
      </c>
      <c r="I889" s="3" t="n">
        <f aca="false">YEAR(E889)</f>
        <v>2024</v>
      </c>
      <c r="J889" s="3" t="n">
        <f aca="false">MONTH(E889)</f>
        <v>10</v>
      </c>
      <c r="K889" s="3" t="n">
        <f aca="false">COUNTIFS($B$2:$B$4077,B889,$C$2:$C$4077,C889,$I$2:$I$4077,I889)</f>
        <v>2</v>
      </c>
      <c r="L889" s="3" t="n">
        <f aca="false">IF(COUNTIFS($B$2:B889,B889,$C$2:C889,C889,$I$2:I889,I889)=1,1,0)</f>
        <v>1</v>
      </c>
      <c r="M889" s="3" t="n">
        <f aca="false">IF(K889&gt;=Parametri!$B$1,1,0)</f>
        <v>1</v>
      </c>
      <c r="N889" s="3" t="n">
        <f aca="false">L889*M889</f>
        <v>1</v>
      </c>
    </row>
    <row r="890" customFormat="false" ht="15" hidden="false" customHeight="false" outlineLevel="0" collapsed="false">
      <c r="A890" s="0" t="s">
        <v>1592</v>
      </c>
      <c r="B890" s="0" t="s">
        <v>124</v>
      </c>
      <c r="C890" s="0" t="s">
        <v>901</v>
      </c>
      <c r="D890" s="0" t="s">
        <v>54</v>
      </c>
      <c r="E890" s="2" t="n">
        <v>45321</v>
      </c>
      <c r="F890" s="3" t="s">
        <v>27</v>
      </c>
      <c r="G890" s="3" t="s">
        <v>28</v>
      </c>
      <c r="H890" s="3" t="s">
        <v>29</v>
      </c>
      <c r="I890" s="3" t="n">
        <f aca="false">YEAR(E890)</f>
        <v>2024</v>
      </c>
      <c r="J890" s="3" t="n">
        <f aca="false">MONTH(E890)</f>
        <v>1</v>
      </c>
      <c r="K890" s="3" t="n">
        <f aca="false">COUNTIFS($B$2:$B$4077,B890,$C$2:$C$4077,C890,$I$2:$I$4077,I890)</f>
        <v>3</v>
      </c>
      <c r="L890" s="3" t="n">
        <f aca="false">IF(COUNTIFS($B$2:B890,B890,$C$2:C890,C890,$I$2:I890,I890)=1,1,0)</f>
        <v>0</v>
      </c>
      <c r="M890" s="3" t="n">
        <f aca="false">IF(K890&gt;=Parametri!$B$1,1,0)</f>
        <v>1</v>
      </c>
      <c r="N890" s="3" t="n">
        <f aca="false">L890*M890</f>
        <v>0</v>
      </c>
    </row>
    <row r="891" customFormat="false" ht="15" hidden="false" customHeight="false" outlineLevel="0" collapsed="false">
      <c r="A891" s="0" t="s">
        <v>1593</v>
      </c>
      <c r="B891" s="0" t="s">
        <v>50</v>
      </c>
      <c r="C891" s="0" t="s">
        <v>1594</v>
      </c>
      <c r="D891" s="0" t="s">
        <v>63</v>
      </c>
      <c r="E891" s="2" t="n">
        <v>46144</v>
      </c>
      <c r="F891" s="3" t="s">
        <v>20</v>
      </c>
      <c r="G891" s="3" t="s">
        <v>21</v>
      </c>
      <c r="H891" s="3" t="s">
        <v>44</v>
      </c>
      <c r="I891" s="3" t="n">
        <f aca="false">YEAR(E891)</f>
        <v>2026</v>
      </c>
      <c r="J891" s="3" t="n">
        <f aca="false">MONTH(E891)</f>
        <v>5</v>
      </c>
      <c r="K891" s="3" t="n">
        <f aca="false">COUNTIFS($B$2:$B$4077,B891,$C$2:$C$4077,C891,$I$2:$I$4077,I891)</f>
        <v>1</v>
      </c>
      <c r="L891" s="3" t="n">
        <f aca="false">IF(COUNTIFS($B$2:B891,B891,$C$2:C891,C891,$I$2:I891,I891)=1,1,0)</f>
        <v>1</v>
      </c>
      <c r="M891" s="3" t="n">
        <f aca="false">IF(K891&gt;=Parametri!$B$1,1,0)</f>
        <v>0</v>
      </c>
      <c r="N891" s="3" t="n">
        <f aca="false">L891*M891</f>
        <v>0</v>
      </c>
    </row>
    <row r="892" customFormat="false" ht="15" hidden="false" customHeight="false" outlineLevel="0" collapsed="false">
      <c r="A892" s="0" t="s">
        <v>1595</v>
      </c>
      <c r="B892" s="0" t="s">
        <v>31</v>
      </c>
      <c r="C892" s="0" t="s">
        <v>1596</v>
      </c>
      <c r="D892" s="0" t="s">
        <v>66</v>
      </c>
      <c r="E892" s="2" t="n">
        <v>45754</v>
      </c>
      <c r="F892" s="3" t="s">
        <v>34</v>
      </c>
      <c r="G892" s="3" t="s">
        <v>72</v>
      </c>
      <c r="H892" s="3" t="s">
        <v>44</v>
      </c>
      <c r="I892" s="3" t="n">
        <f aca="false">YEAR(E892)</f>
        <v>2025</v>
      </c>
      <c r="J892" s="3" t="n">
        <f aca="false">MONTH(E892)</f>
        <v>4</v>
      </c>
      <c r="K892" s="3" t="n">
        <f aca="false">COUNTIFS($B$2:$B$4077,B892,$C$2:$C$4077,C892,$I$2:$I$4077,I892)</f>
        <v>2</v>
      </c>
      <c r="L892" s="3" t="n">
        <f aca="false">IF(COUNTIFS($B$2:B892,B892,$C$2:C892,C892,$I$2:I892,I892)=1,1,0)</f>
        <v>1</v>
      </c>
      <c r="M892" s="3" t="n">
        <f aca="false">IF(K892&gt;=Parametri!$B$1,1,0)</f>
        <v>1</v>
      </c>
      <c r="N892" s="3" t="n">
        <f aca="false">L892*M892</f>
        <v>1</v>
      </c>
    </row>
    <row r="893" customFormat="false" ht="15" hidden="false" customHeight="false" outlineLevel="0" collapsed="false">
      <c r="A893" s="0" t="s">
        <v>1597</v>
      </c>
      <c r="B893" s="0" t="s">
        <v>124</v>
      </c>
      <c r="C893" s="0" t="s">
        <v>710</v>
      </c>
      <c r="D893" s="0" t="s">
        <v>38</v>
      </c>
      <c r="E893" s="2" t="n">
        <v>46095</v>
      </c>
      <c r="F893" s="3" t="s">
        <v>27</v>
      </c>
      <c r="G893" s="3" t="s">
        <v>89</v>
      </c>
      <c r="H893" s="3" t="s">
        <v>44</v>
      </c>
      <c r="I893" s="3" t="n">
        <f aca="false">YEAR(E893)</f>
        <v>2026</v>
      </c>
      <c r="J893" s="3" t="n">
        <f aca="false">MONTH(E893)</f>
        <v>3</v>
      </c>
      <c r="K893" s="3" t="n">
        <f aca="false">COUNTIFS($B$2:$B$4077,B893,$C$2:$C$4077,C893,$I$2:$I$4077,I893)</f>
        <v>5</v>
      </c>
      <c r="L893" s="3" t="n">
        <f aca="false">IF(COUNTIFS($B$2:B893,B893,$C$2:C893,C893,$I$2:I893,I893)=1,1,0)</f>
        <v>1</v>
      </c>
      <c r="M893" s="3" t="n">
        <f aca="false">IF(K893&gt;=Parametri!$B$1,1,0)</f>
        <v>1</v>
      </c>
      <c r="N893" s="3" t="n">
        <f aca="false">L893*M893</f>
        <v>1</v>
      </c>
    </row>
    <row r="894" customFormat="false" ht="15" hidden="false" customHeight="false" outlineLevel="0" collapsed="false">
      <c r="A894" s="0" t="s">
        <v>1598</v>
      </c>
      <c r="B894" s="0" t="s">
        <v>31</v>
      </c>
      <c r="C894" s="0" t="s">
        <v>434</v>
      </c>
      <c r="D894" s="0" t="s">
        <v>38</v>
      </c>
      <c r="E894" s="2" t="n">
        <v>45803</v>
      </c>
      <c r="F894" s="3" t="s">
        <v>20</v>
      </c>
      <c r="G894" s="3" t="s">
        <v>89</v>
      </c>
      <c r="H894" s="3" t="s">
        <v>48</v>
      </c>
      <c r="I894" s="3" t="n">
        <f aca="false">YEAR(E894)</f>
        <v>2025</v>
      </c>
      <c r="J894" s="3" t="n">
        <f aca="false">MONTH(E894)</f>
        <v>5</v>
      </c>
      <c r="K894" s="3" t="n">
        <f aca="false">COUNTIFS($B$2:$B$4077,B894,$C$2:$C$4077,C894,$I$2:$I$4077,I894)</f>
        <v>1</v>
      </c>
      <c r="L894" s="3" t="n">
        <f aca="false">IF(COUNTIFS($B$2:B894,B894,$C$2:C894,C894,$I$2:I894,I894)=1,1,0)</f>
        <v>1</v>
      </c>
      <c r="M894" s="3" t="n">
        <f aca="false">IF(K894&gt;=Parametri!$B$1,1,0)</f>
        <v>0</v>
      </c>
      <c r="N894" s="3" t="n">
        <f aca="false">L894*M894</f>
        <v>0</v>
      </c>
    </row>
    <row r="895" customFormat="false" ht="15" hidden="false" customHeight="false" outlineLevel="0" collapsed="false">
      <c r="A895" s="0" t="s">
        <v>1599</v>
      </c>
      <c r="B895" s="0" t="s">
        <v>46</v>
      </c>
      <c r="C895" s="0" t="s">
        <v>1600</v>
      </c>
      <c r="D895" s="0" t="s">
        <v>33</v>
      </c>
      <c r="E895" s="2" t="n">
        <v>45392</v>
      </c>
      <c r="F895" s="3" t="s">
        <v>20</v>
      </c>
      <c r="G895" s="3" t="s">
        <v>35</v>
      </c>
      <c r="H895" s="3" t="s">
        <v>44</v>
      </c>
      <c r="I895" s="3" t="n">
        <f aca="false">YEAR(E895)</f>
        <v>2024</v>
      </c>
      <c r="J895" s="3" t="n">
        <f aca="false">MONTH(E895)</f>
        <v>4</v>
      </c>
      <c r="K895" s="3" t="n">
        <f aca="false">COUNTIFS($B$2:$B$4077,B895,$C$2:$C$4077,C895,$I$2:$I$4077,I895)</f>
        <v>3</v>
      </c>
      <c r="L895" s="3" t="n">
        <f aca="false">IF(COUNTIFS($B$2:B895,B895,$C$2:C895,C895,$I$2:I895,I895)=1,1,0)</f>
        <v>1</v>
      </c>
      <c r="M895" s="3" t="n">
        <f aca="false">IF(K895&gt;=Parametri!$B$1,1,0)</f>
        <v>1</v>
      </c>
      <c r="N895" s="3" t="n">
        <f aca="false">L895*M895</f>
        <v>1</v>
      </c>
    </row>
    <row r="896" customFormat="false" ht="15" hidden="false" customHeight="false" outlineLevel="0" collapsed="false">
      <c r="A896" s="0" t="s">
        <v>1601</v>
      </c>
      <c r="B896" s="0" t="s">
        <v>31</v>
      </c>
      <c r="C896" s="0" t="s">
        <v>1602</v>
      </c>
      <c r="D896" s="0" t="s">
        <v>26</v>
      </c>
      <c r="E896" s="2" t="n">
        <v>45439</v>
      </c>
      <c r="F896" s="3" t="s">
        <v>34</v>
      </c>
      <c r="G896" s="3" t="s">
        <v>72</v>
      </c>
      <c r="H896" s="3" t="s">
        <v>44</v>
      </c>
      <c r="I896" s="3" t="n">
        <f aca="false">YEAR(E896)</f>
        <v>2024</v>
      </c>
      <c r="J896" s="3" t="n">
        <f aca="false">MONTH(E896)</f>
        <v>5</v>
      </c>
      <c r="K896" s="3" t="n">
        <f aca="false">COUNTIFS($B$2:$B$4077,B896,$C$2:$C$4077,C896,$I$2:$I$4077,I896)</f>
        <v>1</v>
      </c>
      <c r="L896" s="3" t="n">
        <f aca="false">IF(COUNTIFS($B$2:B896,B896,$C$2:C896,C896,$I$2:I896,I896)=1,1,0)</f>
        <v>1</v>
      </c>
      <c r="M896" s="3" t="n">
        <f aca="false">IF(K896&gt;=Parametri!$B$1,1,0)</f>
        <v>0</v>
      </c>
      <c r="N896" s="3" t="n">
        <f aca="false">L896*M896</f>
        <v>0</v>
      </c>
    </row>
    <row r="897" customFormat="false" ht="15" hidden="false" customHeight="false" outlineLevel="0" collapsed="false">
      <c r="A897" s="0" t="s">
        <v>1603</v>
      </c>
      <c r="B897" s="0" t="s">
        <v>31</v>
      </c>
      <c r="C897" s="0" t="s">
        <v>1604</v>
      </c>
      <c r="D897" s="0" t="s">
        <v>54</v>
      </c>
      <c r="E897" s="2" t="n">
        <v>46016</v>
      </c>
      <c r="F897" s="3" t="s">
        <v>20</v>
      </c>
      <c r="G897" s="3" t="s">
        <v>28</v>
      </c>
      <c r="H897" s="3" t="s">
        <v>48</v>
      </c>
      <c r="I897" s="3" t="n">
        <f aca="false">YEAR(E897)</f>
        <v>2025</v>
      </c>
      <c r="J897" s="3" t="n">
        <f aca="false">MONTH(E897)</f>
        <v>12</v>
      </c>
      <c r="K897" s="3" t="n">
        <f aca="false">COUNTIFS($B$2:$B$4077,B897,$C$2:$C$4077,C897,$I$2:$I$4077,I897)</f>
        <v>4</v>
      </c>
      <c r="L897" s="3" t="n">
        <f aca="false">IF(COUNTIFS($B$2:B897,B897,$C$2:C897,C897,$I$2:I897,I897)=1,1,0)</f>
        <v>1</v>
      </c>
      <c r="M897" s="3" t="n">
        <f aca="false">IF(K897&gt;=Parametri!$B$1,1,0)</f>
        <v>1</v>
      </c>
      <c r="N897" s="3" t="n">
        <f aca="false">L897*M897</f>
        <v>1</v>
      </c>
    </row>
    <row r="898" customFormat="false" ht="15" hidden="false" customHeight="false" outlineLevel="0" collapsed="false">
      <c r="A898" s="0" t="s">
        <v>1605</v>
      </c>
      <c r="B898" s="0" t="s">
        <v>57</v>
      </c>
      <c r="C898" s="0" t="s">
        <v>964</v>
      </c>
      <c r="D898" s="0" t="s">
        <v>66</v>
      </c>
      <c r="E898" s="2" t="n">
        <v>45339</v>
      </c>
      <c r="F898" s="3" t="s">
        <v>20</v>
      </c>
      <c r="G898" s="3" t="s">
        <v>55</v>
      </c>
      <c r="H898" s="3" t="s">
        <v>44</v>
      </c>
      <c r="I898" s="3" t="n">
        <f aca="false">YEAR(E898)</f>
        <v>2024</v>
      </c>
      <c r="J898" s="3" t="n">
        <f aca="false">MONTH(E898)</f>
        <v>2</v>
      </c>
      <c r="K898" s="3" t="n">
        <f aca="false">COUNTIFS($B$2:$B$4077,B898,$C$2:$C$4077,C898,$I$2:$I$4077,I898)</f>
        <v>4</v>
      </c>
      <c r="L898" s="3" t="n">
        <f aca="false">IF(COUNTIFS($B$2:B898,B898,$C$2:C898,C898,$I$2:I898,I898)=1,1,0)</f>
        <v>0</v>
      </c>
      <c r="M898" s="3" t="n">
        <f aca="false">IF(K898&gt;=Parametri!$B$1,1,0)</f>
        <v>1</v>
      </c>
      <c r="N898" s="3" t="n">
        <f aca="false">L898*M898</f>
        <v>0</v>
      </c>
    </row>
    <row r="899" customFormat="false" ht="15" hidden="false" customHeight="false" outlineLevel="0" collapsed="false">
      <c r="A899" s="0" t="s">
        <v>1606</v>
      </c>
      <c r="B899" s="0" t="s">
        <v>124</v>
      </c>
      <c r="C899" s="0" t="s">
        <v>948</v>
      </c>
      <c r="D899" s="0" t="s">
        <v>54</v>
      </c>
      <c r="E899" s="2" t="n">
        <v>45683</v>
      </c>
      <c r="F899" s="3" t="s">
        <v>27</v>
      </c>
      <c r="G899" s="3" t="s">
        <v>28</v>
      </c>
      <c r="H899" s="3" t="s">
        <v>44</v>
      </c>
      <c r="I899" s="3" t="n">
        <f aca="false">YEAR(E899)</f>
        <v>2025</v>
      </c>
      <c r="J899" s="3" t="n">
        <f aca="false">MONTH(E899)</f>
        <v>1</v>
      </c>
      <c r="K899" s="3" t="n">
        <f aca="false">COUNTIFS($B$2:$B$4077,B899,$C$2:$C$4077,C899,$I$2:$I$4077,I899)</f>
        <v>2</v>
      </c>
      <c r="L899" s="3" t="n">
        <f aca="false">IF(COUNTIFS($B$2:B899,B899,$C$2:C899,C899,$I$2:I899,I899)=1,1,0)</f>
        <v>0</v>
      </c>
      <c r="M899" s="3" t="n">
        <f aca="false">IF(K899&gt;=Parametri!$B$1,1,0)</f>
        <v>1</v>
      </c>
      <c r="N899" s="3" t="n">
        <f aca="false">L899*M899</f>
        <v>0</v>
      </c>
    </row>
    <row r="900" customFormat="false" ht="15" hidden="false" customHeight="false" outlineLevel="0" collapsed="false">
      <c r="A900" s="0" t="s">
        <v>1607</v>
      </c>
      <c r="B900" s="0" t="s">
        <v>24</v>
      </c>
      <c r="C900" s="0" t="s">
        <v>1608</v>
      </c>
      <c r="D900" s="0" t="s">
        <v>63</v>
      </c>
      <c r="E900" s="2" t="n">
        <v>45792</v>
      </c>
      <c r="F900" s="3" t="s">
        <v>27</v>
      </c>
      <c r="G900" s="3" t="s">
        <v>72</v>
      </c>
      <c r="H900" s="3" t="s">
        <v>22</v>
      </c>
      <c r="I900" s="3" t="n">
        <f aca="false">YEAR(E900)</f>
        <v>2025</v>
      </c>
      <c r="J900" s="3" t="n">
        <f aca="false">MONTH(E900)</f>
        <v>5</v>
      </c>
      <c r="K900" s="3" t="n">
        <f aca="false">COUNTIFS($B$2:$B$4077,B900,$C$2:$C$4077,C900,$I$2:$I$4077,I900)</f>
        <v>1</v>
      </c>
      <c r="L900" s="3" t="n">
        <f aca="false">IF(COUNTIFS($B$2:B900,B900,$C$2:C900,C900,$I$2:I900,I900)=1,1,0)</f>
        <v>1</v>
      </c>
      <c r="M900" s="3" t="n">
        <f aca="false">IF(K900&gt;=Parametri!$B$1,1,0)</f>
        <v>0</v>
      </c>
      <c r="N900" s="3" t="n">
        <f aca="false">L900*M900</f>
        <v>0</v>
      </c>
    </row>
    <row r="901" customFormat="false" ht="15" hidden="false" customHeight="false" outlineLevel="0" collapsed="false">
      <c r="A901" s="0" t="s">
        <v>1609</v>
      </c>
      <c r="B901" s="0" t="s">
        <v>24</v>
      </c>
      <c r="C901" s="0" t="s">
        <v>1610</v>
      </c>
      <c r="D901" s="0" t="s">
        <v>66</v>
      </c>
      <c r="E901" s="2" t="n">
        <v>45495</v>
      </c>
      <c r="F901" s="3" t="s">
        <v>20</v>
      </c>
      <c r="G901" s="3" t="s">
        <v>55</v>
      </c>
      <c r="H901" s="3" t="s">
        <v>29</v>
      </c>
      <c r="I901" s="3" t="n">
        <f aca="false">YEAR(E901)</f>
        <v>2024</v>
      </c>
      <c r="J901" s="3" t="n">
        <f aca="false">MONTH(E901)</f>
        <v>7</v>
      </c>
      <c r="K901" s="3" t="n">
        <f aca="false">COUNTIFS($B$2:$B$4077,B901,$C$2:$C$4077,C901,$I$2:$I$4077,I901)</f>
        <v>2</v>
      </c>
      <c r="L901" s="3" t="n">
        <f aca="false">IF(COUNTIFS($B$2:B901,B901,$C$2:C901,C901,$I$2:I901,I901)=1,1,0)</f>
        <v>1</v>
      </c>
      <c r="M901" s="3" t="n">
        <f aca="false">IF(K901&gt;=Parametri!$B$1,1,0)</f>
        <v>1</v>
      </c>
      <c r="N901" s="3" t="n">
        <f aca="false">L901*M901</f>
        <v>1</v>
      </c>
    </row>
    <row r="902" customFormat="false" ht="15" hidden="false" customHeight="false" outlineLevel="0" collapsed="false">
      <c r="A902" s="0" t="s">
        <v>1611</v>
      </c>
      <c r="B902" s="0" t="s">
        <v>124</v>
      </c>
      <c r="C902" s="0" t="s">
        <v>950</v>
      </c>
      <c r="D902" s="0" t="s">
        <v>19</v>
      </c>
      <c r="E902" s="2" t="n">
        <v>45797</v>
      </c>
      <c r="F902" s="3" t="s">
        <v>27</v>
      </c>
      <c r="G902" s="3" t="s">
        <v>21</v>
      </c>
      <c r="H902" s="3" t="s">
        <v>48</v>
      </c>
      <c r="I902" s="3" t="n">
        <f aca="false">YEAR(E902)</f>
        <v>2025</v>
      </c>
      <c r="J902" s="3" t="n">
        <f aca="false">MONTH(E902)</f>
        <v>5</v>
      </c>
      <c r="K902" s="3" t="n">
        <f aca="false">COUNTIFS($B$2:$B$4077,B902,$C$2:$C$4077,C902,$I$2:$I$4077,I902)</f>
        <v>2</v>
      </c>
      <c r="L902" s="3" t="n">
        <f aca="false">IF(COUNTIFS($B$2:B902,B902,$C$2:C902,C902,$I$2:I902,I902)=1,1,0)</f>
        <v>0</v>
      </c>
      <c r="M902" s="3" t="n">
        <f aca="false">IF(K902&gt;=Parametri!$B$1,1,0)</f>
        <v>1</v>
      </c>
      <c r="N902" s="3" t="n">
        <f aca="false">L902*M902</f>
        <v>0</v>
      </c>
    </row>
    <row r="903" customFormat="false" ht="15" hidden="false" customHeight="false" outlineLevel="0" collapsed="false">
      <c r="A903" s="0" t="s">
        <v>1612</v>
      </c>
      <c r="B903" s="0" t="s">
        <v>17</v>
      </c>
      <c r="C903" s="0" t="s">
        <v>1613</v>
      </c>
      <c r="D903" s="0" t="s">
        <v>38</v>
      </c>
      <c r="E903" s="2" t="n">
        <v>45331</v>
      </c>
      <c r="F903" s="3" t="s">
        <v>20</v>
      </c>
      <c r="G903" s="3" t="s">
        <v>89</v>
      </c>
      <c r="H903" s="3" t="s">
        <v>48</v>
      </c>
      <c r="I903" s="3" t="n">
        <f aca="false">YEAR(E903)</f>
        <v>2024</v>
      </c>
      <c r="J903" s="3" t="n">
        <f aca="false">MONTH(E903)</f>
        <v>2</v>
      </c>
      <c r="K903" s="3" t="n">
        <f aca="false">COUNTIFS($B$2:$B$4077,B903,$C$2:$C$4077,C903,$I$2:$I$4077,I903)</f>
        <v>2</v>
      </c>
      <c r="L903" s="3" t="n">
        <f aca="false">IF(COUNTIFS($B$2:B903,B903,$C$2:C903,C903,$I$2:I903,I903)=1,1,0)</f>
        <v>1</v>
      </c>
      <c r="M903" s="3" t="n">
        <f aca="false">IF(K903&gt;=Parametri!$B$1,1,0)</f>
        <v>1</v>
      </c>
      <c r="N903" s="3" t="n">
        <f aca="false">L903*M903</f>
        <v>1</v>
      </c>
    </row>
    <row r="904" customFormat="false" ht="15" hidden="false" customHeight="false" outlineLevel="0" collapsed="false">
      <c r="A904" s="0" t="s">
        <v>1614</v>
      </c>
      <c r="B904" s="0" t="s">
        <v>31</v>
      </c>
      <c r="C904" s="0" t="s">
        <v>1615</v>
      </c>
      <c r="D904" s="0" t="s">
        <v>33</v>
      </c>
      <c r="E904" s="2" t="n">
        <v>46022</v>
      </c>
      <c r="F904" s="3" t="s">
        <v>104</v>
      </c>
      <c r="G904" s="3" t="s">
        <v>104</v>
      </c>
      <c r="H904" s="3" t="s">
        <v>104</v>
      </c>
      <c r="I904" s="3" t="n">
        <f aca="false">YEAR(E904)</f>
        <v>2025</v>
      </c>
      <c r="J904" s="3" t="n">
        <f aca="false">MONTH(E904)</f>
        <v>12</v>
      </c>
      <c r="K904" s="3" t="n">
        <f aca="false">COUNTIFS($B$2:$B$4077,B904,$C$2:$C$4077,C904,$I$2:$I$4077,I904)</f>
        <v>1</v>
      </c>
      <c r="L904" s="3" t="n">
        <f aca="false">IF(COUNTIFS($B$2:B904,B904,$C$2:C904,C904,$I$2:I904,I904)=1,1,0)</f>
        <v>1</v>
      </c>
      <c r="M904" s="3" t="n">
        <f aca="false">IF(K904&gt;=Parametri!$B$1,1,0)</f>
        <v>0</v>
      </c>
      <c r="N904" s="3" t="n">
        <f aca="false">L904*M904</f>
        <v>0</v>
      </c>
    </row>
    <row r="905" customFormat="false" ht="15" hidden="false" customHeight="false" outlineLevel="0" collapsed="false">
      <c r="A905" s="0" t="s">
        <v>1616</v>
      </c>
      <c r="B905" s="0" t="s">
        <v>124</v>
      </c>
      <c r="C905" s="0" t="s">
        <v>292</v>
      </c>
      <c r="D905" s="0" t="s">
        <v>26</v>
      </c>
      <c r="E905" s="2" t="n">
        <v>45960</v>
      </c>
      <c r="F905" s="3" t="s">
        <v>20</v>
      </c>
      <c r="G905" s="3" t="s">
        <v>28</v>
      </c>
      <c r="H905" s="3" t="s">
        <v>48</v>
      </c>
      <c r="I905" s="3" t="n">
        <f aca="false">YEAR(E905)</f>
        <v>2025</v>
      </c>
      <c r="J905" s="3" t="n">
        <f aca="false">MONTH(E905)</f>
        <v>10</v>
      </c>
      <c r="K905" s="3" t="n">
        <f aca="false">COUNTIFS($B$2:$B$4077,B905,$C$2:$C$4077,C905,$I$2:$I$4077,I905)</f>
        <v>3</v>
      </c>
      <c r="L905" s="3" t="n">
        <f aca="false">IF(COUNTIFS($B$2:B905,B905,$C$2:C905,C905,$I$2:I905,I905)=1,1,0)</f>
        <v>0</v>
      </c>
      <c r="M905" s="3" t="n">
        <f aca="false">IF(K905&gt;=Parametri!$B$1,1,0)</f>
        <v>1</v>
      </c>
      <c r="N905" s="3" t="n">
        <f aca="false">L905*M905</f>
        <v>0</v>
      </c>
    </row>
    <row r="906" customFormat="false" ht="15" hidden="false" customHeight="false" outlineLevel="0" collapsed="false">
      <c r="A906" s="0" t="s">
        <v>1617</v>
      </c>
      <c r="B906" s="0" t="s">
        <v>68</v>
      </c>
      <c r="C906" s="0" t="s">
        <v>1618</v>
      </c>
      <c r="D906" s="0" t="s">
        <v>63</v>
      </c>
      <c r="E906" s="2" t="n">
        <v>45320</v>
      </c>
      <c r="F906" s="3" t="s">
        <v>34</v>
      </c>
      <c r="G906" s="3" t="s">
        <v>35</v>
      </c>
      <c r="H906" s="3" t="s">
        <v>22</v>
      </c>
      <c r="I906" s="3" t="n">
        <f aca="false">YEAR(E906)</f>
        <v>2024</v>
      </c>
      <c r="J906" s="3" t="n">
        <f aca="false">MONTH(E906)</f>
        <v>1</v>
      </c>
      <c r="K906" s="3" t="n">
        <f aca="false">COUNTIFS($B$2:$B$4077,B906,$C$2:$C$4077,C906,$I$2:$I$4077,I906)</f>
        <v>1</v>
      </c>
      <c r="L906" s="3" t="n">
        <f aca="false">IF(COUNTIFS($B$2:B906,B906,$C$2:C906,C906,$I$2:I906,I906)=1,1,0)</f>
        <v>1</v>
      </c>
      <c r="M906" s="3" t="n">
        <f aca="false">IF(K906&gt;=Parametri!$B$1,1,0)</f>
        <v>0</v>
      </c>
      <c r="N906" s="3" t="n">
        <f aca="false">L906*M906</f>
        <v>0</v>
      </c>
    </row>
    <row r="907" customFormat="false" ht="15" hidden="false" customHeight="false" outlineLevel="0" collapsed="false">
      <c r="A907" s="0" t="s">
        <v>1619</v>
      </c>
      <c r="B907" s="0" t="s">
        <v>17</v>
      </c>
      <c r="C907" s="0" t="s">
        <v>1003</v>
      </c>
      <c r="D907" s="0" t="s">
        <v>19</v>
      </c>
      <c r="E907" s="2" t="n">
        <v>45676</v>
      </c>
      <c r="F907" s="3" t="s">
        <v>27</v>
      </c>
      <c r="G907" s="3" t="s">
        <v>28</v>
      </c>
      <c r="H907" s="3" t="s">
        <v>48</v>
      </c>
      <c r="I907" s="3" t="n">
        <f aca="false">YEAR(E907)</f>
        <v>2025</v>
      </c>
      <c r="J907" s="3" t="n">
        <f aca="false">MONTH(E907)</f>
        <v>1</v>
      </c>
      <c r="K907" s="3" t="n">
        <f aca="false">COUNTIFS($B$2:$B$4077,B907,$C$2:$C$4077,C907,$I$2:$I$4077,I907)</f>
        <v>1</v>
      </c>
      <c r="L907" s="3" t="n">
        <f aca="false">IF(COUNTIFS($B$2:B907,B907,$C$2:C907,C907,$I$2:I907,I907)=1,1,0)</f>
        <v>1</v>
      </c>
      <c r="M907" s="3" t="n">
        <f aca="false">IF(K907&gt;=Parametri!$B$1,1,0)</f>
        <v>0</v>
      </c>
      <c r="N907" s="3" t="n">
        <f aca="false">L907*M907</f>
        <v>0</v>
      </c>
    </row>
    <row r="908" customFormat="false" ht="15" hidden="false" customHeight="false" outlineLevel="0" collapsed="false">
      <c r="A908" s="0" t="s">
        <v>1620</v>
      </c>
      <c r="B908" s="0" t="s">
        <v>31</v>
      </c>
      <c r="C908" s="0" t="s">
        <v>1621</v>
      </c>
      <c r="D908" s="0" t="s">
        <v>63</v>
      </c>
      <c r="E908" s="2" t="n">
        <v>45694</v>
      </c>
      <c r="F908" s="3" t="s">
        <v>104</v>
      </c>
      <c r="G908" s="3" t="s">
        <v>104</v>
      </c>
      <c r="H908" s="3" t="s">
        <v>104</v>
      </c>
      <c r="I908" s="3" t="n">
        <f aca="false">YEAR(E908)</f>
        <v>2025</v>
      </c>
      <c r="J908" s="3" t="n">
        <f aca="false">MONTH(E908)</f>
        <v>2</v>
      </c>
      <c r="K908" s="3" t="n">
        <f aca="false">COUNTIFS($B$2:$B$4077,B908,$C$2:$C$4077,C908,$I$2:$I$4077,I908)</f>
        <v>2</v>
      </c>
      <c r="L908" s="3" t="n">
        <f aca="false">IF(COUNTIFS($B$2:B908,B908,$C$2:C908,C908,$I$2:I908,I908)=1,1,0)</f>
        <v>1</v>
      </c>
      <c r="M908" s="3" t="n">
        <f aca="false">IF(K908&gt;=Parametri!$B$1,1,0)</f>
        <v>1</v>
      </c>
      <c r="N908" s="3" t="n">
        <f aca="false">L908*M908</f>
        <v>1</v>
      </c>
    </row>
    <row r="909" customFormat="false" ht="15" hidden="false" customHeight="false" outlineLevel="0" collapsed="false">
      <c r="A909" s="0" t="s">
        <v>1622</v>
      </c>
      <c r="B909" s="0" t="s">
        <v>24</v>
      </c>
      <c r="C909" s="0" t="s">
        <v>1623</v>
      </c>
      <c r="D909" s="0" t="s">
        <v>33</v>
      </c>
      <c r="E909" s="2" t="n">
        <v>45746</v>
      </c>
      <c r="F909" s="3" t="s">
        <v>20</v>
      </c>
      <c r="G909" s="3" t="s">
        <v>104</v>
      </c>
      <c r="H909" s="3" t="s">
        <v>44</v>
      </c>
      <c r="I909" s="3" t="n">
        <f aca="false">YEAR(E909)</f>
        <v>2025</v>
      </c>
      <c r="J909" s="3" t="n">
        <f aca="false">MONTH(E909)</f>
        <v>3</v>
      </c>
      <c r="K909" s="3" t="n">
        <f aca="false">COUNTIFS($B$2:$B$4077,B909,$C$2:$C$4077,C909,$I$2:$I$4077,I909)</f>
        <v>1</v>
      </c>
      <c r="L909" s="3" t="n">
        <f aca="false">IF(COUNTIFS($B$2:B909,B909,$C$2:C909,C909,$I$2:I909,I909)=1,1,0)</f>
        <v>1</v>
      </c>
      <c r="M909" s="3" t="n">
        <f aca="false">IF(K909&gt;=Parametri!$B$1,1,0)</f>
        <v>0</v>
      </c>
      <c r="N909" s="3" t="n">
        <f aca="false">L909*M909</f>
        <v>0</v>
      </c>
    </row>
    <row r="910" customFormat="false" ht="15" hidden="false" customHeight="false" outlineLevel="0" collapsed="false">
      <c r="A910" s="0" t="s">
        <v>1624</v>
      </c>
      <c r="B910" s="0" t="s">
        <v>17</v>
      </c>
      <c r="C910" s="0" t="s">
        <v>192</v>
      </c>
      <c r="D910" s="0" t="s">
        <v>66</v>
      </c>
      <c r="E910" s="2" t="n">
        <v>45529</v>
      </c>
      <c r="F910" s="3" t="s">
        <v>20</v>
      </c>
      <c r="G910" s="3" t="s">
        <v>72</v>
      </c>
      <c r="H910" s="3" t="s">
        <v>29</v>
      </c>
      <c r="I910" s="3" t="n">
        <f aca="false">YEAR(E910)</f>
        <v>2024</v>
      </c>
      <c r="J910" s="3" t="n">
        <f aca="false">MONTH(E910)</f>
        <v>8</v>
      </c>
      <c r="K910" s="3" t="n">
        <f aca="false">COUNTIFS($B$2:$B$4077,B910,$C$2:$C$4077,C910,$I$2:$I$4077,I910)</f>
        <v>2</v>
      </c>
      <c r="L910" s="3" t="n">
        <f aca="false">IF(COUNTIFS($B$2:B910,B910,$C$2:C910,C910,$I$2:I910,I910)=1,1,0)</f>
        <v>0</v>
      </c>
      <c r="M910" s="3" t="n">
        <f aca="false">IF(K910&gt;=Parametri!$B$1,1,0)</f>
        <v>1</v>
      </c>
      <c r="N910" s="3" t="n">
        <f aca="false">L910*M910</f>
        <v>0</v>
      </c>
    </row>
    <row r="911" customFormat="false" ht="15" hidden="false" customHeight="false" outlineLevel="0" collapsed="false">
      <c r="A911" s="0" t="s">
        <v>1625</v>
      </c>
      <c r="B911" s="0" t="s">
        <v>17</v>
      </c>
      <c r="C911" s="0" t="s">
        <v>915</v>
      </c>
      <c r="D911" s="0" t="s">
        <v>77</v>
      </c>
      <c r="E911" s="2" t="n">
        <v>45504</v>
      </c>
      <c r="F911" s="3" t="s">
        <v>27</v>
      </c>
      <c r="G911" s="3" t="s">
        <v>72</v>
      </c>
      <c r="H911" s="3" t="s">
        <v>22</v>
      </c>
      <c r="I911" s="3" t="n">
        <f aca="false">YEAR(E911)</f>
        <v>2024</v>
      </c>
      <c r="J911" s="3" t="n">
        <f aca="false">MONTH(E911)</f>
        <v>7</v>
      </c>
      <c r="K911" s="3" t="n">
        <f aca="false">COUNTIFS($B$2:$B$4077,B911,$C$2:$C$4077,C911,$I$2:$I$4077,I911)</f>
        <v>5</v>
      </c>
      <c r="L911" s="3" t="n">
        <f aca="false">IF(COUNTIFS($B$2:B911,B911,$C$2:C911,C911,$I$2:I911,I911)=1,1,0)</f>
        <v>0</v>
      </c>
      <c r="M911" s="3" t="n">
        <f aca="false">IF(K911&gt;=Parametri!$B$1,1,0)</f>
        <v>1</v>
      </c>
      <c r="N911" s="3" t="n">
        <f aca="false">L911*M911</f>
        <v>0</v>
      </c>
    </row>
    <row r="912" customFormat="false" ht="15" hidden="false" customHeight="false" outlineLevel="0" collapsed="false">
      <c r="A912" s="0" t="s">
        <v>1626</v>
      </c>
      <c r="B912" s="0" t="s">
        <v>17</v>
      </c>
      <c r="C912" s="0" t="s">
        <v>95</v>
      </c>
      <c r="D912" s="0" t="s">
        <v>19</v>
      </c>
      <c r="E912" s="2" t="n">
        <v>45695</v>
      </c>
      <c r="F912" s="3" t="s">
        <v>20</v>
      </c>
      <c r="G912" s="3" t="s">
        <v>28</v>
      </c>
      <c r="H912" s="3" t="s">
        <v>22</v>
      </c>
      <c r="I912" s="3" t="n">
        <f aca="false">YEAR(E912)</f>
        <v>2025</v>
      </c>
      <c r="J912" s="3" t="n">
        <f aca="false">MONTH(E912)</f>
        <v>2</v>
      </c>
      <c r="K912" s="3" t="n">
        <f aca="false">COUNTIFS($B$2:$B$4077,B912,$C$2:$C$4077,C912,$I$2:$I$4077,I912)</f>
        <v>3</v>
      </c>
      <c r="L912" s="3" t="n">
        <f aca="false">IF(COUNTIFS($B$2:B912,B912,$C$2:C912,C912,$I$2:I912,I912)=1,1,0)</f>
        <v>0</v>
      </c>
      <c r="M912" s="3" t="n">
        <f aca="false">IF(K912&gt;=Parametri!$B$1,1,0)</f>
        <v>1</v>
      </c>
      <c r="N912" s="3" t="n">
        <f aca="false">L912*M912</f>
        <v>0</v>
      </c>
    </row>
    <row r="913" customFormat="false" ht="15" hidden="false" customHeight="false" outlineLevel="0" collapsed="false">
      <c r="A913" s="0" t="s">
        <v>1627</v>
      </c>
      <c r="B913" s="0" t="s">
        <v>24</v>
      </c>
      <c r="C913" s="0" t="s">
        <v>960</v>
      </c>
      <c r="D913" s="0" t="s">
        <v>38</v>
      </c>
      <c r="E913" s="2" t="n">
        <v>45806</v>
      </c>
      <c r="F913" s="3" t="s">
        <v>20</v>
      </c>
      <c r="G913" s="3" t="s">
        <v>72</v>
      </c>
      <c r="H913" s="3" t="s">
        <v>22</v>
      </c>
      <c r="I913" s="3" t="n">
        <f aca="false">YEAR(E913)</f>
        <v>2025</v>
      </c>
      <c r="J913" s="3" t="n">
        <f aca="false">MONTH(E913)</f>
        <v>5</v>
      </c>
      <c r="K913" s="3" t="n">
        <f aca="false">COUNTIFS($B$2:$B$4077,B913,$C$2:$C$4077,C913,$I$2:$I$4077,I913)</f>
        <v>2</v>
      </c>
      <c r="L913" s="3" t="n">
        <f aca="false">IF(COUNTIFS($B$2:B913,B913,$C$2:C913,C913,$I$2:I913,I913)=1,1,0)</f>
        <v>0</v>
      </c>
      <c r="M913" s="3" t="n">
        <f aca="false">IF(K913&gt;=Parametri!$B$1,1,0)</f>
        <v>1</v>
      </c>
      <c r="N913" s="3" t="n">
        <f aca="false">L913*M913</f>
        <v>0</v>
      </c>
    </row>
    <row r="914" customFormat="false" ht="15" hidden="false" customHeight="false" outlineLevel="0" collapsed="false">
      <c r="A914" s="0" t="s">
        <v>1628</v>
      </c>
      <c r="B914" s="0" t="s">
        <v>124</v>
      </c>
      <c r="C914" s="0" t="s">
        <v>1629</v>
      </c>
      <c r="D914" s="0" t="s">
        <v>66</v>
      </c>
      <c r="E914" s="2" t="n">
        <v>45501</v>
      </c>
      <c r="F914" s="3" t="s">
        <v>34</v>
      </c>
      <c r="G914" s="3" t="s">
        <v>43</v>
      </c>
      <c r="H914" s="3" t="s">
        <v>29</v>
      </c>
      <c r="I914" s="3" t="n">
        <f aca="false">YEAR(E914)</f>
        <v>2024</v>
      </c>
      <c r="J914" s="3" t="n">
        <f aca="false">MONTH(E914)</f>
        <v>7</v>
      </c>
      <c r="K914" s="3" t="n">
        <f aca="false">COUNTIFS($B$2:$B$4077,B914,$C$2:$C$4077,C914,$I$2:$I$4077,I914)</f>
        <v>1</v>
      </c>
      <c r="L914" s="3" t="n">
        <f aca="false">IF(COUNTIFS($B$2:B914,B914,$C$2:C914,C914,$I$2:I914,I914)=1,1,0)</f>
        <v>1</v>
      </c>
      <c r="M914" s="3" t="n">
        <f aca="false">IF(K914&gt;=Parametri!$B$1,1,0)</f>
        <v>0</v>
      </c>
      <c r="N914" s="3" t="n">
        <f aca="false">L914*M914</f>
        <v>0</v>
      </c>
    </row>
    <row r="915" customFormat="false" ht="15" hidden="false" customHeight="false" outlineLevel="0" collapsed="false">
      <c r="A915" s="0" t="s">
        <v>1630</v>
      </c>
      <c r="B915" s="0" t="s">
        <v>50</v>
      </c>
      <c r="C915" s="0" t="s">
        <v>517</v>
      </c>
      <c r="D915" s="0" t="s">
        <v>63</v>
      </c>
      <c r="E915" s="2" t="n">
        <v>45765</v>
      </c>
      <c r="F915" s="3" t="s">
        <v>34</v>
      </c>
      <c r="G915" s="3" t="s">
        <v>89</v>
      </c>
      <c r="H915" s="3" t="s">
        <v>29</v>
      </c>
      <c r="I915" s="3" t="n">
        <f aca="false">YEAR(E915)</f>
        <v>2025</v>
      </c>
      <c r="J915" s="3" t="n">
        <f aca="false">MONTH(E915)</f>
        <v>4</v>
      </c>
      <c r="K915" s="3" t="n">
        <f aca="false">COUNTIFS($B$2:$B$4077,B915,$C$2:$C$4077,C915,$I$2:$I$4077,I915)</f>
        <v>2</v>
      </c>
      <c r="L915" s="3" t="n">
        <f aca="false">IF(COUNTIFS($B$2:B915,B915,$C$2:C915,C915,$I$2:I915,I915)=1,1,0)</f>
        <v>1</v>
      </c>
      <c r="M915" s="3" t="n">
        <f aca="false">IF(K915&gt;=Parametri!$B$1,1,0)</f>
        <v>1</v>
      </c>
      <c r="N915" s="3" t="n">
        <f aca="false">L915*M915</f>
        <v>1</v>
      </c>
    </row>
    <row r="916" customFormat="false" ht="15" hidden="false" customHeight="false" outlineLevel="0" collapsed="false">
      <c r="A916" s="0" t="s">
        <v>1631</v>
      </c>
      <c r="B916" s="0" t="s">
        <v>68</v>
      </c>
      <c r="C916" s="0" t="s">
        <v>243</v>
      </c>
      <c r="D916" s="0" t="s">
        <v>54</v>
      </c>
      <c r="E916" s="2" t="n">
        <v>45675</v>
      </c>
      <c r="F916" s="3" t="s">
        <v>34</v>
      </c>
      <c r="G916" s="3" t="s">
        <v>43</v>
      </c>
      <c r="H916" s="3" t="s">
        <v>44</v>
      </c>
      <c r="I916" s="3" t="n">
        <f aca="false">YEAR(E916)</f>
        <v>2025</v>
      </c>
      <c r="J916" s="3" t="n">
        <f aca="false">MONTH(E916)</f>
        <v>1</v>
      </c>
      <c r="K916" s="3" t="n">
        <f aca="false">COUNTIFS($B$2:$B$4077,B916,$C$2:$C$4077,C916,$I$2:$I$4077,I916)</f>
        <v>4</v>
      </c>
      <c r="L916" s="3" t="n">
        <f aca="false">IF(COUNTIFS($B$2:B916,B916,$C$2:C916,C916,$I$2:I916,I916)=1,1,0)</f>
        <v>0</v>
      </c>
      <c r="M916" s="3" t="n">
        <f aca="false">IF(K916&gt;=Parametri!$B$1,1,0)</f>
        <v>1</v>
      </c>
      <c r="N916" s="3" t="n">
        <f aca="false">L916*M916</f>
        <v>0</v>
      </c>
    </row>
    <row r="917" customFormat="false" ht="15" hidden="false" customHeight="false" outlineLevel="0" collapsed="false">
      <c r="A917" s="0" t="s">
        <v>1632</v>
      </c>
      <c r="B917" s="0" t="s">
        <v>17</v>
      </c>
      <c r="C917" s="0" t="s">
        <v>1633</v>
      </c>
      <c r="D917" s="0" t="s">
        <v>26</v>
      </c>
      <c r="E917" s="2" t="n">
        <v>45855</v>
      </c>
      <c r="F917" s="3" t="s">
        <v>20</v>
      </c>
      <c r="G917" s="3" t="s">
        <v>21</v>
      </c>
      <c r="H917" s="3" t="s">
        <v>44</v>
      </c>
      <c r="I917" s="3" t="n">
        <f aca="false">YEAR(E917)</f>
        <v>2025</v>
      </c>
      <c r="J917" s="3" t="n">
        <f aca="false">MONTH(E917)</f>
        <v>7</v>
      </c>
      <c r="K917" s="3" t="n">
        <f aca="false">COUNTIFS($B$2:$B$4077,B917,$C$2:$C$4077,C917,$I$2:$I$4077,I917)</f>
        <v>3</v>
      </c>
      <c r="L917" s="3" t="n">
        <f aca="false">IF(COUNTIFS($B$2:B917,B917,$C$2:C917,C917,$I$2:I917,I917)=1,1,0)</f>
        <v>1</v>
      </c>
      <c r="M917" s="3" t="n">
        <f aca="false">IF(K917&gt;=Parametri!$B$1,1,0)</f>
        <v>1</v>
      </c>
      <c r="N917" s="3" t="n">
        <f aca="false">L917*M917</f>
        <v>1</v>
      </c>
    </row>
    <row r="918" customFormat="false" ht="15" hidden="false" customHeight="false" outlineLevel="0" collapsed="false">
      <c r="A918" s="0" t="s">
        <v>1634</v>
      </c>
      <c r="B918" s="0" t="s">
        <v>68</v>
      </c>
      <c r="C918" s="0" t="s">
        <v>1635</v>
      </c>
      <c r="D918" s="0" t="s">
        <v>33</v>
      </c>
      <c r="E918" s="2" t="n">
        <v>45860</v>
      </c>
      <c r="F918" s="3" t="s">
        <v>27</v>
      </c>
      <c r="G918" s="3" t="s">
        <v>28</v>
      </c>
      <c r="H918" s="3" t="s">
        <v>22</v>
      </c>
      <c r="I918" s="3" t="n">
        <f aca="false">YEAR(E918)</f>
        <v>2025</v>
      </c>
      <c r="J918" s="3" t="n">
        <f aca="false">MONTH(E918)</f>
        <v>7</v>
      </c>
      <c r="K918" s="3" t="n">
        <f aca="false">COUNTIFS($B$2:$B$4077,B918,$C$2:$C$4077,C918,$I$2:$I$4077,I918)</f>
        <v>1</v>
      </c>
      <c r="L918" s="3" t="n">
        <f aca="false">IF(COUNTIFS($B$2:B918,B918,$C$2:C918,C918,$I$2:I918,I918)=1,1,0)</f>
        <v>1</v>
      </c>
      <c r="M918" s="3" t="n">
        <f aca="false">IF(K918&gt;=Parametri!$B$1,1,0)</f>
        <v>0</v>
      </c>
      <c r="N918" s="3" t="n">
        <f aca="false">L918*M918</f>
        <v>0</v>
      </c>
    </row>
    <row r="919" customFormat="false" ht="15" hidden="false" customHeight="false" outlineLevel="0" collapsed="false">
      <c r="A919" s="0" t="s">
        <v>1636</v>
      </c>
      <c r="B919" s="0" t="s">
        <v>41</v>
      </c>
      <c r="C919" s="0" t="s">
        <v>1637</v>
      </c>
      <c r="D919" s="0" t="s">
        <v>54</v>
      </c>
      <c r="E919" s="2" t="n">
        <v>45669</v>
      </c>
      <c r="F919" s="3" t="s">
        <v>20</v>
      </c>
      <c r="G919" s="3" t="s">
        <v>43</v>
      </c>
      <c r="H919" s="3" t="s">
        <v>29</v>
      </c>
      <c r="I919" s="3" t="n">
        <f aca="false">YEAR(E919)</f>
        <v>2025</v>
      </c>
      <c r="J919" s="3" t="n">
        <f aca="false">MONTH(E919)</f>
        <v>1</v>
      </c>
      <c r="K919" s="3" t="n">
        <f aca="false">COUNTIFS($B$2:$B$4077,B919,$C$2:$C$4077,C919,$I$2:$I$4077,I919)</f>
        <v>1</v>
      </c>
      <c r="L919" s="3" t="n">
        <f aca="false">IF(COUNTIFS($B$2:B919,B919,$C$2:C919,C919,$I$2:I919,I919)=1,1,0)</f>
        <v>1</v>
      </c>
      <c r="M919" s="3" t="n">
        <f aca="false">IF(K919&gt;=Parametri!$B$1,1,0)</f>
        <v>0</v>
      </c>
      <c r="N919" s="3" t="n">
        <f aca="false">L919*M919</f>
        <v>0</v>
      </c>
    </row>
    <row r="920" customFormat="false" ht="15" hidden="false" customHeight="false" outlineLevel="0" collapsed="false">
      <c r="A920" s="0" t="s">
        <v>1638</v>
      </c>
      <c r="B920" s="0" t="s">
        <v>17</v>
      </c>
      <c r="C920" s="0" t="s">
        <v>1639</v>
      </c>
      <c r="D920" s="0" t="s">
        <v>33</v>
      </c>
      <c r="E920" s="2" t="n">
        <v>45941</v>
      </c>
      <c r="F920" s="3" t="s">
        <v>27</v>
      </c>
      <c r="G920" s="3" t="s">
        <v>28</v>
      </c>
      <c r="H920" s="3" t="s">
        <v>48</v>
      </c>
      <c r="I920" s="3" t="n">
        <f aca="false">YEAR(E920)</f>
        <v>2025</v>
      </c>
      <c r="J920" s="3" t="n">
        <f aca="false">MONTH(E920)</f>
        <v>10</v>
      </c>
      <c r="K920" s="3" t="n">
        <f aca="false">COUNTIFS($B$2:$B$4077,B920,$C$2:$C$4077,C920,$I$2:$I$4077,I920)</f>
        <v>1</v>
      </c>
      <c r="L920" s="3" t="n">
        <f aca="false">IF(COUNTIFS($B$2:B920,B920,$C$2:C920,C920,$I$2:I920,I920)=1,1,0)</f>
        <v>1</v>
      </c>
      <c r="M920" s="3" t="n">
        <f aca="false">IF(K920&gt;=Parametri!$B$1,1,0)</f>
        <v>0</v>
      </c>
      <c r="N920" s="3" t="n">
        <f aca="false">L920*M920</f>
        <v>0</v>
      </c>
    </row>
    <row r="921" customFormat="false" ht="15" hidden="false" customHeight="false" outlineLevel="0" collapsed="false">
      <c r="A921" s="0" t="s">
        <v>1640</v>
      </c>
      <c r="B921" s="0" t="s">
        <v>24</v>
      </c>
      <c r="C921" s="0" t="s">
        <v>1641</v>
      </c>
      <c r="D921" s="0" t="s">
        <v>66</v>
      </c>
      <c r="E921" s="2" t="n">
        <v>45620</v>
      </c>
      <c r="F921" s="3" t="s">
        <v>34</v>
      </c>
      <c r="G921" s="3" t="s">
        <v>39</v>
      </c>
      <c r="H921" s="3" t="s">
        <v>48</v>
      </c>
      <c r="I921" s="3" t="n">
        <f aca="false">YEAR(E921)</f>
        <v>2024</v>
      </c>
      <c r="J921" s="3" t="n">
        <f aca="false">MONTH(E921)</f>
        <v>11</v>
      </c>
      <c r="K921" s="3" t="n">
        <f aca="false">COUNTIFS($B$2:$B$4077,B921,$C$2:$C$4077,C921,$I$2:$I$4077,I921)</f>
        <v>1</v>
      </c>
      <c r="L921" s="3" t="n">
        <f aca="false">IF(COUNTIFS($B$2:B921,B921,$C$2:C921,C921,$I$2:I921,I921)=1,1,0)</f>
        <v>1</v>
      </c>
      <c r="M921" s="3" t="n">
        <f aca="false">IF(K921&gt;=Parametri!$B$1,1,0)</f>
        <v>0</v>
      </c>
      <c r="N921" s="3" t="n">
        <f aca="false">L921*M921</f>
        <v>0</v>
      </c>
    </row>
    <row r="922" customFormat="false" ht="15" hidden="false" customHeight="false" outlineLevel="0" collapsed="false">
      <c r="A922" s="0" t="s">
        <v>1642</v>
      </c>
      <c r="B922" s="0" t="s">
        <v>68</v>
      </c>
      <c r="C922" s="0" t="s">
        <v>1643</v>
      </c>
      <c r="D922" s="0" t="s">
        <v>54</v>
      </c>
      <c r="E922" s="2" t="n">
        <v>45770</v>
      </c>
      <c r="F922" s="3" t="s">
        <v>20</v>
      </c>
      <c r="G922" s="3" t="s">
        <v>72</v>
      </c>
      <c r="H922" s="3" t="s">
        <v>44</v>
      </c>
      <c r="I922" s="3" t="n">
        <f aca="false">YEAR(E922)</f>
        <v>2025</v>
      </c>
      <c r="J922" s="3" t="n">
        <f aca="false">MONTH(E922)</f>
        <v>4</v>
      </c>
      <c r="K922" s="3" t="n">
        <f aca="false">COUNTIFS($B$2:$B$4077,B922,$C$2:$C$4077,C922,$I$2:$I$4077,I922)</f>
        <v>1</v>
      </c>
      <c r="L922" s="3" t="n">
        <f aca="false">IF(COUNTIFS($B$2:B922,B922,$C$2:C922,C922,$I$2:I922,I922)=1,1,0)</f>
        <v>1</v>
      </c>
      <c r="M922" s="3" t="n">
        <f aca="false">IF(K922&gt;=Parametri!$B$1,1,0)</f>
        <v>0</v>
      </c>
      <c r="N922" s="3" t="n">
        <f aca="false">L922*M922</f>
        <v>0</v>
      </c>
    </row>
    <row r="923" customFormat="false" ht="15" hidden="false" customHeight="false" outlineLevel="0" collapsed="false">
      <c r="A923" s="0" t="s">
        <v>1644</v>
      </c>
      <c r="B923" s="0" t="s">
        <v>46</v>
      </c>
      <c r="C923" s="0" t="s">
        <v>252</v>
      </c>
      <c r="D923" s="0" t="s">
        <v>19</v>
      </c>
      <c r="E923" s="2" t="n">
        <v>45977</v>
      </c>
      <c r="F923" s="3" t="s">
        <v>20</v>
      </c>
      <c r="G923" s="3" t="s">
        <v>28</v>
      </c>
      <c r="H923" s="3" t="s">
        <v>22</v>
      </c>
      <c r="I923" s="3" t="n">
        <f aca="false">YEAR(E923)</f>
        <v>2025</v>
      </c>
      <c r="J923" s="3" t="n">
        <f aca="false">MONTH(E923)</f>
        <v>11</v>
      </c>
      <c r="K923" s="3" t="n">
        <f aca="false">COUNTIFS($B$2:$B$4077,B923,$C$2:$C$4077,C923,$I$2:$I$4077,I923)</f>
        <v>1</v>
      </c>
      <c r="L923" s="3" t="n">
        <f aca="false">IF(COUNTIFS($B$2:B923,B923,$C$2:C923,C923,$I$2:I923,I923)=1,1,0)</f>
        <v>1</v>
      </c>
      <c r="M923" s="3" t="n">
        <f aca="false">IF(K923&gt;=Parametri!$B$1,1,0)</f>
        <v>0</v>
      </c>
      <c r="N923" s="3" t="n">
        <f aca="false">L923*M923</f>
        <v>0</v>
      </c>
    </row>
    <row r="924" customFormat="false" ht="15" hidden="false" customHeight="false" outlineLevel="0" collapsed="false">
      <c r="A924" s="0" t="s">
        <v>1645</v>
      </c>
      <c r="B924" s="0" t="s">
        <v>50</v>
      </c>
      <c r="C924" s="0" t="s">
        <v>1646</v>
      </c>
      <c r="D924" s="0" t="s">
        <v>63</v>
      </c>
      <c r="E924" s="2" t="n">
        <v>45694</v>
      </c>
      <c r="F924" s="3" t="s">
        <v>20</v>
      </c>
      <c r="G924" s="3" t="s">
        <v>39</v>
      </c>
      <c r="H924" s="3" t="s">
        <v>44</v>
      </c>
      <c r="I924" s="3" t="n">
        <f aca="false">YEAR(E924)</f>
        <v>2025</v>
      </c>
      <c r="J924" s="3" t="n">
        <f aca="false">MONTH(E924)</f>
        <v>2</v>
      </c>
      <c r="K924" s="3" t="n">
        <f aca="false">COUNTIFS($B$2:$B$4077,B924,$C$2:$C$4077,C924,$I$2:$I$4077,I924)</f>
        <v>1</v>
      </c>
      <c r="L924" s="3" t="n">
        <f aca="false">IF(COUNTIFS($B$2:B924,B924,$C$2:C924,C924,$I$2:I924,I924)=1,1,0)</f>
        <v>1</v>
      </c>
      <c r="M924" s="3" t="n">
        <f aca="false">IF(K924&gt;=Parametri!$B$1,1,0)</f>
        <v>0</v>
      </c>
      <c r="N924" s="3" t="n">
        <f aca="false">L924*M924</f>
        <v>0</v>
      </c>
    </row>
    <row r="925" customFormat="false" ht="15" hidden="false" customHeight="false" outlineLevel="0" collapsed="false">
      <c r="A925" s="0" t="s">
        <v>1647</v>
      </c>
      <c r="B925" s="0" t="s">
        <v>68</v>
      </c>
      <c r="C925" s="0" t="s">
        <v>1648</v>
      </c>
      <c r="D925" s="0" t="s">
        <v>77</v>
      </c>
      <c r="E925" s="2" t="n">
        <v>45311</v>
      </c>
      <c r="F925" s="3" t="s">
        <v>20</v>
      </c>
      <c r="G925" s="3" t="s">
        <v>72</v>
      </c>
      <c r="H925" s="3" t="s">
        <v>48</v>
      </c>
      <c r="I925" s="3" t="n">
        <f aca="false">YEAR(E925)</f>
        <v>2024</v>
      </c>
      <c r="J925" s="3" t="n">
        <f aca="false">MONTH(E925)</f>
        <v>1</v>
      </c>
      <c r="K925" s="3" t="n">
        <f aca="false">COUNTIFS($B$2:$B$4077,B925,$C$2:$C$4077,C925,$I$2:$I$4077,I925)</f>
        <v>1</v>
      </c>
      <c r="L925" s="3" t="n">
        <f aca="false">IF(COUNTIFS($B$2:B925,B925,$C$2:C925,C925,$I$2:I925,I925)=1,1,0)</f>
        <v>1</v>
      </c>
      <c r="M925" s="3" t="n">
        <f aca="false">IF(K925&gt;=Parametri!$B$1,1,0)</f>
        <v>0</v>
      </c>
      <c r="N925" s="3" t="n">
        <f aca="false">L925*M925</f>
        <v>0</v>
      </c>
    </row>
    <row r="926" customFormat="false" ht="15" hidden="false" customHeight="false" outlineLevel="0" collapsed="false">
      <c r="A926" s="0" t="s">
        <v>1649</v>
      </c>
      <c r="B926" s="0" t="s">
        <v>41</v>
      </c>
      <c r="C926" s="0" t="s">
        <v>1650</v>
      </c>
      <c r="D926" s="0" t="s">
        <v>63</v>
      </c>
      <c r="E926" s="2" t="n">
        <v>45771</v>
      </c>
      <c r="F926" s="3" t="s">
        <v>34</v>
      </c>
      <c r="G926" s="3" t="s">
        <v>39</v>
      </c>
      <c r="H926" s="3" t="s">
        <v>44</v>
      </c>
      <c r="I926" s="3" t="n">
        <f aca="false">YEAR(E926)</f>
        <v>2025</v>
      </c>
      <c r="J926" s="3" t="n">
        <f aca="false">MONTH(E926)</f>
        <v>4</v>
      </c>
      <c r="K926" s="3" t="n">
        <f aca="false">COUNTIFS($B$2:$B$4077,B926,$C$2:$C$4077,C926,$I$2:$I$4077,I926)</f>
        <v>1</v>
      </c>
      <c r="L926" s="3" t="n">
        <f aca="false">IF(COUNTIFS($B$2:B926,B926,$C$2:C926,C926,$I$2:I926,I926)=1,1,0)</f>
        <v>1</v>
      </c>
      <c r="M926" s="3" t="n">
        <f aca="false">IF(K926&gt;=Parametri!$B$1,1,0)</f>
        <v>0</v>
      </c>
      <c r="N926" s="3" t="n">
        <f aca="false">L926*M926</f>
        <v>0</v>
      </c>
    </row>
    <row r="927" customFormat="false" ht="15" hidden="false" customHeight="false" outlineLevel="0" collapsed="false">
      <c r="A927" s="0" t="s">
        <v>1651</v>
      </c>
      <c r="B927" s="0" t="s">
        <v>24</v>
      </c>
      <c r="C927" s="0" t="s">
        <v>1652</v>
      </c>
      <c r="D927" s="0" t="s">
        <v>66</v>
      </c>
      <c r="E927" s="2" t="n">
        <v>45760</v>
      </c>
      <c r="F927" s="3" t="s">
        <v>34</v>
      </c>
      <c r="G927" s="3" t="s">
        <v>89</v>
      </c>
      <c r="H927" s="3" t="s">
        <v>48</v>
      </c>
      <c r="I927" s="3" t="n">
        <f aca="false">YEAR(E927)</f>
        <v>2025</v>
      </c>
      <c r="J927" s="3" t="n">
        <f aca="false">MONTH(E927)</f>
        <v>4</v>
      </c>
      <c r="K927" s="3" t="n">
        <f aca="false">COUNTIFS($B$2:$B$4077,B927,$C$2:$C$4077,C927,$I$2:$I$4077,I927)</f>
        <v>1</v>
      </c>
      <c r="L927" s="3" t="n">
        <f aca="false">IF(COUNTIFS($B$2:B927,B927,$C$2:C927,C927,$I$2:I927,I927)=1,1,0)</f>
        <v>1</v>
      </c>
      <c r="M927" s="3" t="n">
        <f aca="false">IF(K927&gt;=Parametri!$B$1,1,0)</f>
        <v>0</v>
      </c>
      <c r="N927" s="3" t="n">
        <f aca="false">L927*M927</f>
        <v>0</v>
      </c>
    </row>
    <row r="928" customFormat="false" ht="15" hidden="false" customHeight="false" outlineLevel="0" collapsed="false">
      <c r="A928" s="0" t="s">
        <v>1653</v>
      </c>
      <c r="B928" s="0" t="s">
        <v>79</v>
      </c>
      <c r="C928" s="0" t="s">
        <v>529</v>
      </c>
      <c r="D928" s="0" t="s">
        <v>19</v>
      </c>
      <c r="E928" s="2" t="n">
        <v>46061</v>
      </c>
      <c r="F928" s="3" t="s">
        <v>34</v>
      </c>
      <c r="G928" s="3" t="s">
        <v>43</v>
      </c>
      <c r="H928" s="3" t="s">
        <v>29</v>
      </c>
      <c r="I928" s="3" t="n">
        <f aca="false">YEAR(E928)</f>
        <v>2026</v>
      </c>
      <c r="J928" s="3" t="n">
        <f aca="false">MONTH(E928)</f>
        <v>2</v>
      </c>
      <c r="K928" s="3" t="n">
        <f aca="false">COUNTIFS($B$2:$B$4077,B928,$C$2:$C$4077,C928,$I$2:$I$4077,I928)</f>
        <v>2</v>
      </c>
      <c r="L928" s="3" t="n">
        <f aca="false">IF(COUNTIFS($B$2:B928,B928,$C$2:C928,C928,$I$2:I928,I928)=1,1,0)</f>
        <v>0</v>
      </c>
      <c r="M928" s="3" t="n">
        <f aca="false">IF(K928&gt;=Parametri!$B$1,1,0)</f>
        <v>1</v>
      </c>
      <c r="N928" s="3" t="n">
        <f aca="false">L928*M928</f>
        <v>0</v>
      </c>
    </row>
    <row r="929" customFormat="false" ht="15" hidden="false" customHeight="false" outlineLevel="0" collapsed="false">
      <c r="A929" s="0" t="s">
        <v>1654</v>
      </c>
      <c r="B929" s="0" t="s">
        <v>24</v>
      </c>
      <c r="C929" s="0" t="s">
        <v>738</v>
      </c>
      <c r="D929" s="0" t="s">
        <v>19</v>
      </c>
      <c r="E929" s="2" t="n">
        <v>45987</v>
      </c>
      <c r="F929" s="3" t="s">
        <v>34</v>
      </c>
      <c r="G929" s="3" t="s">
        <v>89</v>
      </c>
      <c r="H929" s="3" t="s">
        <v>29</v>
      </c>
      <c r="I929" s="3" t="n">
        <f aca="false">YEAR(E929)</f>
        <v>2025</v>
      </c>
      <c r="J929" s="3" t="n">
        <f aca="false">MONTH(E929)</f>
        <v>11</v>
      </c>
      <c r="K929" s="3" t="n">
        <f aca="false">COUNTIFS($B$2:$B$4077,B929,$C$2:$C$4077,C929,$I$2:$I$4077,I929)</f>
        <v>3</v>
      </c>
      <c r="L929" s="3" t="n">
        <f aca="false">IF(COUNTIFS($B$2:B929,B929,$C$2:C929,C929,$I$2:I929,I929)=1,1,0)</f>
        <v>0</v>
      </c>
      <c r="M929" s="3" t="n">
        <f aca="false">IF(K929&gt;=Parametri!$B$1,1,0)</f>
        <v>1</v>
      </c>
      <c r="N929" s="3" t="n">
        <f aca="false">L929*M929</f>
        <v>0</v>
      </c>
    </row>
    <row r="930" customFormat="false" ht="15" hidden="false" customHeight="false" outlineLevel="0" collapsed="false">
      <c r="A930" s="0" t="s">
        <v>1655</v>
      </c>
      <c r="B930" s="0" t="s">
        <v>50</v>
      </c>
      <c r="C930" s="0" t="s">
        <v>1656</v>
      </c>
      <c r="D930" s="0" t="s">
        <v>54</v>
      </c>
      <c r="E930" s="2" t="n">
        <v>45459</v>
      </c>
      <c r="F930" s="3" t="s">
        <v>20</v>
      </c>
      <c r="G930" s="3" t="s">
        <v>72</v>
      </c>
      <c r="H930" s="3" t="s">
        <v>48</v>
      </c>
      <c r="I930" s="3" t="n">
        <f aca="false">YEAR(E930)</f>
        <v>2024</v>
      </c>
      <c r="J930" s="3" t="n">
        <f aca="false">MONTH(E930)</f>
        <v>6</v>
      </c>
      <c r="K930" s="3" t="n">
        <f aca="false">COUNTIFS($B$2:$B$4077,B930,$C$2:$C$4077,C930,$I$2:$I$4077,I930)</f>
        <v>1</v>
      </c>
      <c r="L930" s="3" t="n">
        <f aca="false">IF(COUNTIFS($B$2:B930,B930,$C$2:C930,C930,$I$2:I930,I930)=1,1,0)</f>
        <v>1</v>
      </c>
      <c r="M930" s="3" t="n">
        <f aca="false">IF(K930&gt;=Parametri!$B$1,1,0)</f>
        <v>0</v>
      </c>
      <c r="N930" s="3" t="n">
        <f aca="false">L930*M930</f>
        <v>0</v>
      </c>
    </row>
    <row r="931" customFormat="false" ht="15" hidden="false" customHeight="false" outlineLevel="0" collapsed="false">
      <c r="A931" s="0" t="s">
        <v>1657</v>
      </c>
      <c r="B931" s="0" t="s">
        <v>41</v>
      </c>
      <c r="C931" s="0" t="s">
        <v>1658</v>
      </c>
      <c r="D931" s="0" t="s">
        <v>77</v>
      </c>
      <c r="E931" s="2" t="n">
        <v>45559</v>
      </c>
      <c r="F931" s="3" t="s">
        <v>20</v>
      </c>
      <c r="G931" s="3" t="s">
        <v>89</v>
      </c>
      <c r="H931" s="3" t="s">
        <v>48</v>
      </c>
      <c r="I931" s="3" t="n">
        <f aca="false">YEAR(E931)</f>
        <v>2024</v>
      </c>
      <c r="J931" s="3" t="n">
        <f aca="false">MONTH(E931)</f>
        <v>9</v>
      </c>
      <c r="K931" s="3" t="n">
        <f aca="false">COUNTIFS($B$2:$B$4077,B931,$C$2:$C$4077,C931,$I$2:$I$4077,I931)</f>
        <v>1</v>
      </c>
      <c r="L931" s="3" t="n">
        <f aca="false">IF(COUNTIFS($B$2:B931,B931,$C$2:C931,C931,$I$2:I931,I931)=1,1,0)</f>
        <v>1</v>
      </c>
      <c r="M931" s="3" t="n">
        <f aca="false">IF(K931&gt;=Parametri!$B$1,1,0)</f>
        <v>0</v>
      </c>
      <c r="N931" s="3" t="n">
        <f aca="false">L931*M931</f>
        <v>0</v>
      </c>
    </row>
    <row r="932" customFormat="false" ht="15" hidden="false" customHeight="false" outlineLevel="0" collapsed="false">
      <c r="A932" s="0" t="s">
        <v>1659</v>
      </c>
      <c r="B932" s="0" t="s">
        <v>50</v>
      </c>
      <c r="C932" s="0" t="s">
        <v>952</v>
      </c>
      <c r="D932" s="0" t="s">
        <v>54</v>
      </c>
      <c r="E932" s="2" t="n">
        <v>45481</v>
      </c>
      <c r="F932" s="3" t="s">
        <v>20</v>
      </c>
      <c r="G932" s="3" t="s">
        <v>104</v>
      </c>
      <c r="H932" s="3" t="s">
        <v>104</v>
      </c>
      <c r="I932" s="3" t="n">
        <f aca="false">YEAR(E932)</f>
        <v>2024</v>
      </c>
      <c r="J932" s="3" t="n">
        <f aca="false">MONTH(E932)</f>
        <v>7</v>
      </c>
      <c r="K932" s="3" t="n">
        <f aca="false">COUNTIFS($B$2:$B$4077,B932,$C$2:$C$4077,C932,$I$2:$I$4077,I932)</f>
        <v>2</v>
      </c>
      <c r="L932" s="3" t="n">
        <f aca="false">IF(COUNTIFS($B$2:B932,B932,$C$2:C932,C932,$I$2:I932,I932)=1,1,0)</f>
        <v>0</v>
      </c>
      <c r="M932" s="3" t="n">
        <f aca="false">IF(K932&gt;=Parametri!$B$1,1,0)</f>
        <v>1</v>
      </c>
      <c r="N932" s="3" t="n">
        <f aca="false">L932*M932</f>
        <v>0</v>
      </c>
    </row>
    <row r="933" customFormat="false" ht="15" hidden="false" customHeight="false" outlineLevel="0" collapsed="false">
      <c r="A933" s="0" t="s">
        <v>1660</v>
      </c>
      <c r="B933" s="0" t="s">
        <v>24</v>
      </c>
      <c r="C933" s="0" t="s">
        <v>1661</v>
      </c>
      <c r="D933" s="0" t="s">
        <v>38</v>
      </c>
      <c r="E933" s="2" t="n">
        <v>45880</v>
      </c>
      <c r="F933" s="3" t="s">
        <v>20</v>
      </c>
      <c r="G933" s="3" t="s">
        <v>21</v>
      </c>
      <c r="H933" s="3" t="s">
        <v>48</v>
      </c>
      <c r="I933" s="3" t="n">
        <f aca="false">YEAR(E933)</f>
        <v>2025</v>
      </c>
      <c r="J933" s="3" t="n">
        <f aca="false">MONTH(E933)</f>
        <v>8</v>
      </c>
      <c r="K933" s="3" t="n">
        <f aca="false">COUNTIFS($B$2:$B$4077,B933,$C$2:$C$4077,C933,$I$2:$I$4077,I933)</f>
        <v>1</v>
      </c>
      <c r="L933" s="3" t="n">
        <f aca="false">IF(COUNTIFS($B$2:B933,B933,$C$2:C933,C933,$I$2:I933,I933)=1,1,0)</f>
        <v>1</v>
      </c>
      <c r="M933" s="3" t="n">
        <f aca="false">IF(K933&gt;=Parametri!$B$1,1,0)</f>
        <v>0</v>
      </c>
      <c r="N933" s="3" t="n">
        <f aca="false">L933*M933</f>
        <v>0</v>
      </c>
    </row>
    <row r="934" customFormat="false" ht="15" hidden="false" customHeight="false" outlineLevel="0" collapsed="false">
      <c r="A934" s="0" t="s">
        <v>1662</v>
      </c>
      <c r="B934" s="0" t="s">
        <v>68</v>
      </c>
      <c r="C934" s="0" t="s">
        <v>1663</v>
      </c>
      <c r="D934" s="0" t="s">
        <v>63</v>
      </c>
      <c r="E934" s="2" t="n">
        <v>46264</v>
      </c>
      <c r="F934" s="3" t="s">
        <v>20</v>
      </c>
      <c r="G934" s="3" t="s">
        <v>39</v>
      </c>
      <c r="H934" s="3" t="s">
        <v>29</v>
      </c>
      <c r="I934" s="3" t="n">
        <f aca="false">YEAR(E934)</f>
        <v>2026</v>
      </c>
      <c r="J934" s="3" t="n">
        <f aca="false">MONTH(E934)</f>
        <v>8</v>
      </c>
      <c r="K934" s="3" t="n">
        <f aca="false">COUNTIFS($B$2:$B$4077,B934,$C$2:$C$4077,C934,$I$2:$I$4077,I934)</f>
        <v>1</v>
      </c>
      <c r="L934" s="3" t="n">
        <f aca="false">IF(COUNTIFS($B$2:B934,B934,$C$2:C934,C934,$I$2:I934,I934)=1,1,0)</f>
        <v>1</v>
      </c>
      <c r="M934" s="3" t="n">
        <f aca="false">IF(K934&gt;=Parametri!$B$1,1,0)</f>
        <v>0</v>
      </c>
      <c r="N934" s="3" t="n">
        <f aca="false">L934*M934</f>
        <v>0</v>
      </c>
    </row>
    <row r="935" customFormat="false" ht="15" hidden="false" customHeight="false" outlineLevel="0" collapsed="false">
      <c r="A935" s="0" t="s">
        <v>1664</v>
      </c>
      <c r="B935" s="0" t="s">
        <v>31</v>
      </c>
      <c r="C935" s="0" t="s">
        <v>1665</v>
      </c>
      <c r="D935" s="0" t="s">
        <v>63</v>
      </c>
      <c r="E935" s="2" t="n">
        <v>45980</v>
      </c>
      <c r="F935" s="3" t="s">
        <v>20</v>
      </c>
      <c r="G935" s="3" t="s">
        <v>35</v>
      </c>
      <c r="H935" s="3" t="s">
        <v>22</v>
      </c>
      <c r="I935" s="3" t="n">
        <f aca="false">YEAR(E935)</f>
        <v>2025</v>
      </c>
      <c r="J935" s="3" t="n">
        <f aca="false">MONTH(E935)</f>
        <v>11</v>
      </c>
      <c r="K935" s="3" t="n">
        <f aca="false">COUNTIFS($B$2:$B$4077,B935,$C$2:$C$4077,C935,$I$2:$I$4077,I935)</f>
        <v>1</v>
      </c>
      <c r="L935" s="3" t="n">
        <f aca="false">IF(COUNTIFS($B$2:B935,B935,$C$2:C935,C935,$I$2:I935,I935)=1,1,0)</f>
        <v>1</v>
      </c>
      <c r="M935" s="3" t="n">
        <f aca="false">IF(K935&gt;=Parametri!$B$1,1,0)</f>
        <v>0</v>
      </c>
      <c r="N935" s="3" t="n">
        <f aca="false">L935*M935</f>
        <v>0</v>
      </c>
    </row>
    <row r="936" customFormat="false" ht="15" hidden="false" customHeight="false" outlineLevel="0" collapsed="false">
      <c r="A936" s="0" t="s">
        <v>1666</v>
      </c>
      <c r="B936" s="0" t="s">
        <v>79</v>
      </c>
      <c r="C936" s="0" t="s">
        <v>497</v>
      </c>
      <c r="D936" s="0" t="s">
        <v>38</v>
      </c>
      <c r="E936" s="2" t="n">
        <v>45938</v>
      </c>
      <c r="F936" s="3" t="s">
        <v>20</v>
      </c>
      <c r="G936" s="3" t="s">
        <v>28</v>
      </c>
      <c r="H936" s="3" t="s">
        <v>22</v>
      </c>
      <c r="I936" s="3" t="n">
        <f aca="false">YEAR(E936)</f>
        <v>2025</v>
      </c>
      <c r="J936" s="3" t="n">
        <f aca="false">MONTH(E936)</f>
        <v>10</v>
      </c>
      <c r="K936" s="3" t="n">
        <f aca="false">COUNTIFS($B$2:$B$4077,B936,$C$2:$C$4077,C936,$I$2:$I$4077,I936)</f>
        <v>3</v>
      </c>
      <c r="L936" s="3" t="n">
        <f aca="false">IF(COUNTIFS($B$2:B936,B936,$C$2:C936,C936,$I$2:I936,I936)=1,1,0)</f>
        <v>0</v>
      </c>
      <c r="M936" s="3" t="n">
        <f aca="false">IF(K936&gt;=Parametri!$B$1,1,0)</f>
        <v>1</v>
      </c>
      <c r="N936" s="3" t="n">
        <f aca="false">L936*M936</f>
        <v>0</v>
      </c>
    </row>
    <row r="937" customFormat="false" ht="15" hidden="false" customHeight="false" outlineLevel="0" collapsed="false">
      <c r="A937" s="0" t="s">
        <v>1667</v>
      </c>
      <c r="B937" s="0" t="s">
        <v>24</v>
      </c>
      <c r="C937" s="0" t="s">
        <v>1304</v>
      </c>
      <c r="D937" s="0" t="s">
        <v>54</v>
      </c>
      <c r="E937" s="2" t="n">
        <v>45767</v>
      </c>
      <c r="F937" s="3" t="s">
        <v>20</v>
      </c>
      <c r="G937" s="3" t="s">
        <v>21</v>
      </c>
      <c r="H937" s="3" t="s">
        <v>44</v>
      </c>
      <c r="I937" s="3" t="n">
        <f aca="false">YEAR(E937)</f>
        <v>2025</v>
      </c>
      <c r="J937" s="3" t="n">
        <f aca="false">MONTH(E937)</f>
        <v>4</v>
      </c>
      <c r="K937" s="3" t="n">
        <f aca="false">COUNTIFS($B$2:$B$4077,B937,$C$2:$C$4077,C937,$I$2:$I$4077,I937)</f>
        <v>3</v>
      </c>
      <c r="L937" s="3" t="n">
        <f aca="false">IF(COUNTIFS($B$2:B937,B937,$C$2:C937,C937,$I$2:I937,I937)=1,1,0)</f>
        <v>1</v>
      </c>
      <c r="M937" s="3" t="n">
        <f aca="false">IF(K937&gt;=Parametri!$B$1,1,0)</f>
        <v>1</v>
      </c>
      <c r="N937" s="3" t="n">
        <f aca="false">L937*M937</f>
        <v>1</v>
      </c>
    </row>
    <row r="938" customFormat="false" ht="15" hidden="false" customHeight="false" outlineLevel="0" collapsed="false">
      <c r="A938" s="0" t="s">
        <v>1668</v>
      </c>
      <c r="B938" s="0" t="s">
        <v>79</v>
      </c>
      <c r="C938" s="0" t="s">
        <v>331</v>
      </c>
      <c r="D938" s="0" t="s">
        <v>66</v>
      </c>
      <c r="E938" s="2" t="n">
        <v>45559</v>
      </c>
      <c r="F938" s="3" t="s">
        <v>20</v>
      </c>
      <c r="G938" s="3" t="s">
        <v>35</v>
      </c>
      <c r="H938" s="3" t="s">
        <v>44</v>
      </c>
      <c r="I938" s="3" t="n">
        <f aca="false">YEAR(E938)</f>
        <v>2024</v>
      </c>
      <c r="J938" s="3" t="n">
        <f aca="false">MONTH(E938)</f>
        <v>9</v>
      </c>
      <c r="K938" s="3" t="n">
        <f aca="false">COUNTIFS($B$2:$B$4077,B938,$C$2:$C$4077,C938,$I$2:$I$4077,I938)</f>
        <v>3</v>
      </c>
      <c r="L938" s="3" t="n">
        <f aca="false">IF(COUNTIFS($B$2:B938,B938,$C$2:C938,C938,$I$2:I938,I938)=1,1,0)</f>
        <v>0</v>
      </c>
      <c r="M938" s="3" t="n">
        <f aca="false">IF(K938&gt;=Parametri!$B$1,1,0)</f>
        <v>1</v>
      </c>
      <c r="N938" s="3" t="n">
        <f aca="false">L938*M938</f>
        <v>0</v>
      </c>
    </row>
    <row r="939" customFormat="false" ht="15" hidden="false" customHeight="false" outlineLevel="0" collapsed="false">
      <c r="A939" s="0" t="s">
        <v>1669</v>
      </c>
      <c r="B939" s="0" t="s">
        <v>124</v>
      </c>
      <c r="C939" s="0" t="s">
        <v>1670</v>
      </c>
      <c r="D939" s="0" t="s">
        <v>26</v>
      </c>
      <c r="E939" s="2" t="n">
        <v>45374</v>
      </c>
      <c r="F939" s="3" t="s">
        <v>34</v>
      </c>
      <c r="G939" s="3" t="s">
        <v>89</v>
      </c>
      <c r="H939" s="3" t="s">
        <v>22</v>
      </c>
      <c r="I939" s="3" t="n">
        <f aca="false">YEAR(E939)</f>
        <v>2024</v>
      </c>
      <c r="J939" s="3" t="n">
        <f aca="false">MONTH(E939)</f>
        <v>3</v>
      </c>
      <c r="K939" s="3" t="n">
        <f aca="false">COUNTIFS($B$2:$B$4077,B939,$C$2:$C$4077,C939,$I$2:$I$4077,I939)</f>
        <v>4</v>
      </c>
      <c r="L939" s="3" t="n">
        <f aca="false">IF(COUNTIFS($B$2:B939,B939,$C$2:C939,C939,$I$2:I939,I939)=1,1,0)</f>
        <v>1</v>
      </c>
      <c r="M939" s="3" t="n">
        <f aca="false">IF(K939&gt;=Parametri!$B$1,1,0)</f>
        <v>1</v>
      </c>
      <c r="N939" s="3" t="n">
        <f aca="false">L939*M939</f>
        <v>1</v>
      </c>
    </row>
    <row r="940" customFormat="false" ht="15" hidden="false" customHeight="false" outlineLevel="0" collapsed="false">
      <c r="A940" s="0" t="s">
        <v>1671</v>
      </c>
      <c r="B940" s="0" t="s">
        <v>31</v>
      </c>
      <c r="C940" s="0" t="s">
        <v>1672</v>
      </c>
      <c r="D940" s="0" t="s">
        <v>19</v>
      </c>
      <c r="E940" s="2" t="n">
        <v>45626</v>
      </c>
      <c r="F940" s="3" t="s">
        <v>20</v>
      </c>
      <c r="G940" s="3" t="s">
        <v>28</v>
      </c>
      <c r="H940" s="3" t="s">
        <v>48</v>
      </c>
      <c r="I940" s="3" t="n">
        <f aca="false">YEAR(E940)</f>
        <v>2024</v>
      </c>
      <c r="J940" s="3" t="n">
        <f aca="false">MONTH(E940)</f>
        <v>11</v>
      </c>
      <c r="K940" s="3" t="n">
        <f aca="false">COUNTIFS($B$2:$B$4077,B940,$C$2:$C$4077,C940,$I$2:$I$4077,I940)</f>
        <v>1</v>
      </c>
      <c r="L940" s="3" t="n">
        <f aca="false">IF(COUNTIFS($B$2:B940,B940,$C$2:C940,C940,$I$2:I940,I940)=1,1,0)</f>
        <v>1</v>
      </c>
      <c r="M940" s="3" t="n">
        <f aca="false">IF(K940&gt;=Parametri!$B$1,1,0)</f>
        <v>0</v>
      </c>
      <c r="N940" s="3" t="n">
        <f aca="false">L940*M940</f>
        <v>0</v>
      </c>
    </row>
    <row r="941" customFormat="false" ht="15" hidden="false" customHeight="false" outlineLevel="0" collapsed="false">
      <c r="A941" s="0" t="s">
        <v>1673</v>
      </c>
      <c r="B941" s="0" t="s">
        <v>57</v>
      </c>
      <c r="C941" s="0" t="s">
        <v>297</v>
      </c>
      <c r="D941" s="0" t="s">
        <v>26</v>
      </c>
      <c r="E941" s="2" t="n">
        <v>45511</v>
      </c>
      <c r="F941" s="3" t="s">
        <v>20</v>
      </c>
      <c r="G941" s="3" t="s">
        <v>28</v>
      </c>
      <c r="H941" s="3" t="s">
        <v>29</v>
      </c>
      <c r="I941" s="3" t="n">
        <f aca="false">YEAR(E941)</f>
        <v>2024</v>
      </c>
      <c r="J941" s="3" t="n">
        <f aca="false">MONTH(E941)</f>
        <v>8</v>
      </c>
      <c r="K941" s="3" t="n">
        <f aca="false">COUNTIFS($B$2:$B$4077,B941,$C$2:$C$4077,C941,$I$2:$I$4077,I941)</f>
        <v>1</v>
      </c>
      <c r="L941" s="3" t="n">
        <f aca="false">IF(COUNTIFS($B$2:B941,B941,$C$2:C941,C941,$I$2:I941,I941)=1,1,0)</f>
        <v>1</v>
      </c>
      <c r="M941" s="3" t="n">
        <f aca="false">IF(K941&gt;=Parametri!$B$1,1,0)</f>
        <v>0</v>
      </c>
      <c r="N941" s="3" t="n">
        <f aca="false">L941*M941</f>
        <v>0</v>
      </c>
    </row>
    <row r="942" customFormat="false" ht="15" hidden="false" customHeight="false" outlineLevel="0" collapsed="false">
      <c r="A942" s="0" t="s">
        <v>1674</v>
      </c>
      <c r="B942" s="0" t="s">
        <v>17</v>
      </c>
      <c r="C942" s="0" t="s">
        <v>403</v>
      </c>
      <c r="D942" s="0" t="s">
        <v>26</v>
      </c>
      <c r="E942" s="2" t="n">
        <v>45627</v>
      </c>
      <c r="F942" s="3" t="s">
        <v>27</v>
      </c>
      <c r="G942" s="3" t="s">
        <v>43</v>
      </c>
      <c r="H942" s="3" t="s">
        <v>22</v>
      </c>
      <c r="I942" s="3" t="n">
        <f aca="false">YEAR(E942)</f>
        <v>2024</v>
      </c>
      <c r="J942" s="3" t="n">
        <f aca="false">MONTH(E942)</f>
        <v>12</v>
      </c>
      <c r="K942" s="3" t="n">
        <f aca="false">COUNTIFS($B$2:$B$4077,B942,$C$2:$C$4077,C942,$I$2:$I$4077,I942)</f>
        <v>2</v>
      </c>
      <c r="L942" s="3" t="n">
        <f aca="false">IF(COUNTIFS($B$2:B942,B942,$C$2:C942,C942,$I$2:I942,I942)=1,1,0)</f>
        <v>0</v>
      </c>
      <c r="M942" s="3" t="n">
        <f aca="false">IF(K942&gt;=Parametri!$B$1,1,0)</f>
        <v>1</v>
      </c>
      <c r="N942" s="3" t="n">
        <f aca="false">L942*M942</f>
        <v>0</v>
      </c>
    </row>
    <row r="943" customFormat="false" ht="15" hidden="false" customHeight="false" outlineLevel="0" collapsed="false">
      <c r="A943" s="0" t="s">
        <v>1675</v>
      </c>
      <c r="B943" s="0" t="s">
        <v>57</v>
      </c>
      <c r="C943" s="0" t="s">
        <v>1531</v>
      </c>
      <c r="D943" s="0" t="s">
        <v>77</v>
      </c>
      <c r="E943" s="2" t="n">
        <v>45474</v>
      </c>
      <c r="F943" s="3" t="s">
        <v>27</v>
      </c>
      <c r="G943" s="3" t="s">
        <v>28</v>
      </c>
      <c r="H943" s="3" t="s">
        <v>44</v>
      </c>
      <c r="I943" s="3" t="n">
        <f aca="false">YEAR(E943)</f>
        <v>2024</v>
      </c>
      <c r="J943" s="3" t="n">
        <f aca="false">MONTH(E943)</f>
        <v>7</v>
      </c>
      <c r="K943" s="3" t="n">
        <f aca="false">COUNTIFS($B$2:$B$4077,B943,$C$2:$C$4077,C943,$I$2:$I$4077,I943)</f>
        <v>3</v>
      </c>
      <c r="L943" s="3" t="n">
        <f aca="false">IF(COUNTIFS($B$2:B943,B943,$C$2:C943,C943,$I$2:I943,I943)=1,1,0)</f>
        <v>1</v>
      </c>
      <c r="M943" s="3" t="n">
        <f aca="false">IF(K943&gt;=Parametri!$B$1,1,0)</f>
        <v>1</v>
      </c>
      <c r="N943" s="3" t="n">
        <f aca="false">L943*M943</f>
        <v>1</v>
      </c>
    </row>
    <row r="944" customFormat="false" ht="15" hidden="false" customHeight="false" outlineLevel="0" collapsed="false">
      <c r="A944" s="0" t="s">
        <v>1676</v>
      </c>
      <c r="B944" s="0" t="s">
        <v>57</v>
      </c>
      <c r="C944" s="0" t="s">
        <v>288</v>
      </c>
      <c r="D944" s="0" t="s">
        <v>77</v>
      </c>
      <c r="E944" s="2" t="n">
        <v>45475</v>
      </c>
      <c r="F944" s="3" t="s">
        <v>20</v>
      </c>
      <c r="G944" s="3" t="s">
        <v>39</v>
      </c>
      <c r="H944" s="3" t="s">
        <v>29</v>
      </c>
      <c r="I944" s="3" t="n">
        <f aca="false">YEAR(E944)</f>
        <v>2024</v>
      </c>
      <c r="J944" s="3" t="n">
        <f aca="false">MONTH(E944)</f>
        <v>7</v>
      </c>
      <c r="K944" s="3" t="n">
        <f aca="false">COUNTIFS($B$2:$B$4077,B944,$C$2:$C$4077,C944,$I$2:$I$4077,I944)</f>
        <v>7</v>
      </c>
      <c r="L944" s="3" t="n">
        <f aca="false">IF(COUNTIFS($B$2:B944,B944,$C$2:C944,C944,$I$2:I944,I944)=1,1,0)</f>
        <v>0</v>
      </c>
      <c r="M944" s="3" t="n">
        <f aca="false">IF(K944&gt;=Parametri!$B$1,1,0)</f>
        <v>1</v>
      </c>
      <c r="N944" s="3" t="n">
        <f aca="false">L944*M944</f>
        <v>0</v>
      </c>
    </row>
    <row r="945" customFormat="false" ht="15" hidden="false" customHeight="false" outlineLevel="0" collapsed="false">
      <c r="A945" s="0" t="s">
        <v>1677</v>
      </c>
      <c r="B945" s="0" t="s">
        <v>124</v>
      </c>
      <c r="C945" s="0" t="s">
        <v>755</v>
      </c>
      <c r="D945" s="0" t="s">
        <v>19</v>
      </c>
      <c r="E945" s="2" t="n">
        <v>45508</v>
      </c>
      <c r="F945" s="3" t="s">
        <v>20</v>
      </c>
      <c r="G945" s="3" t="s">
        <v>89</v>
      </c>
      <c r="H945" s="3" t="s">
        <v>29</v>
      </c>
      <c r="I945" s="3" t="n">
        <f aca="false">YEAR(E945)</f>
        <v>2024</v>
      </c>
      <c r="J945" s="3" t="n">
        <f aca="false">MONTH(E945)</f>
        <v>8</v>
      </c>
      <c r="K945" s="3" t="n">
        <f aca="false">COUNTIFS($B$2:$B$4077,B945,$C$2:$C$4077,C945,$I$2:$I$4077,I945)</f>
        <v>2</v>
      </c>
      <c r="L945" s="3" t="n">
        <f aca="false">IF(COUNTIFS($B$2:B945,B945,$C$2:C945,C945,$I$2:I945,I945)=1,1,0)</f>
        <v>0</v>
      </c>
      <c r="M945" s="3" t="n">
        <f aca="false">IF(K945&gt;=Parametri!$B$1,1,0)</f>
        <v>1</v>
      </c>
      <c r="N945" s="3" t="n">
        <f aca="false">L945*M945</f>
        <v>0</v>
      </c>
    </row>
    <row r="946" customFormat="false" ht="15" hidden="false" customHeight="false" outlineLevel="0" collapsed="false">
      <c r="A946" s="0" t="s">
        <v>1678</v>
      </c>
      <c r="B946" s="0" t="s">
        <v>31</v>
      </c>
      <c r="C946" s="0" t="s">
        <v>1679</v>
      </c>
      <c r="D946" s="0" t="s">
        <v>77</v>
      </c>
      <c r="E946" s="2" t="n">
        <v>45689</v>
      </c>
      <c r="F946" s="3" t="s">
        <v>20</v>
      </c>
      <c r="G946" s="3" t="s">
        <v>55</v>
      </c>
      <c r="H946" s="3" t="s">
        <v>29</v>
      </c>
      <c r="I946" s="3" t="n">
        <f aca="false">YEAR(E946)</f>
        <v>2025</v>
      </c>
      <c r="J946" s="3" t="n">
        <f aca="false">MONTH(E946)</f>
        <v>2</v>
      </c>
      <c r="K946" s="3" t="n">
        <f aca="false">COUNTIFS($B$2:$B$4077,B946,$C$2:$C$4077,C946,$I$2:$I$4077,I946)</f>
        <v>2</v>
      </c>
      <c r="L946" s="3" t="n">
        <f aca="false">IF(COUNTIFS($B$2:B946,B946,$C$2:C946,C946,$I$2:I946,I946)=1,1,0)</f>
        <v>1</v>
      </c>
      <c r="M946" s="3" t="n">
        <f aca="false">IF(K946&gt;=Parametri!$B$1,1,0)</f>
        <v>1</v>
      </c>
      <c r="N946" s="3" t="n">
        <f aca="false">L946*M946</f>
        <v>1</v>
      </c>
    </row>
    <row r="947" customFormat="false" ht="15" hidden="false" customHeight="false" outlineLevel="0" collapsed="false">
      <c r="A947" s="0" t="s">
        <v>1680</v>
      </c>
      <c r="B947" s="0" t="s">
        <v>50</v>
      </c>
      <c r="C947" s="0" t="s">
        <v>1218</v>
      </c>
      <c r="D947" s="0" t="s">
        <v>77</v>
      </c>
      <c r="E947" s="2" t="n">
        <v>45881</v>
      </c>
      <c r="F947" s="3" t="s">
        <v>20</v>
      </c>
      <c r="G947" s="3" t="s">
        <v>35</v>
      </c>
      <c r="H947" s="3" t="s">
        <v>48</v>
      </c>
      <c r="I947" s="3" t="n">
        <f aca="false">YEAR(E947)</f>
        <v>2025</v>
      </c>
      <c r="J947" s="3" t="n">
        <f aca="false">MONTH(E947)</f>
        <v>8</v>
      </c>
      <c r="K947" s="3" t="n">
        <f aca="false">COUNTIFS($B$2:$B$4077,B947,$C$2:$C$4077,C947,$I$2:$I$4077,I947)</f>
        <v>4</v>
      </c>
      <c r="L947" s="3" t="n">
        <f aca="false">IF(COUNTIFS($B$2:B947,B947,$C$2:C947,C947,$I$2:I947,I947)=1,1,0)</f>
        <v>1</v>
      </c>
      <c r="M947" s="3" t="n">
        <f aca="false">IF(K947&gt;=Parametri!$B$1,1,0)</f>
        <v>1</v>
      </c>
      <c r="N947" s="3" t="n">
        <f aca="false">L947*M947</f>
        <v>1</v>
      </c>
    </row>
    <row r="948" customFormat="false" ht="15" hidden="false" customHeight="false" outlineLevel="0" collapsed="false">
      <c r="A948" s="0" t="s">
        <v>1681</v>
      </c>
      <c r="B948" s="0" t="s">
        <v>57</v>
      </c>
      <c r="C948" s="0" t="s">
        <v>706</v>
      </c>
      <c r="D948" s="0" t="s">
        <v>77</v>
      </c>
      <c r="E948" s="2" t="n">
        <v>45544</v>
      </c>
      <c r="F948" s="3" t="s">
        <v>34</v>
      </c>
      <c r="G948" s="3" t="s">
        <v>43</v>
      </c>
      <c r="H948" s="3" t="s">
        <v>44</v>
      </c>
      <c r="I948" s="3" t="n">
        <f aca="false">YEAR(E948)</f>
        <v>2024</v>
      </c>
      <c r="J948" s="3" t="n">
        <f aca="false">MONTH(E948)</f>
        <v>9</v>
      </c>
      <c r="K948" s="3" t="n">
        <f aca="false">COUNTIFS($B$2:$B$4077,B948,$C$2:$C$4077,C948,$I$2:$I$4077,I948)</f>
        <v>1</v>
      </c>
      <c r="L948" s="3" t="n">
        <f aca="false">IF(COUNTIFS($B$2:B948,B948,$C$2:C948,C948,$I$2:I948,I948)=1,1,0)</f>
        <v>1</v>
      </c>
      <c r="M948" s="3" t="n">
        <f aca="false">IF(K948&gt;=Parametri!$B$1,1,0)</f>
        <v>0</v>
      </c>
      <c r="N948" s="3" t="n">
        <f aca="false">L948*M948</f>
        <v>0</v>
      </c>
    </row>
    <row r="949" customFormat="false" ht="15" hidden="false" customHeight="false" outlineLevel="0" collapsed="false">
      <c r="A949" s="0" t="s">
        <v>1682</v>
      </c>
      <c r="B949" s="0" t="s">
        <v>68</v>
      </c>
      <c r="C949" s="0" t="s">
        <v>1683</v>
      </c>
      <c r="D949" s="0" t="s">
        <v>66</v>
      </c>
      <c r="E949" s="2" t="n">
        <v>45799</v>
      </c>
      <c r="F949" s="3" t="s">
        <v>20</v>
      </c>
      <c r="G949" s="3" t="s">
        <v>39</v>
      </c>
      <c r="H949" s="3" t="s">
        <v>29</v>
      </c>
      <c r="I949" s="3" t="n">
        <f aca="false">YEAR(E949)</f>
        <v>2025</v>
      </c>
      <c r="J949" s="3" t="n">
        <f aca="false">MONTH(E949)</f>
        <v>5</v>
      </c>
      <c r="K949" s="3" t="n">
        <f aca="false">COUNTIFS($B$2:$B$4077,B949,$C$2:$C$4077,C949,$I$2:$I$4077,I949)</f>
        <v>1</v>
      </c>
      <c r="L949" s="3" t="n">
        <f aca="false">IF(COUNTIFS($B$2:B949,B949,$C$2:C949,C949,$I$2:I949,I949)=1,1,0)</f>
        <v>1</v>
      </c>
      <c r="M949" s="3" t="n">
        <f aca="false">IF(K949&gt;=Parametri!$B$1,1,0)</f>
        <v>0</v>
      </c>
      <c r="N949" s="3" t="n">
        <f aca="false">L949*M949</f>
        <v>0</v>
      </c>
    </row>
    <row r="950" customFormat="false" ht="15" hidden="false" customHeight="false" outlineLevel="0" collapsed="false">
      <c r="A950" s="0" t="s">
        <v>1684</v>
      </c>
      <c r="B950" s="0" t="s">
        <v>46</v>
      </c>
      <c r="C950" s="0" t="s">
        <v>1685</v>
      </c>
      <c r="D950" s="0" t="s">
        <v>66</v>
      </c>
      <c r="E950" s="2" t="n">
        <v>45784</v>
      </c>
      <c r="F950" s="3" t="s">
        <v>20</v>
      </c>
      <c r="G950" s="3" t="s">
        <v>28</v>
      </c>
      <c r="H950" s="3" t="s">
        <v>29</v>
      </c>
      <c r="I950" s="3" t="n">
        <f aca="false">YEAR(E950)</f>
        <v>2025</v>
      </c>
      <c r="J950" s="3" t="n">
        <f aca="false">MONTH(E950)</f>
        <v>5</v>
      </c>
      <c r="K950" s="3" t="n">
        <f aca="false">COUNTIFS($B$2:$B$4077,B950,$C$2:$C$4077,C950,$I$2:$I$4077,I950)</f>
        <v>1</v>
      </c>
      <c r="L950" s="3" t="n">
        <f aca="false">IF(COUNTIFS($B$2:B950,B950,$C$2:C950,C950,$I$2:I950,I950)=1,1,0)</f>
        <v>1</v>
      </c>
      <c r="M950" s="3" t="n">
        <f aca="false">IF(K950&gt;=Parametri!$B$1,1,0)</f>
        <v>0</v>
      </c>
      <c r="N950" s="3" t="n">
        <f aca="false">L950*M950</f>
        <v>0</v>
      </c>
    </row>
    <row r="951" customFormat="false" ht="15" hidden="false" customHeight="false" outlineLevel="0" collapsed="false">
      <c r="A951" s="0" t="s">
        <v>1686</v>
      </c>
      <c r="B951" s="0" t="s">
        <v>24</v>
      </c>
      <c r="C951" s="0" t="s">
        <v>1623</v>
      </c>
      <c r="D951" s="0" t="s">
        <v>66</v>
      </c>
      <c r="E951" s="2" t="n">
        <v>46104</v>
      </c>
      <c r="F951" s="3" t="s">
        <v>27</v>
      </c>
      <c r="G951" s="3" t="s">
        <v>43</v>
      </c>
      <c r="H951" s="3" t="s">
        <v>48</v>
      </c>
      <c r="I951" s="3" t="n">
        <f aca="false">YEAR(E951)</f>
        <v>2026</v>
      </c>
      <c r="J951" s="3" t="n">
        <f aca="false">MONTH(E951)</f>
        <v>3</v>
      </c>
      <c r="K951" s="3" t="n">
        <f aca="false">COUNTIFS($B$2:$B$4077,B951,$C$2:$C$4077,C951,$I$2:$I$4077,I951)</f>
        <v>1</v>
      </c>
      <c r="L951" s="3" t="n">
        <f aca="false">IF(COUNTIFS($B$2:B951,B951,$C$2:C951,C951,$I$2:I951,I951)=1,1,0)</f>
        <v>1</v>
      </c>
      <c r="M951" s="3" t="n">
        <f aca="false">IF(K951&gt;=Parametri!$B$1,1,0)</f>
        <v>0</v>
      </c>
      <c r="N951" s="3" t="n">
        <f aca="false">L951*M951</f>
        <v>0</v>
      </c>
    </row>
    <row r="952" customFormat="false" ht="15" hidden="false" customHeight="false" outlineLevel="0" collapsed="false">
      <c r="A952" s="0" t="s">
        <v>1687</v>
      </c>
      <c r="B952" s="0" t="s">
        <v>41</v>
      </c>
      <c r="C952" s="0" t="s">
        <v>1688</v>
      </c>
      <c r="D952" s="0" t="s">
        <v>38</v>
      </c>
      <c r="E952" s="2" t="n">
        <v>46067</v>
      </c>
      <c r="F952" s="3" t="s">
        <v>34</v>
      </c>
      <c r="G952" s="3" t="s">
        <v>21</v>
      </c>
      <c r="H952" s="3" t="s">
        <v>29</v>
      </c>
      <c r="I952" s="3" t="n">
        <f aca="false">YEAR(E952)</f>
        <v>2026</v>
      </c>
      <c r="J952" s="3" t="n">
        <f aca="false">MONTH(E952)</f>
        <v>2</v>
      </c>
      <c r="K952" s="3" t="n">
        <f aca="false">COUNTIFS($B$2:$B$4077,B952,$C$2:$C$4077,C952,$I$2:$I$4077,I952)</f>
        <v>1</v>
      </c>
      <c r="L952" s="3" t="n">
        <f aca="false">IF(COUNTIFS($B$2:B952,B952,$C$2:C952,C952,$I$2:I952,I952)=1,1,0)</f>
        <v>1</v>
      </c>
      <c r="M952" s="3" t="n">
        <f aca="false">IF(K952&gt;=Parametri!$B$1,1,0)</f>
        <v>0</v>
      </c>
      <c r="N952" s="3" t="n">
        <f aca="false">L952*M952</f>
        <v>0</v>
      </c>
    </row>
    <row r="953" customFormat="false" ht="15" hidden="false" customHeight="false" outlineLevel="0" collapsed="false">
      <c r="A953" s="0" t="s">
        <v>1689</v>
      </c>
      <c r="B953" s="0" t="s">
        <v>17</v>
      </c>
      <c r="C953" s="0" t="s">
        <v>1690</v>
      </c>
      <c r="D953" s="0" t="s">
        <v>38</v>
      </c>
      <c r="E953" s="2" t="n">
        <v>45800</v>
      </c>
      <c r="F953" s="3" t="s">
        <v>20</v>
      </c>
      <c r="G953" s="3" t="s">
        <v>72</v>
      </c>
      <c r="H953" s="3" t="s">
        <v>44</v>
      </c>
      <c r="I953" s="3" t="n">
        <f aca="false">YEAR(E953)</f>
        <v>2025</v>
      </c>
      <c r="J953" s="3" t="n">
        <f aca="false">MONTH(E953)</f>
        <v>5</v>
      </c>
      <c r="K953" s="3" t="n">
        <f aca="false">COUNTIFS($B$2:$B$4077,B953,$C$2:$C$4077,C953,$I$2:$I$4077,I953)</f>
        <v>3</v>
      </c>
      <c r="L953" s="3" t="n">
        <f aca="false">IF(COUNTIFS($B$2:B953,B953,$C$2:C953,C953,$I$2:I953,I953)=1,1,0)</f>
        <v>1</v>
      </c>
      <c r="M953" s="3" t="n">
        <f aca="false">IF(K953&gt;=Parametri!$B$1,1,0)</f>
        <v>1</v>
      </c>
      <c r="N953" s="3" t="n">
        <f aca="false">L953*M953</f>
        <v>1</v>
      </c>
    </row>
    <row r="954" customFormat="false" ht="15" hidden="false" customHeight="false" outlineLevel="0" collapsed="false">
      <c r="A954" s="0" t="s">
        <v>1691</v>
      </c>
      <c r="B954" s="0" t="s">
        <v>41</v>
      </c>
      <c r="C954" s="0" t="s">
        <v>286</v>
      </c>
      <c r="D954" s="0" t="s">
        <v>77</v>
      </c>
      <c r="E954" s="2" t="n">
        <v>45970</v>
      </c>
      <c r="F954" s="3" t="s">
        <v>20</v>
      </c>
      <c r="G954" s="3" t="s">
        <v>89</v>
      </c>
      <c r="H954" s="3" t="s">
        <v>29</v>
      </c>
      <c r="I954" s="3" t="n">
        <f aca="false">YEAR(E954)</f>
        <v>2025</v>
      </c>
      <c r="J954" s="3" t="n">
        <f aca="false">MONTH(E954)</f>
        <v>11</v>
      </c>
      <c r="K954" s="3" t="n">
        <f aca="false">COUNTIFS($B$2:$B$4077,B954,$C$2:$C$4077,C954,$I$2:$I$4077,I954)</f>
        <v>2</v>
      </c>
      <c r="L954" s="3" t="n">
        <f aca="false">IF(COUNTIFS($B$2:B954,B954,$C$2:C954,C954,$I$2:I954,I954)=1,1,0)</f>
        <v>1</v>
      </c>
      <c r="M954" s="3" t="n">
        <f aca="false">IF(K954&gt;=Parametri!$B$1,1,0)</f>
        <v>1</v>
      </c>
      <c r="N954" s="3" t="n">
        <f aca="false">L954*M954</f>
        <v>1</v>
      </c>
    </row>
    <row r="955" customFormat="false" ht="15" hidden="false" customHeight="false" outlineLevel="0" collapsed="false">
      <c r="A955" s="0" t="s">
        <v>1692</v>
      </c>
      <c r="B955" s="0" t="s">
        <v>24</v>
      </c>
      <c r="C955" s="0" t="s">
        <v>1693</v>
      </c>
      <c r="D955" s="0" t="s">
        <v>66</v>
      </c>
      <c r="E955" s="2" t="n">
        <v>46098</v>
      </c>
      <c r="F955" s="3" t="s">
        <v>20</v>
      </c>
      <c r="G955" s="3" t="s">
        <v>21</v>
      </c>
      <c r="H955" s="3" t="s">
        <v>22</v>
      </c>
      <c r="I955" s="3" t="n">
        <f aca="false">YEAR(E955)</f>
        <v>2026</v>
      </c>
      <c r="J955" s="3" t="n">
        <f aca="false">MONTH(E955)</f>
        <v>3</v>
      </c>
      <c r="K955" s="3" t="n">
        <f aca="false">COUNTIFS($B$2:$B$4077,B955,$C$2:$C$4077,C955,$I$2:$I$4077,I955)</f>
        <v>2</v>
      </c>
      <c r="L955" s="3" t="n">
        <f aca="false">IF(COUNTIFS($B$2:B955,B955,$C$2:C955,C955,$I$2:I955,I955)=1,1,0)</f>
        <v>1</v>
      </c>
      <c r="M955" s="3" t="n">
        <f aca="false">IF(K955&gt;=Parametri!$B$1,1,0)</f>
        <v>1</v>
      </c>
      <c r="N955" s="3" t="n">
        <f aca="false">L955*M955</f>
        <v>1</v>
      </c>
    </row>
    <row r="956" customFormat="false" ht="15" hidden="false" customHeight="false" outlineLevel="0" collapsed="false">
      <c r="A956" s="0" t="s">
        <v>1694</v>
      </c>
      <c r="B956" s="0" t="s">
        <v>68</v>
      </c>
      <c r="C956" s="0" t="s">
        <v>730</v>
      </c>
      <c r="D956" s="0" t="s">
        <v>66</v>
      </c>
      <c r="E956" s="2" t="n">
        <v>46204</v>
      </c>
      <c r="F956" s="3" t="s">
        <v>20</v>
      </c>
      <c r="G956" s="3" t="s">
        <v>104</v>
      </c>
      <c r="H956" s="3" t="s">
        <v>48</v>
      </c>
      <c r="I956" s="3" t="n">
        <f aca="false">YEAR(E956)</f>
        <v>2026</v>
      </c>
      <c r="J956" s="3" t="n">
        <f aca="false">MONTH(E956)</f>
        <v>7</v>
      </c>
      <c r="K956" s="3" t="n">
        <f aca="false">COUNTIFS($B$2:$B$4077,B956,$C$2:$C$4077,C956,$I$2:$I$4077,I956)</f>
        <v>4</v>
      </c>
      <c r="L956" s="3" t="n">
        <f aca="false">IF(COUNTIFS($B$2:B956,B956,$C$2:C956,C956,$I$2:I956,I956)=1,1,0)</f>
        <v>1</v>
      </c>
      <c r="M956" s="3" t="n">
        <f aca="false">IF(K956&gt;=Parametri!$B$1,1,0)</f>
        <v>1</v>
      </c>
      <c r="N956" s="3" t="n">
        <f aca="false">L956*M956</f>
        <v>1</v>
      </c>
    </row>
    <row r="957" customFormat="false" ht="15" hidden="false" customHeight="false" outlineLevel="0" collapsed="false">
      <c r="A957" s="0" t="s">
        <v>1695</v>
      </c>
      <c r="B957" s="0" t="s">
        <v>41</v>
      </c>
      <c r="C957" s="0" t="s">
        <v>1696</v>
      </c>
      <c r="D957" s="0" t="s">
        <v>19</v>
      </c>
      <c r="E957" s="2" t="n">
        <v>45714</v>
      </c>
      <c r="F957" s="3" t="s">
        <v>27</v>
      </c>
      <c r="G957" s="3" t="s">
        <v>55</v>
      </c>
      <c r="H957" s="3" t="s">
        <v>44</v>
      </c>
      <c r="I957" s="3" t="n">
        <f aca="false">YEAR(E957)</f>
        <v>2025</v>
      </c>
      <c r="J957" s="3" t="n">
        <f aca="false">MONTH(E957)</f>
        <v>2</v>
      </c>
      <c r="K957" s="3" t="n">
        <f aca="false">COUNTIFS($B$2:$B$4077,B957,$C$2:$C$4077,C957,$I$2:$I$4077,I957)</f>
        <v>1</v>
      </c>
      <c r="L957" s="3" t="n">
        <f aca="false">IF(COUNTIFS($B$2:B957,B957,$C$2:C957,C957,$I$2:I957,I957)=1,1,0)</f>
        <v>1</v>
      </c>
      <c r="M957" s="3" t="n">
        <f aca="false">IF(K957&gt;=Parametri!$B$1,1,0)</f>
        <v>0</v>
      </c>
      <c r="N957" s="3" t="n">
        <f aca="false">L957*M957</f>
        <v>0</v>
      </c>
    </row>
    <row r="958" customFormat="false" ht="15" hidden="false" customHeight="false" outlineLevel="0" collapsed="false">
      <c r="A958" s="0" t="s">
        <v>1697</v>
      </c>
      <c r="B958" s="0" t="s">
        <v>50</v>
      </c>
      <c r="C958" s="0" t="s">
        <v>1698</v>
      </c>
      <c r="D958" s="0" t="s">
        <v>54</v>
      </c>
      <c r="E958" s="2" t="n">
        <v>45560</v>
      </c>
      <c r="F958" s="3" t="s">
        <v>20</v>
      </c>
      <c r="G958" s="3" t="s">
        <v>21</v>
      </c>
      <c r="H958" s="3" t="s">
        <v>44</v>
      </c>
      <c r="I958" s="3" t="n">
        <f aca="false">YEAR(E958)</f>
        <v>2024</v>
      </c>
      <c r="J958" s="3" t="n">
        <f aca="false">MONTH(E958)</f>
        <v>9</v>
      </c>
      <c r="K958" s="3" t="n">
        <f aca="false">COUNTIFS($B$2:$B$4077,B958,$C$2:$C$4077,C958,$I$2:$I$4077,I958)</f>
        <v>1</v>
      </c>
      <c r="L958" s="3" t="n">
        <f aca="false">IF(COUNTIFS($B$2:B958,B958,$C$2:C958,C958,$I$2:I958,I958)=1,1,0)</f>
        <v>1</v>
      </c>
      <c r="M958" s="3" t="n">
        <f aca="false">IF(K958&gt;=Parametri!$B$1,1,0)</f>
        <v>0</v>
      </c>
      <c r="N958" s="3" t="n">
        <f aca="false">L958*M958</f>
        <v>0</v>
      </c>
    </row>
    <row r="959" customFormat="false" ht="15" hidden="false" customHeight="false" outlineLevel="0" collapsed="false">
      <c r="A959" s="0" t="s">
        <v>1699</v>
      </c>
      <c r="B959" s="0" t="s">
        <v>124</v>
      </c>
      <c r="C959" s="0" t="s">
        <v>1700</v>
      </c>
      <c r="D959" s="0" t="s">
        <v>77</v>
      </c>
      <c r="E959" s="2" t="n">
        <v>45852</v>
      </c>
      <c r="F959" s="3" t="s">
        <v>34</v>
      </c>
      <c r="G959" s="3" t="s">
        <v>21</v>
      </c>
      <c r="H959" s="3" t="s">
        <v>29</v>
      </c>
      <c r="I959" s="3" t="n">
        <f aca="false">YEAR(E959)</f>
        <v>2025</v>
      </c>
      <c r="J959" s="3" t="n">
        <f aca="false">MONTH(E959)</f>
        <v>7</v>
      </c>
      <c r="K959" s="3" t="n">
        <f aca="false">COUNTIFS($B$2:$B$4077,B959,$C$2:$C$4077,C959,$I$2:$I$4077,I959)</f>
        <v>2</v>
      </c>
      <c r="L959" s="3" t="n">
        <f aca="false">IF(COUNTIFS($B$2:B959,B959,$C$2:C959,C959,$I$2:I959,I959)=1,1,0)</f>
        <v>1</v>
      </c>
      <c r="M959" s="3" t="n">
        <f aca="false">IF(K959&gt;=Parametri!$B$1,1,0)</f>
        <v>1</v>
      </c>
      <c r="N959" s="3" t="n">
        <f aca="false">L959*M959</f>
        <v>1</v>
      </c>
    </row>
    <row r="960" customFormat="false" ht="15" hidden="false" customHeight="false" outlineLevel="0" collapsed="false">
      <c r="A960" s="0" t="s">
        <v>1701</v>
      </c>
      <c r="B960" s="0" t="s">
        <v>24</v>
      </c>
      <c r="C960" s="0" t="s">
        <v>1702</v>
      </c>
      <c r="D960" s="0" t="s">
        <v>54</v>
      </c>
      <c r="E960" s="2" t="n">
        <v>45957</v>
      </c>
      <c r="F960" s="3" t="s">
        <v>20</v>
      </c>
      <c r="G960" s="3" t="s">
        <v>28</v>
      </c>
      <c r="H960" s="3" t="s">
        <v>29</v>
      </c>
      <c r="I960" s="3" t="n">
        <f aca="false">YEAR(E960)</f>
        <v>2025</v>
      </c>
      <c r="J960" s="3" t="n">
        <f aca="false">MONTH(E960)</f>
        <v>10</v>
      </c>
      <c r="K960" s="3" t="n">
        <f aca="false">COUNTIFS($B$2:$B$4077,B960,$C$2:$C$4077,C960,$I$2:$I$4077,I960)</f>
        <v>1</v>
      </c>
      <c r="L960" s="3" t="n">
        <f aca="false">IF(COUNTIFS($B$2:B960,B960,$C$2:C960,C960,$I$2:I960,I960)=1,1,0)</f>
        <v>1</v>
      </c>
      <c r="M960" s="3" t="n">
        <f aca="false">IF(K960&gt;=Parametri!$B$1,1,0)</f>
        <v>0</v>
      </c>
      <c r="N960" s="3" t="n">
        <f aca="false">L960*M960</f>
        <v>0</v>
      </c>
    </row>
    <row r="961" customFormat="false" ht="15" hidden="false" customHeight="false" outlineLevel="0" collapsed="false">
      <c r="A961" s="0" t="s">
        <v>1703</v>
      </c>
      <c r="B961" s="0" t="s">
        <v>41</v>
      </c>
      <c r="C961" s="0" t="s">
        <v>1704</v>
      </c>
      <c r="D961" s="0" t="s">
        <v>38</v>
      </c>
      <c r="E961" s="2" t="n">
        <v>45923</v>
      </c>
      <c r="F961" s="3" t="s">
        <v>34</v>
      </c>
      <c r="G961" s="3" t="s">
        <v>35</v>
      </c>
      <c r="H961" s="3" t="s">
        <v>44</v>
      </c>
      <c r="I961" s="3" t="n">
        <f aca="false">YEAR(E961)</f>
        <v>2025</v>
      </c>
      <c r="J961" s="3" t="n">
        <f aca="false">MONTH(E961)</f>
        <v>9</v>
      </c>
      <c r="K961" s="3" t="n">
        <f aca="false">COUNTIFS($B$2:$B$4077,B961,$C$2:$C$4077,C961,$I$2:$I$4077,I961)</f>
        <v>2</v>
      </c>
      <c r="L961" s="3" t="n">
        <f aca="false">IF(COUNTIFS($B$2:B961,B961,$C$2:C961,C961,$I$2:I961,I961)=1,1,0)</f>
        <v>1</v>
      </c>
      <c r="M961" s="3" t="n">
        <f aca="false">IF(K961&gt;=Parametri!$B$1,1,0)</f>
        <v>1</v>
      </c>
      <c r="N961" s="3" t="n">
        <f aca="false">L961*M961</f>
        <v>1</v>
      </c>
    </row>
    <row r="962" customFormat="false" ht="15" hidden="false" customHeight="false" outlineLevel="0" collapsed="false">
      <c r="A962" s="0" t="s">
        <v>1705</v>
      </c>
      <c r="B962" s="0" t="s">
        <v>68</v>
      </c>
      <c r="C962" s="0" t="s">
        <v>1706</v>
      </c>
      <c r="D962" s="0" t="s">
        <v>77</v>
      </c>
      <c r="E962" s="2" t="n">
        <v>46003</v>
      </c>
      <c r="F962" s="3" t="s">
        <v>34</v>
      </c>
      <c r="G962" s="3" t="s">
        <v>21</v>
      </c>
      <c r="H962" s="3" t="s">
        <v>22</v>
      </c>
      <c r="I962" s="3" t="n">
        <f aca="false">YEAR(E962)</f>
        <v>2025</v>
      </c>
      <c r="J962" s="3" t="n">
        <f aca="false">MONTH(E962)</f>
        <v>12</v>
      </c>
      <c r="K962" s="3" t="n">
        <f aca="false">COUNTIFS($B$2:$B$4077,B962,$C$2:$C$4077,C962,$I$2:$I$4077,I962)</f>
        <v>1</v>
      </c>
      <c r="L962" s="3" t="n">
        <f aca="false">IF(COUNTIFS($B$2:B962,B962,$C$2:C962,C962,$I$2:I962,I962)=1,1,0)</f>
        <v>1</v>
      </c>
      <c r="M962" s="3" t="n">
        <f aca="false">IF(K962&gt;=Parametri!$B$1,1,0)</f>
        <v>0</v>
      </c>
      <c r="N962" s="3" t="n">
        <f aca="false">L962*M962</f>
        <v>0</v>
      </c>
    </row>
    <row r="963" customFormat="false" ht="15" hidden="false" customHeight="false" outlineLevel="0" collapsed="false">
      <c r="A963" s="0" t="s">
        <v>1707</v>
      </c>
      <c r="B963" s="0" t="s">
        <v>17</v>
      </c>
      <c r="C963" s="0" t="s">
        <v>1690</v>
      </c>
      <c r="D963" s="0" t="s">
        <v>54</v>
      </c>
      <c r="E963" s="2" t="n">
        <v>45510</v>
      </c>
      <c r="F963" s="3" t="s">
        <v>27</v>
      </c>
      <c r="G963" s="3" t="s">
        <v>55</v>
      </c>
      <c r="H963" s="3" t="s">
        <v>44</v>
      </c>
      <c r="I963" s="3" t="n">
        <f aca="false">YEAR(E963)</f>
        <v>2024</v>
      </c>
      <c r="J963" s="3" t="n">
        <f aca="false">MONTH(E963)</f>
        <v>8</v>
      </c>
      <c r="K963" s="3" t="n">
        <f aca="false">COUNTIFS($B$2:$B$4077,B963,$C$2:$C$4077,C963,$I$2:$I$4077,I963)</f>
        <v>1</v>
      </c>
      <c r="L963" s="3" t="n">
        <f aca="false">IF(COUNTIFS($B$2:B963,B963,$C$2:C963,C963,$I$2:I963,I963)=1,1,0)</f>
        <v>1</v>
      </c>
      <c r="M963" s="3" t="n">
        <f aca="false">IF(K963&gt;=Parametri!$B$1,1,0)</f>
        <v>0</v>
      </c>
      <c r="N963" s="3" t="n">
        <f aca="false">L963*M963</f>
        <v>0</v>
      </c>
    </row>
    <row r="964" customFormat="false" ht="15" hidden="false" customHeight="false" outlineLevel="0" collapsed="false">
      <c r="A964" s="0" t="s">
        <v>1708</v>
      </c>
      <c r="B964" s="0" t="s">
        <v>17</v>
      </c>
      <c r="C964" s="0" t="s">
        <v>1709</v>
      </c>
      <c r="D964" s="0" t="s">
        <v>38</v>
      </c>
      <c r="E964" s="2" t="n">
        <v>45451</v>
      </c>
      <c r="F964" s="3" t="s">
        <v>34</v>
      </c>
      <c r="G964" s="3" t="s">
        <v>21</v>
      </c>
      <c r="H964" s="3" t="s">
        <v>44</v>
      </c>
      <c r="I964" s="3" t="n">
        <f aca="false">YEAR(E964)</f>
        <v>2024</v>
      </c>
      <c r="J964" s="3" t="n">
        <f aca="false">MONTH(E964)</f>
        <v>6</v>
      </c>
      <c r="K964" s="3" t="n">
        <f aca="false">COUNTIFS($B$2:$B$4077,B964,$C$2:$C$4077,C964,$I$2:$I$4077,I964)</f>
        <v>1</v>
      </c>
      <c r="L964" s="3" t="n">
        <f aca="false">IF(COUNTIFS($B$2:B964,B964,$C$2:C964,C964,$I$2:I964,I964)=1,1,0)</f>
        <v>1</v>
      </c>
      <c r="M964" s="3" t="n">
        <f aca="false">IF(K964&gt;=Parametri!$B$1,1,0)</f>
        <v>0</v>
      </c>
      <c r="N964" s="3" t="n">
        <f aca="false">L964*M964</f>
        <v>0</v>
      </c>
    </row>
    <row r="965" customFormat="false" ht="15" hidden="false" customHeight="false" outlineLevel="0" collapsed="false">
      <c r="A965" s="0" t="s">
        <v>1710</v>
      </c>
      <c r="B965" s="0" t="s">
        <v>57</v>
      </c>
      <c r="C965" s="0" t="s">
        <v>1711</v>
      </c>
      <c r="D965" s="0" t="s">
        <v>66</v>
      </c>
      <c r="E965" s="2" t="n">
        <v>45738</v>
      </c>
      <c r="F965" s="3" t="s">
        <v>104</v>
      </c>
      <c r="G965" s="3" t="s">
        <v>104</v>
      </c>
      <c r="H965" s="3" t="s">
        <v>104</v>
      </c>
      <c r="I965" s="3" t="n">
        <f aca="false">YEAR(E965)</f>
        <v>2025</v>
      </c>
      <c r="J965" s="3" t="n">
        <f aca="false">MONTH(E965)</f>
        <v>3</v>
      </c>
      <c r="K965" s="3" t="n">
        <f aca="false">COUNTIFS($B$2:$B$4077,B965,$C$2:$C$4077,C965,$I$2:$I$4077,I965)</f>
        <v>1</v>
      </c>
      <c r="L965" s="3" t="n">
        <f aca="false">IF(COUNTIFS($B$2:B965,B965,$C$2:C965,C965,$I$2:I965,I965)=1,1,0)</f>
        <v>1</v>
      </c>
      <c r="M965" s="3" t="n">
        <f aca="false">IF(K965&gt;=Parametri!$B$1,1,0)</f>
        <v>0</v>
      </c>
      <c r="N965" s="3" t="n">
        <f aca="false">L965*M965</f>
        <v>0</v>
      </c>
    </row>
    <row r="966" customFormat="false" ht="15" hidden="false" customHeight="false" outlineLevel="0" collapsed="false">
      <c r="A966" s="0" t="s">
        <v>1712</v>
      </c>
      <c r="B966" s="0" t="s">
        <v>24</v>
      </c>
      <c r="C966" s="0" t="s">
        <v>1713</v>
      </c>
      <c r="D966" s="0" t="s">
        <v>26</v>
      </c>
      <c r="E966" s="2" t="n">
        <v>45724</v>
      </c>
      <c r="F966" s="3" t="s">
        <v>20</v>
      </c>
      <c r="G966" s="3" t="s">
        <v>89</v>
      </c>
      <c r="H966" s="3" t="s">
        <v>48</v>
      </c>
      <c r="I966" s="3" t="n">
        <f aca="false">YEAR(E966)</f>
        <v>2025</v>
      </c>
      <c r="J966" s="3" t="n">
        <f aca="false">MONTH(E966)</f>
        <v>3</v>
      </c>
      <c r="K966" s="3" t="n">
        <f aca="false">COUNTIFS($B$2:$B$4077,B966,$C$2:$C$4077,C966,$I$2:$I$4077,I966)</f>
        <v>1</v>
      </c>
      <c r="L966" s="3" t="n">
        <f aca="false">IF(COUNTIFS($B$2:B966,B966,$C$2:C966,C966,$I$2:I966,I966)=1,1,0)</f>
        <v>1</v>
      </c>
      <c r="M966" s="3" t="n">
        <f aca="false">IF(K966&gt;=Parametri!$B$1,1,0)</f>
        <v>0</v>
      </c>
      <c r="N966" s="3" t="n">
        <f aca="false">L966*M966</f>
        <v>0</v>
      </c>
    </row>
    <row r="967" customFormat="false" ht="15" hidden="false" customHeight="false" outlineLevel="0" collapsed="false">
      <c r="A967" s="0" t="s">
        <v>1714</v>
      </c>
      <c r="B967" s="0" t="s">
        <v>41</v>
      </c>
      <c r="C967" s="0" t="s">
        <v>1715</v>
      </c>
      <c r="D967" s="0" t="s">
        <v>54</v>
      </c>
      <c r="E967" s="2" t="n">
        <v>45654</v>
      </c>
      <c r="F967" s="3" t="s">
        <v>20</v>
      </c>
      <c r="G967" s="3" t="s">
        <v>28</v>
      </c>
      <c r="H967" s="3" t="s">
        <v>44</v>
      </c>
      <c r="I967" s="3" t="n">
        <f aca="false">YEAR(E967)</f>
        <v>2024</v>
      </c>
      <c r="J967" s="3" t="n">
        <f aca="false">MONTH(E967)</f>
        <v>12</v>
      </c>
      <c r="K967" s="3" t="n">
        <f aca="false">COUNTIFS($B$2:$B$4077,B967,$C$2:$C$4077,C967,$I$2:$I$4077,I967)</f>
        <v>2</v>
      </c>
      <c r="L967" s="3" t="n">
        <f aca="false">IF(COUNTIFS($B$2:B967,B967,$C$2:C967,C967,$I$2:I967,I967)=1,1,0)</f>
        <v>1</v>
      </c>
      <c r="M967" s="3" t="n">
        <f aca="false">IF(K967&gt;=Parametri!$B$1,1,0)</f>
        <v>1</v>
      </c>
      <c r="N967" s="3" t="n">
        <f aca="false">L967*M967</f>
        <v>1</v>
      </c>
    </row>
    <row r="968" customFormat="false" ht="15" hidden="false" customHeight="false" outlineLevel="0" collapsed="false">
      <c r="A968" s="0" t="s">
        <v>1716</v>
      </c>
      <c r="B968" s="0" t="s">
        <v>124</v>
      </c>
      <c r="C968" s="0" t="s">
        <v>766</v>
      </c>
      <c r="D968" s="0" t="s">
        <v>33</v>
      </c>
      <c r="E968" s="2" t="n">
        <v>45374</v>
      </c>
      <c r="F968" s="3" t="s">
        <v>20</v>
      </c>
      <c r="G968" s="3" t="s">
        <v>28</v>
      </c>
      <c r="H968" s="3" t="s">
        <v>44</v>
      </c>
      <c r="I968" s="3" t="n">
        <f aca="false">YEAR(E968)</f>
        <v>2024</v>
      </c>
      <c r="J968" s="3" t="n">
        <f aca="false">MONTH(E968)</f>
        <v>3</v>
      </c>
      <c r="K968" s="3" t="n">
        <f aca="false">COUNTIFS($B$2:$B$4077,B968,$C$2:$C$4077,C968,$I$2:$I$4077,I968)</f>
        <v>2</v>
      </c>
      <c r="L968" s="3" t="n">
        <f aca="false">IF(COUNTIFS($B$2:B968,B968,$C$2:C968,C968,$I$2:I968,I968)=1,1,0)</f>
        <v>1</v>
      </c>
      <c r="M968" s="3" t="n">
        <f aca="false">IF(K968&gt;=Parametri!$B$1,1,0)</f>
        <v>1</v>
      </c>
      <c r="N968" s="3" t="n">
        <f aca="false">L968*M968</f>
        <v>1</v>
      </c>
    </row>
    <row r="969" customFormat="false" ht="15" hidden="false" customHeight="false" outlineLevel="0" collapsed="false">
      <c r="A969" s="0" t="s">
        <v>1717</v>
      </c>
      <c r="B969" s="0" t="s">
        <v>24</v>
      </c>
      <c r="C969" s="0" t="s">
        <v>1718</v>
      </c>
      <c r="D969" s="0" t="s">
        <v>66</v>
      </c>
      <c r="E969" s="2" t="n">
        <v>46209</v>
      </c>
      <c r="F969" s="3" t="s">
        <v>27</v>
      </c>
      <c r="G969" s="3" t="s">
        <v>89</v>
      </c>
      <c r="H969" s="3" t="s">
        <v>48</v>
      </c>
      <c r="I969" s="3" t="n">
        <f aca="false">YEAR(E969)</f>
        <v>2026</v>
      </c>
      <c r="J969" s="3" t="n">
        <f aca="false">MONTH(E969)</f>
        <v>7</v>
      </c>
      <c r="K969" s="3" t="n">
        <f aca="false">COUNTIFS($B$2:$B$4077,B969,$C$2:$C$4077,C969,$I$2:$I$4077,I969)</f>
        <v>2</v>
      </c>
      <c r="L969" s="3" t="n">
        <f aca="false">IF(COUNTIFS($B$2:B969,B969,$C$2:C969,C969,$I$2:I969,I969)=1,1,0)</f>
        <v>1</v>
      </c>
      <c r="M969" s="3" t="n">
        <f aca="false">IF(K969&gt;=Parametri!$B$1,1,0)</f>
        <v>1</v>
      </c>
      <c r="N969" s="3" t="n">
        <f aca="false">L969*M969</f>
        <v>1</v>
      </c>
    </row>
    <row r="970" customFormat="false" ht="15" hidden="false" customHeight="false" outlineLevel="0" collapsed="false">
      <c r="A970" s="0" t="s">
        <v>1719</v>
      </c>
      <c r="B970" s="0" t="s">
        <v>57</v>
      </c>
      <c r="C970" s="0" t="s">
        <v>1720</v>
      </c>
      <c r="D970" s="0" t="s">
        <v>54</v>
      </c>
      <c r="E970" s="2" t="n">
        <v>45439</v>
      </c>
      <c r="F970" s="3" t="s">
        <v>20</v>
      </c>
      <c r="G970" s="3" t="s">
        <v>39</v>
      </c>
      <c r="H970" s="3" t="s">
        <v>48</v>
      </c>
      <c r="I970" s="3" t="n">
        <f aca="false">YEAR(E970)</f>
        <v>2024</v>
      </c>
      <c r="J970" s="3" t="n">
        <f aca="false">MONTH(E970)</f>
        <v>5</v>
      </c>
      <c r="K970" s="3" t="n">
        <f aca="false">COUNTIFS($B$2:$B$4077,B970,$C$2:$C$4077,C970,$I$2:$I$4077,I970)</f>
        <v>1</v>
      </c>
      <c r="L970" s="3" t="n">
        <f aca="false">IF(COUNTIFS($B$2:B970,B970,$C$2:C970,C970,$I$2:I970,I970)=1,1,0)</f>
        <v>1</v>
      </c>
      <c r="M970" s="3" t="n">
        <f aca="false">IF(K970&gt;=Parametri!$B$1,1,0)</f>
        <v>0</v>
      </c>
      <c r="N970" s="3" t="n">
        <f aca="false">L970*M970</f>
        <v>0</v>
      </c>
    </row>
    <row r="971" customFormat="false" ht="15" hidden="false" customHeight="false" outlineLevel="0" collapsed="false">
      <c r="A971" s="0" t="s">
        <v>1721</v>
      </c>
      <c r="B971" s="0" t="s">
        <v>17</v>
      </c>
      <c r="C971" s="0" t="s">
        <v>1272</v>
      </c>
      <c r="D971" s="0" t="s">
        <v>33</v>
      </c>
      <c r="E971" s="2" t="n">
        <v>46167</v>
      </c>
      <c r="F971" s="3" t="s">
        <v>27</v>
      </c>
      <c r="G971" s="3" t="s">
        <v>28</v>
      </c>
      <c r="H971" s="3" t="s">
        <v>22</v>
      </c>
      <c r="I971" s="3" t="n">
        <f aca="false">YEAR(E971)</f>
        <v>2026</v>
      </c>
      <c r="J971" s="3" t="n">
        <f aca="false">MONTH(E971)</f>
        <v>5</v>
      </c>
      <c r="K971" s="3" t="n">
        <f aca="false">COUNTIFS($B$2:$B$4077,B971,$C$2:$C$4077,C971,$I$2:$I$4077,I971)</f>
        <v>3</v>
      </c>
      <c r="L971" s="3" t="n">
        <f aca="false">IF(COUNTIFS($B$2:B971,B971,$C$2:C971,C971,$I$2:I971,I971)=1,1,0)</f>
        <v>0</v>
      </c>
      <c r="M971" s="3" t="n">
        <f aca="false">IF(K971&gt;=Parametri!$B$1,1,0)</f>
        <v>1</v>
      </c>
      <c r="N971" s="3" t="n">
        <f aca="false">L971*M971</f>
        <v>0</v>
      </c>
    </row>
    <row r="972" customFormat="false" ht="15" hidden="false" customHeight="false" outlineLevel="0" collapsed="false">
      <c r="A972" s="0" t="s">
        <v>1722</v>
      </c>
      <c r="B972" s="0" t="s">
        <v>46</v>
      </c>
      <c r="C972" s="0" t="s">
        <v>1723</v>
      </c>
      <c r="D972" s="0" t="s">
        <v>38</v>
      </c>
      <c r="E972" s="2" t="n">
        <v>45494</v>
      </c>
      <c r="F972" s="3" t="s">
        <v>27</v>
      </c>
      <c r="G972" s="3" t="s">
        <v>104</v>
      </c>
      <c r="H972" s="3" t="s">
        <v>104</v>
      </c>
      <c r="I972" s="3" t="n">
        <f aca="false">YEAR(E972)</f>
        <v>2024</v>
      </c>
      <c r="J972" s="3" t="n">
        <f aca="false">MONTH(E972)</f>
        <v>7</v>
      </c>
      <c r="K972" s="3" t="n">
        <f aca="false">COUNTIFS($B$2:$B$4077,B972,$C$2:$C$4077,C972,$I$2:$I$4077,I972)</f>
        <v>1</v>
      </c>
      <c r="L972" s="3" t="n">
        <f aca="false">IF(COUNTIFS($B$2:B972,B972,$C$2:C972,C972,$I$2:I972,I972)=1,1,0)</f>
        <v>1</v>
      </c>
      <c r="M972" s="3" t="n">
        <f aca="false">IF(K972&gt;=Parametri!$B$1,1,0)</f>
        <v>0</v>
      </c>
      <c r="N972" s="3" t="n">
        <f aca="false">L972*M972</f>
        <v>0</v>
      </c>
    </row>
    <row r="973" customFormat="false" ht="15" hidden="false" customHeight="false" outlineLevel="0" collapsed="false">
      <c r="A973" s="0" t="s">
        <v>1724</v>
      </c>
      <c r="B973" s="0" t="s">
        <v>24</v>
      </c>
      <c r="C973" s="0" t="s">
        <v>1725</v>
      </c>
      <c r="D973" s="0" t="s">
        <v>54</v>
      </c>
      <c r="E973" s="2" t="n">
        <v>45360</v>
      </c>
      <c r="F973" s="3" t="s">
        <v>20</v>
      </c>
      <c r="G973" s="3" t="s">
        <v>55</v>
      </c>
      <c r="H973" s="3" t="s">
        <v>44</v>
      </c>
      <c r="I973" s="3" t="n">
        <f aca="false">YEAR(E973)</f>
        <v>2024</v>
      </c>
      <c r="J973" s="3" t="n">
        <f aca="false">MONTH(E973)</f>
        <v>3</v>
      </c>
      <c r="K973" s="3" t="n">
        <f aca="false">COUNTIFS($B$2:$B$4077,B973,$C$2:$C$4077,C973,$I$2:$I$4077,I973)</f>
        <v>2</v>
      </c>
      <c r="L973" s="3" t="n">
        <f aca="false">IF(COUNTIFS($B$2:B973,B973,$C$2:C973,C973,$I$2:I973,I973)=1,1,0)</f>
        <v>1</v>
      </c>
      <c r="M973" s="3" t="n">
        <f aca="false">IF(K973&gt;=Parametri!$B$1,1,0)</f>
        <v>1</v>
      </c>
      <c r="N973" s="3" t="n">
        <f aca="false">L973*M973</f>
        <v>1</v>
      </c>
    </row>
    <row r="974" customFormat="false" ht="15" hidden="false" customHeight="false" outlineLevel="0" collapsed="false">
      <c r="A974" s="0" t="s">
        <v>1726</v>
      </c>
      <c r="B974" s="0" t="s">
        <v>24</v>
      </c>
      <c r="C974" s="0" t="s">
        <v>1727</v>
      </c>
      <c r="D974" s="0" t="s">
        <v>54</v>
      </c>
      <c r="E974" s="2" t="n">
        <v>46030</v>
      </c>
      <c r="F974" s="3" t="s">
        <v>20</v>
      </c>
      <c r="G974" s="3" t="s">
        <v>72</v>
      </c>
      <c r="H974" s="3" t="s">
        <v>29</v>
      </c>
      <c r="I974" s="3" t="n">
        <f aca="false">YEAR(E974)</f>
        <v>2026</v>
      </c>
      <c r="J974" s="3" t="n">
        <f aca="false">MONTH(E974)</f>
        <v>1</v>
      </c>
      <c r="K974" s="3" t="n">
        <f aca="false">COUNTIFS($B$2:$B$4077,B974,$C$2:$C$4077,C974,$I$2:$I$4077,I974)</f>
        <v>2</v>
      </c>
      <c r="L974" s="3" t="n">
        <f aca="false">IF(COUNTIFS($B$2:B974,B974,$C$2:C974,C974,$I$2:I974,I974)=1,1,0)</f>
        <v>1</v>
      </c>
      <c r="M974" s="3" t="n">
        <f aca="false">IF(K974&gt;=Parametri!$B$1,1,0)</f>
        <v>1</v>
      </c>
      <c r="N974" s="3" t="n">
        <f aca="false">L974*M974</f>
        <v>1</v>
      </c>
    </row>
    <row r="975" customFormat="false" ht="15" hidden="false" customHeight="false" outlineLevel="0" collapsed="false">
      <c r="A975" s="0" t="s">
        <v>1728</v>
      </c>
      <c r="B975" s="0" t="s">
        <v>24</v>
      </c>
      <c r="C975" s="0" t="s">
        <v>1729</v>
      </c>
      <c r="D975" s="0" t="s">
        <v>66</v>
      </c>
      <c r="E975" s="2" t="n">
        <v>45675</v>
      </c>
      <c r="F975" s="3" t="s">
        <v>27</v>
      </c>
      <c r="G975" s="3" t="s">
        <v>43</v>
      </c>
      <c r="H975" s="3" t="s">
        <v>29</v>
      </c>
      <c r="I975" s="3" t="n">
        <f aca="false">YEAR(E975)</f>
        <v>2025</v>
      </c>
      <c r="J975" s="3" t="n">
        <f aca="false">MONTH(E975)</f>
        <v>1</v>
      </c>
      <c r="K975" s="3" t="n">
        <f aca="false">COUNTIFS($B$2:$B$4077,B975,$C$2:$C$4077,C975,$I$2:$I$4077,I975)</f>
        <v>1</v>
      </c>
      <c r="L975" s="3" t="n">
        <f aca="false">IF(COUNTIFS($B$2:B975,B975,$C$2:C975,C975,$I$2:I975,I975)=1,1,0)</f>
        <v>1</v>
      </c>
      <c r="M975" s="3" t="n">
        <f aca="false">IF(K975&gt;=Parametri!$B$1,1,0)</f>
        <v>0</v>
      </c>
      <c r="N975" s="3" t="n">
        <f aca="false">L975*M975</f>
        <v>0</v>
      </c>
    </row>
    <row r="976" customFormat="false" ht="15" hidden="false" customHeight="false" outlineLevel="0" collapsed="false">
      <c r="A976" s="0" t="s">
        <v>1730</v>
      </c>
      <c r="B976" s="0" t="s">
        <v>46</v>
      </c>
      <c r="C976" s="0" t="s">
        <v>1731</v>
      </c>
      <c r="D976" s="0" t="s">
        <v>54</v>
      </c>
      <c r="E976" s="2" t="n">
        <v>45480</v>
      </c>
      <c r="F976" s="3" t="s">
        <v>34</v>
      </c>
      <c r="G976" s="3" t="s">
        <v>55</v>
      </c>
      <c r="H976" s="3" t="s">
        <v>22</v>
      </c>
      <c r="I976" s="3" t="n">
        <f aca="false">YEAR(E976)</f>
        <v>2024</v>
      </c>
      <c r="J976" s="3" t="n">
        <f aca="false">MONTH(E976)</f>
        <v>7</v>
      </c>
      <c r="K976" s="3" t="n">
        <f aca="false">COUNTIFS($B$2:$B$4077,B976,$C$2:$C$4077,C976,$I$2:$I$4077,I976)</f>
        <v>2</v>
      </c>
      <c r="L976" s="3" t="n">
        <f aca="false">IF(COUNTIFS($B$2:B976,B976,$C$2:C976,C976,$I$2:I976,I976)=1,1,0)</f>
        <v>1</v>
      </c>
      <c r="M976" s="3" t="n">
        <f aca="false">IF(K976&gt;=Parametri!$B$1,1,0)</f>
        <v>1</v>
      </c>
      <c r="N976" s="3" t="n">
        <f aca="false">L976*M976</f>
        <v>1</v>
      </c>
    </row>
    <row r="977" customFormat="false" ht="15" hidden="false" customHeight="false" outlineLevel="0" collapsed="false">
      <c r="A977" s="0" t="s">
        <v>1732</v>
      </c>
      <c r="B977" s="0" t="s">
        <v>46</v>
      </c>
      <c r="C977" s="0" t="s">
        <v>1733</v>
      </c>
      <c r="D977" s="0" t="s">
        <v>77</v>
      </c>
      <c r="E977" s="2" t="n">
        <v>46121</v>
      </c>
      <c r="F977" s="3" t="s">
        <v>20</v>
      </c>
      <c r="G977" s="3" t="s">
        <v>21</v>
      </c>
      <c r="H977" s="3" t="s">
        <v>44</v>
      </c>
      <c r="I977" s="3" t="n">
        <f aca="false">YEAR(E977)</f>
        <v>2026</v>
      </c>
      <c r="J977" s="3" t="n">
        <f aca="false">MONTH(E977)</f>
        <v>4</v>
      </c>
      <c r="K977" s="3" t="n">
        <f aca="false">COUNTIFS($B$2:$B$4077,B977,$C$2:$C$4077,C977,$I$2:$I$4077,I977)</f>
        <v>1</v>
      </c>
      <c r="L977" s="3" t="n">
        <f aca="false">IF(COUNTIFS($B$2:B977,B977,$C$2:C977,C977,$I$2:I977,I977)=1,1,0)</f>
        <v>1</v>
      </c>
      <c r="M977" s="3" t="n">
        <f aca="false">IF(K977&gt;=Parametri!$B$1,1,0)</f>
        <v>0</v>
      </c>
      <c r="N977" s="3" t="n">
        <f aca="false">L977*M977</f>
        <v>0</v>
      </c>
    </row>
    <row r="978" customFormat="false" ht="15" hidden="false" customHeight="false" outlineLevel="0" collapsed="false">
      <c r="A978" s="0" t="s">
        <v>1734</v>
      </c>
      <c r="B978" s="0" t="s">
        <v>31</v>
      </c>
      <c r="C978" s="0" t="s">
        <v>279</v>
      </c>
      <c r="D978" s="0" t="s">
        <v>33</v>
      </c>
      <c r="E978" s="2" t="n">
        <v>45401</v>
      </c>
      <c r="F978" s="3" t="s">
        <v>27</v>
      </c>
      <c r="G978" s="3" t="s">
        <v>28</v>
      </c>
      <c r="H978" s="3" t="s">
        <v>22</v>
      </c>
      <c r="I978" s="3" t="n">
        <f aca="false">YEAR(E978)</f>
        <v>2024</v>
      </c>
      <c r="J978" s="3" t="n">
        <f aca="false">MONTH(E978)</f>
        <v>4</v>
      </c>
      <c r="K978" s="3" t="n">
        <f aca="false">COUNTIFS($B$2:$B$4077,B978,$C$2:$C$4077,C978,$I$2:$I$4077,I978)</f>
        <v>1</v>
      </c>
      <c r="L978" s="3" t="n">
        <f aca="false">IF(COUNTIFS($B$2:B978,B978,$C$2:C978,C978,$I$2:I978,I978)=1,1,0)</f>
        <v>1</v>
      </c>
      <c r="M978" s="3" t="n">
        <f aca="false">IF(K978&gt;=Parametri!$B$1,1,0)</f>
        <v>0</v>
      </c>
      <c r="N978" s="3" t="n">
        <f aca="false">L978*M978</f>
        <v>0</v>
      </c>
    </row>
    <row r="979" customFormat="false" ht="15" hidden="false" customHeight="false" outlineLevel="0" collapsed="false">
      <c r="A979" s="0" t="s">
        <v>1735</v>
      </c>
      <c r="B979" s="0" t="s">
        <v>46</v>
      </c>
      <c r="C979" s="0" t="s">
        <v>93</v>
      </c>
      <c r="D979" s="0" t="s">
        <v>54</v>
      </c>
      <c r="E979" s="2" t="n">
        <v>45927</v>
      </c>
      <c r="F979" s="3" t="s">
        <v>27</v>
      </c>
      <c r="G979" s="3" t="s">
        <v>21</v>
      </c>
      <c r="H979" s="3" t="s">
        <v>29</v>
      </c>
      <c r="I979" s="3" t="n">
        <f aca="false">YEAR(E979)</f>
        <v>2025</v>
      </c>
      <c r="J979" s="3" t="n">
        <f aca="false">MONTH(E979)</f>
        <v>9</v>
      </c>
      <c r="K979" s="3" t="n">
        <f aca="false">COUNTIFS($B$2:$B$4077,B979,$C$2:$C$4077,C979,$I$2:$I$4077,I979)</f>
        <v>3</v>
      </c>
      <c r="L979" s="3" t="n">
        <f aca="false">IF(COUNTIFS($B$2:B979,B979,$C$2:C979,C979,$I$2:I979,I979)=1,1,0)</f>
        <v>0</v>
      </c>
      <c r="M979" s="3" t="n">
        <f aca="false">IF(K979&gt;=Parametri!$B$1,1,0)</f>
        <v>1</v>
      </c>
      <c r="N979" s="3" t="n">
        <f aca="false">L979*M979</f>
        <v>0</v>
      </c>
    </row>
    <row r="980" customFormat="false" ht="15" hidden="false" customHeight="false" outlineLevel="0" collapsed="false">
      <c r="A980" s="0" t="s">
        <v>1736</v>
      </c>
      <c r="B980" s="0" t="s">
        <v>124</v>
      </c>
      <c r="C980" s="0" t="s">
        <v>1737</v>
      </c>
      <c r="D980" s="0" t="s">
        <v>33</v>
      </c>
      <c r="E980" s="2" t="n">
        <v>46005</v>
      </c>
      <c r="F980" s="3" t="s">
        <v>20</v>
      </c>
      <c r="G980" s="3" t="s">
        <v>72</v>
      </c>
      <c r="H980" s="3" t="s">
        <v>44</v>
      </c>
      <c r="I980" s="3" t="n">
        <f aca="false">YEAR(E980)</f>
        <v>2025</v>
      </c>
      <c r="J980" s="3" t="n">
        <f aca="false">MONTH(E980)</f>
        <v>12</v>
      </c>
      <c r="K980" s="3" t="n">
        <f aca="false">COUNTIFS($B$2:$B$4077,B980,$C$2:$C$4077,C980,$I$2:$I$4077,I980)</f>
        <v>1</v>
      </c>
      <c r="L980" s="3" t="n">
        <f aca="false">IF(COUNTIFS($B$2:B980,B980,$C$2:C980,C980,$I$2:I980,I980)=1,1,0)</f>
        <v>1</v>
      </c>
      <c r="M980" s="3" t="n">
        <f aca="false">IF(K980&gt;=Parametri!$B$1,1,0)</f>
        <v>0</v>
      </c>
      <c r="N980" s="3" t="n">
        <f aca="false">L980*M980</f>
        <v>0</v>
      </c>
    </row>
    <row r="981" customFormat="false" ht="15" hidden="false" customHeight="false" outlineLevel="0" collapsed="false">
      <c r="A981" s="0" t="s">
        <v>1738</v>
      </c>
      <c r="B981" s="0" t="s">
        <v>46</v>
      </c>
      <c r="C981" s="0" t="s">
        <v>1739</v>
      </c>
      <c r="D981" s="0" t="s">
        <v>26</v>
      </c>
      <c r="E981" s="2" t="n">
        <v>45392</v>
      </c>
      <c r="F981" s="3" t="s">
        <v>104</v>
      </c>
      <c r="G981" s="3" t="s">
        <v>104</v>
      </c>
      <c r="H981" s="3" t="s">
        <v>104</v>
      </c>
      <c r="I981" s="3" t="n">
        <f aca="false">YEAR(E981)</f>
        <v>2024</v>
      </c>
      <c r="J981" s="3" t="n">
        <f aca="false">MONTH(E981)</f>
        <v>4</v>
      </c>
      <c r="K981" s="3" t="n">
        <f aca="false">COUNTIFS($B$2:$B$4077,B981,$C$2:$C$4077,C981,$I$2:$I$4077,I981)</f>
        <v>1</v>
      </c>
      <c r="L981" s="3" t="n">
        <f aca="false">IF(COUNTIFS($B$2:B981,B981,$C$2:C981,C981,$I$2:I981,I981)=1,1,0)</f>
        <v>1</v>
      </c>
      <c r="M981" s="3" t="n">
        <f aca="false">IF(K981&gt;=Parametri!$B$1,1,0)</f>
        <v>0</v>
      </c>
      <c r="N981" s="3" t="n">
        <f aca="false">L981*M981</f>
        <v>0</v>
      </c>
    </row>
    <row r="982" customFormat="false" ht="15" hidden="false" customHeight="false" outlineLevel="0" collapsed="false">
      <c r="A982" s="0" t="s">
        <v>1740</v>
      </c>
      <c r="B982" s="0" t="s">
        <v>46</v>
      </c>
      <c r="C982" s="0" t="s">
        <v>1741</v>
      </c>
      <c r="D982" s="0" t="s">
        <v>33</v>
      </c>
      <c r="E982" s="2" t="n">
        <v>45847</v>
      </c>
      <c r="F982" s="3" t="s">
        <v>20</v>
      </c>
      <c r="G982" s="3" t="s">
        <v>28</v>
      </c>
      <c r="H982" s="3" t="s">
        <v>48</v>
      </c>
      <c r="I982" s="3" t="n">
        <f aca="false">YEAR(E982)</f>
        <v>2025</v>
      </c>
      <c r="J982" s="3" t="n">
        <f aca="false">MONTH(E982)</f>
        <v>7</v>
      </c>
      <c r="K982" s="3" t="n">
        <f aca="false">COUNTIFS($B$2:$B$4077,B982,$C$2:$C$4077,C982,$I$2:$I$4077,I982)</f>
        <v>1</v>
      </c>
      <c r="L982" s="3" t="n">
        <f aca="false">IF(COUNTIFS($B$2:B982,B982,$C$2:C982,C982,$I$2:I982,I982)=1,1,0)</f>
        <v>1</v>
      </c>
      <c r="M982" s="3" t="n">
        <f aca="false">IF(K982&gt;=Parametri!$B$1,1,0)</f>
        <v>0</v>
      </c>
      <c r="N982" s="3" t="n">
        <f aca="false">L982*M982</f>
        <v>0</v>
      </c>
    </row>
    <row r="983" customFormat="false" ht="15" hidden="false" customHeight="false" outlineLevel="0" collapsed="false">
      <c r="A983" s="0" t="s">
        <v>1742</v>
      </c>
      <c r="B983" s="0" t="s">
        <v>41</v>
      </c>
      <c r="C983" s="0" t="s">
        <v>1743</v>
      </c>
      <c r="D983" s="0" t="s">
        <v>33</v>
      </c>
      <c r="E983" s="2" t="n">
        <v>45643</v>
      </c>
      <c r="F983" s="3" t="s">
        <v>20</v>
      </c>
      <c r="G983" s="3" t="s">
        <v>55</v>
      </c>
      <c r="H983" s="3" t="s">
        <v>48</v>
      </c>
      <c r="I983" s="3" t="n">
        <f aca="false">YEAR(E983)</f>
        <v>2024</v>
      </c>
      <c r="J983" s="3" t="n">
        <f aca="false">MONTH(E983)</f>
        <v>12</v>
      </c>
      <c r="K983" s="3" t="n">
        <f aca="false">COUNTIFS($B$2:$B$4077,B983,$C$2:$C$4077,C983,$I$2:$I$4077,I983)</f>
        <v>1</v>
      </c>
      <c r="L983" s="3" t="n">
        <f aca="false">IF(COUNTIFS($B$2:B983,B983,$C$2:C983,C983,$I$2:I983,I983)=1,1,0)</f>
        <v>1</v>
      </c>
      <c r="M983" s="3" t="n">
        <f aca="false">IF(K983&gt;=Parametri!$B$1,1,0)</f>
        <v>0</v>
      </c>
      <c r="N983" s="3" t="n">
        <f aca="false">L983*M983</f>
        <v>0</v>
      </c>
    </row>
    <row r="984" customFormat="false" ht="15" hidden="false" customHeight="false" outlineLevel="0" collapsed="false">
      <c r="A984" s="0" t="s">
        <v>1744</v>
      </c>
      <c r="B984" s="0" t="s">
        <v>124</v>
      </c>
      <c r="C984" s="0" t="s">
        <v>1040</v>
      </c>
      <c r="D984" s="0" t="s">
        <v>38</v>
      </c>
      <c r="E984" s="2" t="n">
        <v>46167</v>
      </c>
      <c r="F984" s="3" t="s">
        <v>34</v>
      </c>
      <c r="G984" s="3" t="s">
        <v>21</v>
      </c>
      <c r="H984" s="3" t="s">
        <v>48</v>
      </c>
      <c r="I984" s="3" t="n">
        <f aca="false">YEAR(E984)</f>
        <v>2026</v>
      </c>
      <c r="J984" s="3" t="n">
        <f aca="false">MONTH(E984)</f>
        <v>5</v>
      </c>
      <c r="K984" s="3" t="n">
        <f aca="false">COUNTIFS($B$2:$B$4077,B984,$C$2:$C$4077,C984,$I$2:$I$4077,I984)</f>
        <v>5</v>
      </c>
      <c r="L984" s="3" t="n">
        <f aca="false">IF(COUNTIFS($B$2:B984,B984,$C$2:C984,C984,$I$2:I984,I984)=1,1,0)</f>
        <v>0</v>
      </c>
      <c r="M984" s="3" t="n">
        <f aca="false">IF(K984&gt;=Parametri!$B$1,1,0)</f>
        <v>1</v>
      </c>
      <c r="N984" s="3" t="n">
        <f aca="false">L984*M984</f>
        <v>0</v>
      </c>
    </row>
    <row r="985" customFormat="false" ht="15" hidden="false" customHeight="false" outlineLevel="0" collapsed="false">
      <c r="A985" s="0" t="s">
        <v>1745</v>
      </c>
      <c r="B985" s="0" t="s">
        <v>79</v>
      </c>
      <c r="C985" s="0" t="s">
        <v>116</v>
      </c>
      <c r="D985" s="0" t="s">
        <v>26</v>
      </c>
      <c r="E985" s="2" t="n">
        <v>45904</v>
      </c>
      <c r="F985" s="3" t="s">
        <v>20</v>
      </c>
      <c r="G985" s="3" t="s">
        <v>21</v>
      </c>
      <c r="H985" s="3" t="s">
        <v>48</v>
      </c>
      <c r="I985" s="3" t="n">
        <f aca="false">YEAR(E985)</f>
        <v>2025</v>
      </c>
      <c r="J985" s="3" t="n">
        <f aca="false">MONTH(E985)</f>
        <v>9</v>
      </c>
      <c r="K985" s="3" t="n">
        <f aca="false">COUNTIFS($B$2:$B$4077,B985,$C$2:$C$4077,C985,$I$2:$I$4077,I985)</f>
        <v>6</v>
      </c>
      <c r="L985" s="3" t="n">
        <f aca="false">IF(COUNTIFS($B$2:B985,B985,$C$2:C985,C985,$I$2:I985,I985)=1,1,0)</f>
        <v>0</v>
      </c>
      <c r="M985" s="3" t="n">
        <f aca="false">IF(K985&gt;=Parametri!$B$1,1,0)</f>
        <v>1</v>
      </c>
      <c r="N985" s="3" t="n">
        <f aca="false">L985*M985</f>
        <v>0</v>
      </c>
    </row>
    <row r="986" customFormat="false" ht="15" hidden="false" customHeight="false" outlineLevel="0" collapsed="false">
      <c r="A986" s="0" t="s">
        <v>1746</v>
      </c>
      <c r="B986" s="0" t="s">
        <v>24</v>
      </c>
      <c r="C986" s="0" t="s">
        <v>1747</v>
      </c>
      <c r="D986" s="0" t="s">
        <v>63</v>
      </c>
      <c r="E986" s="2" t="n">
        <v>46240</v>
      </c>
      <c r="F986" s="3" t="s">
        <v>20</v>
      </c>
      <c r="G986" s="3" t="s">
        <v>43</v>
      </c>
      <c r="H986" s="3" t="s">
        <v>29</v>
      </c>
      <c r="I986" s="3" t="n">
        <f aca="false">YEAR(E986)</f>
        <v>2026</v>
      </c>
      <c r="J986" s="3" t="n">
        <f aca="false">MONTH(E986)</f>
        <v>8</v>
      </c>
      <c r="K986" s="3" t="n">
        <f aca="false">COUNTIFS($B$2:$B$4077,B986,$C$2:$C$4077,C986,$I$2:$I$4077,I986)</f>
        <v>1</v>
      </c>
      <c r="L986" s="3" t="n">
        <f aca="false">IF(COUNTIFS($B$2:B986,B986,$C$2:C986,C986,$I$2:I986,I986)=1,1,0)</f>
        <v>1</v>
      </c>
      <c r="M986" s="3" t="n">
        <f aca="false">IF(K986&gt;=Parametri!$B$1,1,0)</f>
        <v>0</v>
      </c>
      <c r="N986" s="3" t="n">
        <f aca="false">L986*M986</f>
        <v>0</v>
      </c>
    </row>
    <row r="987" customFormat="false" ht="15" hidden="false" customHeight="false" outlineLevel="0" collapsed="false">
      <c r="A987" s="0" t="s">
        <v>1748</v>
      </c>
      <c r="B987" s="0" t="s">
        <v>46</v>
      </c>
      <c r="C987" s="0" t="s">
        <v>1749</v>
      </c>
      <c r="D987" s="0" t="s">
        <v>77</v>
      </c>
      <c r="E987" s="2" t="n">
        <v>45390</v>
      </c>
      <c r="F987" s="3" t="s">
        <v>20</v>
      </c>
      <c r="G987" s="3" t="s">
        <v>72</v>
      </c>
      <c r="H987" s="3" t="s">
        <v>44</v>
      </c>
      <c r="I987" s="3" t="n">
        <f aca="false">YEAR(E987)</f>
        <v>2024</v>
      </c>
      <c r="J987" s="3" t="n">
        <f aca="false">MONTH(E987)</f>
        <v>4</v>
      </c>
      <c r="K987" s="3" t="n">
        <f aca="false">COUNTIFS($B$2:$B$4077,B987,$C$2:$C$4077,C987,$I$2:$I$4077,I987)</f>
        <v>1</v>
      </c>
      <c r="L987" s="3" t="n">
        <f aca="false">IF(COUNTIFS($B$2:B987,B987,$C$2:C987,C987,$I$2:I987,I987)=1,1,0)</f>
        <v>1</v>
      </c>
      <c r="M987" s="3" t="n">
        <f aca="false">IF(K987&gt;=Parametri!$B$1,1,0)</f>
        <v>0</v>
      </c>
      <c r="N987" s="3" t="n">
        <f aca="false">L987*M987</f>
        <v>0</v>
      </c>
    </row>
    <row r="988" customFormat="false" ht="15" hidden="false" customHeight="false" outlineLevel="0" collapsed="false">
      <c r="A988" s="0" t="s">
        <v>1750</v>
      </c>
      <c r="B988" s="0" t="s">
        <v>46</v>
      </c>
      <c r="C988" s="0" t="s">
        <v>1751</v>
      </c>
      <c r="D988" s="0" t="s">
        <v>38</v>
      </c>
      <c r="E988" s="2" t="n">
        <v>45535</v>
      </c>
      <c r="F988" s="3" t="s">
        <v>20</v>
      </c>
      <c r="G988" s="3" t="s">
        <v>72</v>
      </c>
      <c r="H988" s="3" t="s">
        <v>22</v>
      </c>
      <c r="I988" s="3" t="n">
        <f aca="false">YEAR(E988)</f>
        <v>2024</v>
      </c>
      <c r="J988" s="3" t="n">
        <f aca="false">MONTH(E988)</f>
        <v>8</v>
      </c>
      <c r="K988" s="3" t="n">
        <f aca="false">COUNTIFS($B$2:$B$4077,B988,$C$2:$C$4077,C988,$I$2:$I$4077,I988)</f>
        <v>2</v>
      </c>
      <c r="L988" s="3" t="n">
        <f aca="false">IF(COUNTIFS($B$2:B988,B988,$C$2:C988,C988,$I$2:I988,I988)=1,1,0)</f>
        <v>1</v>
      </c>
      <c r="M988" s="3" t="n">
        <f aca="false">IF(K988&gt;=Parametri!$B$1,1,0)</f>
        <v>1</v>
      </c>
      <c r="N988" s="3" t="n">
        <f aca="false">L988*M988</f>
        <v>1</v>
      </c>
    </row>
    <row r="989" customFormat="false" ht="15" hidden="false" customHeight="false" outlineLevel="0" collapsed="false">
      <c r="A989" s="0" t="s">
        <v>1752</v>
      </c>
      <c r="B989" s="0" t="s">
        <v>41</v>
      </c>
      <c r="C989" s="0" t="s">
        <v>1753</v>
      </c>
      <c r="D989" s="0" t="s">
        <v>33</v>
      </c>
      <c r="E989" s="2" t="n">
        <v>46166</v>
      </c>
      <c r="F989" s="3" t="s">
        <v>20</v>
      </c>
      <c r="G989" s="3" t="s">
        <v>39</v>
      </c>
      <c r="H989" s="3" t="s">
        <v>44</v>
      </c>
      <c r="I989" s="3" t="n">
        <f aca="false">YEAR(E989)</f>
        <v>2026</v>
      </c>
      <c r="J989" s="3" t="n">
        <f aca="false">MONTH(E989)</f>
        <v>5</v>
      </c>
      <c r="K989" s="3" t="n">
        <f aca="false">COUNTIFS($B$2:$B$4077,B989,$C$2:$C$4077,C989,$I$2:$I$4077,I989)</f>
        <v>2</v>
      </c>
      <c r="L989" s="3" t="n">
        <f aca="false">IF(COUNTIFS($B$2:B989,B989,$C$2:C989,C989,$I$2:I989,I989)=1,1,0)</f>
        <v>1</v>
      </c>
      <c r="M989" s="3" t="n">
        <f aca="false">IF(K989&gt;=Parametri!$B$1,1,0)</f>
        <v>1</v>
      </c>
      <c r="N989" s="3" t="n">
        <f aca="false">L989*M989</f>
        <v>1</v>
      </c>
    </row>
    <row r="990" customFormat="false" ht="15" hidden="false" customHeight="false" outlineLevel="0" collapsed="false">
      <c r="A990" s="0" t="s">
        <v>1754</v>
      </c>
      <c r="B990" s="0" t="s">
        <v>50</v>
      </c>
      <c r="C990" s="0" t="s">
        <v>1755</v>
      </c>
      <c r="D990" s="0" t="s">
        <v>66</v>
      </c>
      <c r="E990" s="2" t="n">
        <v>45915</v>
      </c>
      <c r="F990" s="3" t="s">
        <v>20</v>
      </c>
      <c r="G990" s="3" t="s">
        <v>28</v>
      </c>
      <c r="H990" s="3" t="s">
        <v>48</v>
      </c>
      <c r="I990" s="3" t="n">
        <f aca="false">YEAR(E990)</f>
        <v>2025</v>
      </c>
      <c r="J990" s="3" t="n">
        <f aca="false">MONTH(E990)</f>
        <v>9</v>
      </c>
      <c r="K990" s="3" t="n">
        <f aca="false">COUNTIFS($B$2:$B$4077,B990,$C$2:$C$4077,C990,$I$2:$I$4077,I990)</f>
        <v>1</v>
      </c>
      <c r="L990" s="3" t="n">
        <f aca="false">IF(COUNTIFS($B$2:B990,B990,$C$2:C990,C990,$I$2:I990,I990)=1,1,0)</f>
        <v>1</v>
      </c>
      <c r="M990" s="3" t="n">
        <f aca="false">IF(K990&gt;=Parametri!$B$1,1,0)</f>
        <v>0</v>
      </c>
      <c r="N990" s="3" t="n">
        <f aca="false">L990*M990</f>
        <v>0</v>
      </c>
    </row>
    <row r="991" customFormat="false" ht="15" hidden="false" customHeight="false" outlineLevel="0" collapsed="false">
      <c r="A991" s="0" t="s">
        <v>1756</v>
      </c>
      <c r="B991" s="0" t="s">
        <v>46</v>
      </c>
      <c r="C991" s="0" t="s">
        <v>93</v>
      </c>
      <c r="D991" s="0" t="s">
        <v>38</v>
      </c>
      <c r="E991" s="2" t="n">
        <v>45308</v>
      </c>
      <c r="F991" s="3" t="s">
        <v>27</v>
      </c>
      <c r="G991" s="3" t="s">
        <v>55</v>
      </c>
      <c r="H991" s="3" t="s">
        <v>22</v>
      </c>
      <c r="I991" s="3" t="n">
        <f aca="false">YEAR(E991)</f>
        <v>2024</v>
      </c>
      <c r="J991" s="3" t="n">
        <f aca="false">MONTH(E991)</f>
        <v>1</v>
      </c>
      <c r="K991" s="3" t="n">
        <f aca="false">COUNTIFS($B$2:$B$4077,B991,$C$2:$C$4077,C991,$I$2:$I$4077,I991)</f>
        <v>2</v>
      </c>
      <c r="L991" s="3" t="n">
        <f aca="false">IF(COUNTIFS($B$2:B991,B991,$C$2:C991,C991,$I$2:I991,I991)=1,1,0)</f>
        <v>1</v>
      </c>
      <c r="M991" s="3" t="n">
        <f aca="false">IF(K991&gt;=Parametri!$B$1,1,0)</f>
        <v>1</v>
      </c>
      <c r="N991" s="3" t="n">
        <f aca="false">L991*M991</f>
        <v>1</v>
      </c>
    </row>
    <row r="992" customFormat="false" ht="15" hidden="false" customHeight="false" outlineLevel="0" collapsed="false">
      <c r="A992" s="0" t="s">
        <v>1757</v>
      </c>
      <c r="B992" s="0" t="s">
        <v>46</v>
      </c>
      <c r="C992" s="0" t="s">
        <v>1758</v>
      </c>
      <c r="D992" s="0" t="s">
        <v>38</v>
      </c>
      <c r="E992" s="2" t="n">
        <v>45524</v>
      </c>
      <c r="F992" s="3" t="s">
        <v>20</v>
      </c>
      <c r="G992" s="3" t="s">
        <v>28</v>
      </c>
      <c r="H992" s="3" t="s">
        <v>44</v>
      </c>
      <c r="I992" s="3" t="n">
        <f aca="false">YEAR(E992)</f>
        <v>2024</v>
      </c>
      <c r="J992" s="3" t="n">
        <f aca="false">MONTH(E992)</f>
        <v>8</v>
      </c>
      <c r="K992" s="3" t="n">
        <f aca="false">COUNTIFS($B$2:$B$4077,B992,$C$2:$C$4077,C992,$I$2:$I$4077,I992)</f>
        <v>1</v>
      </c>
      <c r="L992" s="3" t="n">
        <f aca="false">IF(COUNTIFS($B$2:B992,B992,$C$2:C992,C992,$I$2:I992,I992)=1,1,0)</f>
        <v>1</v>
      </c>
      <c r="M992" s="3" t="n">
        <f aca="false">IF(K992&gt;=Parametri!$B$1,1,0)</f>
        <v>0</v>
      </c>
      <c r="N992" s="3" t="n">
        <f aca="false">L992*M992</f>
        <v>0</v>
      </c>
    </row>
    <row r="993" customFormat="false" ht="15" hidden="false" customHeight="false" outlineLevel="0" collapsed="false">
      <c r="A993" s="0" t="s">
        <v>1759</v>
      </c>
      <c r="B993" s="0" t="s">
        <v>50</v>
      </c>
      <c r="C993" s="0" t="s">
        <v>1760</v>
      </c>
      <c r="D993" s="0" t="s">
        <v>33</v>
      </c>
      <c r="E993" s="2" t="n">
        <v>46039</v>
      </c>
      <c r="F993" s="3" t="s">
        <v>34</v>
      </c>
      <c r="G993" s="3" t="s">
        <v>39</v>
      </c>
      <c r="H993" s="3" t="s">
        <v>44</v>
      </c>
      <c r="I993" s="3" t="n">
        <f aca="false">YEAR(E993)</f>
        <v>2026</v>
      </c>
      <c r="J993" s="3" t="n">
        <f aca="false">MONTH(E993)</f>
        <v>1</v>
      </c>
      <c r="K993" s="3" t="n">
        <f aca="false">COUNTIFS($B$2:$B$4077,B993,$C$2:$C$4077,C993,$I$2:$I$4077,I993)</f>
        <v>1</v>
      </c>
      <c r="L993" s="3" t="n">
        <f aca="false">IF(COUNTIFS($B$2:B993,B993,$C$2:C993,C993,$I$2:I993,I993)=1,1,0)</f>
        <v>1</v>
      </c>
      <c r="M993" s="3" t="n">
        <f aca="false">IF(K993&gt;=Parametri!$B$1,1,0)</f>
        <v>0</v>
      </c>
      <c r="N993" s="3" t="n">
        <f aca="false">L993*M993</f>
        <v>0</v>
      </c>
    </row>
    <row r="994" customFormat="false" ht="15" hidden="false" customHeight="false" outlineLevel="0" collapsed="false">
      <c r="A994" s="0" t="s">
        <v>1761</v>
      </c>
      <c r="B994" s="0" t="s">
        <v>124</v>
      </c>
      <c r="C994" s="0" t="s">
        <v>939</v>
      </c>
      <c r="D994" s="0" t="s">
        <v>19</v>
      </c>
      <c r="E994" s="2" t="n">
        <v>45730</v>
      </c>
      <c r="F994" s="3" t="s">
        <v>27</v>
      </c>
      <c r="G994" s="3" t="s">
        <v>21</v>
      </c>
      <c r="H994" s="3" t="s">
        <v>48</v>
      </c>
      <c r="I994" s="3" t="n">
        <f aca="false">YEAR(E994)</f>
        <v>2025</v>
      </c>
      <c r="J994" s="3" t="n">
        <f aca="false">MONTH(E994)</f>
        <v>3</v>
      </c>
      <c r="K994" s="3" t="n">
        <f aca="false">COUNTIFS($B$2:$B$4077,B994,$C$2:$C$4077,C994,$I$2:$I$4077,I994)</f>
        <v>4</v>
      </c>
      <c r="L994" s="3" t="n">
        <f aca="false">IF(COUNTIFS($B$2:B994,B994,$C$2:C994,C994,$I$2:I994,I994)=1,1,0)</f>
        <v>0</v>
      </c>
      <c r="M994" s="3" t="n">
        <f aca="false">IF(K994&gt;=Parametri!$B$1,1,0)</f>
        <v>1</v>
      </c>
      <c r="N994" s="3" t="n">
        <f aca="false">L994*M994</f>
        <v>0</v>
      </c>
    </row>
    <row r="995" customFormat="false" ht="15" hidden="false" customHeight="false" outlineLevel="0" collapsed="false">
      <c r="A995" s="0" t="s">
        <v>1762</v>
      </c>
      <c r="B995" s="0" t="s">
        <v>68</v>
      </c>
      <c r="C995" s="0" t="s">
        <v>1763</v>
      </c>
      <c r="D995" s="0" t="s">
        <v>66</v>
      </c>
      <c r="E995" s="2" t="n">
        <v>45722</v>
      </c>
      <c r="F995" s="3" t="s">
        <v>20</v>
      </c>
      <c r="G995" s="3" t="s">
        <v>28</v>
      </c>
      <c r="H995" s="3" t="s">
        <v>48</v>
      </c>
      <c r="I995" s="3" t="n">
        <f aca="false">YEAR(E995)</f>
        <v>2025</v>
      </c>
      <c r="J995" s="3" t="n">
        <f aca="false">MONTH(E995)</f>
        <v>3</v>
      </c>
      <c r="K995" s="3" t="n">
        <f aca="false">COUNTIFS($B$2:$B$4077,B995,$C$2:$C$4077,C995,$I$2:$I$4077,I995)</f>
        <v>2</v>
      </c>
      <c r="L995" s="3" t="n">
        <f aca="false">IF(COUNTIFS($B$2:B995,B995,$C$2:C995,C995,$I$2:I995,I995)=1,1,0)</f>
        <v>1</v>
      </c>
      <c r="M995" s="3" t="n">
        <f aca="false">IF(K995&gt;=Parametri!$B$1,1,0)</f>
        <v>1</v>
      </c>
      <c r="N995" s="3" t="n">
        <f aca="false">L995*M995</f>
        <v>1</v>
      </c>
    </row>
    <row r="996" customFormat="false" ht="15" hidden="false" customHeight="false" outlineLevel="0" collapsed="false">
      <c r="A996" s="0" t="s">
        <v>1764</v>
      </c>
      <c r="B996" s="0" t="s">
        <v>41</v>
      </c>
      <c r="C996" s="0" t="s">
        <v>1765</v>
      </c>
      <c r="D996" s="0" t="s">
        <v>19</v>
      </c>
      <c r="E996" s="2" t="n">
        <v>45317</v>
      </c>
      <c r="F996" s="3" t="s">
        <v>20</v>
      </c>
      <c r="G996" s="3" t="s">
        <v>89</v>
      </c>
      <c r="H996" s="3" t="s">
        <v>44</v>
      </c>
      <c r="I996" s="3" t="n">
        <f aca="false">YEAR(E996)</f>
        <v>2024</v>
      </c>
      <c r="J996" s="3" t="n">
        <f aca="false">MONTH(E996)</f>
        <v>1</v>
      </c>
      <c r="K996" s="3" t="n">
        <f aca="false">COUNTIFS($B$2:$B$4077,B996,$C$2:$C$4077,C996,$I$2:$I$4077,I996)</f>
        <v>1</v>
      </c>
      <c r="L996" s="3" t="n">
        <f aca="false">IF(COUNTIFS($B$2:B996,B996,$C$2:C996,C996,$I$2:I996,I996)=1,1,0)</f>
        <v>1</v>
      </c>
      <c r="M996" s="3" t="n">
        <f aca="false">IF(K996&gt;=Parametri!$B$1,1,0)</f>
        <v>0</v>
      </c>
      <c r="N996" s="3" t="n">
        <f aca="false">L996*M996</f>
        <v>0</v>
      </c>
    </row>
    <row r="997" customFormat="false" ht="15" hidden="false" customHeight="false" outlineLevel="0" collapsed="false">
      <c r="A997" s="0" t="s">
        <v>1766</v>
      </c>
      <c r="B997" s="0" t="s">
        <v>31</v>
      </c>
      <c r="C997" s="0" t="s">
        <v>1767</v>
      </c>
      <c r="D997" s="0" t="s">
        <v>77</v>
      </c>
      <c r="E997" s="2" t="n">
        <v>45882</v>
      </c>
      <c r="F997" s="3" t="s">
        <v>20</v>
      </c>
      <c r="G997" s="3" t="s">
        <v>21</v>
      </c>
      <c r="H997" s="3" t="s">
        <v>22</v>
      </c>
      <c r="I997" s="3" t="n">
        <f aca="false">YEAR(E997)</f>
        <v>2025</v>
      </c>
      <c r="J997" s="3" t="n">
        <f aca="false">MONTH(E997)</f>
        <v>8</v>
      </c>
      <c r="K997" s="3" t="n">
        <f aca="false">COUNTIFS($B$2:$B$4077,B997,$C$2:$C$4077,C997,$I$2:$I$4077,I997)</f>
        <v>3</v>
      </c>
      <c r="L997" s="3" t="n">
        <f aca="false">IF(COUNTIFS($B$2:B997,B997,$C$2:C997,C997,$I$2:I997,I997)=1,1,0)</f>
        <v>1</v>
      </c>
      <c r="M997" s="3" t="n">
        <f aca="false">IF(K997&gt;=Parametri!$B$1,1,0)</f>
        <v>1</v>
      </c>
      <c r="N997" s="3" t="n">
        <f aca="false">L997*M997</f>
        <v>1</v>
      </c>
    </row>
    <row r="998" customFormat="false" ht="15" hidden="false" customHeight="false" outlineLevel="0" collapsed="false">
      <c r="A998" s="0" t="s">
        <v>1768</v>
      </c>
      <c r="B998" s="0" t="s">
        <v>31</v>
      </c>
      <c r="C998" s="0" t="s">
        <v>1769</v>
      </c>
      <c r="D998" s="0" t="s">
        <v>38</v>
      </c>
      <c r="E998" s="2" t="n">
        <v>46151</v>
      </c>
      <c r="F998" s="3" t="s">
        <v>20</v>
      </c>
      <c r="G998" s="3" t="s">
        <v>43</v>
      </c>
      <c r="H998" s="3" t="s">
        <v>44</v>
      </c>
      <c r="I998" s="3" t="n">
        <f aca="false">YEAR(E998)</f>
        <v>2026</v>
      </c>
      <c r="J998" s="3" t="n">
        <f aca="false">MONTH(E998)</f>
        <v>5</v>
      </c>
      <c r="K998" s="3" t="n">
        <f aca="false">COUNTIFS($B$2:$B$4077,B998,$C$2:$C$4077,C998,$I$2:$I$4077,I998)</f>
        <v>3</v>
      </c>
      <c r="L998" s="3" t="n">
        <f aca="false">IF(COUNTIFS($B$2:B998,B998,$C$2:C998,C998,$I$2:I998,I998)=1,1,0)</f>
        <v>1</v>
      </c>
      <c r="M998" s="3" t="n">
        <f aca="false">IF(K998&gt;=Parametri!$B$1,1,0)</f>
        <v>1</v>
      </c>
      <c r="N998" s="3" t="n">
        <f aca="false">L998*M998</f>
        <v>1</v>
      </c>
    </row>
    <row r="999" customFormat="false" ht="15" hidden="false" customHeight="false" outlineLevel="0" collapsed="false">
      <c r="A999" s="0" t="s">
        <v>1770</v>
      </c>
      <c r="B999" s="0" t="s">
        <v>50</v>
      </c>
      <c r="C999" s="0" t="s">
        <v>1129</v>
      </c>
      <c r="D999" s="0" t="s">
        <v>19</v>
      </c>
      <c r="E999" s="2" t="n">
        <v>46005</v>
      </c>
      <c r="F999" s="3" t="s">
        <v>20</v>
      </c>
      <c r="G999" s="3" t="s">
        <v>89</v>
      </c>
      <c r="H999" s="3" t="s">
        <v>48</v>
      </c>
      <c r="I999" s="3" t="n">
        <f aca="false">YEAR(E999)</f>
        <v>2025</v>
      </c>
      <c r="J999" s="3" t="n">
        <f aca="false">MONTH(E999)</f>
        <v>12</v>
      </c>
      <c r="K999" s="3" t="n">
        <f aca="false">COUNTIFS($B$2:$B$4077,B999,$C$2:$C$4077,C999,$I$2:$I$4077,I999)</f>
        <v>3</v>
      </c>
      <c r="L999" s="3" t="n">
        <f aca="false">IF(COUNTIFS($B$2:B999,B999,$C$2:C999,C999,$I$2:I999,I999)=1,1,0)</f>
        <v>0</v>
      </c>
      <c r="M999" s="3" t="n">
        <f aca="false">IF(K999&gt;=Parametri!$B$1,1,0)</f>
        <v>1</v>
      </c>
      <c r="N999" s="3" t="n">
        <f aca="false">L999*M999</f>
        <v>0</v>
      </c>
    </row>
    <row r="1000" customFormat="false" ht="15" hidden="false" customHeight="false" outlineLevel="0" collapsed="false">
      <c r="A1000" s="0" t="s">
        <v>1771</v>
      </c>
      <c r="B1000" s="0" t="s">
        <v>31</v>
      </c>
      <c r="C1000" s="0" t="s">
        <v>1772</v>
      </c>
      <c r="D1000" s="0" t="s">
        <v>63</v>
      </c>
      <c r="E1000" s="2" t="n">
        <v>45403</v>
      </c>
      <c r="F1000" s="3" t="s">
        <v>104</v>
      </c>
      <c r="G1000" s="3" t="s">
        <v>104</v>
      </c>
      <c r="H1000" s="3" t="s">
        <v>104</v>
      </c>
      <c r="I1000" s="3" t="n">
        <f aca="false">YEAR(E1000)</f>
        <v>2024</v>
      </c>
      <c r="J1000" s="3" t="n">
        <f aca="false">MONTH(E1000)</f>
        <v>4</v>
      </c>
      <c r="K1000" s="3" t="n">
        <f aca="false">COUNTIFS($B$2:$B$4077,B1000,$C$2:$C$4077,C1000,$I$2:$I$4077,I1000)</f>
        <v>1</v>
      </c>
      <c r="L1000" s="3" t="n">
        <f aca="false">IF(COUNTIFS($B$2:B1000,B1000,$C$2:C1000,C1000,$I$2:I1000,I1000)=1,1,0)</f>
        <v>1</v>
      </c>
      <c r="M1000" s="3" t="n">
        <f aca="false">IF(K1000&gt;=Parametri!$B$1,1,0)</f>
        <v>0</v>
      </c>
      <c r="N1000" s="3" t="n">
        <f aca="false">L1000*M1000</f>
        <v>0</v>
      </c>
    </row>
    <row r="1001" customFormat="false" ht="15" hidden="false" customHeight="false" outlineLevel="0" collapsed="false">
      <c r="A1001" s="0" t="s">
        <v>1773</v>
      </c>
      <c r="B1001" s="0" t="s">
        <v>31</v>
      </c>
      <c r="C1001" s="0" t="s">
        <v>1774</v>
      </c>
      <c r="D1001" s="0" t="s">
        <v>77</v>
      </c>
      <c r="E1001" s="2" t="n">
        <v>46022</v>
      </c>
      <c r="F1001" s="3" t="s">
        <v>27</v>
      </c>
      <c r="G1001" s="3" t="s">
        <v>28</v>
      </c>
      <c r="H1001" s="3" t="s">
        <v>44</v>
      </c>
      <c r="I1001" s="3" t="n">
        <f aca="false">YEAR(E1001)</f>
        <v>2025</v>
      </c>
      <c r="J1001" s="3" t="n">
        <f aca="false">MONTH(E1001)</f>
        <v>12</v>
      </c>
      <c r="K1001" s="3" t="n">
        <f aca="false">COUNTIFS($B$2:$B$4077,B1001,$C$2:$C$4077,C1001,$I$2:$I$4077,I1001)</f>
        <v>1</v>
      </c>
      <c r="L1001" s="3" t="n">
        <f aca="false">IF(COUNTIFS($B$2:B1001,B1001,$C$2:C1001,C1001,$I$2:I1001,I1001)=1,1,0)</f>
        <v>1</v>
      </c>
      <c r="M1001" s="3" t="n">
        <f aca="false">IF(K1001&gt;=Parametri!$B$1,1,0)</f>
        <v>0</v>
      </c>
      <c r="N1001" s="3" t="n">
        <f aca="false">L1001*M1001</f>
        <v>0</v>
      </c>
    </row>
    <row r="1002" customFormat="false" ht="15" hidden="false" customHeight="false" outlineLevel="0" collapsed="false">
      <c r="A1002" s="0" t="s">
        <v>1775</v>
      </c>
      <c r="B1002" s="0" t="s">
        <v>46</v>
      </c>
      <c r="C1002" s="0" t="s">
        <v>962</v>
      </c>
      <c r="D1002" s="0" t="s">
        <v>54</v>
      </c>
      <c r="E1002" s="2" t="n">
        <v>45615</v>
      </c>
      <c r="F1002" s="3" t="s">
        <v>34</v>
      </c>
      <c r="G1002" s="3" t="s">
        <v>55</v>
      </c>
      <c r="H1002" s="3" t="s">
        <v>48</v>
      </c>
      <c r="I1002" s="3" t="n">
        <f aca="false">YEAR(E1002)</f>
        <v>2024</v>
      </c>
      <c r="J1002" s="3" t="n">
        <f aca="false">MONTH(E1002)</f>
        <v>11</v>
      </c>
      <c r="K1002" s="3" t="n">
        <f aca="false">COUNTIFS($B$2:$B$4077,B1002,$C$2:$C$4077,C1002,$I$2:$I$4077,I1002)</f>
        <v>4</v>
      </c>
      <c r="L1002" s="3" t="n">
        <f aca="false">IF(COUNTIFS($B$2:B1002,B1002,$C$2:C1002,C1002,$I$2:I1002,I1002)=1,1,0)</f>
        <v>0</v>
      </c>
      <c r="M1002" s="3" t="n">
        <f aca="false">IF(K1002&gt;=Parametri!$B$1,1,0)</f>
        <v>1</v>
      </c>
      <c r="N1002" s="3" t="n">
        <f aca="false">L1002*M1002</f>
        <v>0</v>
      </c>
    </row>
    <row r="1003" customFormat="false" ht="15" hidden="false" customHeight="false" outlineLevel="0" collapsed="false">
      <c r="A1003" s="0" t="s">
        <v>1776</v>
      </c>
      <c r="B1003" s="0" t="s">
        <v>79</v>
      </c>
      <c r="C1003" s="0" t="s">
        <v>1777</v>
      </c>
      <c r="D1003" s="0" t="s">
        <v>54</v>
      </c>
      <c r="E1003" s="2" t="n">
        <v>46000</v>
      </c>
      <c r="F1003" s="3" t="s">
        <v>20</v>
      </c>
      <c r="G1003" s="3" t="s">
        <v>43</v>
      </c>
      <c r="H1003" s="3" t="s">
        <v>22</v>
      </c>
      <c r="I1003" s="3" t="n">
        <f aca="false">YEAR(E1003)</f>
        <v>2025</v>
      </c>
      <c r="J1003" s="3" t="n">
        <f aca="false">MONTH(E1003)</f>
        <v>12</v>
      </c>
      <c r="K1003" s="3" t="n">
        <f aca="false">COUNTIFS($B$2:$B$4077,B1003,$C$2:$C$4077,C1003,$I$2:$I$4077,I1003)</f>
        <v>2</v>
      </c>
      <c r="L1003" s="3" t="n">
        <f aca="false">IF(COUNTIFS($B$2:B1003,B1003,$C$2:C1003,C1003,$I$2:I1003,I1003)=1,1,0)</f>
        <v>1</v>
      </c>
      <c r="M1003" s="3" t="n">
        <f aca="false">IF(K1003&gt;=Parametri!$B$1,1,0)</f>
        <v>1</v>
      </c>
      <c r="N1003" s="3" t="n">
        <f aca="false">L1003*M1003</f>
        <v>1</v>
      </c>
    </row>
    <row r="1004" customFormat="false" ht="15" hidden="false" customHeight="false" outlineLevel="0" collapsed="false">
      <c r="A1004" s="0" t="s">
        <v>1778</v>
      </c>
      <c r="B1004" s="0" t="s">
        <v>24</v>
      </c>
      <c r="C1004" s="0" t="s">
        <v>770</v>
      </c>
      <c r="D1004" s="0" t="s">
        <v>66</v>
      </c>
      <c r="E1004" s="2" t="n">
        <v>46222</v>
      </c>
      <c r="F1004" s="3" t="s">
        <v>20</v>
      </c>
      <c r="G1004" s="3" t="s">
        <v>35</v>
      </c>
      <c r="H1004" s="3" t="s">
        <v>22</v>
      </c>
      <c r="I1004" s="3" t="n">
        <f aca="false">YEAR(E1004)</f>
        <v>2026</v>
      </c>
      <c r="J1004" s="3" t="n">
        <f aca="false">MONTH(E1004)</f>
        <v>7</v>
      </c>
      <c r="K1004" s="3" t="n">
        <f aca="false">COUNTIFS($B$2:$B$4077,B1004,$C$2:$C$4077,C1004,$I$2:$I$4077,I1004)</f>
        <v>3</v>
      </c>
      <c r="L1004" s="3" t="n">
        <f aca="false">IF(COUNTIFS($B$2:B1004,B1004,$C$2:C1004,C1004,$I$2:I1004,I1004)=1,1,0)</f>
        <v>0</v>
      </c>
      <c r="M1004" s="3" t="n">
        <f aca="false">IF(K1004&gt;=Parametri!$B$1,1,0)</f>
        <v>1</v>
      </c>
      <c r="N1004" s="3" t="n">
        <f aca="false">L1004*M1004</f>
        <v>0</v>
      </c>
    </row>
    <row r="1005" customFormat="false" ht="15" hidden="false" customHeight="false" outlineLevel="0" collapsed="false">
      <c r="A1005" s="0" t="s">
        <v>1779</v>
      </c>
      <c r="B1005" s="0" t="s">
        <v>46</v>
      </c>
      <c r="C1005" s="0" t="s">
        <v>1228</v>
      </c>
      <c r="D1005" s="0" t="s">
        <v>19</v>
      </c>
      <c r="E1005" s="2" t="n">
        <v>45398</v>
      </c>
      <c r="F1005" s="3" t="s">
        <v>20</v>
      </c>
      <c r="G1005" s="3" t="s">
        <v>21</v>
      </c>
      <c r="H1005" s="3" t="s">
        <v>29</v>
      </c>
      <c r="I1005" s="3" t="n">
        <f aca="false">YEAR(E1005)</f>
        <v>2024</v>
      </c>
      <c r="J1005" s="3" t="n">
        <f aca="false">MONTH(E1005)</f>
        <v>4</v>
      </c>
      <c r="K1005" s="3" t="n">
        <f aca="false">COUNTIFS($B$2:$B$4077,B1005,$C$2:$C$4077,C1005,$I$2:$I$4077,I1005)</f>
        <v>5</v>
      </c>
      <c r="L1005" s="3" t="n">
        <f aca="false">IF(COUNTIFS($B$2:B1005,B1005,$C$2:C1005,C1005,$I$2:I1005,I1005)=1,1,0)</f>
        <v>0</v>
      </c>
      <c r="M1005" s="3" t="n">
        <f aca="false">IF(K1005&gt;=Parametri!$B$1,1,0)</f>
        <v>1</v>
      </c>
      <c r="N1005" s="3" t="n">
        <f aca="false">L1005*M1005</f>
        <v>0</v>
      </c>
    </row>
    <row r="1006" customFormat="false" ht="15" hidden="false" customHeight="false" outlineLevel="0" collapsed="false">
      <c r="A1006" s="0" t="s">
        <v>1780</v>
      </c>
      <c r="B1006" s="0" t="s">
        <v>50</v>
      </c>
      <c r="C1006" s="0" t="s">
        <v>1781</v>
      </c>
      <c r="D1006" s="0" t="s">
        <v>38</v>
      </c>
      <c r="E1006" s="2" t="n">
        <v>46188</v>
      </c>
      <c r="F1006" s="3" t="s">
        <v>27</v>
      </c>
      <c r="G1006" s="3" t="s">
        <v>39</v>
      </c>
      <c r="H1006" s="3" t="s">
        <v>44</v>
      </c>
      <c r="I1006" s="3" t="n">
        <f aca="false">YEAR(E1006)</f>
        <v>2026</v>
      </c>
      <c r="J1006" s="3" t="n">
        <f aca="false">MONTH(E1006)</f>
        <v>6</v>
      </c>
      <c r="K1006" s="3" t="n">
        <f aca="false">COUNTIFS($B$2:$B$4077,B1006,$C$2:$C$4077,C1006,$I$2:$I$4077,I1006)</f>
        <v>1</v>
      </c>
      <c r="L1006" s="3" t="n">
        <f aca="false">IF(COUNTIFS($B$2:B1006,B1006,$C$2:C1006,C1006,$I$2:I1006,I1006)=1,1,0)</f>
        <v>1</v>
      </c>
      <c r="M1006" s="3" t="n">
        <f aca="false">IF(K1006&gt;=Parametri!$B$1,1,0)</f>
        <v>0</v>
      </c>
      <c r="N1006" s="3" t="n">
        <f aca="false">L1006*M1006</f>
        <v>0</v>
      </c>
    </row>
    <row r="1007" customFormat="false" ht="15" hidden="false" customHeight="false" outlineLevel="0" collapsed="false">
      <c r="A1007" s="0" t="s">
        <v>1782</v>
      </c>
      <c r="B1007" s="0" t="s">
        <v>24</v>
      </c>
      <c r="C1007" s="0" t="s">
        <v>1783</v>
      </c>
      <c r="D1007" s="0" t="s">
        <v>66</v>
      </c>
      <c r="E1007" s="2" t="n">
        <v>46146</v>
      </c>
      <c r="F1007" s="3" t="s">
        <v>20</v>
      </c>
      <c r="G1007" s="3" t="s">
        <v>55</v>
      </c>
      <c r="H1007" s="3" t="s">
        <v>44</v>
      </c>
      <c r="I1007" s="3" t="n">
        <f aca="false">YEAR(E1007)</f>
        <v>2026</v>
      </c>
      <c r="J1007" s="3" t="n">
        <f aca="false">MONTH(E1007)</f>
        <v>5</v>
      </c>
      <c r="K1007" s="3" t="n">
        <f aca="false">COUNTIFS($B$2:$B$4077,B1007,$C$2:$C$4077,C1007,$I$2:$I$4077,I1007)</f>
        <v>1</v>
      </c>
      <c r="L1007" s="3" t="n">
        <f aca="false">IF(COUNTIFS($B$2:B1007,B1007,$C$2:C1007,C1007,$I$2:I1007,I1007)=1,1,0)</f>
        <v>1</v>
      </c>
      <c r="M1007" s="3" t="n">
        <f aca="false">IF(K1007&gt;=Parametri!$B$1,1,0)</f>
        <v>0</v>
      </c>
      <c r="N1007" s="3" t="n">
        <f aca="false">L1007*M1007</f>
        <v>0</v>
      </c>
    </row>
    <row r="1008" customFormat="false" ht="15" hidden="false" customHeight="false" outlineLevel="0" collapsed="false">
      <c r="A1008" s="0" t="s">
        <v>1784</v>
      </c>
      <c r="B1008" s="0" t="s">
        <v>124</v>
      </c>
      <c r="C1008" s="0" t="s">
        <v>710</v>
      </c>
      <c r="D1008" s="0" t="s">
        <v>66</v>
      </c>
      <c r="E1008" s="2" t="n">
        <v>45977</v>
      </c>
      <c r="F1008" s="3" t="s">
        <v>20</v>
      </c>
      <c r="G1008" s="3" t="s">
        <v>28</v>
      </c>
      <c r="H1008" s="3" t="s">
        <v>44</v>
      </c>
      <c r="I1008" s="3" t="n">
        <f aca="false">YEAR(E1008)</f>
        <v>2025</v>
      </c>
      <c r="J1008" s="3" t="n">
        <f aca="false">MONTH(E1008)</f>
        <v>11</v>
      </c>
      <c r="K1008" s="3" t="n">
        <f aca="false">COUNTIFS($B$2:$B$4077,B1008,$C$2:$C$4077,C1008,$I$2:$I$4077,I1008)</f>
        <v>8</v>
      </c>
      <c r="L1008" s="3" t="n">
        <f aca="false">IF(COUNTIFS($B$2:B1008,B1008,$C$2:C1008,C1008,$I$2:I1008,I1008)=1,1,0)</f>
        <v>0</v>
      </c>
      <c r="M1008" s="3" t="n">
        <f aca="false">IF(K1008&gt;=Parametri!$B$1,1,0)</f>
        <v>1</v>
      </c>
      <c r="N1008" s="3" t="n">
        <f aca="false">L1008*M1008</f>
        <v>0</v>
      </c>
    </row>
    <row r="1009" customFormat="false" ht="15" hidden="false" customHeight="false" outlineLevel="0" collapsed="false">
      <c r="A1009" s="0" t="s">
        <v>1785</v>
      </c>
      <c r="B1009" s="0" t="s">
        <v>50</v>
      </c>
      <c r="C1009" s="0" t="s">
        <v>1786</v>
      </c>
      <c r="D1009" s="0" t="s">
        <v>19</v>
      </c>
      <c r="E1009" s="2" t="n">
        <v>45837</v>
      </c>
      <c r="F1009" s="3" t="s">
        <v>20</v>
      </c>
      <c r="G1009" s="3" t="s">
        <v>21</v>
      </c>
      <c r="H1009" s="3" t="s">
        <v>44</v>
      </c>
      <c r="I1009" s="3" t="n">
        <f aca="false">YEAR(E1009)</f>
        <v>2025</v>
      </c>
      <c r="J1009" s="3" t="n">
        <f aca="false">MONTH(E1009)</f>
        <v>6</v>
      </c>
      <c r="K1009" s="3" t="n">
        <f aca="false">COUNTIFS($B$2:$B$4077,B1009,$C$2:$C$4077,C1009,$I$2:$I$4077,I1009)</f>
        <v>1</v>
      </c>
      <c r="L1009" s="3" t="n">
        <f aca="false">IF(COUNTIFS($B$2:B1009,B1009,$C$2:C1009,C1009,$I$2:I1009,I1009)=1,1,0)</f>
        <v>1</v>
      </c>
      <c r="M1009" s="3" t="n">
        <f aca="false">IF(K1009&gt;=Parametri!$B$1,1,0)</f>
        <v>0</v>
      </c>
      <c r="N1009" s="3" t="n">
        <f aca="false">L1009*M1009</f>
        <v>0</v>
      </c>
    </row>
    <row r="1010" customFormat="false" ht="15" hidden="false" customHeight="false" outlineLevel="0" collapsed="false">
      <c r="A1010" s="0" t="s">
        <v>1787</v>
      </c>
      <c r="B1010" s="0" t="s">
        <v>79</v>
      </c>
      <c r="C1010" s="0" t="s">
        <v>471</v>
      </c>
      <c r="D1010" s="0" t="s">
        <v>38</v>
      </c>
      <c r="E1010" s="2" t="n">
        <v>46026</v>
      </c>
      <c r="F1010" s="3" t="s">
        <v>34</v>
      </c>
      <c r="G1010" s="3" t="s">
        <v>21</v>
      </c>
      <c r="H1010" s="3" t="s">
        <v>29</v>
      </c>
      <c r="I1010" s="3" t="n">
        <f aca="false">YEAR(E1010)</f>
        <v>2026</v>
      </c>
      <c r="J1010" s="3" t="n">
        <f aca="false">MONTH(E1010)</f>
        <v>1</v>
      </c>
      <c r="K1010" s="3" t="n">
        <f aca="false">COUNTIFS($B$2:$B$4077,B1010,$C$2:$C$4077,C1010,$I$2:$I$4077,I1010)</f>
        <v>4</v>
      </c>
      <c r="L1010" s="3" t="n">
        <f aca="false">IF(COUNTIFS($B$2:B1010,B1010,$C$2:C1010,C1010,$I$2:I1010,I1010)=1,1,0)</f>
        <v>1</v>
      </c>
      <c r="M1010" s="3" t="n">
        <f aca="false">IF(K1010&gt;=Parametri!$B$1,1,0)</f>
        <v>1</v>
      </c>
      <c r="N1010" s="3" t="n">
        <f aca="false">L1010*M1010</f>
        <v>1</v>
      </c>
    </row>
    <row r="1011" customFormat="false" ht="15" hidden="false" customHeight="false" outlineLevel="0" collapsed="false">
      <c r="A1011" s="0" t="s">
        <v>1788</v>
      </c>
      <c r="B1011" s="0" t="s">
        <v>79</v>
      </c>
      <c r="C1011" s="0" t="s">
        <v>1789</v>
      </c>
      <c r="D1011" s="0" t="s">
        <v>19</v>
      </c>
      <c r="E1011" s="2" t="n">
        <v>46219</v>
      </c>
      <c r="F1011" s="3" t="s">
        <v>20</v>
      </c>
      <c r="G1011" s="3" t="s">
        <v>43</v>
      </c>
      <c r="H1011" s="3" t="s">
        <v>22</v>
      </c>
      <c r="I1011" s="3" t="n">
        <f aca="false">YEAR(E1011)</f>
        <v>2026</v>
      </c>
      <c r="J1011" s="3" t="n">
        <f aca="false">MONTH(E1011)</f>
        <v>7</v>
      </c>
      <c r="K1011" s="3" t="n">
        <f aca="false">COUNTIFS($B$2:$B$4077,B1011,$C$2:$C$4077,C1011,$I$2:$I$4077,I1011)</f>
        <v>1</v>
      </c>
      <c r="L1011" s="3" t="n">
        <f aca="false">IF(COUNTIFS($B$2:B1011,B1011,$C$2:C1011,C1011,$I$2:I1011,I1011)=1,1,0)</f>
        <v>1</v>
      </c>
      <c r="M1011" s="3" t="n">
        <f aca="false">IF(K1011&gt;=Parametri!$B$1,1,0)</f>
        <v>0</v>
      </c>
      <c r="N1011" s="3" t="n">
        <f aca="false">L1011*M1011</f>
        <v>0</v>
      </c>
    </row>
    <row r="1012" customFormat="false" ht="15" hidden="false" customHeight="false" outlineLevel="0" collapsed="false">
      <c r="A1012" s="0" t="s">
        <v>1790</v>
      </c>
      <c r="B1012" s="0" t="s">
        <v>17</v>
      </c>
      <c r="C1012" s="0" t="s">
        <v>95</v>
      </c>
      <c r="D1012" s="0" t="s">
        <v>33</v>
      </c>
      <c r="E1012" s="2" t="n">
        <v>46120</v>
      </c>
      <c r="F1012" s="3" t="s">
        <v>20</v>
      </c>
      <c r="G1012" s="3" t="s">
        <v>35</v>
      </c>
      <c r="H1012" s="3" t="s">
        <v>29</v>
      </c>
      <c r="I1012" s="3" t="n">
        <f aca="false">YEAR(E1012)</f>
        <v>2026</v>
      </c>
      <c r="J1012" s="3" t="n">
        <f aca="false">MONTH(E1012)</f>
        <v>4</v>
      </c>
      <c r="K1012" s="3" t="n">
        <f aca="false">COUNTIFS($B$2:$B$4077,B1012,$C$2:$C$4077,C1012,$I$2:$I$4077,I1012)</f>
        <v>3</v>
      </c>
      <c r="L1012" s="3" t="n">
        <f aca="false">IF(COUNTIFS($B$2:B1012,B1012,$C$2:C1012,C1012,$I$2:I1012,I1012)=1,1,0)</f>
        <v>0</v>
      </c>
      <c r="M1012" s="3" t="n">
        <f aca="false">IF(K1012&gt;=Parametri!$B$1,1,0)</f>
        <v>1</v>
      </c>
      <c r="N1012" s="3" t="n">
        <f aca="false">L1012*M1012</f>
        <v>0</v>
      </c>
    </row>
    <row r="1013" customFormat="false" ht="15" hidden="false" customHeight="false" outlineLevel="0" collapsed="false">
      <c r="A1013" s="0" t="s">
        <v>1791</v>
      </c>
      <c r="B1013" s="0" t="s">
        <v>46</v>
      </c>
      <c r="C1013" s="0" t="s">
        <v>1792</v>
      </c>
      <c r="D1013" s="0" t="s">
        <v>33</v>
      </c>
      <c r="E1013" s="2" t="n">
        <v>45362</v>
      </c>
      <c r="F1013" s="3" t="s">
        <v>27</v>
      </c>
      <c r="G1013" s="3" t="s">
        <v>28</v>
      </c>
      <c r="H1013" s="3" t="s">
        <v>44</v>
      </c>
      <c r="I1013" s="3" t="n">
        <f aca="false">YEAR(E1013)</f>
        <v>2024</v>
      </c>
      <c r="J1013" s="3" t="n">
        <f aca="false">MONTH(E1013)</f>
        <v>3</v>
      </c>
      <c r="K1013" s="3" t="n">
        <f aca="false">COUNTIFS($B$2:$B$4077,B1013,$C$2:$C$4077,C1013,$I$2:$I$4077,I1013)</f>
        <v>1</v>
      </c>
      <c r="L1013" s="3" t="n">
        <f aca="false">IF(COUNTIFS($B$2:B1013,B1013,$C$2:C1013,C1013,$I$2:I1013,I1013)=1,1,0)</f>
        <v>1</v>
      </c>
      <c r="M1013" s="3" t="n">
        <f aca="false">IF(K1013&gt;=Parametri!$B$1,1,0)</f>
        <v>0</v>
      </c>
      <c r="N1013" s="3" t="n">
        <f aca="false">L1013*M1013</f>
        <v>0</v>
      </c>
    </row>
    <row r="1014" customFormat="false" ht="15" hidden="false" customHeight="false" outlineLevel="0" collapsed="false">
      <c r="A1014" s="0" t="s">
        <v>1793</v>
      </c>
      <c r="B1014" s="0" t="s">
        <v>57</v>
      </c>
      <c r="C1014" s="0" t="s">
        <v>1299</v>
      </c>
      <c r="D1014" s="0" t="s">
        <v>63</v>
      </c>
      <c r="E1014" s="2" t="n">
        <v>45661</v>
      </c>
      <c r="F1014" s="3" t="s">
        <v>34</v>
      </c>
      <c r="G1014" s="3" t="s">
        <v>43</v>
      </c>
      <c r="H1014" s="3" t="s">
        <v>22</v>
      </c>
      <c r="I1014" s="3" t="n">
        <f aca="false">YEAR(E1014)</f>
        <v>2025</v>
      </c>
      <c r="J1014" s="3" t="n">
        <f aca="false">MONTH(E1014)</f>
        <v>1</v>
      </c>
      <c r="K1014" s="3" t="n">
        <f aca="false">COUNTIFS($B$2:$B$4077,B1014,$C$2:$C$4077,C1014,$I$2:$I$4077,I1014)</f>
        <v>2</v>
      </c>
      <c r="L1014" s="3" t="n">
        <f aca="false">IF(COUNTIFS($B$2:B1014,B1014,$C$2:C1014,C1014,$I$2:I1014,I1014)=1,1,0)</f>
        <v>1</v>
      </c>
      <c r="M1014" s="3" t="n">
        <f aca="false">IF(K1014&gt;=Parametri!$B$1,1,0)</f>
        <v>1</v>
      </c>
      <c r="N1014" s="3" t="n">
        <f aca="false">L1014*M1014</f>
        <v>1</v>
      </c>
    </row>
    <row r="1015" customFormat="false" ht="15" hidden="false" customHeight="false" outlineLevel="0" collapsed="false">
      <c r="A1015" s="0" t="s">
        <v>1794</v>
      </c>
      <c r="B1015" s="0" t="s">
        <v>124</v>
      </c>
      <c r="C1015" s="0" t="s">
        <v>1795</v>
      </c>
      <c r="D1015" s="0" t="s">
        <v>26</v>
      </c>
      <c r="E1015" s="2" t="n">
        <v>46249</v>
      </c>
      <c r="F1015" s="3" t="s">
        <v>34</v>
      </c>
      <c r="G1015" s="3" t="s">
        <v>89</v>
      </c>
      <c r="H1015" s="3" t="s">
        <v>44</v>
      </c>
      <c r="I1015" s="3" t="n">
        <f aca="false">YEAR(E1015)</f>
        <v>2026</v>
      </c>
      <c r="J1015" s="3" t="n">
        <f aca="false">MONTH(E1015)</f>
        <v>8</v>
      </c>
      <c r="K1015" s="3" t="n">
        <f aca="false">COUNTIFS($B$2:$B$4077,B1015,$C$2:$C$4077,C1015,$I$2:$I$4077,I1015)</f>
        <v>1</v>
      </c>
      <c r="L1015" s="3" t="n">
        <f aca="false">IF(COUNTIFS($B$2:B1015,B1015,$C$2:C1015,C1015,$I$2:I1015,I1015)=1,1,0)</f>
        <v>1</v>
      </c>
      <c r="M1015" s="3" t="n">
        <f aca="false">IF(K1015&gt;=Parametri!$B$1,1,0)</f>
        <v>0</v>
      </c>
      <c r="N1015" s="3" t="n">
        <f aca="false">L1015*M1015</f>
        <v>0</v>
      </c>
    </row>
    <row r="1016" customFormat="false" ht="15" hidden="false" customHeight="false" outlineLevel="0" collapsed="false">
      <c r="A1016" s="0" t="s">
        <v>1796</v>
      </c>
      <c r="B1016" s="0" t="s">
        <v>57</v>
      </c>
      <c r="C1016" s="0" t="s">
        <v>1797</v>
      </c>
      <c r="D1016" s="0" t="s">
        <v>66</v>
      </c>
      <c r="E1016" s="2" t="n">
        <v>45546</v>
      </c>
      <c r="F1016" s="3" t="s">
        <v>20</v>
      </c>
      <c r="G1016" s="3" t="s">
        <v>55</v>
      </c>
      <c r="H1016" s="3" t="s">
        <v>22</v>
      </c>
      <c r="I1016" s="3" t="n">
        <f aca="false">YEAR(E1016)</f>
        <v>2024</v>
      </c>
      <c r="J1016" s="3" t="n">
        <f aca="false">MONTH(E1016)</f>
        <v>9</v>
      </c>
      <c r="K1016" s="3" t="n">
        <f aca="false">COUNTIFS($B$2:$B$4077,B1016,$C$2:$C$4077,C1016,$I$2:$I$4077,I1016)</f>
        <v>2</v>
      </c>
      <c r="L1016" s="3" t="n">
        <f aca="false">IF(COUNTIFS($B$2:B1016,B1016,$C$2:C1016,C1016,$I$2:I1016,I1016)=1,1,0)</f>
        <v>1</v>
      </c>
      <c r="M1016" s="3" t="n">
        <f aca="false">IF(K1016&gt;=Parametri!$B$1,1,0)</f>
        <v>1</v>
      </c>
      <c r="N1016" s="3" t="n">
        <f aca="false">L1016*M1016</f>
        <v>1</v>
      </c>
    </row>
    <row r="1017" customFormat="false" ht="15" hidden="false" customHeight="false" outlineLevel="0" collapsed="false">
      <c r="A1017" s="0" t="s">
        <v>1798</v>
      </c>
      <c r="B1017" s="0" t="s">
        <v>46</v>
      </c>
      <c r="C1017" s="0" t="s">
        <v>997</v>
      </c>
      <c r="D1017" s="0" t="s">
        <v>19</v>
      </c>
      <c r="E1017" s="2" t="n">
        <v>46260</v>
      </c>
      <c r="F1017" s="3" t="s">
        <v>34</v>
      </c>
      <c r="G1017" s="3" t="s">
        <v>89</v>
      </c>
      <c r="H1017" s="3" t="s">
        <v>48</v>
      </c>
      <c r="I1017" s="3" t="n">
        <f aca="false">YEAR(E1017)</f>
        <v>2026</v>
      </c>
      <c r="J1017" s="3" t="n">
        <f aca="false">MONTH(E1017)</f>
        <v>8</v>
      </c>
      <c r="K1017" s="3" t="n">
        <f aca="false">COUNTIFS($B$2:$B$4077,B1017,$C$2:$C$4077,C1017,$I$2:$I$4077,I1017)</f>
        <v>1</v>
      </c>
      <c r="L1017" s="3" t="n">
        <f aca="false">IF(COUNTIFS($B$2:B1017,B1017,$C$2:C1017,C1017,$I$2:I1017,I1017)=1,1,0)</f>
        <v>1</v>
      </c>
      <c r="M1017" s="3" t="n">
        <f aca="false">IF(K1017&gt;=Parametri!$B$1,1,0)</f>
        <v>0</v>
      </c>
      <c r="N1017" s="3" t="n">
        <f aca="false">L1017*M1017</f>
        <v>0</v>
      </c>
    </row>
    <row r="1018" customFormat="false" ht="15" hidden="false" customHeight="false" outlineLevel="0" collapsed="false">
      <c r="A1018" s="0" t="s">
        <v>1799</v>
      </c>
      <c r="B1018" s="0" t="s">
        <v>41</v>
      </c>
      <c r="C1018" s="0" t="s">
        <v>1349</v>
      </c>
      <c r="D1018" s="0" t="s">
        <v>54</v>
      </c>
      <c r="E1018" s="2" t="n">
        <v>46144</v>
      </c>
      <c r="F1018" s="3" t="s">
        <v>20</v>
      </c>
      <c r="G1018" s="3" t="s">
        <v>21</v>
      </c>
      <c r="H1018" s="3" t="s">
        <v>48</v>
      </c>
      <c r="I1018" s="3" t="n">
        <f aca="false">YEAR(E1018)</f>
        <v>2026</v>
      </c>
      <c r="J1018" s="3" t="n">
        <f aca="false">MONTH(E1018)</f>
        <v>5</v>
      </c>
      <c r="K1018" s="3" t="n">
        <f aca="false">COUNTIFS($B$2:$B$4077,B1018,$C$2:$C$4077,C1018,$I$2:$I$4077,I1018)</f>
        <v>2</v>
      </c>
      <c r="L1018" s="3" t="n">
        <f aca="false">IF(COUNTIFS($B$2:B1018,B1018,$C$2:C1018,C1018,$I$2:I1018,I1018)=1,1,0)</f>
        <v>1</v>
      </c>
      <c r="M1018" s="3" t="n">
        <f aca="false">IF(K1018&gt;=Parametri!$B$1,1,0)</f>
        <v>1</v>
      </c>
      <c r="N1018" s="3" t="n">
        <f aca="false">L1018*M1018</f>
        <v>1</v>
      </c>
    </row>
    <row r="1019" customFormat="false" ht="15" hidden="false" customHeight="false" outlineLevel="0" collapsed="false">
      <c r="A1019" s="0" t="s">
        <v>1800</v>
      </c>
      <c r="B1019" s="0" t="s">
        <v>41</v>
      </c>
      <c r="C1019" s="0" t="s">
        <v>742</v>
      </c>
      <c r="D1019" s="0" t="s">
        <v>77</v>
      </c>
      <c r="E1019" s="2" t="n">
        <v>46040</v>
      </c>
      <c r="F1019" s="3" t="s">
        <v>20</v>
      </c>
      <c r="G1019" s="3" t="s">
        <v>39</v>
      </c>
      <c r="H1019" s="3" t="s">
        <v>44</v>
      </c>
      <c r="I1019" s="3" t="n">
        <f aca="false">YEAR(E1019)</f>
        <v>2026</v>
      </c>
      <c r="J1019" s="3" t="n">
        <f aca="false">MONTH(E1019)</f>
        <v>1</v>
      </c>
      <c r="K1019" s="3" t="n">
        <f aca="false">COUNTIFS($B$2:$B$4077,B1019,$C$2:$C$4077,C1019,$I$2:$I$4077,I1019)</f>
        <v>1</v>
      </c>
      <c r="L1019" s="3" t="n">
        <f aca="false">IF(COUNTIFS($B$2:B1019,B1019,$C$2:C1019,C1019,$I$2:I1019,I1019)=1,1,0)</f>
        <v>1</v>
      </c>
      <c r="M1019" s="3" t="n">
        <f aca="false">IF(K1019&gt;=Parametri!$B$1,1,0)</f>
        <v>0</v>
      </c>
      <c r="N1019" s="3" t="n">
        <f aca="false">L1019*M1019</f>
        <v>0</v>
      </c>
    </row>
    <row r="1020" customFormat="false" ht="15" hidden="false" customHeight="false" outlineLevel="0" collapsed="false">
      <c r="A1020" s="0" t="s">
        <v>1801</v>
      </c>
      <c r="B1020" s="0" t="s">
        <v>124</v>
      </c>
      <c r="C1020" s="0" t="s">
        <v>1802</v>
      </c>
      <c r="D1020" s="0" t="s">
        <v>26</v>
      </c>
      <c r="E1020" s="2" t="n">
        <v>45861</v>
      </c>
      <c r="F1020" s="3" t="s">
        <v>20</v>
      </c>
      <c r="G1020" s="3" t="s">
        <v>21</v>
      </c>
      <c r="H1020" s="3" t="s">
        <v>44</v>
      </c>
      <c r="I1020" s="3" t="n">
        <f aca="false">YEAR(E1020)</f>
        <v>2025</v>
      </c>
      <c r="J1020" s="3" t="n">
        <f aca="false">MONTH(E1020)</f>
        <v>7</v>
      </c>
      <c r="K1020" s="3" t="n">
        <f aca="false">COUNTIFS($B$2:$B$4077,B1020,$C$2:$C$4077,C1020,$I$2:$I$4077,I1020)</f>
        <v>1</v>
      </c>
      <c r="L1020" s="3" t="n">
        <f aca="false">IF(COUNTIFS($B$2:B1020,B1020,$C$2:C1020,C1020,$I$2:I1020,I1020)=1,1,0)</f>
        <v>1</v>
      </c>
      <c r="M1020" s="3" t="n">
        <f aca="false">IF(K1020&gt;=Parametri!$B$1,1,0)</f>
        <v>0</v>
      </c>
      <c r="N1020" s="3" t="n">
        <f aca="false">L1020*M1020</f>
        <v>0</v>
      </c>
    </row>
    <row r="1021" customFormat="false" ht="15" hidden="false" customHeight="false" outlineLevel="0" collapsed="false">
      <c r="A1021" s="0" t="s">
        <v>1803</v>
      </c>
      <c r="B1021" s="0" t="s">
        <v>31</v>
      </c>
      <c r="C1021" s="0" t="s">
        <v>1804</v>
      </c>
      <c r="D1021" s="0" t="s">
        <v>63</v>
      </c>
      <c r="E1021" s="2" t="n">
        <v>45701</v>
      </c>
      <c r="F1021" s="3" t="s">
        <v>20</v>
      </c>
      <c r="G1021" s="3" t="s">
        <v>28</v>
      </c>
      <c r="H1021" s="3" t="s">
        <v>29</v>
      </c>
      <c r="I1021" s="3" t="n">
        <f aca="false">YEAR(E1021)</f>
        <v>2025</v>
      </c>
      <c r="J1021" s="3" t="n">
        <f aca="false">MONTH(E1021)</f>
        <v>2</v>
      </c>
      <c r="K1021" s="3" t="n">
        <f aca="false">COUNTIFS($B$2:$B$4077,B1021,$C$2:$C$4077,C1021,$I$2:$I$4077,I1021)</f>
        <v>1</v>
      </c>
      <c r="L1021" s="3" t="n">
        <f aca="false">IF(COUNTIFS($B$2:B1021,B1021,$C$2:C1021,C1021,$I$2:I1021,I1021)=1,1,0)</f>
        <v>1</v>
      </c>
      <c r="M1021" s="3" t="n">
        <f aca="false">IF(K1021&gt;=Parametri!$B$1,1,0)</f>
        <v>0</v>
      </c>
      <c r="N1021" s="3" t="n">
        <f aca="false">L1021*M1021</f>
        <v>0</v>
      </c>
    </row>
    <row r="1022" customFormat="false" ht="15" hidden="false" customHeight="false" outlineLevel="0" collapsed="false">
      <c r="A1022" s="0" t="s">
        <v>1805</v>
      </c>
      <c r="B1022" s="0" t="s">
        <v>31</v>
      </c>
      <c r="C1022" s="0" t="s">
        <v>1806</v>
      </c>
      <c r="D1022" s="0" t="s">
        <v>54</v>
      </c>
      <c r="E1022" s="2" t="n">
        <v>45607</v>
      </c>
      <c r="F1022" s="3" t="s">
        <v>27</v>
      </c>
      <c r="G1022" s="3" t="s">
        <v>35</v>
      </c>
      <c r="H1022" s="3" t="s">
        <v>44</v>
      </c>
      <c r="I1022" s="3" t="n">
        <f aca="false">YEAR(E1022)</f>
        <v>2024</v>
      </c>
      <c r="J1022" s="3" t="n">
        <f aca="false">MONTH(E1022)</f>
        <v>11</v>
      </c>
      <c r="K1022" s="3" t="n">
        <f aca="false">COUNTIFS($B$2:$B$4077,B1022,$C$2:$C$4077,C1022,$I$2:$I$4077,I1022)</f>
        <v>2</v>
      </c>
      <c r="L1022" s="3" t="n">
        <f aca="false">IF(COUNTIFS($B$2:B1022,B1022,$C$2:C1022,C1022,$I$2:I1022,I1022)=1,1,0)</f>
        <v>1</v>
      </c>
      <c r="M1022" s="3" t="n">
        <f aca="false">IF(K1022&gt;=Parametri!$B$1,1,0)</f>
        <v>1</v>
      </c>
      <c r="N1022" s="3" t="n">
        <f aca="false">L1022*M1022</f>
        <v>1</v>
      </c>
    </row>
    <row r="1023" customFormat="false" ht="15" hidden="false" customHeight="false" outlineLevel="0" collapsed="false">
      <c r="A1023" s="0" t="s">
        <v>1807</v>
      </c>
      <c r="B1023" s="0" t="s">
        <v>31</v>
      </c>
      <c r="C1023" s="0" t="s">
        <v>712</v>
      </c>
      <c r="D1023" s="0" t="s">
        <v>66</v>
      </c>
      <c r="E1023" s="2" t="n">
        <v>45657</v>
      </c>
      <c r="F1023" s="3" t="s">
        <v>20</v>
      </c>
      <c r="G1023" s="3" t="s">
        <v>55</v>
      </c>
      <c r="H1023" s="3" t="s">
        <v>48</v>
      </c>
      <c r="I1023" s="3" t="n">
        <f aca="false">YEAR(E1023)</f>
        <v>2024</v>
      </c>
      <c r="J1023" s="3" t="n">
        <f aca="false">MONTH(E1023)</f>
        <v>12</v>
      </c>
      <c r="K1023" s="3" t="n">
        <f aca="false">COUNTIFS($B$2:$B$4077,B1023,$C$2:$C$4077,C1023,$I$2:$I$4077,I1023)</f>
        <v>5</v>
      </c>
      <c r="L1023" s="3" t="n">
        <f aca="false">IF(COUNTIFS($B$2:B1023,B1023,$C$2:C1023,C1023,$I$2:I1023,I1023)=1,1,0)</f>
        <v>0</v>
      </c>
      <c r="M1023" s="3" t="n">
        <f aca="false">IF(K1023&gt;=Parametri!$B$1,1,0)</f>
        <v>1</v>
      </c>
      <c r="N1023" s="3" t="n">
        <f aca="false">L1023*M1023</f>
        <v>0</v>
      </c>
    </row>
    <row r="1024" customFormat="false" ht="15" hidden="false" customHeight="false" outlineLevel="0" collapsed="false">
      <c r="A1024" s="0" t="s">
        <v>1808</v>
      </c>
      <c r="B1024" s="0" t="s">
        <v>31</v>
      </c>
      <c r="C1024" s="0" t="s">
        <v>1523</v>
      </c>
      <c r="D1024" s="0" t="s">
        <v>19</v>
      </c>
      <c r="E1024" s="2" t="n">
        <v>45719</v>
      </c>
      <c r="F1024" s="3" t="s">
        <v>34</v>
      </c>
      <c r="G1024" s="3" t="s">
        <v>35</v>
      </c>
      <c r="H1024" s="3" t="s">
        <v>44</v>
      </c>
      <c r="I1024" s="3" t="n">
        <f aca="false">YEAR(E1024)</f>
        <v>2025</v>
      </c>
      <c r="J1024" s="3" t="n">
        <f aca="false">MONTH(E1024)</f>
        <v>3</v>
      </c>
      <c r="K1024" s="3" t="n">
        <f aca="false">COUNTIFS($B$2:$B$4077,B1024,$C$2:$C$4077,C1024,$I$2:$I$4077,I1024)</f>
        <v>1</v>
      </c>
      <c r="L1024" s="3" t="n">
        <f aca="false">IF(COUNTIFS($B$2:B1024,B1024,$C$2:C1024,C1024,$I$2:I1024,I1024)=1,1,0)</f>
        <v>1</v>
      </c>
      <c r="M1024" s="3" t="n">
        <f aca="false">IF(K1024&gt;=Parametri!$B$1,1,0)</f>
        <v>0</v>
      </c>
      <c r="N1024" s="3" t="n">
        <f aca="false">L1024*M1024</f>
        <v>0</v>
      </c>
    </row>
    <row r="1025" customFormat="false" ht="15" hidden="false" customHeight="false" outlineLevel="0" collapsed="false">
      <c r="A1025" s="0" t="s">
        <v>1809</v>
      </c>
      <c r="B1025" s="0" t="s">
        <v>50</v>
      </c>
      <c r="C1025" s="0" t="s">
        <v>1158</v>
      </c>
      <c r="D1025" s="0" t="s">
        <v>19</v>
      </c>
      <c r="E1025" s="2" t="n">
        <v>46148</v>
      </c>
      <c r="F1025" s="3" t="s">
        <v>27</v>
      </c>
      <c r="G1025" s="3" t="s">
        <v>55</v>
      </c>
      <c r="H1025" s="3" t="s">
        <v>29</v>
      </c>
      <c r="I1025" s="3" t="n">
        <f aca="false">YEAR(E1025)</f>
        <v>2026</v>
      </c>
      <c r="J1025" s="3" t="n">
        <f aca="false">MONTH(E1025)</f>
        <v>5</v>
      </c>
      <c r="K1025" s="3" t="n">
        <f aca="false">COUNTIFS($B$2:$B$4077,B1025,$C$2:$C$4077,C1025,$I$2:$I$4077,I1025)</f>
        <v>2</v>
      </c>
      <c r="L1025" s="3" t="n">
        <f aca="false">IF(COUNTIFS($B$2:B1025,B1025,$C$2:C1025,C1025,$I$2:I1025,I1025)=1,1,0)</f>
        <v>0</v>
      </c>
      <c r="M1025" s="3" t="n">
        <f aca="false">IF(K1025&gt;=Parametri!$B$1,1,0)</f>
        <v>1</v>
      </c>
      <c r="N1025" s="3" t="n">
        <f aca="false">L1025*M1025</f>
        <v>0</v>
      </c>
    </row>
    <row r="1026" customFormat="false" ht="15" hidden="false" customHeight="false" outlineLevel="0" collapsed="false">
      <c r="A1026" s="0" t="s">
        <v>1810</v>
      </c>
      <c r="B1026" s="0" t="s">
        <v>46</v>
      </c>
      <c r="C1026" s="0" t="s">
        <v>1811</v>
      </c>
      <c r="D1026" s="0" t="s">
        <v>66</v>
      </c>
      <c r="E1026" s="2" t="n">
        <v>45388</v>
      </c>
      <c r="F1026" s="3" t="s">
        <v>20</v>
      </c>
      <c r="G1026" s="3" t="s">
        <v>35</v>
      </c>
      <c r="H1026" s="3" t="s">
        <v>29</v>
      </c>
      <c r="I1026" s="3" t="n">
        <f aca="false">YEAR(E1026)</f>
        <v>2024</v>
      </c>
      <c r="J1026" s="3" t="n">
        <f aca="false">MONTH(E1026)</f>
        <v>4</v>
      </c>
      <c r="K1026" s="3" t="n">
        <f aca="false">COUNTIFS($B$2:$B$4077,B1026,$C$2:$C$4077,C1026,$I$2:$I$4077,I1026)</f>
        <v>1</v>
      </c>
      <c r="L1026" s="3" t="n">
        <f aca="false">IF(COUNTIFS($B$2:B1026,B1026,$C$2:C1026,C1026,$I$2:I1026,I1026)=1,1,0)</f>
        <v>1</v>
      </c>
      <c r="M1026" s="3" t="n">
        <f aca="false">IF(K1026&gt;=Parametri!$B$1,1,0)</f>
        <v>0</v>
      </c>
      <c r="N1026" s="3" t="n">
        <f aca="false">L1026*M1026</f>
        <v>0</v>
      </c>
    </row>
    <row r="1027" customFormat="false" ht="15" hidden="false" customHeight="false" outlineLevel="0" collapsed="false">
      <c r="A1027" s="0" t="s">
        <v>1812</v>
      </c>
      <c r="B1027" s="0" t="s">
        <v>24</v>
      </c>
      <c r="C1027" s="0" t="s">
        <v>325</v>
      </c>
      <c r="D1027" s="0" t="s">
        <v>33</v>
      </c>
      <c r="E1027" s="2" t="n">
        <v>45686</v>
      </c>
      <c r="F1027" s="3" t="s">
        <v>20</v>
      </c>
      <c r="G1027" s="3" t="s">
        <v>28</v>
      </c>
      <c r="H1027" s="3" t="s">
        <v>22</v>
      </c>
      <c r="I1027" s="3" t="n">
        <f aca="false">YEAR(E1027)</f>
        <v>2025</v>
      </c>
      <c r="J1027" s="3" t="n">
        <f aca="false">MONTH(E1027)</f>
        <v>1</v>
      </c>
      <c r="K1027" s="3" t="n">
        <f aca="false">COUNTIFS($B$2:$B$4077,B1027,$C$2:$C$4077,C1027,$I$2:$I$4077,I1027)</f>
        <v>4</v>
      </c>
      <c r="L1027" s="3" t="n">
        <f aca="false">IF(COUNTIFS($B$2:B1027,B1027,$C$2:C1027,C1027,$I$2:I1027,I1027)=1,1,0)</f>
        <v>0</v>
      </c>
      <c r="M1027" s="3" t="n">
        <f aca="false">IF(K1027&gt;=Parametri!$B$1,1,0)</f>
        <v>1</v>
      </c>
      <c r="N1027" s="3" t="n">
        <f aca="false">L1027*M1027</f>
        <v>0</v>
      </c>
    </row>
    <row r="1028" customFormat="false" ht="15" hidden="false" customHeight="false" outlineLevel="0" collapsed="false">
      <c r="A1028" s="0" t="s">
        <v>1813</v>
      </c>
      <c r="B1028" s="0" t="s">
        <v>17</v>
      </c>
      <c r="C1028" s="0" t="s">
        <v>1814</v>
      </c>
      <c r="D1028" s="0" t="s">
        <v>33</v>
      </c>
      <c r="E1028" s="2" t="n">
        <v>46235</v>
      </c>
      <c r="F1028" s="3" t="s">
        <v>20</v>
      </c>
      <c r="G1028" s="3" t="s">
        <v>35</v>
      </c>
      <c r="H1028" s="3" t="s">
        <v>29</v>
      </c>
      <c r="I1028" s="3" t="n">
        <f aca="false">YEAR(E1028)</f>
        <v>2026</v>
      </c>
      <c r="J1028" s="3" t="n">
        <f aca="false">MONTH(E1028)</f>
        <v>8</v>
      </c>
      <c r="K1028" s="3" t="n">
        <f aca="false">COUNTIFS($B$2:$B$4077,B1028,$C$2:$C$4077,C1028,$I$2:$I$4077,I1028)</f>
        <v>1</v>
      </c>
      <c r="L1028" s="3" t="n">
        <f aca="false">IF(COUNTIFS($B$2:B1028,B1028,$C$2:C1028,C1028,$I$2:I1028,I1028)=1,1,0)</f>
        <v>1</v>
      </c>
      <c r="M1028" s="3" t="n">
        <f aca="false">IF(K1028&gt;=Parametri!$B$1,1,0)</f>
        <v>0</v>
      </c>
      <c r="N1028" s="3" t="n">
        <f aca="false">L1028*M1028</f>
        <v>0</v>
      </c>
    </row>
    <row r="1029" customFormat="false" ht="15" hidden="false" customHeight="false" outlineLevel="0" collapsed="false">
      <c r="A1029" s="0" t="s">
        <v>1815</v>
      </c>
      <c r="B1029" s="0" t="s">
        <v>124</v>
      </c>
      <c r="C1029" s="0" t="s">
        <v>758</v>
      </c>
      <c r="D1029" s="0" t="s">
        <v>26</v>
      </c>
      <c r="E1029" s="2" t="n">
        <v>45873</v>
      </c>
      <c r="F1029" s="3" t="s">
        <v>20</v>
      </c>
      <c r="G1029" s="3" t="s">
        <v>28</v>
      </c>
      <c r="H1029" s="3" t="s">
        <v>22</v>
      </c>
      <c r="I1029" s="3" t="n">
        <f aca="false">YEAR(E1029)</f>
        <v>2025</v>
      </c>
      <c r="J1029" s="3" t="n">
        <f aca="false">MONTH(E1029)</f>
        <v>8</v>
      </c>
      <c r="K1029" s="3" t="n">
        <f aca="false">COUNTIFS($B$2:$B$4077,B1029,$C$2:$C$4077,C1029,$I$2:$I$4077,I1029)</f>
        <v>3</v>
      </c>
      <c r="L1029" s="3" t="n">
        <f aca="false">IF(COUNTIFS($B$2:B1029,B1029,$C$2:C1029,C1029,$I$2:I1029,I1029)=1,1,0)</f>
        <v>0</v>
      </c>
      <c r="M1029" s="3" t="n">
        <f aca="false">IF(K1029&gt;=Parametri!$B$1,1,0)</f>
        <v>1</v>
      </c>
      <c r="N1029" s="3" t="n">
        <f aca="false">L1029*M1029</f>
        <v>0</v>
      </c>
    </row>
    <row r="1030" customFormat="false" ht="15" hidden="false" customHeight="false" outlineLevel="0" collapsed="false">
      <c r="A1030" s="0" t="s">
        <v>1816</v>
      </c>
      <c r="B1030" s="0" t="s">
        <v>41</v>
      </c>
      <c r="C1030" s="0" t="s">
        <v>1817</v>
      </c>
      <c r="D1030" s="0" t="s">
        <v>66</v>
      </c>
      <c r="E1030" s="2" t="n">
        <v>45874</v>
      </c>
      <c r="F1030" s="3" t="s">
        <v>20</v>
      </c>
      <c r="G1030" s="3" t="s">
        <v>28</v>
      </c>
      <c r="H1030" s="3" t="s">
        <v>29</v>
      </c>
      <c r="I1030" s="3" t="n">
        <f aca="false">YEAR(E1030)</f>
        <v>2025</v>
      </c>
      <c r="J1030" s="3" t="n">
        <f aca="false">MONTH(E1030)</f>
        <v>8</v>
      </c>
      <c r="K1030" s="3" t="n">
        <f aca="false">COUNTIFS($B$2:$B$4077,B1030,$C$2:$C$4077,C1030,$I$2:$I$4077,I1030)</f>
        <v>1</v>
      </c>
      <c r="L1030" s="3" t="n">
        <f aca="false">IF(COUNTIFS($B$2:B1030,B1030,$C$2:C1030,C1030,$I$2:I1030,I1030)=1,1,0)</f>
        <v>1</v>
      </c>
      <c r="M1030" s="3" t="n">
        <f aca="false">IF(K1030&gt;=Parametri!$B$1,1,0)</f>
        <v>0</v>
      </c>
      <c r="N1030" s="3" t="n">
        <f aca="false">L1030*M1030</f>
        <v>0</v>
      </c>
    </row>
    <row r="1031" customFormat="false" ht="15" hidden="false" customHeight="false" outlineLevel="0" collapsed="false">
      <c r="A1031" s="0" t="s">
        <v>1818</v>
      </c>
      <c r="B1031" s="0" t="s">
        <v>124</v>
      </c>
      <c r="C1031" s="0" t="s">
        <v>1819</v>
      </c>
      <c r="D1031" s="0" t="s">
        <v>66</v>
      </c>
      <c r="E1031" s="2" t="n">
        <v>45981</v>
      </c>
      <c r="F1031" s="3" t="s">
        <v>20</v>
      </c>
      <c r="G1031" s="3" t="s">
        <v>28</v>
      </c>
      <c r="H1031" s="3" t="s">
        <v>44</v>
      </c>
      <c r="I1031" s="3" t="n">
        <f aca="false">YEAR(E1031)</f>
        <v>2025</v>
      </c>
      <c r="J1031" s="3" t="n">
        <f aca="false">MONTH(E1031)</f>
        <v>11</v>
      </c>
      <c r="K1031" s="3" t="n">
        <f aca="false">COUNTIFS($B$2:$B$4077,B1031,$C$2:$C$4077,C1031,$I$2:$I$4077,I1031)</f>
        <v>1</v>
      </c>
      <c r="L1031" s="3" t="n">
        <f aca="false">IF(COUNTIFS($B$2:B1031,B1031,$C$2:C1031,C1031,$I$2:I1031,I1031)=1,1,0)</f>
        <v>1</v>
      </c>
      <c r="M1031" s="3" t="n">
        <f aca="false">IF(K1031&gt;=Parametri!$B$1,1,0)</f>
        <v>0</v>
      </c>
      <c r="N1031" s="3" t="n">
        <f aca="false">L1031*M1031</f>
        <v>0</v>
      </c>
    </row>
    <row r="1032" customFormat="false" ht="15" hidden="false" customHeight="false" outlineLevel="0" collapsed="false">
      <c r="A1032" s="0" t="s">
        <v>1820</v>
      </c>
      <c r="B1032" s="0" t="s">
        <v>24</v>
      </c>
      <c r="C1032" s="0" t="s">
        <v>1821</v>
      </c>
      <c r="D1032" s="0" t="s">
        <v>19</v>
      </c>
      <c r="E1032" s="2" t="n">
        <v>45580</v>
      </c>
      <c r="F1032" s="3" t="s">
        <v>27</v>
      </c>
      <c r="G1032" s="3" t="s">
        <v>55</v>
      </c>
      <c r="H1032" s="3" t="s">
        <v>29</v>
      </c>
      <c r="I1032" s="3" t="n">
        <f aca="false">YEAR(E1032)</f>
        <v>2024</v>
      </c>
      <c r="J1032" s="3" t="n">
        <f aca="false">MONTH(E1032)</f>
        <v>10</v>
      </c>
      <c r="K1032" s="3" t="n">
        <f aca="false">COUNTIFS($B$2:$B$4077,B1032,$C$2:$C$4077,C1032,$I$2:$I$4077,I1032)</f>
        <v>1</v>
      </c>
      <c r="L1032" s="3" t="n">
        <f aca="false">IF(COUNTIFS($B$2:B1032,B1032,$C$2:C1032,C1032,$I$2:I1032,I1032)=1,1,0)</f>
        <v>1</v>
      </c>
      <c r="M1032" s="3" t="n">
        <f aca="false">IF(K1032&gt;=Parametri!$B$1,1,0)</f>
        <v>0</v>
      </c>
      <c r="N1032" s="3" t="n">
        <f aca="false">L1032*M1032</f>
        <v>0</v>
      </c>
    </row>
    <row r="1033" customFormat="false" ht="15" hidden="false" customHeight="false" outlineLevel="0" collapsed="false">
      <c r="A1033" s="0" t="s">
        <v>1822</v>
      </c>
      <c r="B1033" s="0" t="s">
        <v>31</v>
      </c>
      <c r="C1033" s="0" t="s">
        <v>1823</v>
      </c>
      <c r="D1033" s="0" t="s">
        <v>19</v>
      </c>
      <c r="E1033" s="2" t="n">
        <v>46171</v>
      </c>
      <c r="F1033" s="3" t="s">
        <v>20</v>
      </c>
      <c r="G1033" s="3" t="s">
        <v>89</v>
      </c>
      <c r="H1033" s="3" t="s">
        <v>22</v>
      </c>
      <c r="I1033" s="3" t="n">
        <f aca="false">YEAR(E1033)</f>
        <v>2026</v>
      </c>
      <c r="J1033" s="3" t="n">
        <f aca="false">MONTH(E1033)</f>
        <v>5</v>
      </c>
      <c r="K1033" s="3" t="n">
        <f aca="false">COUNTIFS($B$2:$B$4077,B1033,$C$2:$C$4077,C1033,$I$2:$I$4077,I1033)</f>
        <v>1</v>
      </c>
      <c r="L1033" s="3" t="n">
        <f aca="false">IF(COUNTIFS($B$2:B1033,B1033,$C$2:C1033,C1033,$I$2:I1033,I1033)=1,1,0)</f>
        <v>1</v>
      </c>
      <c r="M1033" s="3" t="n">
        <f aca="false">IF(K1033&gt;=Parametri!$B$1,1,0)</f>
        <v>0</v>
      </c>
      <c r="N1033" s="3" t="n">
        <f aca="false">L1033*M1033</f>
        <v>0</v>
      </c>
    </row>
    <row r="1034" customFormat="false" ht="15" hidden="false" customHeight="false" outlineLevel="0" collapsed="false">
      <c r="A1034" s="0" t="s">
        <v>1824</v>
      </c>
      <c r="B1034" s="0" t="s">
        <v>50</v>
      </c>
      <c r="C1034" s="0" t="s">
        <v>1825</v>
      </c>
      <c r="D1034" s="0" t="s">
        <v>26</v>
      </c>
      <c r="E1034" s="2" t="n">
        <v>46260</v>
      </c>
      <c r="F1034" s="3" t="s">
        <v>27</v>
      </c>
      <c r="G1034" s="3" t="s">
        <v>43</v>
      </c>
      <c r="H1034" s="3" t="s">
        <v>48</v>
      </c>
      <c r="I1034" s="3" t="n">
        <f aca="false">YEAR(E1034)</f>
        <v>2026</v>
      </c>
      <c r="J1034" s="3" t="n">
        <f aca="false">MONTH(E1034)</f>
        <v>8</v>
      </c>
      <c r="K1034" s="3" t="n">
        <f aca="false">COUNTIFS($B$2:$B$4077,B1034,$C$2:$C$4077,C1034,$I$2:$I$4077,I1034)</f>
        <v>1</v>
      </c>
      <c r="L1034" s="3" t="n">
        <f aca="false">IF(COUNTIFS($B$2:B1034,B1034,$C$2:C1034,C1034,$I$2:I1034,I1034)=1,1,0)</f>
        <v>1</v>
      </c>
      <c r="M1034" s="3" t="n">
        <f aca="false">IF(K1034&gt;=Parametri!$B$1,1,0)</f>
        <v>0</v>
      </c>
      <c r="N1034" s="3" t="n">
        <f aca="false">L1034*M1034</f>
        <v>0</v>
      </c>
    </row>
    <row r="1035" customFormat="false" ht="15" hidden="false" customHeight="false" outlineLevel="0" collapsed="false">
      <c r="A1035" s="0" t="s">
        <v>1826</v>
      </c>
      <c r="B1035" s="0" t="s">
        <v>41</v>
      </c>
      <c r="C1035" s="0" t="s">
        <v>1827</v>
      </c>
      <c r="D1035" s="0" t="s">
        <v>26</v>
      </c>
      <c r="E1035" s="2" t="n">
        <v>45880</v>
      </c>
      <c r="F1035" s="3" t="s">
        <v>34</v>
      </c>
      <c r="G1035" s="3" t="s">
        <v>43</v>
      </c>
      <c r="H1035" s="3" t="s">
        <v>48</v>
      </c>
      <c r="I1035" s="3" t="n">
        <f aca="false">YEAR(E1035)</f>
        <v>2025</v>
      </c>
      <c r="J1035" s="3" t="n">
        <f aca="false">MONTH(E1035)</f>
        <v>8</v>
      </c>
      <c r="K1035" s="3" t="n">
        <f aca="false">COUNTIFS($B$2:$B$4077,B1035,$C$2:$C$4077,C1035,$I$2:$I$4077,I1035)</f>
        <v>1</v>
      </c>
      <c r="L1035" s="3" t="n">
        <f aca="false">IF(COUNTIFS($B$2:B1035,B1035,$C$2:C1035,C1035,$I$2:I1035,I1035)=1,1,0)</f>
        <v>1</v>
      </c>
      <c r="M1035" s="3" t="n">
        <f aca="false">IF(K1035&gt;=Parametri!$B$1,1,0)</f>
        <v>0</v>
      </c>
      <c r="N1035" s="3" t="n">
        <f aca="false">L1035*M1035</f>
        <v>0</v>
      </c>
    </row>
    <row r="1036" customFormat="false" ht="15" hidden="false" customHeight="false" outlineLevel="0" collapsed="false">
      <c r="A1036" s="0" t="s">
        <v>1828</v>
      </c>
      <c r="B1036" s="0" t="s">
        <v>17</v>
      </c>
      <c r="C1036" s="0" t="s">
        <v>1829</v>
      </c>
      <c r="D1036" s="0" t="s">
        <v>63</v>
      </c>
      <c r="E1036" s="2" t="n">
        <v>45683</v>
      </c>
      <c r="F1036" s="3" t="s">
        <v>27</v>
      </c>
      <c r="G1036" s="3" t="s">
        <v>72</v>
      </c>
      <c r="H1036" s="3" t="s">
        <v>22</v>
      </c>
      <c r="I1036" s="3" t="n">
        <f aca="false">YEAR(E1036)</f>
        <v>2025</v>
      </c>
      <c r="J1036" s="3" t="n">
        <f aca="false">MONTH(E1036)</f>
        <v>1</v>
      </c>
      <c r="K1036" s="3" t="n">
        <f aca="false">COUNTIFS($B$2:$B$4077,B1036,$C$2:$C$4077,C1036,$I$2:$I$4077,I1036)</f>
        <v>1</v>
      </c>
      <c r="L1036" s="3" t="n">
        <f aca="false">IF(COUNTIFS($B$2:B1036,B1036,$C$2:C1036,C1036,$I$2:I1036,I1036)=1,1,0)</f>
        <v>1</v>
      </c>
      <c r="M1036" s="3" t="n">
        <f aca="false">IF(K1036&gt;=Parametri!$B$1,1,0)</f>
        <v>0</v>
      </c>
      <c r="N1036" s="3" t="n">
        <f aca="false">L1036*M1036</f>
        <v>0</v>
      </c>
    </row>
    <row r="1037" customFormat="false" ht="15" hidden="false" customHeight="false" outlineLevel="0" collapsed="false">
      <c r="A1037" s="0" t="s">
        <v>1830</v>
      </c>
      <c r="B1037" s="0" t="s">
        <v>57</v>
      </c>
      <c r="C1037" s="0" t="s">
        <v>1831</v>
      </c>
      <c r="D1037" s="0" t="s">
        <v>26</v>
      </c>
      <c r="E1037" s="2" t="n">
        <v>45956</v>
      </c>
      <c r="F1037" s="3" t="s">
        <v>27</v>
      </c>
      <c r="G1037" s="3" t="s">
        <v>55</v>
      </c>
      <c r="H1037" s="3" t="s">
        <v>48</v>
      </c>
      <c r="I1037" s="3" t="n">
        <f aca="false">YEAR(E1037)</f>
        <v>2025</v>
      </c>
      <c r="J1037" s="3" t="n">
        <f aca="false">MONTH(E1037)</f>
        <v>10</v>
      </c>
      <c r="K1037" s="3" t="n">
        <f aca="false">COUNTIFS($B$2:$B$4077,B1037,$C$2:$C$4077,C1037,$I$2:$I$4077,I1037)</f>
        <v>2</v>
      </c>
      <c r="L1037" s="3" t="n">
        <f aca="false">IF(COUNTIFS($B$2:B1037,B1037,$C$2:C1037,C1037,$I$2:I1037,I1037)=1,1,0)</f>
        <v>1</v>
      </c>
      <c r="M1037" s="3" t="n">
        <f aca="false">IF(K1037&gt;=Parametri!$B$1,1,0)</f>
        <v>1</v>
      </c>
      <c r="N1037" s="3" t="n">
        <f aca="false">L1037*M1037</f>
        <v>1</v>
      </c>
    </row>
    <row r="1038" customFormat="false" ht="15" hidden="false" customHeight="false" outlineLevel="0" collapsed="false">
      <c r="A1038" s="0" t="s">
        <v>1832</v>
      </c>
      <c r="B1038" s="0" t="s">
        <v>50</v>
      </c>
      <c r="C1038" s="0" t="s">
        <v>1833</v>
      </c>
      <c r="D1038" s="0" t="s">
        <v>19</v>
      </c>
      <c r="E1038" s="2" t="n">
        <v>45959</v>
      </c>
      <c r="F1038" s="3" t="s">
        <v>20</v>
      </c>
      <c r="G1038" s="3" t="s">
        <v>72</v>
      </c>
      <c r="H1038" s="3" t="s">
        <v>22</v>
      </c>
      <c r="I1038" s="3" t="n">
        <f aca="false">YEAR(E1038)</f>
        <v>2025</v>
      </c>
      <c r="J1038" s="3" t="n">
        <f aca="false">MONTH(E1038)</f>
        <v>10</v>
      </c>
      <c r="K1038" s="3" t="n">
        <f aca="false">COUNTIFS($B$2:$B$4077,B1038,$C$2:$C$4077,C1038,$I$2:$I$4077,I1038)</f>
        <v>1</v>
      </c>
      <c r="L1038" s="3" t="n">
        <f aca="false">IF(COUNTIFS($B$2:B1038,B1038,$C$2:C1038,C1038,$I$2:I1038,I1038)=1,1,0)</f>
        <v>1</v>
      </c>
      <c r="M1038" s="3" t="n">
        <f aca="false">IF(K1038&gt;=Parametri!$B$1,1,0)</f>
        <v>0</v>
      </c>
      <c r="N1038" s="3" t="n">
        <f aca="false">L1038*M1038</f>
        <v>0</v>
      </c>
    </row>
    <row r="1039" customFormat="false" ht="15" hidden="false" customHeight="false" outlineLevel="0" collapsed="false">
      <c r="A1039" s="0" t="s">
        <v>1834</v>
      </c>
      <c r="B1039" s="0" t="s">
        <v>17</v>
      </c>
      <c r="C1039" s="0" t="s">
        <v>1829</v>
      </c>
      <c r="D1039" s="0" t="s">
        <v>63</v>
      </c>
      <c r="E1039" s="2" t="n">
        <v>45648</v>
      </c>
      <c r="F1039" s="3" t="s">
        <v>34</v>
      </c>
      <c r="G1039" s="3" t="s">
        <v>72</v>
      </c>
      <c r="H1039" s="3" t="s">
        <v>29</v>
      </c>
      <c r="I1039" s="3" t="n">
        <f aca="false">YEAR(E1039)</f>
        <v>2024</v>
      </c>
      <c r="J1039" s="3" t="n">
        <f aca="false">MONTH(E1039)</f>
        <v>12</v>
      </c>
      <c r="K1039" s="3" t="n">
        <f aca="false">COUNTIFS($B$2:$B$4077,B1039,$C$2:$C$4077,C1039,$I$2:$I$4077,I1039)</f>
        <v>1</v>
      </c>
      <c r="L1039" s="3" t="n">
        <f aca="false">IF(COUNTIFS($B$2:B1039,B1039,$C$2:C1039,C1039,$I$2:I1039,I1039)=1,1,0)</f>
        <v>1</v>
      </c>
      <c r="M1039" s="3" t="n">
        <f aca="false">IF(K1039&gt;=Parametri!$B$1,1,0)</f>
        <v>0</v>
      </c>
      <c r="N1039" s="3" t="n">
        <f aca="false">L1039*M1039</f>
        <v>0</v>
      </c>
    </row>
    <row r="1040" customFormat="false" ht="15" hidden="false" customHeight="false" outlineLevel="0" collapsed="false">
      <c r="A1040" s="0" t="s">
        <v>1835</v>
      </c>
      <c r="B1040" s="0" t="s">
        <v>24</v>
      </c>
      <c r="C1040" s="0" t="s">
        <v>412</v>
      </c>
      <c r="D1040" s="0" t="s">
        <v>66</v>
      </c>
      <c r="E1040" s="2" t="n">
        <v>45817</v>
      </c>
      <c r="F1040" s="3" t="s">
        <v>20</v>
      </c>
      <c r="G1040" s="3" t="s">
        <v>89</v>
      </c>
      <c r="H1040" s="3" t="s">
        <v>44</v>
      </c>
      <c r="I1040" s="3" t="n">
        <f aca="false">YEAR(E1040)</f>
        <v>2025</v>
      </c>
      <c r="J1040" s="3" t="n">
        <f aca="false">MONTH(E1040)</f>
        <v>6</v>
      </c>
      <c r="K1040" s="3" t="n">
        <f aca="false">COUNTIFS($B$2:$B$4077,B1040,$C$2:$C$4077,C1040,$I$2:$I$4077,I1040)</f>
        <v>1</v>
      </c>
      <c r="L1040" s="3" t="n">
        <f aca="false">IF(COUNTIFS($B$2:B1040,B1040,$C$2:C1040,C1040,$I$2:I1040,I1040)=1,1,0)</f>
        <v>1</v>
      </c>
      <c r="M1040" s="3" t="n">
        <f aca="false">IF(K1040&gt;=Parametri!$B$1,1,0)</f>
        <v>0</v>
      </c>
      <c r="N1040" s="3" t="n">
        <f aca="false">L1040*M1040</f>
        <v>0</v>
      </c>
    </row>
    <row r="1041" customFormat="false" ht="15" hidden="false" customHeight="false" outlineLevel="0" collapsed="false">
      <c r="A1041" s="0" t="s">
        <v>1836</v>
      </c>
      <c r="B1041" s="0" t="s">
        <v>68</v>
      </c>
      <c r="C1041" s="0" t="s">
        <v>1837</v>
      </c>
      <c r="D1041" s="0" t="s">
        <v>38</v>
      </c>
      <c r="E1041" s="2" t="n">
        <v>45629</v>
      </c>
      <c r="F1041" s="3" t="s">
        <v>27</v>
      </c>
      <c r="G1041" s="3" t="s">
        <v>39</v>
      </c>
      <c r="H1041" s="3" t="s">
        <v>48</v>
      </c>
      <c r="I1041" s="3" t="n">
        <f aca="false">YEAR(E1041)</f>
        <v>2024</v>
      </c>
      <c r="J1041" s="3" t="n">
        <f aca="false">MONTH(E1041)</f>
        <v>12</v>
      </c>
      <c r="K1041" s="3" t="n">
        <f aca="false">COUNTIFS($B$2:$B$4077,B1041,$C$2:$C$4077,C1041,$I$2:$I$4077,I1041)</f>
        <v>2</v>
      </c>
      <c r="L1041" s="3" t="n">
        <f aca="false">IF(COUNTIFS($B$2:B1041,B1041,$C$2:C1041,C1041,$I$2:I1041,I1041)=1,1,0)</f>
        <v>1</v>
      </c>
      <c r="M1041" s="3" t="n">
        <f aca="false">IF(K1041&gt;=Parametri!$B$1,1,0)</f>
        <v>1</v>
      </c>
      <c r="N1041" s="3" t="n">
        <f aca="false">L1041*M1041</f>
        <v>1</v>
      </c>
    </row>
    <row r="1042" customFormat="false" ht="15" hidden="false" customHeight="false" outlineLevel="0" collapsed="false">
      <c r="A1042" s="0" t="s">
        <v>1838</v>
      </c>
      <c r="B1042" s="0" t="s">
        <v>46</v>
      </c>
      <c r="C1042" s="0" t="s">
        <v>1839</v>
      </c>
      <c r="D1042" s="0" t="s">
        <v>38</v>
      </c>
      <c r="E1042" s="2" t="n">
        <v>45662</v>
      </c>
      <c r="F1042" s="3" t="s">
        <v>20</v>
      </c>
      <c r="G1042" s="3" t="s">
        <v>35</v>
      </c>
      <c r="H1042" s="3" t="s">
        <v>29</v>
      </c>
      <c r="I1042" s="3" t="n">
        <f aca="false">YEAR(E1042)</f>
        <v>2025</v>
      </c>
      <c r="J1042" s="3" t="n">
        <f aca="false">MONTH(E1042)</f>
        <v>1</v>
      </c>
      <c r="K1042" s="3" t="n">
        <f aca="false">COUNTIFS($B$2:$B$4077,B1042,$C$2:$C$4077,C1042,$I$2:$I$4077,I1042)</f>
        <v>2</v>
      </c>
      <c r="L1042" s="3" t="n">
        <f aca="false">IF(COUNTIFS($B$2:B1042,B1042,$C$2:C1042,C1042,$I$2:I1042,I1042)=1,1,0)</f>
        <v>1</v>
      </c>
      <c r="M1042" s="3" t="n">
        <f aca="false">IF(K1042&gt;=Parametri!$B$1,1,0)</f>
        <v>1</v>
      </c>
      <c r="N1042" s="3" t="n">
        <f aca="false">L1042*M1042</f>
        <v>1</v>
      </c>
    </row>
    <row r="1043" customFormat="false" ht="15" hidden="false" customHeight="false" outlineLevel="0" collapsed="false">
      <c r="A1043" s="0" t="s">
        <v>1840</v>
      </c>
      <c r="B1043" s="0" t="s">
        <v>124</v>
      </c>
      <c r="C1043" s="0" t="s">
        <v>1841</v>
      </c>
      <c r="D1043" s="0" t="s">
        <v>26</v>
      </c>
      <c r="E1043" s="2" t="n">
        <v>45643</v>
      </c>
      <c r="F1043" s="3" t="s">
        <v>20</v>
      </c>
      <c r="G1043" s="3" t="s">
        <v>39</v>
      </c>
      <c r="H1043" s="3" t="s">
        <v>29</v>
      </c>
      <c r="I1043" s="3" t="n">
        <f aca="false">YEAR(E1043)</f>
        <v>2024</v>
      </c>
      <c r="J1043" s="3" t="n">
        <f aca="false">MONTH(E1043)</f>
        <v>12</v>
      </c>
      <c r="K1043" s="3" t="n">
        <f aca="false">COUNTIFS($B$2:$B$4077,B1043,$C$2:$C$4077,C1043,$I$2:$I$4077,I1043)</f>
        <v>2</v>
      </c>
      <c r="L1043" s="3" t="n">
        <f aca="false">IF(COUNTIFS($B$2:B1043,B1043,$C$2:C1043,C1043,$I$2:I1043,I1043)=1,1,0)</f>
        <v>1</v>
      </c>
      <c r="M1043" s="3" t="n">
        <f aca="false">IF(K1043&gt;=Parametri!$B$1,1,0)</f>
        <v>1</v>
      </c>
      <c r="N1043" s="3" t="n">
        <f aca="false">L1043*M1043</f>
        <v>1</v>
      </c>
    </row>
    <row r="1044" customFormat="false" ht="15" hidden="false" customHeight="false" outlineLevel="0" collapsed="false">
      <c r="A1044" s="0" t="s">
        <v>1842</v>
      </c>
      <c r="B1044" s="0" t="s">
        <v>79</v>
      </c>
      <c r="C1044" s="0" t="s">
        <v>350</v>
      </c>
      <c r="D1044" s="0" t="s">
        <v>19</v>
      </c>
      <c r="E1044" s="2" t="n">
        <v>45439</v>
      </c>
      <c r="F1044" s="3" t="s">
        <v>20</v>
      </c>
      <c r="G1044" s="3" t="s">
        <v>28</v>
      </c>
      <c r="H1044" s="3" t="s">
        <v>44</v>
      </c>
      <c r="I1044" s="3" t="n">
        <f aca="false">YEAR(E1044)</f>
        <v>2024</v>
      </c>
      <c r="J1044" s="3" t="n">
        <f aca="false">MONTH(E1044)</f>
        <v>5</v>
      </c>
      <c r="K1044" s="3" t="n">
        <f aca="false">COUNTIFS($B$2:$B$4077,B1044,$C$2:$C$4077,C1044,$I$2:$I$4077,I1044)</f>
        <v>2</v>
      </c>
      <c r="L1044" s="3" t="n">
        <f aca="false">IF(COUNTIFS($B$2:B1044,B1044,$C$2:C1044,C1044,$I$2:I1044,I1044)=1,1,0)</f>
        <v>1</v>
      </c>
      <c r="M1044" s="3" t="n">
        <f aca="false">IF(K1044&gt;=Parametri!$B$1,1,0)</f>
        <v>1</v>
      </c>
      <c r="N1044" s="3" t="n">
        <f aca="false">L1044*M1044</f>
        <v>1</v>
      </c>
    </row>
    <row r="1045" customFormat="false" ht="15" hidden="false" customHeight="false" outlineLevel="0" collapsed="false">
      <c r="A1045" s="0" t="s">
        <v>1843</v>
      </c>
      <c r="B1045" s="0" t="s">
        <v>50</v>
      </c>
      <c r="C1045" s="0" t="s">
        <v>261</v>
      </c>
      <c r="D1045" s="0" t="s">
        <v>77</v>
      </c>
      <c r="E1045" s="2" t="n">
        <v>46248</v>
      </c>
      <c r="F1045" s="3" t="s">
        <v>20</v>
      </c>
      <c r="G1045" s="3" t="s">
        <v>55</v>
      </c>
      <c r="H1045" s="3" t="s">
        <v>48</v>
      </c>
      <c r="I1045" s="3" t="n">
        <f aca="false">YEAR(E1045)</f>
        <v>2026</v>
      </c>
      <c r="J1045" s="3" t="n">
        <f aca="false">MONTH(E1045)</f>
        <v>8</v>
      </c>
      <c r="K1045" s="3" t="n">
        <f aca="false">COUNTIFS($B$2:$B$4077,B1045,$C$2:$C$4077,C1045,$I$2:$I$4077,I1045)</f>
        <v>1</v>
      </c>
      <c r="L1045" s="3" t="n">
        <f aca="false">IF(COUNTIFS($B$2:B1045,B1045,$C$2:C1045,C1045,$I$2:I1045,I1045)=1,1,0)</f>
        <v>1</v>
      </c>
      <c r="M1045" s="3" t="n">
        <f aca="false">IF(K1045&gt;=Parametri!$B$1,1,0)</f>
        <v>0</v>
      </c>
      <c r="N1045" s="3" t="n">
        <f aca="false">L1045*M1045</f>
        <v>0</v>
      </c>
    </row>
    <row r="1046" customFormat="false" ht="15" hidden="false" customHeight="false" outlineLevel="0" collapsed="false">
      <c r="A1046" s="0" t="s">
        <v>1844</v>
      </c>
      <c r="B1046" s="0" t="s">
        <v>17</v>
      </c>
      <c r="C1046" s="0" t="s">
        <v>1845</v>
      </c>
      <c r="D1046" s="0" t="s">
        <v>77</v>
      </c>
      <c r="E1046" s="2" t="n">
        <v>46073</v>
      </c>
      <c r="F1046" s="3" t="s">
        <v>20</v>
      </c>
      <c r="G1046" s="3" t="s">
        <v>35</v>
      </c>
      <c r="H1046" s="3" t="s">
        <v>48</v>
      </c>
      <c r="I1046" s="3" t="n">
        <f aca="false">YEAR(E1046)</f>
        <v>2026</v>
      </c>
      <c r="J1046" s="3" t="n">
        <f aca="false">MONTH(E1046)</f>
        <v>2</v>
      </c>
      <c r="K1046" s="3" t="n">
        <f aca="false">COUNTIFS($B$2:$B$4077,B1046,$C$2:$C$4077,C1046,$I$2:$I$4077,I1046)</f>
        <v>1</v>
      </c>
      <c r="L1046" s="3" t="n">
        <f aca="false">IF(COUNTIFS($B$2:B1046,B1046,$C$2:C1046,C1046,$I$2:I1046,I1046)=1,1,0)</f>
        <v>1</v>
      </c>
      <c r="M1046" s="3" t="n">
        <f aca="false">IF(K1046&gt;=Parametri!$B$1,1,0)</f>
        <v>0</v>
      </c>
      <c r="N1046" s="3" t="n">
        <f aca="false">L1046*M1046</f>
        <v>0</v>
      </c>
    </row>
    <row r="1047" customFormat="false" ht="15" hidden="false" customHeight="false" outlineLevel="0" collapsed="false">
      <c r="A1047" s="0" t="s">
        <v>1846</v>
      </c>
      <c r="B1047" s="0" t="s">
        <v>50</v>
      </c>
      <c r="C1047" s="0" t="s">
        <v>1847</v>
      </c>
      <c r="D1047" s="0" t="s">
        <v>26</v>
      </c>
      <c r="E1047" s="2" t="n">
        <v>45866</v>
      </c>
      <c r="F1047" s="3" t="s">
        <v>34</v>
      </c>
      <c r="G1047" s="3" t="s">
        <v>72</v>
      </c>
      <c r="H1047" s="3" t="s">
        <v>22</v>
      </c>
      <c r="I1047" s="3" t="n">
        <f aca="false">YEAR(E1047)</f>
        <v>2025</v>
      </c>
      <c r="J1047" s="3" t="n">
        <f aca="false">MONTH(E1047)</f>
        <v>7</v>
      </c>
      <c r="K1047" s="3" t="n">
        <f aca="false">COUNTIFS($B$2:$B$4077,B1047,$C$2:$C$4077,C1047,$I$2:$I$4077,I1047)</f>
        <v>2</v>
      </c>
      <c r="L1047" s="3" t="n">
        <f aca="false">IF(COUNTIFS($B$2:B1047,B1047,$C$2:C1047,C1047,$I$2:I1047,I1047)=1,1,0)</f>
        <v>1</v>
      </c>
      <c r="M1047" s="3" t="n">
        <f aca="false">IF(K1047&gt;=Parametri!$B$1,1,0)</f>
        <v>1</v>
      </c>
      <c r="N1047" s="3" t="n">
        <f aca="false">L1047*M1047</f>
        <v>1</v>
      </c>
    </row>
    <row r="1048" customFormat="false" ht="15" hidden="false" customHeight="false" outlineLevel="0" collapsed="false">
      <c r="A1048" s="0" t="s">
        <v>1848</v>
      </c>
      <c r="B1048" s="0" t="s">
        <v>46</v>
      </c>
      <c r="C1048" s="0" t="s">
        <v>1849</v>
      </c>
      <c r="D1048" s="0" t="s">
        <v>38</v>
      </c>
      <c r="E1048" s="2" t="n">
        <v>45873</v>
      </c>
      <c r="F1048" s="3" t="s">
        <v>27</v>
      </c>
      <c r="G1048" s="3" t="s">
        <v>43</v>
      </c>
      <c r="H1048" s="3" t="s">
        <v>29</v>
      </c>
      <c r="I1048" s="3" t="n">
        <f aca="false">YEAR(E1048)</f>
        <v>2025</v>
      </c>
      <c r="J1048" s="3" t="n">
        <f aca="false">MONTH(E1048)</f>
        <v>8</v>
      </c>
      <c r="K1048" s="3" t="n">
        <f aca="false">COUNTIFS($B$2:$B$4077,B1048,$C$2:$C$4077,C1048,$I$2:$I$4077,I1048)</f>
        <v>1</v>
      </c>
      <c r="L1048" s="3" t="n">
        <f aca="false">IF(COUNTIFS($B$2:B1048,B1048,$C$2:C1048,C1048,$I$2:I1048,I1048)=1,1,0)</f>
        <v>1</v>
      </c>
      <c r="M1048" s="3" t="n">
        <f aca="false">IF(K1048&gt;=Parametri!$B$1,1,0)</f>
        <v>0</v>
      </c>
      <c r="N1048" s="3" t="n">
        <f aca="false">L1048*M1048</f>
        <v>0</v>
      </c>
    </row>
    <row r="1049" customFormat="false" ht="15" hidden="false" customHeight="false" outlineLevel="0" collapsed="false">
      <c r="A1049" s="0" t="s">
        <v>1850</v>
      </c>
      <c r="B1049" s="0" t="s">
        <v>79</v>
      </c>
      <c r="C1049" s="0" t="s">
        <v>1144</v>
      </c>
      <c r="D1049" s="0" t="s">
        <v>38</v>
      </c>
      <c r="E1049" s="2" t="n">
        <v>45713</v>
      </c>
      <c r="F1049" s="3" t="s">
        <v>27</v>
      </c>
      <c r="G1049" s="3" t="s">
        <v>39</v>
      </c>
      <c r="H1049" s="3" t="s">
        <v>48</v>
      </c>
      <c r="I1049" s="3" t="n">
        <f aca="false">YEAR(E1049)</f>
        <v>2025</v>
      </c>
      <c r="J1049" s="3" t="n">
        <f aca="false">MONTH(E1049)</f>
        <v>2</v>
      </c>
      <c r="K1049" s="3" t="n">
        <f aca="false">COUNTIFS($B$2:$B$4077,B1049,$C$2:$C$4077,C1049,$I$2:$I$4077,I1049)</f>
        <v>5</v>
      </c>
      <c r="L1049" s="3" t="n">
        <f aca="false">IF(COUNTIFS($B$2:B1049,B1049,$C$2:C1049,C1049,$I$2:I1049,I1049)=1,1,0)</f>
        <v>0</v>
      </c>
      <c r="M1049" s="3" t="n">
        <f aca="false">IF(K1049&gt;=Parametri!$B$1,1,0)</f>
        <v>1</v>
      </c>
      <c r="N1049" s="3" t="n">
        <f aca="false">L1049*M1049</f>
        <v>0</v>
      </c>
    </row>
    <row r="1050" customFormat="false" ht="15" hidden="false" customHeight="false" outlineLevel="0" collapsed="false">
      <c r="A1050" s="0" t="s">
        <v>1851</v>
      </c>
      <c r="B1050" s="0" t="s">
        <v>31</v>
      </c>
      <c r="C1050" s="0" t="s">
        <v>1852</v>
      </c>
      <c r="D1050" s="0" t="s">
        <v>38</v>
      </c>
      <c r="E1050" s="2" t="n">
        <v>45361</v>
      </c>
      <c r="F1050" s="3" t="s">
        <v>34</v>
      </c>
      <c r="G1050" s="3" t="s">
        <v>21</v>
      </c>
      <c r="H1050" s="3" t="s">
        <v>22</v>
      </c>
      <c r="I1050" s="3" t="n">
        <f aca="false">YEAR(E1050)</f>
        <v>2024</v>
      </c>
      <c r="J1050" s="3" t="n">
        <f aca="false">MONTH(E1050)</f>
        <v>3</v>
      </c>
      <c r="K1050" s="3" t="n">
        <f aca="false">COUNTIFS($B$2:$B$4077,B1050,$C$2:$C$4077,C1050,$I$2:$I$4077,I1050)</f>
        <v>1</v>
      </c>
      <c r="L1050" s="3" t="n">
        <f aca="false">IF(COUNTIFS($B$2:B1050,B1050,$C$2:C1050,C1050,$I$2:I1050,I1050)=1,1,0)</f>
        <v>1</v>
      </c>
      <c r="M1050" s="3" t="n">
        <f aca="false">IF(K1050&gt;=Parametri!$B$1,1,0)</f>
        <v>0</v>
      </c>
      <c r="N1050" s="3" t="n">
        <f aca="false">L1050*M1050</f>
        <v>0</v>
      </c>
    </row>
    <row r="1051" customFormat="false" ht="15" hidden="false" customHeight="false" outlineLevel="0" collapsed="false">
      <c r="A1051" s="0" t="s">
        <v>1853</v>
      </c>
      <c r="B1051" s="0" t="s">
        <v>17</v>
      </c>
      <c r="C1051" s="0" t="s">
        <v>1854</v>
      </c>
      <c r="D1051" s="0" t="s">
        <v>54</v>
      </c>
      <c r="E1051" s="2" t="n">
        <v>46062</v>
      </c>
      <c r="F1051" s="3" t="s">
        <v>34</v>
      </c>
      <c r="G1051" s="3" t="s">
        <v>72</v>
      </c>
      <c r="H1051" s="3" t="s">
        <v>29</v>
      </c>
      <c r="I1051" s="3" t="n">
        <f aca="false">YEAR(E1051)</f>
        <v>2026</v>
      </c>
      <c r="J1051" s="3" t="n">
        <f aca="false">MONTH(E1051)</f>
        <v>2</v>
      </c>
      <c r="K1051" s="3" t="n">
        <f aca="false">COUNTIFS($B$2:$B$4077,B1051,$C$2:$C$4077,C1051,$I$2:$I$4077,I1051)</f>
        <v>2</v>
      </c>
      <c r="L1051" s="3" t="n">
        <f aca="false">IF(COUNTIFS($B$2:B1051,B1051,$C$2:C1051,C1051,$I$2:I1051,I1051)=1,1,0)</f>
        <v>1</v>
      </c>
      <c r="M1051" s="3" t="n">
        <f aca="false">IF(K1051&gt;=Parametri!$B$1,1,0)</f>
        <v>1</v>
      </c>
      <c r="N1051" s="3" t="n">
        <f aca="false">L1051*M1051</f>
        <v>1</v>
      </c>
    </row>
    <row r="1052" customFormat="false" ht="15" hidden="false" customHeight="false" outlineLevel="0" collapsed="false">
      <c r="A1052" s="0" t="s">
        <v>1855</v>
      </c>
      <c r="B1052" s="0" t="s">
        <v>31</v>
      </c>
      <c r="C1052" s="0" t="s">
        <v>1856</v>
      </c>
      <c r="D1052" s="0" t="s">
        <v>77</v>
      </c>
      <c r="E1052" s="2" t="n">
        <v>45722</v>
      </c>
      <c r="F1052" s="3" t="s">
        <v>20</v>
      </c>
      <c r="G1052" s="3" t="s">
        <v>72</v>
      </c>
      <c r="H1052" s="3" t="s">
        <v>22</v>
      </c>
      <c r="I1052" s="3" t="n">
        <f aca="false">YEAR(E1052)</f>
        <v>2025</v>
      </c>
      <c r="J1052" s="3" t="n">
        <f aca="false">MONTH(E1052)</f>
        <v>3</v>
      </c>
      <c r="K1052" s="3" t="n">
        <f aca="false">COUNTIFS($B$2:$B$4077,B1052,$C$2:$C$4077,C1052,$I$2:$I$4077,I1052)</f>
        <v>1</v>
      </c>
      <c r="L1052" s="3" t="n">
        <f aca="false">IF(COUNTIFS($B$2:B1052,B1052,$C$2:C1052,C1052,$I$2:I1052,I1052)=1,1,0)</f>
        <v>1</v>
      </c>
      <c r="M1052" s="3" t="n">
        <f aca="false">IF(K1052&gt;=Parametri!$B$1,1,0)</f>
        <v>0</v>
      </c>
      <c r="N1052" s="3" t="n">
        <f aca="false">L1052*M1052</f>
        <v>0</v>
      </c>
    </row>
    <row r="1053" customFormat="false" ht="15" hidden="false" customHeight="false" outlineLevel="0" collapsed="false">
      <c r="A1053" s="0" t="s">
        <v>1857</v>
      </c>
      <c r="B1053" s="0" t="s">
        <v>24</v>
      </c>
      <c r="C1053" s="0" t="s">
        <v>254</v>
      </c>
      <c r="D1053" s="0" t="s">
        <v>26</v>
      </c>
      <c r="E1053" s="2" t="n">
        <v>45458</v>
      </c>
      <c r="F1053" s="3" t="s">
        <v>20</v>
      </c>
      <c r="G1053" s="3" t="s">
        <v>21</v>
      </c>
      <c r="H1053" s="3" t="s">
        <v>29</v>
      </c>
      <c r="I1053" s="3" t="n">
        <f aca="false">YEAR(E1053)</f>
        <v>2024</v>
      </c>
      <c r="J1053" s="3" t="n">
        <f aca="false">MONTH(E1053)</f>
        <v>6</v>
      </c>
      <c r="K1053" s="3" t="n">
        <f aca="false">COUNTIFS($B$2:$B$4077,B1053,$C$2:$C$4077,C1053,$I$2:$I$4077,I1053)</f>
        <v>2</v>
      </c>
      <c r="L1053" s="3" t="n">
        <f aca="false">IF(COUNTIFS($B$2:B1053,B1053,$C$2:C1053,C1053,$I$2:I1053,I1053)=1,1,0)</f>
        <v>1</v>
      </c>
      <c r="M1053" s="3" t="n">
        <f aca="false">IF(K1053&gt;=Parametri!$B$1,1,0)</f>
        <v>1</v>
      </c>
      <c r="N1053" s="3" t="n">
        <f aca="false">L1053*M1053</f>
        <v>1</v>
      </c>
    </row>
    <row r="1054" customFormat="false" ht="15" hidden="false" customHeight="false" outlineLevel="0" collapsed="false">
      <c r="A1054" s="0" t="s">
        <v>1858</v>
      </c>
      <c r="B1054" s="0" t="s">
        <v>46</v>
      </c>
      <c r="C1054" s="0" t="s">
        <v>93</v>
      </c>
      <c r="D1054" s="0" t="s">
        <v>63</v>
      </c>
      <c r="E1054" s="2" t="n">
        <v>46135</v>
      </c>
      <c r="F1054" s="3" t="s">
        <v>34</v>
      </c>
      <c r="G1054" s="3" t="s">
        <v>72</v>
      </c>
      <c r="H1054" s="3" t="s">
        <v>29</v>
      </c>
      <c r="I1054" s="3" t="n">
        <f aca="false">YEAR(E1054)</f>
        <v>2026</v>
      </c>
      <c r="J1054" s="3" t="n">
        <f aca="false">MONTH(E1054)</f>
        <v>4</v>
      </c>
      <c r="K1054" s="3" t="n">
        <f aca="false">COUNTIFS($B$2:$B$4077,B1054,$C$2:$C$4077,C1054,$I$2:$I$4077,I1054)</f>
        <v>3</v>
      </c>
      <c r="L1054" s="3" t="n">
        <f aca="false">IF(COUNTIFS($B$2:B1054,B1054,$C$2:C1054,C1054,$I$2:I1054,I1054)=1,1,0)</f>
        <v>0</v>
      </c>
      <c r="M1054" s="3" t="n">
        <f aca="false">IF(K1054&gt;=Parametri!$B$1,1,0)</f>
        <v>1</v>
      </c>
      <c r="N1054" s="3" t="n">
        <f aca="false">L1054*M1054</f>
        <v>0</v>
      </c>
    </row>
    <row r="1055" customFormat="false" ht="15" hidden="false" customHeight="false" outlineLevel="0" collapsed="false">
      <c r="A1055" s="0" t="s">
        <v>1859</v>
      </c>
      <c r="B1055" s="0" t="s">
        <v>79</v>
      </c>
      <c r="C1055" s="0" t="s">
        <v>909</v>
      </c>
      <c r="D1055" s="0" t="s">
        <v>19</v>
      </c>
      <c r="E1055" s="2" t="n">
        <v>45409</v>
      </c>
      <c r="F1055" s="3" t="s">
        <v>20</v>
      </c>
      <c r="G1055" s="3" t="s">
        <v>55</v>
      </c>
      <c r="H1055" s="3" t="s">
        <v>44</v>
      </c>
      <c r="I1055" s="3" t="n">
        <f aca="false">YEAR(E1055)</f>
        <v>2024</v>
      </c>
      <c r="J1055" s="3" t="n">
        <f aca="false">MONTH(E1055)</f>
        <v>4</v>
      </c>
      <c r="K1055" s="3" t="n">
        <f aca="false">COUNTIFS($B$2:$B$4077,B1055,$C$2:$C$4077,C1055,$I$2:$I$4077,I1055)</f>
        <v>4</v>
      </c>
      <c r="L1055" s="3" t="n">
        <f aca="false">IF(COUNTIFS($B$2:B1055,B1055,$C$2:C1055,C1055,$I$2:I1055,I1055)=1,1,0)</f>
        <v>1</v>
      </c>
      <c r="M1055" s="3" t="n">
        <f aca="false">IF(K1055&gt;=Parametri!$B$1,1,0)</f>
        <v>1</v>
      </c>
      <c r="N1055" s="3" t="n">
        <f aca="false">L1055*M1055</f>
        <v>1</v>
      </c>
    </row>
    <row r="1056" customFormat="false" ht="15" hidden="false" customHeight="false" outlineLevel="0" collapsed="false">
      <c r="A1056" s="0" t="s">
        <v>1860</v>
      </c>
      <c r="B1056" s="0" t="s">
        <v>79</v>
      </c>
      <c r="C1056" s="0" t="s">
        <v>592</v>
      </c>
      <c r="D1056" s="0" t="s">
        <v>26</v>
      </c>
      <c r="E1056" s="2" t="n">
        <v>45737</v>
      </c>
      <c r="F1056" s="3" t="s">
        <v>27</v>
      </c>
      <c r="G1056" s="3" t="s">
        <v>21</v>
      </c>
      <c r="H1056" s="3" t="s">
        <v>22</v>
      </c>
      <c r="I1056" s="3" t="n">
        <f aca="false">YEAR(E1056)</f>
        <v>2025</v>
      </c>
      <c r="J1056" s="3" t="n">
        <f aca="false">MONTH(E1056)</f>
        <v>3</v>
      </c>
      <c r="K1056" s="3" t="n">
        <f aca="false">COUNTIFS($B$2:$B$4077,B1056,$C$2:$C$4077,C1056,$I$2:$I$4077,I1056)</f>
        <v>2</v>
      </c>
      <c r="L1056" s="3" t="n">
        <f aca="false">IF(COUNTIFS($B$2:B1056,B1056,$C$2:C1056,C1056,$I$2:I1056,I1056)=1,1,0)</f>
        <v>1</v>
      </c>
      <c r="M1056" s="3" t="n">
        <f aca="false">IF(K1056&gt;=Parametri!$B$1,1,0)</f>
        <v>1</v>
      </c>
      <c r="N1056" s="3" t="n">
        <f aca="false">L1056*M1056</f>
        <v>1</v>
      </c>
    </row>
    <row r="1057" customFormat="false" ht="15" hidden="false" customHeight="false" outlineLevel="0" collapsed="false">
      <c r="A1057" s="0" t="s">
        <v>1861</v>
      </c>
      <c r="B1057" s="0" t="s">
        <v>41</v>
      </c>
      <c r="C1057" s="0" t="s">
        <v>1862</v>
      </c>
      <c r="D1057" s="0" t="s">
        <v>54</v>
      </c>
      <c r="E1057" s="2" t="n">
        <v>45846</v>
      </c>
      <c r="F1057" s="3" t="s">
        <v>20</v>
      </c>
      <c r="G1057" s="3" t="s">
        <v>39</v>
      </c>
      <c r="H1057" s="3" t="s">
        <v>22</v>
      </c>
      <c r="I1057" s="3" t="n">
        <f aca="false">YEAR(E1057)</f>
        <v>2025</v>
      </c>
      <c r="J1057" s="3" t="n">
        <f aca="false">MONTH(E1057)</f>
        <v>7</v>
      </c>
      <c r="K1057" s="3" t="n">
        <f aca="false">COUNTIFS($B$2:$B$4077,B1057,$C$2:$C$4077,C1057,$I$2:$I$4077,I1057)</f>
        <v>1</v>
      </c>
      <c r="L1057" s="3" t="n">
        <f aca="false">IF(COUNTIFS($B$2:B1057,B1057,$C$2:C1057,C1057,$I$2:I1057,I1057)=1,1,0)</f>
        <v>1</v>
      </c>
      <c r="M1057" s="3" t="n">
        <f aca="false">IF(K1057&gt;=Parametri!$B$1,1,0)</f>
        <v>0</v>
      </c>
      <c r="N1057" s="3" t="n">
        <f aca="false">L1057*M1057</f>
        <v>0</v>
      </c>
    </row>
    <row r="1058" customFormat="false" ht="15" hidden="false" customHeight="false" outlineLevel="0" collapsed="false">
      <c r="A1058" s="0" t="s">
        <v>1863</v>
      </c>
      <c r="B1058" s="0" t="s">
        <v>24</v>
      </c>
      <c r="C1058" s="0" t="s">
        <v>617</v>
      </c>
      <c r="D1058" s="0" t="s">
        <v>66</v>
      </c>
      <c r="E1058" s="2" t="n">
        <v>46003</v>
      </c>
      <c r="F1058" s="3" t="s">
        <v>34</v>
      </c>
      <c r="G1058" s="3" t="s">
        <v>35</v>
      </c>
      <c r="H1058" s="3" t="s">
        <v>44</v>
      </c>
      <c r="I1058" s="3" t="n">
        <f aca="false">YEAR(E1058)</f>
        <v>2025</v>
      </c>
      <c r="J1058" s="3" t="n">
        <f aca="false">MONTH(E1058)</f>
        <v>12</v>
      </c>
      <c r="K1058" s="3" t="n">
        <f aca="false">COUNTIFS($B$2:$B$4077,B1058,$C$2:$C$4077,C1058,$I$2:$I$4077,I1058)</f>
        <v>1</v>
      </c>
      <c r="L1058" s="3" t="n">
        <f aca="false">IF(COUNTIFS($B$2:B1058,B1058,$C$2:C1058,C1058,$I$2:I1058,I1058)=1,1,0)</f>
        <v>1</v>
      </c>
      <c r="M1058" s="3" t="n">
        <f aca="false">IF(K1058&gt;=Parametri!$B$1,1,0)</f>
        <v>0</v>
      </c>
      <c r="N1058" s="3" t="n">
        <f aca="false">L1058*M1058</f>
        <v>0</v>
      </c>
    </row>
    <row r="1059" customFormat="false" ht="15" hidden="false" customHeight="false" outlineLevel="0" collapsed="false">
      <c r="A1059" s="0" t="s">
        <v>1864</v>
      </c>
      <c r="B1059" s="0" t="s">
        <v>46</v>
      </c>
      <c r="C1059" s="0" t="s">
        <v>1512</v>
      </c>
      <c r="D1059" s="0" t="s">
        <v>66</v>
      </c>
      <c r="E1059" s="2" t="n">
        <v>45960</v>
      </c>
      <c r="F1059" s="3" t="s">
        <v>20</v>
      </c>
      <c r="G1059" s="3" t="s">
        <v>55</v>
      </c>
      <c r="H1059" s="3" t="s">
        <v>22</v>
      </c>
      <c r="I1059" s="3" t="n">
        <f aca="false">YEAR(E1059)</f>
        <v>2025</v>
      </c>
      <c r="J1059" s="3" t="n">
        <f aca="false">MONTH(E1059)</f>
        <v>10</v>
      </c>
      <c r="K1059" s="3" t="n">
        <f aca="false">COUNTIFS($B$2:$B$4077,B1059,$C$2:$C$4077,C1059,$I$2:$I$4077,I1059)</f>
        <v>3</v>
      </c>
      <c r="L1059" s="3" t="n">
        <f aca="false">IF(COUNTIFS($B$2:B1059,B1059,$C$2:C1059,C1059,$I$2:I1059,I1059)=1,1,0)</f>
        <v>1</v>
      </c>
      <c r="M1059" s="3" t="n">
        <f aca="false">IF(K1059&gt;=Parametri!$B$1,1,0)</f>
        <v>1</v>
      </c>
      <c r="N1059" s="3" t="n">
        <f aca="false">L1059*M1059</f>
        <v>1</v>
      </c>
    </row>
    <row r="1060" customFormat="false" ht="15" hidden="false" customHeight="false" outlineLevel="0" collapsed="false">
      <c r="A1060" s="0" t="s">
        <v>1865</v>
      </c>
      <c r="B1060" s="0" t="s">
        <v>79</v>
      </c>
      <c r="C1060" s="0" t="s">
        <v>1461</v>
      </c>
      <c r="D1060" s="0" t="s">
        <v>63</v>
      </c>
      <c r="E1060" s="2" t="n">
        <v>46131</v>
      </c>
      <c r="F1060" s="3" t="s">
        <v>34</v>
      </c>
      <c r="G1060" s="3" t="s">
        <v>72</v>
      </c>
      <c r="H1060" s="3" t="s">
        <v>22</v>
      </c>
      <c r="I1060" s="3" t="n">
        <f aca="false">YEAR(E1060)</f>
        <v>2026</v>
      </c>
      <c r="J1060" s="3" t="n">
        <f aca="false">MONTH(E1060)</f>
        <v>4</v>
      </c>
      <c r="K1060" s="3" t="n">
        <f aca="false">COUNTIFS($B$2:$B$4077,B1060,$C$2:$C$4077,C1060,$I$2:$I$4077,I1060)</f>
        <v>2</v>
      </c>
      <c r="L1060" s="3" t="n">
        <f aca="false">IF(COUNTIFS($B$2:B1060,B1060,$C$2:C1060,C1060,$I$2:I1060,I1060)=1,1,0)</f>
        <v>1</v>
      </c>
      <c r="M1060" s="3" t="n">
        <f aca="false">IF(K1060&gt;=Parametri!$B$1,1,0)</f>
        <v>1</v>
      </c>
      <c r="N1060" s="3" t="n">
        <f aca="false">L1060*M1060</f>
        <v>1</v>
      </c>
    </row>
    <row r="1061" customFormat="false" ht="15" hidden="false" customHeight="false" outlineLevel="0" collapsed="false">
      <c r="A1061" s="0" t="s">
        <v>1866</v>
      </c>
      <c r="B1061" s="0" t="s">
        <v>124</v>
      </c>
      <c r="C1061" s="0" t="s">
        <v>196</v>
      </c>
      <c r="D1061" s="0" t="s">
        <v>66</v>
      </c>
      <c r="E1061" s="2" t="n">
        <v>45391</v>
      </c>
      <c r="F1061" s="3" t="s">
        <v>20</v>
      </c>
      <c r="G1061" s="3" t="s">
        <v>43</v>
      </c>
      <c r="H1061" s="3" t="s">
        <v>29</v>
      </c>
      <c r="I1061" s="3" t="n">
        <f aca="false">YEAR(E1061)</f>
        <v>2024</v>
      </c>
      <c r="J1061" s="3" t="n">
        <f aca="false">MONTH(E1061)</f>
        <v>4</v>
      </c>
      <c r="K1061" s="3" t="n">
        <f aca="false">COUNTIFS($B$2:$B$4077,B1061,$C$2:$C$4077,C1061,$I$2:$I$4077,I1061)</f>
        <v>8</v>
      </c>
      <c r="L1061" s="3" t="n">
        <f aca="false">IF(COUNTIFS($B$2:B1061,B1061,$C$2:C1061,C1061,$I$2:I1061,I1061)=1,1,0)</f>
        <v>0</v>
      </c>
      <c r="M1061" s="3" t="n">
        <f aca="false">IF(K1061&gt;=Parametri!$B$1,1,0)</f>
        <v>1</v>
      </c>
      <c r="N1061" s="3" t="n">
        <f aca="false">L1061*M1061</f>
        <v>0</v>
      </c>
    </row>
    <row r="1062" customFormat="false" ht="15" hidden="false" customHeight="false" outlineLevel="0" collapsed="false">
      <c r="A1062" s="0" t="s">
        <v>1867</v>
      </c>
      <c r="B1062" s="0" t="s">
        <v>31</v>
      </c>
      <c r="C1062" s="0" t="s">
        <v>1868</v>
      </c>
      <c r="D1062" s="0" t="s">
        <v>66</v>
      </c>
      <c r="E1062" s="2" t="n">
        <v>45737</v>
      </c>
      <c r="F1062" s="3" t="s">
        <v>34</v>
      </c>
      <c r="G1062" s="3" t="s">
        <v>39</v>
      </c>
      <c r="H1062" s="3" t="s">
        <v>22</v>
      </c>
      <c r="I1062" s="3" t="n">
        <f aca="false">YEAR(E1062)</f>
        <v>2025</v>
      </c>
      <c r="J1062" s="3" t="n">
        <f aca="false">MONTH(E1062)</f>
        <v>3</v>
      </c>
      <c r="K1062" s="3" t="n">
        <f aca="false">COUNTIFS($B$2:$B$4077,B1062,$C$2:$C$4077,C1062,$I$2:$I$4077,I1062)</f>
        <v>2</v>
      </c>
      <c r="L1062" s="3" t="n">
        <f aca="false">IF(COUNTIFS($B$2:B1062,B1062,$C$2:C1062,C1062,$I$2:I1062,I1062)=1,1,0)</f>
        <v>1</v>
      </c>
      <c r="M1062" s="3" t="n">
        <f aca="false">IF(K1062&gt;=Parametri!$B$1,1,0)</f>
        <v>1</v>
      </c>
      <c r="N1062" s="3" t="n">
        <f aca="false">L1062*M1062</f>
        <v>1</v>
      </c>
    </row>
    <row r="1063" customFormat="false" ht="15" hidden="false" customHeight="false" outlineLevel="0" collapsed="false">
      <c r="A1063" s="0" t="s">
        <v>1869</v>
      </c>
      <c r="B1063" s="0" t="s">
        <v>46</v>
      </c>
      <c r="C1063" s="0" t="s">
        <v>968</v>
      </c>
      <c r="D1063" s="0" t="s">
        <v>33</v>
      </c>
      <c r="E1063" s="2" t="n">
        <v>45564</v>
      </c>
      <c r="F1063" s="3" t="s">
        <v>34</v>
      </c>
      <c r="G1063" s="3" t="s">
        <v>55</v>
      </c>
      <c r="H1063" s="3" t="s">
        <v>48</v>
      </c>
      <c r="I1063" s="3" t="n">
        <f aca="false">YEAR(E1063)</f>
        <v>2024</v>
      </c>
      <c r="J1063" s="3" t="n">
        <f aca="false">MONTH(E1063)</f>
        <v>9</v>
      </c>
      <c r="K1063" s="3" t="n">
        <f aca="false">COUNTIFS($B$2:$B$4077,B1063,$C$2:$C$4077,C1063,$I$2:$I$4077,I1063)</f>
        <v>3</v>
      </c>
      <c r="L1063" s="3" t="n">
        <f aca="false">IF(COUNTIFS($B$2:B1063,B1063,$C$2:C1063,C1063,$I$2:I1063,I1063)=1,1,0)</f>
        <v>0</v>
      </c>
      <c r="M1063" s="3" t="n">
        <f aca="false">IF(K1063&gt;=Parametri!$B$1,1,0)</f>
        <v>1</v>
      </c>
      <c r="N1063" s="3" t="n">
        <f aca="false">L1063*M1063</f>
        <v>0</v>
      </c>
    </row>
    <row r="1064" customFormat="false" ht="15" hidden="false" customHeight="false" outlineLevel="0" collapsed="false">
      <c r="A1064" s="0" t="s">
        <v>1870</v>
      </c>
      <c r="B1064" s="0" t="s">
        <v>41</v>
      </c>
      <c r="C1064" s="0" t="s">
        <v>675</v>
      </c>
      <c r="D1064" s="0" t="s">
        <v>19</v>
      </c>
      <c r="E1064" s="2" t="n">
        <v>45941</v>
      </c>
      <c r="F1064" s="3" t="s">
        <v>20</v>
      </c>
      <c r="G1064" s="3" t="s">
        <v>72</v>
      </c>
      <c r="H1064" s="3" t="s">
        <v>48</v>
      </c>
      <c r="I1064" s="3" t="n">
        <f aca="false">YEAR(E1064)</f>
        <v>2025</v>
      </c>
      <c r="J1064" s="3" t="n">
        <f aca="false">MONTH(E1064)</f>
        <v>10</v>
      </c>
      <c r="K1064" s="3" t="n">
        <f aca="false">COUNTIFS($B$2:$B$4077,B1064,$C$2:$C$4077,C1064,$I$2:$I$4077,I1064)</f>
        <v>5</v>
      </c>
      <c r="L1064" s="3" t="n">
        <f aca="false">IF(COUNTIFS($B$2:B1064,B1064,$C$2:C1064,C1064,$I$2:I1064,I1064)=1,1,0)</f>
        <v>0</v>
      </c>
      <c r="M1064" s="3" t="n">
        <f aca="false">IF(K1064&gt;=Parametri!$B$1,1,0)</f>
        <v>1</v>
      </c>
      <c r="N1064" s="3" t="n">
        <f aca="false">L1064*M1064</f>
        <v>0</v>
      </c>
    </row>
    <row r="1065" customFormat="false" ht="15" hidden="false" customHeight="false" outlineLevel="0" collapsed="false">
      <c r="A1065" s="0" t="s">
        <v>1871</v>
      </c>
      <c r="B1065" s="0" t="s">
        <v>17</v>
      </c>
      <c r="C1065" s="0" t="s">
        <v>589</v>
      </c>
      <c r="D1065" s="0" t="s">
        <v>66</v>
      </c>
      <c r="E1065" s="2" t="n">
        <v>45763</v>
      </c>
      <c r="F1065" s="3" t="s">
        <v>34</v>
      </c>
      <c r="G1065" s="3" t="s">
        <v>35</v>
      </c>
      <c r="H1065" s="3" t="s">
        <v>22</v>
      </c>
      <c r="I1065" s="3" t="n">
        <f aca="false">YEAR(E1065)</f>
        <v>2025</v>
      </c>
      <c r="J1065" s="3" t="n">
        <f aca="false">MONTH(E1065)</f>
        <v>4</v>
      </c>
      <c r="K1065" s="3" t="n">
        <f aca="false">COUNTIFS($B$2:$B$4077,B1065,$C$2:$C$4077,C1065,$I$2:$I$4077,I1065)</f>
        <v>1</v>
      </c>
      <c r="L1065" s="3" t="n">
        <f aca="false">IF(COUNTIFS($B$2:B1065,B1065,$C$2:C1065,C1065,$I$2:I1065,I1065)=1,1,0)</f>
        <v>1</v>
      </c>
      <c r="M1065" s="3" t="n">
        <f aca="false">IF(K1065&gt;=Parametri!$B$1,1,0)</f>
        <v>0</v>
      </c>
      <c r="N1065" s="3" t="n">
        <f aca="false">L1065*M1065</f>
        <v>0</v>
      </c>
    </row>
    <row r="1066" customFormat="false" ht="15" hidden="false" customHeight="false" outlineLevel="0" collapsed="false">
      <c r="A1066" s="0" t="s">
        <v>1872</v>
      </c>
      <c r="B1066" s="0" t="s">
        <v>24</v>
      </c>
      <c r="C1066" s="0" t="s">
        <v>679</v>
      </c>
      <c r="D1066" s="0" t="s">
        <v>54</v>
      </c>
      <c r="E1066" s="2" t="n">
        <v>45365</v>
      </c>
      <c r="F1066" s="3" t="s">
        <v>20</v>
      </c>
      <c r="G1066" s="3" t="s">
        <v>55</v>
      </c>
      <c r="H1066" s="3" t="s">
        <v>48</v>
      </c>
      <c r="I1066" s="3" t="n">
        <f aca="false">YEAR(E1066)</f>
        <v>2024</v>
      </c>
      <c r="J1066" s="3" t="n">
        <f aca="false">MONTH(E1066)</f>
        <v>3</v>
      </c>
      <c r="K1066" s="3" t="n">
        <f aca="false">COUNTIFS($B$2:$B$4077,B1066,$C$2:$C$4077,C1066,$I$2:$I$4077,I1066)</f>
        <v>2</v>
      </c>
      <c r="L1066" s="3" t="n">
        <f aca="false">IF(COUNTIFS($B$2:B1066,B1066,$C$2:C1066,C1066,$I$2:I1066,I1066)=1,1,0)</f>
        <v>0</v>
      </c>
      <c r="M1066" s="3" t="n">
        <f aca="false">IF(K1066&gt;=Parametri!$B$1,1,0)</f>
        <v>1</v>
      </c>
      <c r="N1066" s="3" t="n">
        <f aca="false">L1066*M1066</f>
        <v>0</v>
      </c>
    </row>
    <row r="1067" customFormat="false" ht="15" hidden="false" customHeight="false" outlineLevel="0" collapsed="false">
      <c r="A1067" s="0" t="s">
        <v>1873</v>
      </c>
      <c r="B1067" s="0" t="s">
        <v>41</v>
      </c>
      <c r="C1067" s="0" t="s">
        <v>1874</v>
      </c>
      <c r="D1067" s="0" t="s">
        <v>33</v>
      </c>
      <c r="E1067" s="2" t="n">
        <v>45732</v>
      </c>
      <c r="F1067" s="3" t="s">
        <v>27</v>
      </c>
      <c r="G1067" s="3" t="s">
        <v>28</v>
      </c>
      <c r="H1067" s="3" t="s">
        <v>29</v>
      </c>
      <c r="I1067" s="3" t="n">
        <f aca="false">YEAR(E1067)</f>
        <v>2025</v>
      </c>
      <c r="J1067" s="3" t="n">
        <f aca="false">MONTH(E1067)</f>
        <v>3</v>
      </c>
      <c r="K1067" s="3" t="n">
        <f aca="false">COUNTIFS($B$2:$B$4077,B1067,$C$2:$C$4077,C1067,$I$2:$I$4077,I1067)</f>
        <v>1</v>
      </c>
      <c r="L1067" s="3" t="n">
        <f aca="false">IF(COUNTIFS($B$2:B1067,B1067,$C$2:C1067,C1067,$I$2:I1067,I1067)=1,1,0)</f>
        <v>1</v>
      </c>
      <c r="M1067" s="3" t="n">
        <f aca="false">IF(K1067&gt;=Parametri!$B$1,1,0)</f>
        <v>0</v>
      </c>
      <c r="N1067" s="3" t="n">
        <f aca="false">L1067*M1067</f>
        <v>0</v>
      </c>
    </row>
    <row r="1068" customFormat="false" ht="15" hidden="false" customHeight="false" outlineLevel="0" collapsed="false">
      <c r="A1068" s="0" t="s">
        <v>1875</v>
      </c>
      <c r="B1068" s="0" t="s">
        <v>24</v>
      </c>
      <c r="C1068" s="0" t="s">
        <v>1876</v>
      </c>
      <c r="D1068" s="0" t="s">
        <v>66</v>
      </c>
      <c r="E1068" s="2" t="n">
        <v>45682</v>
      </c>
      <c r="F1068" s="3" t="s">
        <v>20</v>
      </c>
      <c r="G1068" s="3" t="s">
        <v>55</v>
      </c>
      <c r="H1068" s="3" t="s">
        <v>22</v>
      </c>
      <c r="I1068" s="3" t="n">
        <f aca="false">YEAR(E1068)</f>
        <v>2025</v>
      </c>
      <c r="J1068" s="3" t="n">
        <f aca="false">MONTH(E1068)</f>
        <v>1</v>
      </c>
      <c r="K1068" s="3" t="n">
        <f aca="false">COUNTIFS($B$2:$B$4077,B1068,$C$2:$C$4077,C1068,$I$2:$I$4077,I1068)</f>
        <v>1</v>
      </c>
      <c r="L1068" s="3" t="n">
        <f aca="false">IF(COUNTIFS($B$2:B1068,B1068,$C$2:C1068,C1068,$I$2:I1068,I1068)=1,1,0)</f>
        <v>1</v>
      </c>
      <c r="M1068" s="3" t="n">
        <f aca="false">IF(K1068&gt;=Parametri!$B$1,1,0)</f>
        <v>0</v>
      </c>
      <c r="N1068" s="3" t="n">
        <f aca="false">L1068*M1068</f>
        <v>0</v>
      </c>
    </row>
    <row r="1069" customFormat="false" ht="15" hidden="false" customHeight="false" outlineLevel="0" collapsed="false">
      <c r="A1069" s="0" t="s">
        <v>1877</v>
      </c>
      <c r="B1069" s="0" t="s">
        <v>41</v>
      </c>
      <c r="C1069" s="0" t="s">
        <v>1878</v>
      </c>
      <c r="D1069" s="0" t="s">
        <v>63</v>
      </c>
      <c r="E1069" s="2" t="n">
        <v>45855</v>
      </c>
      <c r="F1069" s="3" t="s">
        <v>20</v>
      </c>
      <c r="G1069" s="3" t="s">
        <v>35</v>
      </c>
      <c r="H1069" s="3" t="s">
        <v>44</v>
      </c>
      <c r="I1069" s="3" t="n">
        <f aca="false">YEAR(E1069)</f>
        <v>2025</v>
      </c>
      <c r="J1069" s="3" t="n">
        <f aca="false">MONTH(E1069)</f>
        <v>7</v>
      </c>
      <c r="K1069" s="3" t="n">
        <f aca="false">COUNTIFS($B$2:$B$4077,B1069,$C$2:$C$4077,C1069,$I$2:$I$4077,I1069)</f>
        <v>2</v>
      </c>
      <c r="L1069" s="3" t="n">
        <f aca="false">IF(COUNTIFS($B$2:B1069,B1069,$C$2:C1069,C1069,$I$2:I1069,I1069)=1,1,0)</f>
        <v>1</v>
      </c>
      <c r="M1069" s="3" t="n">
        <f aca="false">IF(K1069&gt;=Parametri!$B$1,1,0)</f>
        <v>1</v>
      </c>
      <c r="N1069" s="3" t="n">
        <f aca="false">L1069*M1069</f>
        <v>1</v>
      </c>
    </row>
    <row r="1070" customFormat="false" ht="15" hidden="false" customHeight="false" outlineLevel="0" collapsed="false">
      <c r="A1070" s="0" t="s">
        <v>1879</v>
      </c>
      <c r="B1070" s="0" t="s">
        <v>17</v>
      </c>
      <c r="C1070" s="0" t="s">
        <v>1880</v>
      </c>
      <c r="D1070" s="0" t="s">
        <v>66</v>
      </c>
      <c r="E1070" s="2" t="n">
        <v>45869</v>
      </c>
      <c r="F1070" s="3" t="s">
        <v>20</v>
      </c>
      <c r="G1070" s="3" t="s">
        <v>89</v>
      </c>
      <c r="H1070" s="3" t="s">
        <v>29</v>
      </c>
      <c r="I1070" s="3" t="n">
        <f aca="false">YEAR(E1070)</f>
        <v>2025</v>
      </c>
      <c r="J1070" s="3" t="n">
        <f aca="false">MONTH(E1070)</f>
        <v>7</v>
      </c>
      <c r="K1070" s="3" t="n">
        <f aca="false">COUNTIFS($B$2:$B$4077,B1070,$C$2:$C$4077,C1070,$I$2:$I$4077,I1070)</f>
        <v>2</v>
      </c>
      <c r="L1070" s="3" t="n">
        <f aca="false">IF(COUNTIFS($B$2:B1070,B1070,$C$2:C1070,C1070,$I$2:I1070,I1070)=1,1,0)</f>
        <v>1</v>
      </c>
      <c r="M1070" s="3" t="n">
        <f aca="false">IF(K1070&gt;=Parametri!$B$1,1,0)</f>
        <v>1</v>
      </c>
      <c r="N1070" s="3" t="n">
        <f aca="false">L1070*M1070</f>
        <v>1</v>
      </c>
    </row>
    <row r="1071" customFormat="false" ht="15" hidden="false" customHeight="false" outlineLevel="0" collapsed="false">
      <c r="A1071" s="0" t="s">
        <v>1881</v>
      </c>
      <c r="B1071" s="0" t="s">
        <v>79</v>
      </c>
      <c r="C1071" s="0" t="s">
        <v>1789</v>
      </c>
      <c r="D1071" s="0" t="s">
        <v>38</v>
      </c>
      <c r="E1071" s="2" t="n">
        <v>45509</v>
      </c>
      <c r="F1071" s="3" t="s">
        <v>27</v>
      </c>
      <c r="G1071" s="3" t="s">
        <v>35</v>
      </c>
      <c r="H1071" s="3" t="s">
        <v>44</v>
      </c>
      <c r="I1071" s="3" t="n">
        <f aca="false">YEAR(E1071)</f>
        <v>2024</v>
      </c>
      <c r="J1071" s="3" t="n">
        <f aca="false">MONTH(E1071)</f>
        <v>8</v>
      </c>
      <c r="K1071" s="3" t="n">
        <f aca="false">COUNTIFS($B$2:$B$4077,B1071,$C$2:$C$4077,C1071,$I$2:$I$4077,I1071)</f>
        <v>2</v>
      </c>
      <c r="L1071" s="3" t="n">
        <f aca="false">IF(COUNTIFS($B$2:B1071,B1071,$C$2:C1071,C1071,$I$2:I1071,I1071)=1,1,0)</f>
        <v>1</v>
      </c>
      <c r="M1071" s="3" t="n">
        <f aca="false">IF(K1071&gt;=Parametri!$B$1,1,0)</f>
        <v>1</v>
      </c>
      <c r="N1071" s="3" t="n">
        <f aca="false">L1071*M1071</f>
        <v>1</v>
      </c>
    </row>
    <row r="1072" customFormat="false" ht="15" hidden="false" customHeight="false" outlineLevel="0" collapsed="false">
      <c r="A1072" s="0" t="s">
        <v>1882</v>
      </c>
      <c r="B1072" s="0" t="s">
        <v>46</v>
      </c>
      <c r="C1072" s="0" t="s">
        <v>1883</v>
      </c>
      <c r="D1072" s="0" t="s">
        <v>33</v>
      </c>
      <c r="E1072" s="2" t="n">
        <v>46203</v>
      </c>
      <c r="F1072" s="3" t="s">
        <v>20</v>
      </c>
      <c r="G1072" s="3" t="s">
        <v>21</v>
      </c>
      <c r="H1072" s="3" t="s">
        <v>44</v>
      </c>
      <c r="I1072" s="3" t="n">
        <f aca="false">YEAR(E1072)</f>
        <v>2026</v>
      </c>
      <c r="J1072" s="3" t="n">
        <f aca="false">MONTH(E1072)</f>
        <v>6</v>
      </c>
      <c r="K1072" s="3" t="n">
        <f aca="false">COUNTIFS($B$2:$B$4077,B1072,$C$2:$C$4077,C1072,$I$2:$I$4077,I1072)</f>
        <v>1</v>
      </c>
      <c r="L1072" s="3" t="n">
        <f aca="false">IF(COUNTIFS($B$2:B1072,B1072,$C$2:C1072,C1072,$I$2:I1072,I1072)=1,1,0)</f>
        <v>1</v>
      </c>
      <c r="M1072" s="3" t="n">
        <f aca="false">IF(K1072&gt;=Parametri!$B$1,1,0)</f>
        <v>0</v>
      </c>
      <c r="N1072" s="3" t="n">
        <f aca="false">L1072*M1072</f>
        <v>0</v>
      </c>
    </row>
    <row r="1073" customFormat="false" ht="15" hidden="false" customHeight="false" outlineLevel="0" collapsed="false">
      <c r="A1073" s="0" t="s">
        <v>1884</v>
      </c>
      <c r="B1073" s="0" t="s">
        <v>41</v>
      </c>
      <c r="C1073" s="0" t="s">
        <v>1885</v>
      </c>
      <c r="D1073" s="0" t="s">
        <v>66</v>
      </c>
      <c r="E1073" s="2" t="n">
        <v>45667</v>
      </c>
      <c r="F1073" s="3" t="s">
        <v>34</v>
      </c>
      <c r="G1073" s="3" t="s">
        <v>21</v>
      </c>
      <c r="H1073" s="3" t="s">
        <v>44</v>
      </c>
      <c r="I1073" s="3" t="n">
        <f aca="false">YEAR(E1073)</f>
        <v>2025</v>
      </c>
      <c r="J1073" s="3" t="n">
        <f aca="false">MONTH(E1073)</f>
        <v>1</v>
      </c>
      <c r="K1073" s="3" t="n">
        <f aca="false">COUNTIFS($B$2:$B$4077,B1073,$C$2:$C$4077,C1073,$I$2:$I$4077,I1073)</f>
        <v>1</v>
      </c>
      <c r="L1073" s="3" t="n">
        <f aca="false">IF(COUNTIFS($B$2:B1073,B1073,$C$2:C1073,C1073,$I$2:I1073,I1073)=1,1,0)</f>
        <v>1</v>
      </c>
      <c r="M1073" s="3" t="n">
        <f aca="false">IF(K1073&gt;=Parametri!$B$1,1,0)</f>
        <v>0</v>
      </c>
      <c r="N1073" s="3" t="n">
        <f aca="false">L1073*M1073</f>
        <v>0</v>
      </c>
    </row>
    <row r="1074" customFormat="false" ht="15" hidden="false" customHeight="false" outlineLevel="0" collapsed="false">
      <c r="A1074" s="0" t="s">
        <v>1886</v>
      </c>
      <c r="B1074" s="0" t="s">
        <v>124</v>
      </c>
      <c r="C1074" s="0" t="s">
        <v>368</v>
      </c>
      <c r="D1074" s="0" t="s">
        <v>38</v>
      </c>
      <c r="E1074" s="2" t="n">
        <v>45398</v>
      </c>
      <c r="F1074" s="3" t="s">
        <v>20</v>
      </c>
      <c r="G1074" s="3" t="s">
        <v>35</v>
      </c>
      <c r="H1074" s="3" t="s">
        <v>48</v>
      </c>
      <c r="I1074" s="3" t="n">
        <f aca="false">YEAR(E1074)</f>
        <v>2024</v>
      </c>
      <c r="J1074" s="3" t="n">
        <f aca="false">MONTH(E1074)</f>
        <v>4</v>
      </c>
      <c r="K1074" s="3" t="n">
        <f aca="false">COUNTIFS($B$2:$B$4077,B1074,$C$2:$C$4077,C1074,$I$2:$I$4077,I1074)</f>
        <v>2</v>
      </c>
      <c r="L1074" s="3" t="n">
        <f aca="false">IF(COUNTIFS($B$2:B1074,B1074,$C$2:C1074,C1074,$I$2:I1074,I1074)=1,1,0)</f>
        <v>1</v>
      </c>
      <c r="M1074" s="3" t="n">
        <f aca="false">IF(K1074&gt;=Parametri!$B$1,1,0)</f>
        <v>1</v>
      </c>
      <c r="N1074" s="3" t="n">
        <f aca="false">L1074*M1074</f>
        <v>1</v>
      </c>
    </row>
    <row r="1075" customFormat="false" ht="15" hidden="false" customHeight="false" outlineLevel="0" collapsed="false">
      <c r="A1075" s="0" t="s">
        <v>1887</v>
      </c>
      <c r="B1075" s="0" t="s">
        <v>17</v>
      </c>
      <c r="C1075" s="0" t="s">
        <v>1888</v>
      </c>
      <c r="D1075" s="0" t="s">
        <v>54</v>
      </c>
      <c r="E1075" s="2" t="n">
        <v>45749</v>
      </c>
      <c r="F1075" s="3" t="s">
        <v>20</v>
      </c>
      <c r="G1075" s="3" t="s">
        <v>72</v>
      </c>
      <c r="H1075" s="3" t="s">
        <v>22</v>
      </c>
      <c r="I1075" s="3" t="n">
        <f aca="false">YEAR(E1075)</f>
        <v>2025</v>
      </c>
      <c r="J1075" s="3" t="n">
        <f aca="false">MONTH(E1075)</f>
        <v>4</v>
      </c>
      <c r="K1075" s="3" t="n">
        <f aca="false">COUNTIFS($B$2:$B$4077,B1075,$C$2:$C$4077,C1075,$I$2:$I$4077,I1075)</f>
        <v>2</v>
      </c>
      <c r="L1075" s="3" t="n">
        <f aca="false">IF(COUNTIFS($B$2:B1075,B1075,$C$2:C1075,C1075,$I$2:I1075,I1075)=1,1,0)</f>
        <v>1</v>
      </c>
      <c r="M1075" s="3" t="n">
        <f aca="false">IF(K1075&gt;=Parametri!$B$1,1,0)</f>
        <v>1</v>
      </c>
      <c r="N1075" s="3" t="n">
        <f aca="false">L1075*M1075</f>
        <v>1</v>
      </c>
    </row>
    <row r="1076" customFormat="false" ht="15" hidden="false" customHeight="false" outlineLevel="0" collapsed="false">
      <c r="A1076" s="0" t="s">
        <v>1889</v>
      </c>
      <c r="B1076" s="0" t="s">
        <v>124</v>
      </c>
      <c r="C1076" s="0" t="s">
        <v>657</v>
      </c>
      <c r="D1076" s="0" t="s">
        <v>66</v>
      </c>
      <c r="E1076" s="2" t="n">
        <v>45303</v>
      </c>
      <c r="F1076" s="3" t="s">
        <v>20</v>
      </c>
      <c r="G1076" s="3" t="s">
        <v>35</v>
      </c>
      <c r="H1076" s="3" t="s">
        <v>22</v>
      </c>
      <c r="I1076" s="3" t="n">
        <f aca="false">YEAR(E1076)</f>
        <v>2024</v>
      </c>
      <c r="J1076" s="3" t="n">
        <f aca="false">MONTH(E1076)</f>
        <v>1</v>
      </c>
      <c r="K1076" s="3" t="n">
        <f aca="false">COUNTIFS($B$2:$B$4077,B1076,$C$2:$C$4077,C1076,$I$2:$I$4077,I1076)</f>
        <v>3</v>
      </c>
      <c r="L1076" s="3" t="n">
        <f aca="false">IF(COUNTIFS($B$2:B1076,B1076,$C$2:C1076,C1076,$I$2:I1076,I1076)=1,1,0)</f>
        <v>1</v>
      </c>
      <c r="M1076" s="3" t="n">
        <f aca="false">IF(K1076&gt;=Parametri!$B$1,1,0)</f>
        <v>1</v>
      </c>
      <c r="N1076" s="3" t="n">
        <f aca="false">L1076*M1076</f>
        <v>1</v>
      </c>
    </row>
    <row r="1077" customFormat="false" ht="15" hidden="false" customHeight="false" outlineLevel="0" collapsed="false">
      <c r="A1077" s="0" t="s">
        <v>1890</v>
      </c>
      <c r="B1077" s="0" t="s">
        <v>17</v>
      </c>
      <c r="C1077" s="0" t="s">
        <v>62</v>
      </c>
      <c r="D1077" s="0" t="s">
        <v>19</v>
      </c>
      <c r="E1077" s="2" t="n">
        <v>45884</v>
      </c>
      <c r="F1077" s="3" t="s">
        <v>20</v>
      </c>
      <c r="G1077" s="3" t="s">
        <v>89</v>
      </c>
      <c r="H1077" s="3" t="s">
        <v>44</v>
      </c>
      <c r="I1077" s="3" t="n">
        <f aca="false">YEAR(E1077)</f>
        <v>2025</v>
      </c>
      <c r="J1077" s="3" t="n">
        <f aca="false">MONTH(E1077)</f>
        <v>8</v>
      </c>
      <c r="K1077" s="3" t="n">
        <f aca="false">COUNTIFS($B$2:$B$4077,B1077,$C$2:$C$4077,C1077,$I$2:$I$4077,I1077)</f>
        <v>3</v>
      </c>
      <c r="L1077" s="3" t="n">
        <f aca="false">IF(COUNTIFS($B$2:B1077,B1077,$C$2:C1077,C1077,$I$2:I1077,I1077)=1,1,0)</f>
        <v>0</v>
      </c>
      <c r="M1077" s="3" t="n">
        <f aca="false">IF(K1077&gt;=Parametri!$B$1,1,0)</f>
        <v>1</v>
      </c>
      <c r="N1077" s="3" t="n">
        <f aca="false">L1077*M1077</f>
        <v>0</v>
      </c>
    </row>
    <row r="1078" customFormat="false" ht="15" hidden="false" customHeight="false" outlineLevel="0" collapsed="false">
      <c r="A1078" s="0" t="s">
        <v>1891</v>
      </c>
      <c r="B1078" s="0" t="s">
        <v>68</v>
      </c>
      <c r="C1078" s="0" t="s">
        <v>1892</v>
      </c>
      <c r="D1078" s="0" t="s">
        <v>33</v>
      </c>
      <c r="E1078" s="2" t="n">
        <v>45337</v>
      </c>
      <c r="F1078" s="3" t="s">
        <v>27</v>
      </c>
      <c r="G1078" s="3" t="s">
        <v>89</v>
      </c>
      <c r="H1078" s="3" t="s">
        <v>48</v>
      </c>
      <c r="I1078" s="3" t="n">
        <f aca="false">YEAR(E1078)</f>
        <v>2024</v>
      </c>
      <c r="J1078" s="3" t="n">
        <f aca="false">MONTH(E1078)</f>
        <v>2</v>
      </c>
      <c r="K1078" s="3" t="n">
        <f aca="false">COUNTIFS($B$2:$B$4077,B1078,$C$2:$C$4077,C1078,$I$2:$I$4077,I1078)</f>
        <v>2</v>
      </c>
      <c r="L1078" s="3" t="n">
        <f aca="false">IF(COUNTIFS($B$2:B1078,B1078,$C$2:C1078,C1078,$I$2:I1078,I1078)=1,1,0)</f>
        <v>1</v>
      </c>
      <c r="M1078" s="3" t="n">
        <f aca="false">IF(K1078&gt;=Parametri!$B$1,1,0)</f>
        <v>1</v>
      </c>
      <c r="N1078" s="3" t="n">
        <f aca="false">L1078*M1078</f>
        <v>1</v>
      </c>
    </row>
    <row r="1079" customFormat="false" ht="15" hidden="false" customHeight="false" outlineLevel="0" collapsed="false">
      <c r="A1079" s="0" t="s">
        <v>1893</v>
      </c>
      <c r="B1079" s="0" t="s">
        <v>124</v>
      </c>
      <c r="C1079" s="0" t="s">
        <v>1670</v>
      </c>
      <c r="D1079" s="0" t="s">
        <v>19</v>
      </c>
      <c r="E1079" s="2" t="n">
        <v>45553</v>
      </c>
      <c r="F1079" s="3" t="s">
        <v>20</v>
      </c>
      <c r="G1079" s="3" t="s">
        <v>35</v>
      </c>
      <c r="H1079" s="3" t="s">
        <v>48</v>
      </c>
      <c r="I1079" s="3" t="n">
        <f aca="false">YEAR(E1079)</f>
        <v>2024</v>
      </c>
      <c r="J1079" s="3" t="n">
        <f aca="false">MONTH(E1079)</f>
        <v>9</v>
      </c>
      <c r="K1079" s="3" t="n">
        <f aca="false">COUNTIFS($B$2:$B$4077,B1079,$C$2:$C$4077,C1079,$I$2:$I$4077,I1079)</f>
        <v>4</v>
      </c>
      <c r="L1079" s="3" t="n">
        <f aca="false">IF(COUNTIFS($B$2:B1079,B1079,$C$2:C1079,C1079,$I$2:I1079,I1079)=1,1,0)</f>
        <v>0</v>
      </c>
      <c r="M1079" s="3" t="n">
        <f aca="false">IF(K1079&gt;=Parametri!$B$1,1,0)</f>
        <v>1</v>
      </c>
      <c r="N1079" s="3" t="n">
        <f aca="false">L1079*M1079</f>
        <v>0</v>
      </c>
    </row>
    <row r="1080" customFormat="false" ht="15" hidden="false" customHeight="false" outlineLevel="0" collapsed="false">
      <c r="A1080" s="0" t="s">
        <v>1894</v>
      </c>
      <c r="B1080" s="0" t="s">
        <v>17</v>
      </c>
      <c r="C1080" s="0" t="s">
        <v>1079</v>
      </c>
      <c r="D1080" s="0" t="s">
        <v>38</v>
      </c>
      <c r="E1080" s="2" t="n">
        <v>45301</v>
      </c>
      <c r="F1080" s="3" t="s">
        <v>27</v>
      </c>
      <c r="G1080" s="3" t="s">
        <v>35</v>
      </c>
      <c r="H1080" s="3" t="s">
        <v>48</v>
      </c>
      <c r="I1080" s="3" t="n">
        <f aca="false">YEAR(E1080)</f>
        <v>2024</v>
      </c>
      <c r="J1080" s="3" t="n">
        <f aca="false">MONTH(E1080)</f>
        <v>1</v>
      </c>
      <c r="K1080" s="3" t="n">
        <f aca="false">COUNTIFS($B$2:$B$4077,B1080,$C$2:$C$4077,C1080,$I$2:$I$4077,I1080)</f>
        <v>2</v>
      </c>
      <c r="L1080" s="3" t="n">
        <f aca="false">IF(COUNTIFS($B$2:B1080,B1080,$C$2:C1080,C1080,$I$2:I1080,I1080)=1,1,0)</f>
        <v>1</v>
      </c>
      <c r="M1080" s="3" t="n">
        <f aca="false">IF(K1080&gt;=Parametri!$B$1,1,0)</f>
        <v>1</v>
      </c>
      <c r="N1080" s="3" t="n">
        <f aca="false">L1080*M1080</f>
        <v>1</v>
      </c>
    </row>
    <row r="1081" customFormat="false" ht="15" hidden="false" customHeight="false" outlineLevel="0" collapsed="false">
      <c r="A1081" s="0" t="s">
        <v>1895</v>
      </c>
      <c r="B1081" s="0" t="s">
        <v>79</v>
      </c>
      <c r="C1081" s="0" t="s">
        <v>1416</v>
      </c>
      <c r="D1081" s="0" t="s">
        <v>19</v>
      </c>
      <c r="E1081" s="2" t="n">
        <v>45631</v>
      </c>
      <c r="F1081" s="3" t="s">
        <v>20</v>
      </c>
      <c r="G1081" s="3" t="s">
        <v>28</v>
      </c>
      <c r="H1081" s="3" t="s">
        <v>48</v>
      </c>
      <c r="I1081" s="3" t="n">
        <f aca="false">YEAR(E1081)</f>
        <v>2024</v>
      </c>
      <c r="J1081" s="3" t="n">
        <f aca="false">MONTH(E1081)</f>
        <v>12</v>
      </c>
      <c r="K1081" s="3" t="n">
        <f aca="false">COUNTIFS($B$2:$B$4077,B1081,$C$2:$C$4077,C1081,$I$2:$I$4077,I1081)</f>
        <v>3</v>
      </c>
      <c r="L1081" s="3" t="n">
        <f aca="false">IF(COUNTIFS($B$2:B1081,B1081,$C$2:C1081,C1081,$I$2:I1081,I1081)=1,1,0)</f>
        <v>0</v>
      </c>
      <c r="M1081" s="3" t="n">
        <f aca="false">IF(K1081&gt;=Parametri!$B$1,1,0)</f>
        <v>1</v>
      </c>
      <c r="N1081" s="3" t="n">
        <f aca="false">L1081*M1081</f>
        <v>0</v>
      </c>
    </row>
    <row r="1082" customFormat="false" ht="15" hidden="false" customHeight="false" outlineLevel="0" collapsed="false">
      <c r="A1082" s="0" t="s">
        <v>1896</v>
      </c>
      <c r="B1082" s="0" t="s">
        <v>41</v>
      </c>
      <c r="C1082" s="0" t="s">
        <v>1897</v>
      </c>
      <c r="D1082" s="0" t="s">
        <v>26</v>
      </c>
      <c r="E1082" s="2" t="n">
        <v>45427</v>
      </c>
      <c r="F1082" s="3" t="s">
        <v>20</v>
      </c>
      <c r="G1082" s="3" t="s">
        <v>28</v>
      </c>
      <c r="H1082" s="3" t="s">
        <v>48</v>
      </c>
      <c r="I1082" s="3" t="n">
        <f aca="false">YEAR(E1082)</f>
        <v>2024</v>
      </c>
      <c r="J1082" s="3" t="n">
        <f aca="false">MONTH(E1082)</f>
        <v>5</v>
      </c>
      <c r="K1082" s="3" t="n">
        <f aca="false">COUNTIFS($B$2:$B$4077,B1082,$C$2:$C$4077,C1082,$I$2:$I$4077,I1082)</f>
        <v>1</v>
      </c>
      <c r="L1082" s="3" t="n">
        <f aca="false">IF(COUNTIFS($B$2:B1082,B1082,$C$2:C1082,C1082,$I$2:I1082,I1082)=1,1,0)</f>
        <v>1</v>
      </c>
      <c r="M1082" s="3" t="n">
        <f aca="false">IF(K1082&gt;=Parametri!$B$1,1,0)</f>
        <v>0</v>
      </c>
      <c r="N1082" s="3" t="n">
        <f aca="false">L1082*M1082</f>
        <v>0</v>
      </c>
    </row>
    <row r="1083" customFormat="false" ht="15" hidden="false" customHeight="false" outlineLevel="0" collapsed="false">
      <c r="A1083" s="0" t="s">
        <v>1898</v>
      </c>
      <c r="B1083" s="0" t="s">
        <v>124</v>
      </c>
      <c r="C1083" s="0" t="s">
        <v>866</v>
      </c>
      <c r="D1083" s="0" t="s">
        <v>26</v>
      </c>
      <c r="E1083" s="2" t="n">
        <v>46127</v>
      </c>
      <c r="F1083" s="3" t="s">
        <v>20</v>
      </c>
      <c r="G1083" s="3" t="s">
        <v>28</v>
      </c>
      <c r="H1083" s="3" t="s">
        <v>44</v>
      </c>
      <c r="I1083" s="3" t="n">
        <f aca="false">YEAR(E1083)</f>
        <v>2026</v>
      </c>
      <c r="J1083" s="3" t="n">
        <f aca="false">MONTH(E1083)</f>
        <v>4</v>
      </c>
      <c r="K1083" s="3" t="n">
        <f aca="false">COUNTIFS($B$2:$B$4077,B1083,$C$2:$C$4077,C1083,$I$2:$I$4077,I1083)</f>
        <v>2</v>
      </c>
      <c r="L1083" s="3" t="n">
        <f aca="false">IF(COUNTIFS($B$2:B1083,B1083,$C$2:C1083,C1083,$I$2:I1083,I1083)=1,1,0)</f>
        <v>0</v>
      </c>
      <c r="M1083" s="3" t="n">
        <f aca="false">IF(K1083&gt;=Parametri!$B$1,1,0)</f>
        <v>1</v>
      </c>
      <c r="N1083" s="3" t="n">
        <f aca="false">L1083*M1083</f>
        <v>0</v>
      </c>
    </row>
    <row r="1084" customFormat="false" ht="15" hidden="false" customHeight="false" outlineLevel="0" collapsed="false">
      <c r="A1084" s="0" t="s">
        <v>1899</v>
      </c>
      <c r="B1084" s="0" t="s">
        <v>41</v>
      </c>
      <c r="C1084" s="0" t="s">
        <v>286</v>
      </c>
      <c r="D1084" s="0" t="s">
        <v>54</v>
      </c>
      <c r="E1084" s="2" t="n">
        <v>45797</v>
      </c>
      <c r="F1084" s="3" t="s">
        <v>20</v>
      </c>
      <c r="G1084" s="3" t="s">
        <v>72</v>
      </c>
      <c r="H1084" s="3" t="s">
        <v>48</v>
      </c>
      <c r="I1084" s="3" t="n">
        <f aca="false">YEAR(E1084)</f>
        <v>2025</v>
      </c>
      <c r="J1084" s="3" t="n">
        <f aca="false">MONTH(E1084)</f>
        <v>5</v>
      </c>
      <c r="K1084" s="3" t="n">
        <f aca="false">COUNTIFS($B$2:$B$4077,B1084,$C$2:$C$4077,C1084,$I$2:$I$4077,I1084)</f>
        <v>2</v>
      </c>
      <c r="L1084" s="3" t="n">
        <f aca="false">IF(COUNTIFS($B$2:B1084,B1084,$C$2:C1084,C1084,$I$2:I1084,I1084)=1,1,0)</f>
        <v>0</v>
      </c>
      <c r="M1084" s="3" t="n">
        <f aca="false">IF(K1084&gt;=Parametri!$B$1,1,0)</f>
        <v>1</v>
      </c>
      <c r="N1084" s="3" t="n">
        <f aca="false">L1084*M1084</f>
        <v>0</v>
      </c>
    </row>
    <row r="1085" customFormat="false" ht="15" hidden="false" customHeight="false" outlineLevel="0" collapsed="false">
      <c r="A1085" s="0" t="s">
        <v>1900</v>
      </c>
      <c r="B1085" s="0" t="s">
        <v>31</v>
      </c>
      <c r="C1085" s="0" t="s">
        <v>1901</v>
      </c>
      <c r="D1085" s="0" t="s">
        <v>54</v>
      </c>
      <c r="E1085" s="2" t="n">
        <v>45527</v>
      </c>
      <c r="F1085" s="3" t="s">
        <v>34</v>
      </c>
      <c r="G1085" s="3" t="s">
        <v>21</v>
      </c>
      <c r="H1085" s="3" t="s">
        <v>44</v>
      </c>
      <c r="I1085" s="3" t="n">
        <f aca="false">YEAR(E1085)</f>
        <v>2024</v>
      </c>
      <c r="J1085" s="3" t="n">
        <f aca="false">MONTH(E1085)</f>
        <v>8</v>
      </c>
      <c r="K1085" s="3" t="n">
        <f aca="false">COUNTIFS($B$2:$B$4077,B1085,$C$2:$C$4077,C1085,$I$2:$I$4077,I1085)</f>
        <v>1</v>
      </c>
      <c r="L1085" s="3" t="n">
        <f aca="false">IF(COUNTIFS($B$2:B1085,B1085,$C$2:C1085,C1085,$I$2:I1085,I1085)=1,1,0)</f>
        <v>1</v>
      </c>
      <c r="M1085" s="3" t="n">
        <f aca="false">IF(K1085&gt;=Parametri!$B$1,1,0)</f>
        <v>0</v>
      </c>
      <c r="N1085" s="3" t="n">
        <f aca="false">L1085*M1085</f>
        <v>0</v>
      </c>
    </row>
    <row r="1086" customFormat="false" ht="15" hidden="false" customHeight="false" outlineLevel="0" collapsed="false">
      <c r="A1086" s="0" t="s">
        <v>1902</v>
      </c>
      <c r="B1086" s="0" t="s">
        <v>24</v>
      </c>
      <c r="C1086" s="0" t="s">
        <v>1903</v>
      </c>
      <c r="D1086" s="0" t="s">
        <v>26</v>
      </c>
      <c r="E1086" s="2" t="n">
        <v>45496</v>
      </c>
      <c r="F1086" s="3" t="s">
        <v>34</v>
      </c>
      <c r="G1086" s="3" t="s">
        <v>35</v>
      </c>
      <c r="H1086" s="3" t="s">
        <v>48</v>
      </c>
      <c r="I1086" s="3" t="n">
        <f aca="false">YEAR(E1086)</f>
        <v>2024</v>
      </c>
      <c r="J1086" s="3" t="n">
        <f aca="false">MONTH(E1086)</f>
        <v>7</v>
      </c>
      <c r="K1086" s="3" t="n">
        <f aca="false">COUNTIFS($B$2:$B$4077,B1086,$C$2:$C$4077,C1086,$I$2:$I$4077,I1086)</f>
        <v>1</v>
      </c>
      <c r="L1086" s="3" t="n">
        <f aca="false">IF(COUNTIFS($B$2:B1086,B1086,$C$2:C1086,C1086,$I$2:I1086,I1086)=1,1,0)</f>
        <v>1</v>
      </c>
      <c r="M1086" s="3" t="n">
        <f aca="false">IF(K1086&gt;=Parametri!$B$1,1,0)</f>
        <v>0</v>
      </c>
      <c r="N1086" s="3" t="n">
        <f aca="false">L1086*M1086</f>
        <v>0</v>
      </c>
    </row>
    <row r="1087" customFormat="false" ht="15" hidden="false" customHeight="false" outlineLevel="0" collapsed="false">
      <c r="A1087" s="0" t="s">
        <v>1904</v>
      </c>
      <c r="B1087" s="0" t="s">
        <v>50</v>
      </c>
      <c r="C1087" s="0" t="s">
        <v>954</v>
      </c>
      <c r="D1087" s="0" t="s">
        <v>38</v>
      </c>
      <c r="E1087" s="2" t="n">
        <v>45331</v>
      </c>
      <c r="F1087" s="3" t="s">
        <v>20</v>
      </c>
      <c r="G1087" s="3" t="s">
        <v>55</v>
      </c>
      <c r="H1087" s="3" t="s">
        <v>29</v>
      </c>
      <c r="I1087" s="3" t="n">
        <f aca="false">YEAR(E1087)</f>
        <v>2024</v>
      </c>
      <c r="J1087" s="3" t="n">
        <f aca="false">MONTH(E1087)</f>
        <v>2</v>
      </c>
      <c r="K1087" s="3" t="n">
        <f aca="false">COUNTIFS($B$2:$B$4077,B1087,$C$2:$C$4077,C1087,$I$2:$I$4077,I1087)</f>
        <v>3</v>
      </c>
      <c r="L1087" s="3" t="n">
        <f aca="false">IF(COUNTIFS($B$2:B1087,B1087,$C$2:C1087,C1087,$I$2:I1087,I1087)=1,1,0)</f>
        <v>0</v>
      </c>
      <c r="M1087" s="3" t="n">
        <f aca="false">IF(K1087&gt;=Parametri!$B$1,1,0)</f>
        <v>1</v>
      </c>
      <c r="N1087" s="3" t="n">
        <f aca="false">L1087*M1087</f>
        <v>0</v>
      </c>
    </row>
    <row r="1088" customFormat="false" ht="15" hidden="false" customHeight="false" outlineLevel="0" collapsed="false">
      <c r="A1088" s="0" t="s">
        <v>1905</v>
      </c>
      <c r="B1088" s="0" t="s">
        <v>46</v>
      </c>
      <c r="C1088" s="0" t="s">
        <v>1906</v>
      </c>
      <c r="D1088" s="0" t="s">
        <v>66</v>
      </c>
      <c r="E1088" s="2" t="n">
        <v>46028</v>
      </c>
      <c r="F1088" s="3" t="s">
        <v>34</v>
      </c>
      <c r="G1088" s="3" t="s">
        <v>89</v>
      </c>
      <c r="H1088" s="3" t="s">
        <v>48</v>
      </c>
      <c r="I1088" s="3" t="n">
        <f aca="false">YEAR(E1088)</f>
        <v>2026</v>
      </c>
      <c r="J1088" s="3" t="n">
        <f aca="false">MONTH(E1088)</f>
        <v>1</v>
      </c>
      <c r="K1088" s="3" t="n">
        <f aca="false">COUNTIFS($B$2:$B$4077,B1088,$C$2:$C$4077,C1088,$I$2:$I$4077,I1088)</f>
        <v>1</v>
      </c>
      <c r="L1088" s="3" t="n">
        <f aca="false">IF(COUNTIFS($B$2:B1088,B1088,$C$2:C1088,C1088,$I$2:I1088,I1088)=1,1,0)</f>
        <v>1</v>
      </c>
      <c r="M1088" s="3" t="n">
        <f aca="false">IF(K1088&gt;=Parametri!$B$1,1,0)</f>
        <v>0</v>
      </c>
      <c r="N1088" s="3" t="n">
        <f aca="false">L1088*M1088</f>
        <v>0</v>
      </c>
    </row>
    <row r="1089" customFormat="false" ht="15" hidden="false" customHeight="false" outlineLevel="0" collapsed="false">
      <c r="A1089" s="0" t="s">
        <v>1907</v>
      </c>
      <c r="B1089" s="0" t="s">
        <v>57</v>
      </c>
      <c r="C1089" s="0" t="s">
        <v>1908</v>
      </c>
      <c r="D1089" s="0" t="s">
        <v>63</v>
      </c>
      <c r="E1089" s="2" t="n">
        <v>46179</v>
      </c>
      <c r="F1089" s="3" t="s">
        <v>27</v>
      </c>
      <c r="G1089" s="3" t="s">
        <v>72</v>
      </c>
      <c r="H1089" s="3" t="s">
        <v>48</v>
      </c>
      <c r="I1089" s="3" t="n">
        <f aca="false">YEAR(E1089)</f>
        <v>2026</v>
      </c>
      <c r="J1089" s="3" t="n">
        <f aca="false">MONTH(E1089)</f>
        <v>6</v>
      </c>
      <c r="K1089" s="3" t="n">
        <f aca="false">COUNTIFS($B$2:$B$4077,B1089,$C$2:$C$4077,C1089,$I$2:$I$4077,I1089)</f>
        <v>2</v>
      </c>
      <c r="L1089" s="3" t="n">
        <f aca="false">IF(COUNTIFS($B$2:B1089,B1089,$C$2:C1089,C1089,$I$2:I1089,I1089)=1,1,0)</f>
        <v>1</v>
      </c>
      <c r="M1089" s="3" t="n">
        <f aca="false">IF(K1089&gt;=Parametri!$B$1,1,0)</f>
        <v>1</v>
      </c>
      <c r="N1089" s="3" t="n">
        <f aca="false">L1089*M1089</f>
        <v>1</v>
      </c>
    </row>
    <row r="1090" customFormat="false" ht="15" hidden="false" customHeight="false" outlineLevel="0" collapsed="false">
      <c r="A1090" s="0" t="s">
        <v>1909</v>
      </c>
      <c r="B1090" s="0" t="s">
        <v>17</v>
      </c>
      <c r="C1090" s="0" t="s">
        <v>1910</v>
      </c>
      <c r="D1090" s="0" t="s">
        <v>26</v>
      </c>
      <c r="E1090" s="2" t="n">
        <v>45343</v>
      </c>
      <c r="F1090" s="3" t="s">
        <v>20</v>
      </c>
      <c r="G1090" s="3" t="s">
        <v>43</v>
      </c>
      <c r="H1090" s="3" t="s">
        <v>29</v>
      </c>
      <c r="I1090" s="3" t="n">
        <f aca="false">YEAR(E1090)</f>
        <v>2024</v>
      </c>
      <c r="J1090" s="3" t="n">
        <f aca="false">MONTH(E1090)</f>
        <v>2</v>
      </c>
      <c r="K1090" s="3" t="n">
        <f aca="false">COUNTIFS($B$2:$B$4077,B1090,$C$2:$C$4077,C1090,$I$2:$I$4077,I1090)</f>
        <v>3</v>
      </c>
      <c r="L1090" s="3" t="n">
        <f aca="false">IF(COUNTIFS($B$2:B1090,B1090,$C$2:C1090,C1090,$I$2:I1090,I1090)=1,1,0)</f>
        <v>1</v>
      </c>
      <c r="M1090" s="3" t="n">
        <f aca="false">IF(K1090&gt;=Parametri!$B$1,1,0)</f>
        <v>1</v>
      </c>
      <c r="N1090" s="3" t="n">
        <f aca="false">L1090*M1090</f>
        <v>1</v>
      </c>
    </row>
    <row r="1091" customFormat="false" ht="15" hidden="false" customHeight="false" outlineLevel="0" collapsed="false">
      <c r="A1091" s="0" t="s">
        <v>1911</v>
      </c>
      <c r="B1091" s="0" t="s">
        <v>68</v>
      </c>
      <c r="C1091" s="0" t="s">
        <v>1912</v>
      </c>
      <c r="D1091" s="0" t="s">
        <v>19</v>
      </c>
      <c r="E1091" s="2" t="n">
        <v>45441</v>
      </c>
      <c r="F1091" s="3" t="s">
        <v>20</v>
      </c>
      <c r="G1091" s="3" t="s">
        <v>55</v>
      </c>
      <c r="H1091" s="3" t="s">
        <v>44</v>
      </c>
      <c r="I1091" s="3" t="n">
        <f aca="false">YEAR(E1091)</f>
        <v>2024</v>
      </c>
      <c r="J1091" s="3" t="n">
        <f aca="false">MONTH(E1091)</f>
        <v>5</v>
      </c>
      <c r="K1091" s="3" t="n">
        <f aca="false">COUNTIFS($B$2:$B$4077,B1091,$C$2:$C$4077,C1091,$I$2:$I$4077,I1091)</f>
        <v>1</v>
      </c>
      <c r="L1091" s="3" t="n">
        <f aca="false">IF(COUNTIFS($B$2:B1091,B1091,$C$2:C1091,C1091,$I$2:I1091,I1091)=1,1,0)</f>
        <v>1</v>
      </c>
      <c r="M1091" s="3" t="n">
        <f aca="false">IF(K1091&gt;=Parametri!$B$1,1,0)</f>
        <v>0</v>
      </c>
      <c r="N1091" s="3" t="n">
        <f aca="false">L1091*M1091</f>
        <v>0</v>
      </c>
    </row>
    <row r="1092" customFormat="false" ht="15" hidden="false" customHeight="false" outlineLevel="0" collapsed="false">
      <c r="A1092" s="0" t="s">
        <v>1913</v>
      </c>
      <c r="B1092" s="0" t="s">
        <v>17</v>
      </c>
      <c r="C1092" s="0" t="s">
        <v>1914</v>
      </c>
      <c r="D1092" s="0" t="s">
        <v>26</v>
      </c>
      <c r="E1092" s="2" t="n">
        <v>45816</v>
      </c>
      <c r="F1092" s="3" t="s">
        <v>20</v>
      </c>
      <c r="G1092" s="3" t="s">
        <v>55</v>
      </c>
      <c r="H1092" s="3" t="s">
        <v>29</v>
      </c>
      <c r="I1092" s="3" t="n">
        <f aca="false">YEAR(E1092)</f>
        <v>2025</v>
      </c>
      <c r="J1092" s="3" t="n">
        <f aca="false">MONTH(E1092)</f>
        <v>6</v>
      </c>
      <c r="K1092" s="3" t="n">
        <f aca="false">COUNTIFS($B$2:$B$4077,B1092,$C$2:$C$4077,C1092,$I$2:$I$4077,I1092)</f>
        <v>1</v>
      </c>
      <c r="L1092" s="3" t="n">
        <f aca="false">IF(COUNTIFS($B$2:B1092,B1092,$C$2:C1092,C1092,$I$2:I1092,I1092)=1,1,0)</f>
        <v>1</v>
      </c>
      <c r="M1092" s="3" t="n">
        <f aca="false">IF(K1092&gt;=Parametri!$B$1,1,0)</f>
        <v>0</v>
      </c>
      <c r="N1092" s="3" t="n">
        <f aca="false">L1092*M1092</f>
        <v>0</v>
      </c>
    </row>
    <row r="1093" customFormat="false" ht="15" hidden="false" customHeight="false" outlineLevel="0" collapsed="false">
      <c r="A1093" s="0" t="s">
        <v>1915</v>
      </c>
      <c r="B1093" s="0" t="s">
        <v>124</v>
      </c>
      <c r="C1093" s="0" t="s">
        <v>1916</v>
      </c>
      <c r="D1093" s="0" t="s">
        <v>54</v>
      </c>
      <c r="E1093" s="2" t="n">
        <v>45991</v>
      </c>
      <c r="F1093" s="3" t="s">
        <v>34</v>
      </c>
      <c r="G1093" s="3" t="s">
        <v>28</v>
      </c>
      <c r="H1093" s="3" t="s">
        <v>44</v>
      </c>
      <c r="I1093" s="3" t="n">
        <f aca="false">YEAR(E1093)</f>
        <v>2025</v>
      </c>
      <c r="J1093" s="3" t="n">
        <f aca="false">MONTH(E1093)</f>
        <v>11</v>
      </c>
      <c r="K1093" s="3" t="n">
        <f aca="false">COUNTIFS($B$2:$B$4077,B1093,$C$2:$C$4077,C1093,$I$2:$I$4077,I1093)</f>
        <v>1</v>
      </c>
      <c r="L1093" s="3" t="n">
        <f aca="false">IF(COUNTIFS($B$2:B1093,B1093,$C$2:C1093,C1093,$I$2:I1093,I1093)=1,1,0)</f>
        <v>1</v>
      </c>
      <c r="M1093" s="3" t="n">
        <f aca="false">IF(K1093&gt;=Parametri!$B$1,1,0)</f>
        <v>0</v>
      </c>
      <c r="N1093" s="3" t="n">
        <f aca="false">L1093*M1093</f>
        <v>0</v>
      </c>
    </row>
    <row r="1094" customFormat="false" ht="15" hidden="false" customHeight="false" outlineLevel="0" collapsed="false">
      <c r="A1094" s="0" t="s">
        <v>1917</v>
      </c>
      <c r="B1094" s="0" t="s">
        <v>68</v>
      </c>
      <c r="C1094" s="0" t="s">
        <v>1457</v>
      </c>
      <c r="D1094" s="0" t="s">
        <v>63</v>
      </c>
      <c r="E1094" s="2" t="n">
        <v>46210</v>
      </c>
      <c r="F1094" s="3" t="s">
        <v>20</v>
      </c>
      <c r="G1094" s="3" t="s">
        <v>55</v>
      </c>
      <c r="H1094" s="3" t="s">
        <v>29</v>
      </c>
      <c r="I1094" s="3" t="n">
        <f aca="false">YEAR(E1094)</f>
        <v>2026</v>
      </c>
      <c r="J1094" s="3" t="n">
        <f aca="false">MONTH(E1094)</f>
        <v>7</v>
      </c>
      <c r="K1094" s="3" t="n">
        <f aca="false">COUNTIFS($B$2:$B$4077,B1094,$C$2:$C$4077,C1094,$I$2:$I$4077,I1094)</f>
        <v>6</v>
      </c>
      <c r="L1094" s="3" t="n">
        <f aca="false">IF(COUNTIFS($B$2:B1094,B1094,$C$2:C1094,C1094,$I$2:I1094,I1094)=1,1,0)</f>
        <v>0</v>
      </c>
      <c r="M1094" s="3" t="n">
        <f aca="false">IF(K1094&gt;=Parametri!$B$1,1,0)</f>
        <v>1</v>
      </c>
      <c r="N1094" s="3" t="n">
        <f aca="false">L1094*M1094</f>
        <v>0</v>
      </c>
    </row>
    <row r="1095" customFormat="false" ht="15" hidden="false" customHeight="false" outlineLevel="0" collapsed="false">
      <c r="A1095" s="0" t="s">
        <v>1918</v>
      </c>
      <c r="B1095" s="0" t="s">
        <v>17</v>
      </c>
      <c r="C1095" s="0" t="s">
        <v>572</v>
      </c>
      <c r="D1095" s="0" t="s">
        <v>63</v>
      </c>
      <c r="E1095" s="2" t="n">
        <v>45653</v>
      </c>
      <c r="F1095" s="3" t="s">
        <v>20</v>
      </c>
      <c r="G1095" s="3" t="s">
        <v>35</v>
      </c>
      <c r="H1095" s="3" t="s">
        <v>44</v>
      </c>
      <c r="I1095" s="3" t="n">
        <f aca="false">YEAR(E1095)</f>
        <v>2024</v>
      </c>
      <c r="J1095" s="3" t="n">
        <f aca="false">MONTH(E1095)</f>
        <v>12</v>
      </c>
      <c r="K1095" s="3" t="n">
        <f aca="false">COUNTIFS($B$2:$B$4077,B1095,$C$2:$C$4077,C1095,$I$2:$I$4077,I1095)</f>
        <v>2</v>
      </c>
      <c r="L1095" s="3" t="n">
        <f aca="false">IF(COUNTIFS($B$2:B1095,B1095,$C$2:C1095,C1095,$I$2:I1095,I1095)=1,1,0)</f>
        <v>0</v>
      </c>
      <c r="M1095" s="3" t="n">
        <f aca="false">IF(K1095&gt;=Parametri!$B$1,1,0)</f>
        <v>1</v>
      </c>
      <c r="N1095" s="3" t="n">
        <f aca="false">L1095*M1095</f>
        <v>0</v>
      </c>
    </row>
    <row r="1096" customFormat="false" ht="15" hidden="false" customHeight="false" outlineLevel="0" collapsed="false">
      <c r="A1096" s="0" t="s">
        <v>1919</v>
      </c>
      <c r="B1096" s="0" t="s">
        <v>50</v>
      </c>
      <c r="C1096" s="0" t="s">
        <v>1164</v>
      </c>
      <c r="D1096" s="0" t="s">
        <v>33</v>
      </c>
      <c r="E1096" s="2" t="n">
        <v>45424</v>
      </c>
      <c r="F1096" s="3" t="s">
        <v>20</v>
      </c>
      <c r="G1096" s="3" t="s">
        <v>43</v>
      </c>
      <c r="H1096" s="3" t="s">
        <v>48</v>
      </c>
      <c r="I1096" s="3" t="n">
        <f aca="false">YEAR(E1096)</f>
        <v>2024</v>
      </c>
      <c r="J1096" s="3" t="n">
        <f aca="false">MONTH(E1096)</f>
        <v>5</v>
      </c>
      <c r="K1096" s="3" t="n">
        <f aca="false">COUNTIFS($B$2:$B$4077,B1096,$C$2:$C$4077,C1096,$I$2:$I$4077,I1096)</f>
        <v>4</v>
      </c>
      <c r="L1096" s="3" t="n">
        <f aca="false">IF(COUNTIFS($B$2:B1096,B1096,$C$2:C1096,C1096,$I$2:I1096,I1096)=1,1,0)</f>
        <v>0</v>
      </c>
      <c r="M1096" s="3" t="n">
        <f aca="false">IF(K1096&gt;=Parametri!$B$1,1,0)</f>
        <v>1</v>
      </c>
      <c r="N1096" s="3" t="n">
        <f aca="false">L1096*M1096</f>
        <v>0</v>
      </c>
    </row>
    <row r="1097" customFormat="false" ht="15" hidden="false" customHeight="false" outlineLevel="0" collapsed="false">
      <c r="A1097" s="0" t="s">
        <v>1920</v>
      </c>
      <c r="B1097" s="0" t="s">
        <v>17</v>
      </c>
      <c r="C1097" s="0" t="s">
        <v>1921</v>
      </c>
      <c r="D1097" s="0" t="s">
        <v>38</v>
      </c>
      <c r="E1097" s="2" t="n">
        <v>46126</v>
      </c>
      <c r="F1097" s="3" t="s">
        <v>20</v>
      </c>
      <c r="G1097" s="3" t="s">
        <v>21</v>
      </c>
      <c r="H1097" s="3" t="s">
        <v>44</v>
      </c>
      <c r="I1097" s="3" t="n">
        <f aca="false">YEAR(E1097)</f>
        <v>2026</v>
      </c>
      <c r="J1097" s="3" t="n">
        <f aca="false">MONTH(E1097)</f>
        <v>4</v>
      </c>
      <c r="K1097" s="3" t="n">
        <f aca="false">COUNTIFS($B$2:$B$4077,B1097,$C$2:$C$4077,C1097,$I$2:$I$4077,I1097)</f>
        <v>1</v>
      </c>
      <c r="L1097" s="3" t="n">
        <f aca="false">IF(COUNTIFS($B$2:B1097,B1097,$C$2:C1097,C1097,$I$2:I1097,I1097)=1,1,0)</f>
        <v>1</v>
      </c>
      <c r="M1097" s="3" t="n">
        <f aca="false">IF(K1097&gt;=Parametri!$B$1,1,0)</f>
        <v>0</v>
      </c>
      <c r="N1097" s="3" t="n">
        <f aca="false">L1097*M1097</f>
        <v>0</v>
      </c>
    </row>
    <row r="1098" customFormat="false" ht="15" hidden="false" customHeight="false" outlineLevel="0" collapsed="false">
      <c r="A1098" s="0" t="s">
        <v>1922</v>
      </c>
      <c r="B1098" s="0" t="s">
        <v>46</v>
      </c>
      <c r="C1098" s="0" t="s">
        <v>1923</v>
      </c>
      <c r="D1098" s="0" t="s">
        <v>38</v>
      </c>
      <c r="E1098" s="2" t="n">
        <v>45925</v>
      </c>
      <c r="F1098" s="3" t="s">
        <v>27</v>
      </c>
      <c r="G1098" s="3" t="s">
        <v>28</v>
      </c>
      <c r="H1098" s="3" t="s">
        <v>48</v>
      </c>
      <c r="I1098" s="3" t="n">
        <f aca="false">YEAR(E1098)</f>
        <v>2025</v>
      </c>
      <c r="J1098" s="3" t="n">
        <f aca="false">MONTH(E1098)</f>
        <v>9</v>
      </c>
      <c r="K1098" s="3" t="n">
        <f aca="false">COUNTIFS($B$2:$B$4077,B1098,$C$2:$C$4077,C1098,$I$2:$I$4077,I1098)</f>
        <v>2</v>
      </c>
      <c r="L1098" s="3" t="n">
        <f aca="false">IF(COUNTIFS($B$2:B1098,B1098,$C$2:C1098,C1098,$I$2:I1098,I1098)=1,1,0)</f>
        <v>1</v>
      </c>
      <c r="M1098" s="3" t="n">
        <f aca="false">IF(K1098&gt;=Parametri!$B$1,1,0)</f>
        <v>1</v>
      </c>
      <c r="N1098" s="3" t="n">
        <f aca="false">L1098*M1098</f>
        <v>1</v>
      </c>
    </row>
    <row r="1099" customFormat="false" ht="15" hidden="false" customHeight="false" outlineLevel="0" collapsed="false">
      <c r="A1099" s="0" t="s">
        <v>1924</v>
      </c>
      <c r="B1099" s="0" t="s">
        <v>124</v>
      </c>
      <c r="C1099" s="0" t="s">
        <v>1925</v>
      </c>
      <c r="D1099" s="0" t="s">
        <v>26</v>
      </c>
      <c r="E1099" s="2" t="n">
        <v>45445</v>
      </c>
      <c r="F1099" s="3" t="s">
        <v>34</v>
      </c>
      <c r="G1099" s="3" t="s">
        <v>39</v>
      </c>
      <c r="H1099" s="3" t="s">
        <v>29</v>
      </c>
      <c r="I1099" s="3" t="n">
        <f aca="false">YEAR(E1099)</f>
        <v>2024</v>
      </c>
      <c r="J1099" s="3" t="n">
        <f aca="false">MONTH(E1099)</f>
        <v>6</v>
      </c>
      <c r="K1099" s="3" t="n">
        <f aca="false">COUNTIFS($B$2:$B$4077,B1099,$C$2:$C$4077,C1099,$I$2:$I$4077,I1099)</f>
        <v>1</v>
      </c>
      <c r="L1099" s="3" t="n">
        <f aca="false">IF(COUNTIFS($B$2:B1099,B1099,$C$2:C1099,C1099,$I$2:I1099,I1099)=1,1,0)</f>
        <v>1</v>
      </c>
      <c r="M1099" s="3" t="n">
        <f aca="false">IF(K1099&gt;=Parametri!$B$1,1,0)</f>
        <v>0</v>
      </c>
      <c r="N1099" s="3" t="n">
        <f aca="false">L1099*M1099</f>
        <v>0</v>
      </c>
    </row>
    <row r="1100" customFormat="false" ht="15" hidden="false" customHeight="false" outlineLevel="0" collapsed="false">
      <c r="A1100" s="0" t="s">
        <v>1926</v>
      </c>
      <c r="B1100" s="0" t="s">
        <v>17</v>
      </c>
      <c r="C1100" s="0" t="s">
        <v>458</v>
      </c>
      <c r="D1100" s="0" t="s">
        <v>77</v>
      </c>
      <c r="E1100" s="2" t="n">
        <v>45714</v>
      </c>
      <c r="F1100" s="3" t="s">
        <v>20</v>
      </c>
      <c r="G1100" s="3" t="s">
        <v>35</v>
      </c>
      <c r="H1100" s="3" t="s">
        <v>29</v>
      </c>
      <c r="I1100" s="3" t="n">
        <f aca="false">YEAR(E1100)</f>
        <v>2025</v>
      </c>
      <c r="J1100" s="3" t="n">
        <f aca="false">MONTH(E1100)</f>
        <v>2</v>
      </c>
      <c r="K1100" s="3" t="n">
        <f aca="false">COUNTIFS($B$2:$B$4077,B1100,$C$2:$C$4077,C1100,$I$2:$I$4077,I1100)</f>
        <v>6</v>
      </c>
      <c r="L1100" s="3" t="n">
        <f aca="false">IF(COUNTIFS($B$2:B1100,B1100,$C$2:C1100,C1100,$I$2:I1100,I1100)=1,1,0)</f>
        <v>0</v>
      </c>
      <c r="M1100" s="3" t="n">
        <f aca="false">IF(K1100&gt;=Parametri!$B$1,1,0)</f>
        <v>1</v>
      </c>
      <c r="N1100" s="3" t="n">
        <f aca="false">L1100*M1100</f>
        <v>0</v>
      </c>
    </row>
    <row r="1101" customFormat="false" ht="15" hidden="false" customHeight="false" outlineLevel="0" collapsed="false">
      <c r="A1101" s="0" t="s">
        <v>1927</v>
      </c>
      <c r="B1101" s="0" t="s">
        <v>57</v>
      </c>
      <c r="C1101" s="0" t="s">
        <v>180</v>
      </c>
      <c r="D1101" s="0" t="s">
        <v>63</v>
      </c>
      <c r="E1101" s="2" t="n">
        <v>46133</v>
      </c>
      <c r="F1101" s="3" t="s">
        <v>27</v>
      </c>
      <c r="G1101" s="3" t="s">
        <v>39</v>
      </c>
      <c r="H1101" s="3" t="s">
        <v>44</v>
      </c>
      <c r="I1101" s="3" t="n">
        <f aca="false">YEAR(E1101)</f>
        <v>2026</v>
      </c>
      <c r="J1101" s="3" t="n">
        <f aca="false">MONTH(E1101)</f>
        <v>4</v>
      </c>
      <c r="K1101" s="3" t="n">
        <f aca="false">COUNTIFS($B$2:$B$4077,B1101,$C$2:$C$4077,C1101,$I$2:$I$4077,I1101)</f>
        <v>2</v>
      </c>
      <c r="L1101" s="3" t="n">
        <f aca="false">IF(COUNTIFS($B$2:B1101,B1101,$C$2:C1101,C1101,$I$2:I1101,I1101)=1,1,0)</f>
        <v>1</v>
      </c>
      <c r="M1101" s="3" t="n">
        <f aca="false">IF(K1101&gt;=Parametri!$B$1,1,0)</f>
        <v>1</v>
      </c>
      <c r="N1101" s="3" t="n">
        <f aca="false">L1101*M1101</f>
        <v>1</v>
      </c>
    </row>
    <row r="1102" customFormat="false" ht="15" hidden="false" customHeight="false" outlineLevel="0" collapsed="false">
      <c r="A1102" s="0" t="s">
        <v>1928</v>
      </c>
      <c r="B1102" s="0" t="s">
        <v>50</v>
      </c>
      <c r="C1102" s="0" t="s">
        <v>1436</v>
      </c>
      <c r="D1102" s="0" t="s">
        <v>38</v>
      </c>
      <c r="E1102" s="2" t="n">
        <v>46238</v>
      </c>
      <c r="F1102" s="3" t="s">
        <v>104</v>
      </c>
      <c r="G1102" s="3" t="s">
        <v>104</v>
      </c>
      <c r="H1102" s="3" t="s">
        <v>104</v>
      </c>
      <c r="I1102" s="3" t="n">
        <f aca="false">YEAR(E1102)</f>
        <v>2026</v>
      </c>
      <c r="J1102" s="3" t="n">
        <f aca="false">MONTH(E1102)</f>
        <v>8</v>
      </c>
      <c r="K1102" s="3" t="n">
        <f aca="false">COUNTIFS($B$2:$B$4077,B1102,$C$2:$C$4077,C1102,$I$2:$I$4077,I1102)</f>
        <v>3</v>
      </c>
      <c r="L1102" s="3" t="n">
        <f aca="false">IF(COUNTIFS($B$2:B1102,B1102,$C$2:C1102,C1102,$I$2:I1102,I1102)=1,1,0)</f>
        <v>1</v>
      </c>
      <c r="M1102" s="3" t="n">
        <f aca="false">IF(K1102&gt;=Parametri!$B$1,1,0)</f>
        <v>1</v>
      </c>
      <c r="N1102" s="3" t="n">
        <f aca="false">L1102*M1102</f>
        <v>1</v>
      </c>
    </row>
    <row r="1103" customFormat="false" ht="15" hidden="false" customHeight="false" outlineLevel="0" collapsed="false">
      <c r="A1103" s="0" t="s">
        <v>1929</v>
      </c>
      <c r="B1103" s="0" t="s">
        <v>50</v>
      </c>
      <c r="C1103" s="0" t="s">
        <v>1930</v>
      </c>
      <c r="D1103" s="0" t="s">
        <v>38</v>
      </c>
      <c r="E1103" s="2" t="n">
        <v>45788</v>
      </c>
      <c r="F1103" s="3" t="s">
        <v>34</v>
      </c>
      <c r="G1103" s="3" t="s">
        <v>21</v>
      </c>
      <c r="H1103" s="3" t="s">
        <v>22</v>
      </c>
      <c r="I1103" s="3" t="n">
        <f aca="false">YEAR(E1103)</f>
        <v>2025</v>
      </c>
      <c r="J1103" s="3" t="n">
        <f aca="false">MONTH(E1103)</f>
        <v>5</v>
      </c>
      <c r="K1103" s="3" t="n">
        <f aca="false">COUNTIFS($B$2:$B$4077,B1103,$C$2:$C$4077,C1103,$I$2:$I$4077,I1103)</f>
        <v>1</v>
      </c>
      <c r="L1103" s="3" t="n">
        <f aca="false">IF(COUNTIFS($B$2:B1103,B1103,$C$2:C1103,C1103,$I$2:I1103,I1103)=1,1,0)</f>
        <v>1</v>
      </c>
      <c r="M1103" s="3" t="n">
        <f aca="false">IF(K1103&gt;=Parametri!$B$1,1,0)</f>
        <v>0</v>
      </c>
      <c r="N1103" s="3" t="n">
        <f aca="false">L1103*M1103</f>
        <v>0</v>
      </c>
    </row>
    <row r="1104" customFormat="false" ht="15" hidden="false" customHeight="false" outlineLevel="0" collapsed="false">
      <c r="A1104" s="0" t="s">
        <v>1931</v>
      </c>
      <c r="B1104" s="0" t="s">
        <v>124</v>
      </c>
      <c r="C1104" s="0" t="s">
        <v>1932</v>
      </c>
      <c r="D1104" s="0" t="s">
        <v>63</v>
      </c>
      <c r="E1104" s="2" t="n">
        <v>45305</v>
      </c>
      <c r="F1104" s="3" t="s">
        <v>20</v>
      </c>
      <c r="G1104" s="3" t="s">
        <v>21</v>
      </c>
      <c r="H1104" s="3" t="s">
        <v>22</v>
      </c>
      <c r="I1104" s="3" t="n">
        <f aca="false">YEAR(E1104)</f>
        <v>2024</v>
      </c>
      <c r="J1104" s="3" t="n">
        <f aca="false">MONTH(E1104)</f>
        <v>1</v>
      </c>
      <c r="K1104" s="3" t="n">
        <f aca="false">COUNTIFS($B$2:$B$4077,B1104,$C$2:$C$4077,C1104,$I$2:$I$4077,I1104)</f>
        <v>1</v>
      </c>
      <c r="L1104" s="3" t="n">
        <f aca="false">IF(COUNTIFS($B$2:B1104,B1104,$C$2:C1104,C1104,$I$2:I1104,I1104)=1,1,0)</f>
        <v>1</v>
      </c>
      <c r="M1104" s="3" t="n">
        <f aca="false">IF(K1104&gt;=Parametri!$B$1,1,0)</f>
        <v>0</v>
      </c>
      <c r="N1104" s="3" t="n">
        <f aca="false">L1104*M1104</f>
        <v>0</v>
      </c>
    </row>
    <row r="1105" customFormat="false" ht="15" hidden="false" customHeight="false" outlineLevel="0" collapsed="false">
      <c r="A1105" s="0" t="s">
        <v>1933</v>
      </c>
      <c r="B1105" s="0" t="s">
        <v>50</v>
      </c>
      <c r="C1105" s="0" t="s">
        <v>942</v>
      </c>
      <c r="D1105" s="0" t="s">
        <v>66</v>
      </c>
      <c r="E1105" s="2" t="n">
        <v>45959</v>
      </c>
      <c r="F1105" s="3" t="s">
        <v>20</v>
      </c>
      <c r="G1105" s="3" t="s">
        <v>43</v>
      </c>
      <c r="H1105" s="3" t="s">
        <v>22</v>
      </c>
      <c r="I1105" s="3" t="n">
        <f aca="false">YEAR(E1105)</f>
        <v>2025</v>
      </c>
      <c r="J1105" s="3" t="n">
        <f aca="false">MONTH(E1105)</f>
        <v>10</v>
      </c>
      <c r="K1105" s="3" t="n">
        <f aca="false">COUNTIFS($B$2:$B$4077,B1105,$C$2:$C$4077,C1105,$I$2:$I$4077,I1105)</f>
        <v>7</v>
      </c>
      <c r="L1105" s="3" t="n">
        <f aca="false">IF(COUNTIFS($B$2:B1105,B1105,$C$2:C1105,C1105,$I$2:I1105,I1105)=1,1,0)</f>
        <v>0</v>
      </c>
      <c r="M1105" s="3" t="n">
        <f aca="false">IF(K1105&gt;=Parametri!$B$1,1,0)</f>
        <v>1</v>
      </c>
      <c r="N1105" s="3" t="n">
        <f aca="false">L1105*M1105</f>
        <v>0</v>
      </c>
    </row>
    <row r="1106" customFormat="false" ht="15" hidden="false" customHeight="false" outlineLevel="0" collapsed="false">
      <c r="A1106" s="0" t="s">
        <v>1934</v>
      </c>
      <c r="B1106" s="0" t="s">
        <v>41</v>
      </c>
      <c r="C1106" s="0" t="s">
        <v>1276</v>
      </c>
      <c r="D1106" s="0" t="s">
        <v>54</v>
      </c>
      <c r="E1106" s="2" t="n">
        <v>46071</v>
      </c>
      <c r="F1106" s="3" t="s">
        <v>20</v>
      </c>
      <c r="G1106" s="3" t="s">
        <v>39</v>
      </c>
      <c r="H1106" s="3" t="s">
        <v>44</v>
      </c>
      <c r="I1106" s="3" t="n">
        <f aca="false">YEAR(E1106)</f>
        <v>2026</v>
      </c>
      <c r="J1106" s="3" t="n">
        <f aca="false">MONTH(E1106)</f>
        <v>2</v>
      </c>
      <c r="K1106" s="3" t="n">
        <f aca="false">COUNTIFS($B$2:$B$4077,B1106,$C$2:$C$4077,C1106,$I$2:$I$4077,I1106)</f>
        <v>2</v>
      </c>
      <c r="L1106" s="3" t="n">
        <f aca="false">IF(COUNTIFS($B$2:B1106,B1106,$C$2:C1106,C1106,$I$2:I1106,I1106)=1,1,0)</f>
        <v>0</v>
      </c>
      <c r="M1106" s="3" t="n">
        <f aca="false">IF(K1106&gt;=Parametri!$B$1,1,0)</f>
        <v>1</v>
      </c>
      <c r="N1106" s="3" t="n">
        <f aca="false">L1106*M1106</f>
        <v>0</v>
      </c>
    </row>
    <row r="1107" customFormat="false" ht="15" hidden="false" customHeight="false" outlineLevel="0" collapsed="false">
      <c r="A1107" s="0" t="s">
        <v>1935</v>
      </c>
      <c r="B1107" s="0" t="s">
        <v>50</v>
      </c>
      <c r="C1107" s="0" t="s">
        <v>1936</v>
      </c>
      <c r="D1107" s="0" t="s">
        <v>77</v>
      </c>
      <c r="E1107" s="2" t="n">
        <v>45945</v>
      </c>
      <c r="F1107" s="3" t="s">
        <v>34</v>
      </c>
      <c r="G1107" s="3" t="s">
        <v>43</v>
      </c>
      <c r="H1107" s="3" t="s">
        <v>22</v>
      </c>
      <c r="I1107" s="3" t="n">
        <f aca="false">YEAR(E1107)</f>
        <v>2025</v>
      </c>
      <c r="J1107" s="3" t="n">
        <f aca="false">MONTH(E1107)</f>
        <v>10</v>
      </c>
      <c r="K1107" s="3" t="n">
        <f aca="false">COUNTIFS($B$2:$B$4077,B1107,$C$2:$C$4077,C1107,$I$2:$I$4077,I1107)</f>
        <v>1</v>
      </c>
      <c r="L1107" s="3" t="n">
        <f aca="false">IF(COUNTIFS($B$2:B1107,B1107,$C$2:C1107,C1107,$I$2:I1107,I1107)=1,1,0)</f>
        <v>1</v>
      </c>
      <c r="M1107" s="3" t="n">
        <f aca="false">IF(K1107&gt;=Parametri!$B$1,1,0)</f>
        <v>0</v>
      </c>
      <c r="N1107" s="3" t="n">
        <f aca="false">L1107*M1107</f>
        <v>0</v>
      </c>
    </row>
    <row r="1108" customFormat="false" ht="15" hidden="false" customHeight="false" outlineLevel="0" collapsed="false">
      <c r="A1108" s="0" t="s">
        <v>1937</v>
      </c>
      <c r="B1108" s="0" t="s">
        <v>17</v>
      </c>
      <c r="C1108" s="0" t="s">
        <v>1938</v>
      </c>
      <c r="D1108" s="0" t="s">
        <v>26</v>
      </c>
      <c r="E1108" s="2" t="n">
        <v>46208</v>
      </c>
      <c r="F1108" s="3" t="s">
        <v>20</v>
      </c>
      <c r="G1108" s="3" t="s">
        <v>35</v>
      </c>
      <c r="H1108" s="3" t="s">
        <v>29</v>
      </c>
      <c r="I1108" s="3" t="n">
        <f aca="false">YEAR(E1108)</f>
        <v>2026</v>
      </c>
      <c r="J1108" s="3" t="n">
        <f aca="false">MONTH(E1108)</f>
        <v>7</v>
      </c>
      <c r="K1108" s="3" t="n">
        <f aca="false">COUNTIFS($B$2:$B$4077,B1108,$C$2:$C$4077,C1108,$I$2:$I$4077,I1108)</f>
        <v>1</v>
      </c>
      <c r="L1108" s="3" t="n">
        <f aca="false">IF(COUNTIFS($B$2:B1108,B1108,$C$2:C1108,C1108,$I$2:I1108,I1108)=1,1,0)</f>
        <v>1</v>
      </c>
      <c r="M1108" s="3" t="n">
        <f aca="false">IF(K1108&gt;=Parametri!$B$1,1,0)</f>
        <v>0</v>
      </c>
      <c r="N1108" s="3" t="n">
        <f aca="false">L1108*M1108</f>
        <v>0</v>
      </c>
    </row>
    <row r="1109" customFormat="false" ht="15" hidden="false" customHeight="false" outlineLevel="0" collapsed="false">
      <c r="A1109" s="0" t="s">
        <v>1939</v>
      </c>
      <c r="B1109" s="0" t="s">
        <v>17</v>
      </c>
      <c r="C1109" s="0" t="s">
        <v>1940</v>
      </c>
      <c r="D1109" s="0" t="s">
        <v>66</v>
      </c>
      <c r="E1109" s="2" t="n">
        <v>45951</v>
      </c>
      <c r="F1109" s="3" t="s">
        <v>104</v>
      </c>
      <c r="G1109" s="3" t="s">
        <v>104</v>
      </c>
      <c r="H1109" s="3" t="s">
        <v>104</v>
      </c>
      <c r="I1109" s="3" t="n">
        <f aca="false">YEAR(E1109)</f>
        <v>2025</v>
      </c>
      <c r="J1109" s="3" t="n">
        <f aca="false">MONTH(E1109)</f>
        <v>10</v>
      </c>
      <c r="K1109" s="3" t="n">
        <f aca="false">COUNTIFS($B$2:$B$4077,B1109,$C$2:$C$4077,C1109,$I$2:$I$4077,I1109)</f>
        <v>1</v>
      </c>
      <c r="L1109" s="3" t="n">
        <f aca="false">IF(COUNTIFS($B$2:B1109,B1109,$C$2:C1109,C1109,$I$2:I1109,I1109)=1,1,0)</f>
        <v>1</v>
      </c>
      <c r="M1109" s="3" t="n">
        <f aca="false">IF(K1109&gt;=Parametri!$B$1,1,0)</f>
        <v>0</v>
      </c>
      <c r="N1109" s="3" t="n">
        <f aca="false">L1109*M1109</f>
        <v>0</v>
      </c>
    </row>
    <row r="1110" customFormat="false" ht="15" hidden="false" customHeight="false" outlineLevel="0" collapsed="false">
      <c r="A1110" s="0" t="s">
        <v>1941</v>
      </c>
      <c r="B1110" s="0" t="s">
        <v>68</v>
      </c>
      <c r="C1110" s="0" t="s">
        <v>1160</v>
      </c>
      <c r="D1110" s="0" t="s">
        <v>66</v>
      </c>
      <c r="E1110" s="2" t="n">
        <v>45521</v>
      </c>
      <c r="F1110" s="3" t="s">
        <v>20</v>
      </c>
      <c r="G1110" s="3" t="s">
        <v>89</v>
      </c>
      <c r="H1110" s="3" t="s">
        <v>29</v>
      </c>
      <c r="I1110" s="3" t="n">
        <f aca="false">YEAR(E1110)</f>
        <v>2024</v>
      </c>
      <c r="J1110" s="3" t="n">
        <f aca="false">MONTH(E1110)</f>
        <v>8</v>
      </c>
      <c r="K1110" s="3" t="n">
        <f aca="false">COUNTIFS($B$2:$B$4077,B1110,$C$2:$C$4077,C1110,$I$2:$I$4077,I1110)</f>
        <v>1</v>
      </c>
      <c r="L1110" s="3" t="n">
        <f aca="false">IF(COUNTIFS($B$2:B1110,B1110,$C$2:C1110,C1110,$I$2:I1110,I1110)=1,1,0)</f>
        <v>1</v>
      </c>
      <c r="M1110" s="3" t="n">
        <f aca="false">IF(K1110&gt;=Parametri!$B$1,1,0)</f>
        <v>0</v>
      </c>
      <c r="N1110" s="3" t="n">
        <f aca="false">L1110*M1110</f>
        <v>0</v>
      </c>
    </row>
    <row r="1111" customFormat="false" ht="15" hidden="false" customHeight="false" outlineLevel="0" collapsed="false">
      <c r="A1111" s="0" t="s">
        <v>1942</v>
      </c>
      <c r="B1111" s="0" t="s">
        <v>124</v>
      </c>
      <c r="C1111" s="0" t="s">
        <v>939</v>
      </c>
      <c r="D1111" s="0" t="s">
        <v>77</v>
      </c>
      <c r="E1111" s="2" t="n">
        <v>45772</v>
      </c>
      <c r="F1111" s="3" t="s">
        <v>20</v>
      </c>
      <c r="G1111" s="3" t="s">
        <v>39</v>
      </c>
      <c r="H1111" s="3" t="s">
        <v>29</v>
      </c>
      <c r="I1111" s="3" t="n">
        <f aca="false">YEAR(E1111)</f>
        <v>2025</v>
      </c>
      <c r="J1111" s="3" t="n">
        <f aca="false">MONTH(E1111)</f>
        <v>4</v>
      </c>
      <c r="K1111" s="3" t="n">
        <f aca="false">COUNTIFS($B$2:$B$4077,B1111,$C$2:$C$4077,C1111,$I$2:$I$4077,I1111)</f>
        <v>4</v>
      </c>
      <c r="L1111" s="3" t="n">
        <f aca="false">IF(COUNTIFS($B$2:B1111,B1111,$C$2:C1111,C1111,$I$2:I1111,I1111)=1,1,0)</f>
        <v>0</v>
      </c>
      <c r="M1111" s="3" t="n">
        <f aca="false">IF(K1111&gt;=Parametri!$B$1,1,0)</f>
        <v>1</v>
      </c>
      <c r="N1111" s="3" t="n">
        <f aca="false">L1111*M1111</f>
        <v>0</v>
      </c>
    </row>
    <row r="1112" customFormat="false" ht="15" hidden="false" customHeight="false" outlineLevel="0" collapsed="false">
      <c r="A1112" s="0" t="s">
        <v>1943</v>
      </c>
      <c r="B1112" s="0" t="s">
        <v>31</v>
      </c>
      <c r="C1112" s="0" t="s">
        <v>143</v>
      </c>
      <c r="D1112" s="0" t="s">
        <v>66</v>
      </c>
      <c r="E1112" s="2" t="n">
        <v>45769</v>
      </c>
      <c r="F1112" s="3" t="s">
        <v>20</v>
      </c>
      <c r="G1112" s="3" t="s">
        <v>43</v>
      </c>
      <c r="H1112" s="3" t="s">
        <v>29</v>
      </c>
      <c r="I1112" s="3" t="n">
        <f aca="false">YEAR(E1112)</f>
        <v>2025</v>
      </c>
      <c r="J1112" s="3" t="n">
        <f aca="false">MONTH(E1112)</f>
        <v>4</v>
      </c>
      <c r="K1112" s="3" t="n">
        <f aca="false">COUNTIFS($B$2:$B$4077,B1112,$C$2:$C$4077,C1112,$I$2:$I$4077,I1112)</f>
        <v>2</v>
      </c>
      <c r="L1112" s="3" t="n">
        <f aca="false">IF(COUNTIFS($B$2:B1112,B1112,$C$2:C1112,C1112,$I$2:I1112,I1112)=1,1,0)</f>
        <v>1</v>
      </c>
      <c r="M1112" s="3" t="n">
        <f aca="false">IF(K1112&gt;=Parametri!$B$1,1,0)</f>
        <v>1</v>
      </c>
      <c r="N1112" s="3" t="n">
        <f aca="false">L1112*M1112</f>
        <v>1</v>
      </c>
    </row>
    <row r="1113" customFormat="false" ht="15" hidden="false" customHeight="false" outlineLevel="0" collapsed="false">
      <c r="A1113" s="0" t="s">
        <v>1944</v>
      </c>
      <c r="B1113" s="0" t="s">
        <v>79</v>
      </c>
      <c r="C1113" s="0" t="s">
        <v>1945</v>
      </c>
      <c r="D1113" s="0" t="s">
        <v>26</v>
      </c>
      <c r="E1113" s="2" t="n">
        <v>45300</v>
      </c>
      <c r="F1113" s="3" t="s">
        <v>27</v>
      </c>
      <c r="G1113" s="3" t="s">
        <v>21</v>
      </c>
      <c r="H1113" s="3" t="s">
        <v>48</v>
      </c>
      <c r="I1113" s="3" t="n">
        <f aca="false">YEAR(E1113)</f>
        <v>2024</v>
      </c>
      <c r="J1113" s="3" t="n">
        <f aca="false">MONTH(E1113)</f>
        <v>1</v>
      </c>
      <c r="K1113" s="3" t="n">
        <f aca="false">COUNTIFS($B$2:$B$4077,B1113,$C$2:$C$4077,C1113,$I$2:$I$4077,I1113)</f>
        <v>3</v>
      </c>
      <c r="L1113" s="3" t="n">
        <f aca="false">IF(COUNTIFS($B$2:B1113,B1113,$C$2:C1113,C1113,$I$2:I1113,I1113)=1,1,0)</f>
        <v>1</v>
      </c>
      <c r="M1113" s="3" t="n">
        <f aca="false">IF(K1113&gt;=Parametri!$B$1,1,0)</f>
        <v>1</v>
      </c>
      <c r="N1113" s="3" t="n">
        <f aca="false">L1113*M1113</f>
        <v>1</v>
      </c>
    </row>
    <row r="1114" customFormat="false" ht="15" hidden="false" customHeight="false" outlineLevel="0" collapsed="false">
      <c r="A1114" s="0" t="s">
        <v>1946</v>
      </c>
      <c r="B1114" s="0" t="s">
        <v>68</v>
      </c>
      <c r="C1114" s="0" t="s">
        <v>1947</v>
      </c>
      <c r="D1114" s="0" t="s">
        <v>77</v>
      </c>
      <c r="E1114" s="2" t="n">
        <v>45530</v>
      </c>
      <c r="F1114" s="3" t="s">
        <v>20</v>
      </c>
      <c r="G1114" s="3" t="s">
        <v>28</v>
      </c>
      <c r="H1114" s="3" t="s">
        <v>48</v>
      </c>
      <c r="I1114" s="3" t="n">
        <f aca="false">YEAR(E1114)</f>
        <v>2024</v>
      </c>
      <c r="J1114" s="3" t="n">
        <f aca="false">MONTH(E1114)</f>
        <v>8</v>
      </c>
      <c r="K1114" s="3" t="n">
        <f aca="false">COUNTIFS($B$2:$B$4077,B1114,$C$2:$C$4077,C1114,$I$2:$I$4077,I1114)</f>
        <v>1</v>
      </c>
      <c r="L1114" s="3" t="n">
        <f aca="false">IF(COUNTIFS($B$2:B1114,B1114,$C$2:C1114,C1114,$I$2:I1114,I1114)=1,1,0)</f>
        <v>1</v>
      </c>
      <c r="M1114" s="3" t="n">
        <f aca="false">IF(K1114&gt;=Parametri!$B$1,1,0)</f>
        <v>0</v>
      </c>
      <c r="N1114" s="3" t="n">
        <f aca="false">L1114*M1114</f>
        <v>0</v>
      </c>
    </row>
    <row r="1115" customFormat="false" ht="15" hidden="false" customHeight="false" outlineLevel="0" collapsed="false">
      <c r="A1115" s="0" t="s">
        <v>1948</v>
      </c>
      <c r="B1115" s="0" t="s">
        <v>31</v>
      </c>
      <c r="C1115" s="0" t="s">
        <v>1486</v>
      </c>
      <c r="D1115" s="0" t="s">
        <v>66</v>
      </c>
      <c r="E1115" s="2" t="n">
        <v>45997</v>
      </c>
      <c r="F1115" s="3" t="s">
        <v>20</v>
      </c>
      <c r="G1115" s="3" t="s">
        <v>72</v>
      </c>
      <c r="H1115" s="3" t="s">
        <v>29</v>
      </c>
      <c r="I1115" s="3" t="n">
        <f aca="false">YEAR(E1115)</f>
        <v>2025</v>
      </c>
      <c r="J1115" s="3" t="n">
        <f aca="false">MONTH(E1115)</f>
        <v>12</v>
      </c>
      <c r="K1115" s="3" t="n">
        <f aca="false">COUNTIFS($B$2:$B$4077,B1115,$C$2:$C$4077,C1115,$I$2:$I$4077,I1115)</f>
        <v>1</v>
      </c>
      <c r="L1115" s="3" t="n">
        <f aca="false">IF(COUNTIFS($B$2:B1115,B1115,$C$2:C1115,C1115,$I$2:I1115,I1115)=1,1,0)</f>
        <v>1</v>
      </c>
      <c r="M1115" s="3" t="n">
        <f aca="false">IF(K1115&gt;=Parametri!$B$1,1,0)</f>
        <v>0</v>
      </c>
      <c r="N1115" s="3" t="n">
        <f aca="false">L1115*M1115</f>
        <v>0</v>
      </c>
    </row>
    <row r="1116" customFormat="false" ht="15" hidden="false" customHeight="false" outlineLevel="0" collapsed="false">
      <c r="A1116" s="0" t="s">
        <v>1949</v>
      </c>
      <c r="B1116" s="0" t="s">
        <v>68</v>
      </c>
      <c r="C1116" s="0" t="s">
        <v>106</v>
      </c>
      <c r="D1116" s="0" t="s">
        <v>54</v>
      </c>
      <c r="E1116" s="2" t="n">
        <v>46235</v>
      </c>
      <c r="F1116" s="3" t="s">
        <v>20</v>
      </c>
      <c r="G1116" s="3" t="s">
        <v>39</v>
      </c>
      <c r="H1116" s="3" t="s">
        <v>48</v>
      </c>
      <c r="I1116" s="3" t="n">
        <f aca="false">YEAR(E1116)</f>
        <v>2026</v>
      </c>
      <c r="J1116" s="3" t="n">
        <f aca="false">MONTH(E1116)</f>
        <v>8</v>
      </c>
      <c r="K1116" s="3" t="n">
        <f aca="false">COUNTIFS($B$2:$B$4077,B1116,$C$2:$C$4077,C1116,$I$2:$I$4077,I1116)</f>
        <v>4</v>
      </c>
      <c r="L1116" s="3" t="n">
        <f aca="false">IF(COUNTIFS($B$2:B1116,B1116,$C$2:C1116,C1116,$I$2:I1116,I1116)=1,1,0)</f>
        <v>0</v>
      </c>
      <c r="M1116" s="3" t="n">
        <f aca="false">IF(K1116&gt;=Parametri!$B$1,1,0)</f>
        <v>1</v>
      </c>
      <c r="N1116" s="3" t="n">
        <f aca="false">L1116*M1116</f>
        <v>0</v>
      </c>
    </row>
    <row r="1117" customFormat="false" ht="15" hidden="false" customHeight="false" outlineLevel="0" collapsed="false">
      <c r="A1117" s="0" t="s">
        <v>1950</v>
      </c>
      <c r="B1117" s="0" t="s">
        <v>31</v>
      </c>
      <c r="C1117" s="0" t="s">
        <v>1062</v>
      </c>
      <c r="D1117" s="0" t="s">
        <v>38</v>
      </c>
      <c r="E1117" s="2" t="n">
        <v>45837</v>
      </c>
      <c r="F1117" s="3" t="s">
        <v>20</v>
      </c>
      <c r="G1117" s="3" t="s">
        <v>43</v>
      </c>
      <c r="H1117" s="3" t="s">
        <v>44</v>
      </c>
      <c r="I1117" s="3" t="n">
        <f aca="false">YEAR(E1117)</f>
        <v>2025</v>
      </c>
      <c r="J1117" s="3" t="n">
        <f aca="false">MONTH(E1117)</f>
        <v>6</v>
      </c>
      <c r="K1117" s="3" t="n">
        <f aca="false">COUNTIFS($B$2:$B$4077,B1117,$C$2:$C$4077,C1117,$I$2:$I$4077,I1117)</f>
        <v>2</v>
      </c>
      <c r="L1117" s="3" t="n">
        <f aca="false">IF(COUNTIFS($B$2:B1117,B1117,$C$2:C1117,C1117,$I$2:I1117,I1117)=1,1,0)</f>
        <v>1</v>
      </c>
      <c r="M1117" s="3" t="n">
        <f aca="false">IF(K1117&gt;=Parametri!$B$1,1,0)</f>
        <v>1</v>
      </c>
      <c r="N1117" s="3" t="n">
        <f aca="false">L1117*M1117</f>
        <v>1</v>
      </c>
    </row>
    <row r="1118" customFormat="false" ht="15" hidden="false" customHeight="false" outlineLevel="0" collapsed="false">
      <c r="A1118" s="0" t="s">
        <v>1951</v>
      </c>
      <c r="B1118" s="0" t="s">
        <v>50</v>
      </c>
      <c r="C1118" s="0" t="s">
        <v>891</v>
      </c>
      <c r="D1118" s="0" t="s">
        <v>38</v>
      </c>
      <c r="E1118" s="2" t="n">
        <v>45995</v>
      </c>
      <c r="F1118" s="3" t="s">
        <v>20</v>
      </c>
      <c r="G1118" s="3" t="s">
        <v>89</v>
      </c>
      <c r="H1118" s="3" t="s">
        <v>29</v>
      </c>
      <c r="I1118" s="3" t="n">
        <f aca="false">YEAR(E1118)</f>
        <v>2025</v>
      </c>
      <c r="J1118" s="3" t="n">
        <f aca="false">MONTH(E1118)</f>
        <v>12</v>
      </c>
      <c r="K1118" s="3" t="n">
        <f aca="false">COUNTIFS($B$2:$B$4077,B1118,$C$2:$C$4077,C1118,$I$2:$I$4077,I1118)</f>
        <v>2</v>
      </c>
      <c r="L1118" s="3" t="n">
        <f aca="false">IF(COUNTIFS($B$2:B1118,B1118,$C$2:C1118,C1118,$I$2:I1118,I1118)=1,1,0)</f>
        <v>1</v>
      </c>
      <c r="M1118" s="3" t="n">
        <f aca="false">IF(K1118&gt;=Parametri!$B$1,1,0)</f>
        <v>1</v>
      </c>
      <c r="N1118" s="3" t="n">
        <f aca="false">L1118*M1118</f>
        <v>1</v>
      </c>
    </row>
    <row r="1119" customFormat="false" ht="15" hidden="false" customHeight="false" outlineLevel="0" collapsed="false">
      <c r="A1119" s="0" t="s">
        <v>1952</v>
      </c>
      <c r="B1119" s="0" t="s">
        <v>31</v>
      </c>
      <c r="C1119" s="0" t="s">
        <v>712</v>
      </c>
      <c r="D1119" s="0" t="s">
        <v>77</v>
      </c>
      <c r="E1119" s="2" t="n">
        <v>45804</v>
      </c>
      <c r="F1119" s="3" t="s">
        <v>20</v>
      </c>
      <c r="G1119" s="3" t="s">
        <v>104</v>
      </c>
      <c r="H1119" s="3" t="s">
        <v>44</v>
      </c>
      <c r="I1119" s="3" t="n">
        <f aca="false">YEAR(E1119)</f>
        <v>2025</v>
      </c>
      <c r="J1119" s="3" t="n">
        <f aca="false">MONTH(E1119)</f>
        <v>5</v>
      </c>
      <c r="K1119" s="3" t="n">
        <f aca="false">COUNTIFS($B$2:$B$4077,B1119,$C$2:$C$4077,C1119,$I$2:$I$4077,I1119)</f>
        <v>6</v>
      </c>
      <c r="L1119" s="3" t="n">
        <f aca="false">IF(COUNTIFS($B$2:B1119,B1119,$C$2:C1119,C1119,$I$2:I1119,I1119)=1,1,0)</f>
        <v>0</v>
      </c>
      <c r="M1119" s="3" t="n">
        <f aca="false">IF(K1119&gt;=Parametri!$B$1,1,0)</f>
        <v>1</v>
      </c>
      <c r="N1119" s="3" t="n">
        <f aca="false">L1119*M1119</f>
        <v>0</v>
      </c>
    </row>
    <row r="1120" customFormat="false" ht="15" hidden="false" customHeight="false" outlineLevel="0" collapsed="false">
      <c r="A1120" s="0" t="s">
        <v>1953</v>
      </c>
      <c r="B1120" s="0" t="s">
        <v>24</v>
      </c>
      <c r="C1120" s="0" t="s">
        <v>991</v>
      </c>
      <c r="D1120" s="0" t="s">
        <v>38</v>
      </c>
      <c r="E1120" s="2" t="n">
        <v>46130</v>
      </c>
      <c r="F1120" s="3" t="s">
        <v>20</v>
      </c>
      <c r="G1120" s="3" t="s">
        <v>55</v>
      </c>
      <c r="H1120" s="3" t="s">
        <v>22</v>
      </c>
      <c r="I1120" s="3" t="n">
        <f aca="false">YEAR(E1120)</f>
        <v>2026</v>
      </c>
      <c r="J1120" s="3" t="n">
        <f aca="false">MONTH(E1120)</f>
        <v>4</v>
      </c>
      <c r="K1120" s="3" t="n">
        <f aca="false">COUNTIFS($B$2:$B$4077,B1120,$C$2:$C$4077,C1120,$I$2:$I$4077,I1120)</f>
        <v>2</v>
      </c>
      <c r="L1120" s="3" t="n">
        <f aca="false">IF(COUNTIFS($B$2:B1120,B1120,$C$2:C1120,C1120,$I$2:I1120,I1120)=1,1,0)</f>
        <v>0</v>
      </c>
      <c r="M1120" s="3" t="n">
        <f aca="false">IF(K1120&gt;=Parametri!$B$1,1,0)</f>
        <v>1</v>
      </c>
      <c r="N1120" s="3" t="n">
        <f aca="false">L1120*M1120</f>
        <v>0</v>
      </c>
    </row>
    <row r="1121" customFormat="false" ht="15" hidden="false" customHeight="false" outlineLevel="0" collapsed="false">
      <c r="A1121" s="0" t="s">
        <v>1954</v>
      </c>
      <c r="B1121" s="0" t="s">
        <v>79</v>
      </c>
      <c r="C1121" s="0" t="s">
        <v>1144</v>
      </c>
      <c r="D1121" s="0" t="s">
        <v>26</v>
      </c>
      <c r="E1121" s="2" t="n">
        <v>45376</v>
      </c>
      <c r="F1121" s="3" t="s">
        <v>20</v>
      </c>
      <c r="G1121" s="3" t="s">
        <v>35</v>
      </c>
      <c r="H1121" s="3" t="s">
        <v>44</v>
      </c>
      <c r="I1121" s="3" t="n">
        <f aca="false">YEAR(E1121)</f>
        <v>2024</v>
      </c>
      <c r="J1121" s="3" t="n">
        <f aca="false">MONTH(E1121)</f>
        <v>3</v>
      </c>
      <c r="K1121" s="3" t="n">
        <f aca="false">COUNTIFS($B$2:$B$4077,B1121,$C$2:$C$4077,C1121,$I$2:$I$4077,I1121)</f>
        <v>2</v>
      </c>
      <c r="L1121" s="3" t="n">
        <f aca="false">IF(COUNTIFS($B$2:B1121,B1121,$C$2:C1121,C1121,$I$2:I1121,I1121)=1,1,0)</f>
        <v>1</v>
      </c>
      <c r="M1121" s="3" t="n">
        <f aca="false">IF(K1121&gt;=Parametri!$B$1,1,0)</f>
        <v>1</v>
      </c>
      <c r="N1121" s="3" t="n">
        <f aca="false">L1121*M1121</f>
        <v>1</v>
      </c>
    </row>
    <row r="1122" customFormat="false" ht="15" hidden="false" customHeight="false" outlineLevel="0" collapsed="false">
      <c r="A1122" s="0" t="s">
        <v>1955</v>
      </c>
      <c r="B1122" s="0" t="s">
        <v>31</v>
      </c>
      <c r="C1122" s="0" t="s">
        <v>712</v>
      </c>
      <c r="D1122" s="0" t="s">
        <v>54</v>
      </c>
      <c r="E1122" s="2" t="n">
        <v>45434</v>
      </c>
      <c r="F1122" s="3" t="s">
        <v>20</v>
      </c>
      <c r="G1122" s="3" t="s">
        <v>35</v>
      </c>
      <c r="H1122" s="3" t="s">
        <v>44</v>
      </c>
      <c r="I1122" s="3" t="n">
        <f aca="false">YEAR(E1122)</f>
        <v>2024</v>
      </c>
      <c r="J1122" s="3" t="n">
        <f aca="false">MONTH(E1122)</f>
        <v>5</v>
      </c>
      <c r="K1122" s="3" t="n">
        <f aca="false">COUNTIFS($B$2:$B$4077,B1122,$C$2:$C$4077,C1122,$I$2:$I$4077,I1122)</f>
        <v>5</v>
      </c>
      <c r="L1122" s="3" t="n">
        <f aca="false">IF(COUNTIFS($B$2:B1122,B1122,$C$2:C1122,C1122,$I$2:I1122,I1122)=1,1,0)</f>
        <v>0</v>
      </c>
      <c r="M1122" s="3" t="n">
        <f aca="false">IF(K1122&gt;=Parametri!$B$1,1,0)</f>
        <v>1</v>
      </c>
      <c r="N1122" s="3" t="n">
        <f aca="false">L1122*M1122</f>
        <v>0</v>
      </c>
    </row>
    <row r="1123" customFormat="false" ht="15" hidden="false" customHeight="false" outlineLevel="0" collapsed="false">
      <c r="A1123" s="0" t="s">
        <v>1956</v>
      </c>
      <c r="B1123" s="0" t="s">
        <v>124</v>
      </c>
      <c r="C1123" s="0" t="s">
        <v>1957</v>
      </c>
      <c r="D1123" s="0" t="s">
        <v>19</v>
      </c>
      <c r="E1123" s="2" t="n">
        <v>45993</v>
      </c>
      <c r="F1123" s="3" t="s">
        <v>27</v>
      </c>
      <c r="G1123" s="3" t="s">
        <v>28</v>
      </c>
      <c r="H1123" s="3" t="s">
        <v>44</v>
      </c>
      <c r="I1123" s="3" t="n">
        <f aca="false">YEAR(E1123)</f>
        <v>2025</v>
      </c>
      <c r="J1123" s="3" t="n">
        <f aca="false">MONTH(E1123)</f>
        <v>12</v>
      </c>
      <c r="K1123" s="3" t="n">
        <f aca="false">COUNTIFS($B$2:$B$4077,B1123,$C$2:$C$4077,C1123,$I$2:$I$4077,I1123)</f>
        <v>1</v>
      </c>
      <c r="L1123" s="3" t="n">
        <f aca="false">IF(COUNTIFS($B$2:B1123,B1123,$C$2:C1123,C1123,$I$2:I1123,I1123)=1,1,0)</f>
        <v>1</v>
      </c>
      <c r="M1123" s="3" t="n">
        <f aca="false">IF(K1123&gt;=Parametri!$B$1,1,0)</f>
        <v>0</v>
      </c>
      <c r="N1123" s="3" t="n">
        <f aca="false">L1123*M1123</f>
        <v>0</v>
      </c>
    </row>
    <row r="1124" customFormat="false" ht="15" hidden="false" customHeight="false" outlineLevel="0" collapsed="false">
      <c r="A1124" s="0" t="s">
        <v>1958</v>
      </c>
      <c r="B1124" s="0" t="s">
        <v>124</v>
      </c>
      <c r="C1124" s="0" t="s">
        <v>535</v>
      </c>
      <c r="D1124" s="0" t="s">
        <v>63</v>
      </c>
      <c r="E1124" s="2" t="n">
        <v>46057</v>
      </c>
      <c r="F1124" s="3" t="s">
        <v>27</v>
      </c>
      <c r="G1124" s="3" t="s">
        <v>72</v>
      </c>
      <c r="H1124" s="3" t="s">
        <v>48</v>
      </c>
      <c r="I1124" s="3" t="n">
        <f aca="false">YEAR(E1124)</f>
        <v>2026</v>
      </c>
      <c r="J1124" s="3" t="n">
        <f aca="false">MONTH(E1124)</f>
        <v>2</v>
      </c>
      <c r="K1124" s="3" t="n">
        <f aca="false">COUNTIFS($B$2:$B$4077,B1124,$C$2:$C$4077,C1124,$I$2:$I$4077,I1124)</f>
        <v>1</v>
      </c>
      <c r="L1124" s="3" t="n">
        <f aca="false">IF(COUNTIFS($B$2:B1124,B1124,$C$2:C1124,C1124,$I$2:I1124,I1124)=1,1,0)</f>
        <v>1</v>
      </c>
      <c r="M1124" s="3" t="n">
        <f aca="false">IF(K1124&gt;=Parametri!$B$1,1,0)</f>
        <v>0</v>
      </c>
      <c r="N1124" s="3" t="n">
        <f aca="false">L1124*M1124</f>
        <v>0</v>
      </c>
    </row>
    <row r="1125" customFormat="false" ht="15" hidden="false" customHeight="false" outlineLevel="0" collapsed="false">
      <c r="A1125" s="0" t="s">
        <v>1959</v>
      </c>
      <c r="B1125" s="0" t="s">
        <v>124</v>
      </c>
      <c r="C1125" s="0" t="s">
        <v>1960</v>
      </c>
      <c r="D1125" s="0" t="s">
        <v>38</v>
      </c>
      <c r="E1125" s="2" t="n">
        <v>45876</v>
      </c>
      <c r="F1125" s="3" t="s">
        <v>27</v>
      </c>
      <c r="G1125" s="3" t="s">
        <v>35</v>
      </c>
      <c r="H1125" s="3" t="s">
        <v>44</v>
      </c>
      <c r="I1125" s="3" t="n">
        <f aca="false">YEAR(E1125)</f>
        <v>2025</v>
      </c>
      <c r="J1125" s="3" t="n">
        <f aca="false">MONTH(E1125)</f>
        <v>8</v>
      </c>
      <c r="K1125" s="3" t="n">
        <f aca="false">COUNTIFS($B$2:$B$4077,B1125,$C$2:$C$4077,C1125,$I$2:$I$4077,I1125)</f>
        <v>2</v>
      </c>
      <c r="L1125" s="3" t="n">
        <f aca="false">IF(COUNTIFS($B$2:B1125,B1125,$C$2:C1125,C1125,$I$2:I1125,I1125)=1,1,0)</f>
        <v>1</v>
      </c>
      <c r="M1125" s="3" t="n">
        <f aca="false">IF(K1125&gt;=Parametri!$B$1,1,0)</f>
        <v>1</v>
      </c>
      <c r="N1125" s="3" t="n">
        <f aca="false">L1125*M1125</f>
        <v>1</v>
      </c>
    </row>
    <row r="1126" customFormat="false" ht="15" hidden="false" customHeight="false" outlineLevel="0" collapsed="false">
      <c r="A1126" s="0" t="s">
        <v>1961</v>
      </c>
      <c r="B1126" s="0" t="s">
        <v>17</v>
      </c>
      <c r="C1126" s="0" t="s">
        <v>481</v>
      </c>
      <c r="D1126" s="0" t="s">
        <v>54</v>
      </c>
      <c r="E1126" s="2" t="n">
        <v>45597</v>
      </c>
      <c r="F1126" s="3" t="s">
        <v>20</v>
      </c>
      <c r="G1126" s="3" t="s">
        <v>43</v>
      </c>
      <c r="H1126" s="3" t="s">
        <v>29</v>
      </c>
      <c r="I1126" s="3" t="n">
        <f aca="false">YEAR(E1126)</f>
        <v>2024</v>
      </c>
      <c r="J1126" s="3" t="n">
        <f aca="false">MONTH(E1126)</f>
        <v>11</v>
      </c>
      <c r="K1126" s="3" t="n">
        <f aca="false">COUNTIFS($B$2:$B$4077,B1126,$C$2:$C$4077,C1126,$I$2:$I$4077,I1126)</f>
        <v>3</v>
      </c>
      <c r="L1126" s="3" t="n">
        <f aca="false">IF(COUNTIFS($B$2:B1126,B1126,$C$2:C1126,C1126,$I$2:I1126,I1126)=1,1,0)</f>
        <v>0</v>
      </c>
      <c r="M1126" s="3" t="n">
        <f aca="false">IF(K1126&gt;=Parametri!$B$1,1,0)</f>
        <v>1</v>
      </c>
      <c r="N1126" s="3" t="n">
        <f aca="false">L1126*M1126</f>
        <v>0</v>
      </c>
    </row>
    <row r="1127" customFormat="false" ht="15" hidden="false" customHeight="false" outlineLevel="0" collapsed="false">
      <c r="A1127" s="0" t="s">
        <v>1962</v>
      </c>
      <c r="B1127" s="0" t="s">
        <v>68</v>
      </c>
      <c r="C1127" s="0" t="s">
        <v>243</v>
      </c>
      <c r="D1127" s="0" t="s">
        <v>77</v>
      </c>
      <c r="E1127" s="2" t="n">
        <v>46053</v>
      </c>
      <c r="F1127" s="3" t="s">
        <v>20</v>
      </c>
      <c r="G1127" s="3" t="s">
        <v>39</v>
      </c>
      <c r="H1127" s="3" t="s">
        <v>48</v>
      </c>
      <c r="I1127" s="3" t="n">
        <f aca="false">YEAR(E1127)</f>
        <v>2026</v>
      </c>
      <c r="J1127" s="3" t="n">
        <f aca="false">MONTH(E1127)</f>
        <v>1</v>
      </c>
      <c r="K1127" s="3" t="n">
        <f aca="false">COUNTIFS($B$2:$B$4077,B1127,$C$2:$C$4077,C1127,$I$2:$I$4077,I1127)</f>
        <v>3</v>
      </c>
      <c r="L1127" s="3" t="n">
        <f aca="false">IF(COUNTIFS($B$2:B1127,B1127,$C$2:C1127,C1127,$I$2:I1127,I1127)=1,1,0)</f>
        <v>1</v>
      </c>
      <c r="M1127" s="3" t="n">
        <f aca="false">IF(K1127&gt;=Parametri!$B$1,1,0)</f>
        <v>1</v>
      </c>
      <c r="N1127" s="3" t="n">
        <f aca="false">L1127*M1127</f>
        <v>1</v>
      </c>
    </row>
    <row r="1128" customFormat="false" ht="15" hidden="false" customHeight="false" outlineLevel="0" collapsed="false">
      <c r="A1128" s="0" t="s">
        <v>1963</v>
      </c>
      <c r="B1128" s="0" t="s">
        <v>46</v>
      </c>
      <c r="C1128" s="0" t="s">
        <v>1964</v>
      </c>
      <c r="D1128" s="0" t="s">
        <v>77</v>
      </c>
      <c r="E1128" s="2" t="n">
        <v>45389</v>
      </c>
      <c r="F1128" s="3" t="s">
        <v>20</v>
      </c>
      <c r="G1128" s="3" t="s">
        <v>35</v>
      </c>
      <c r="H1128" s="3" t="s">
        <v>22</v>
      </c>
      <c r="I1128" s="3" t="n">
        <f aca="false">YEAR(E1128)</f>
        <v>2024</v>
      </c>
      <c r="J1128" s="3" t="n">
        <f aca="false">MONTH(E1128)</f>
        <v>4</v>
      </c>
      <c r="K1128" s="3" t="n">
        <f aca="false">COUNTIFS($B$2:$B$4077,B1128,$C$2:$C$4077,C1128,$I$2:$I$4077,I1128)</f>
        <v>1</v>
      </c>
      <c r="L1128" s="3" t="n">
        <f aca="false">IF(COUNTIFS($B$2:B1128,B1128,$C$2:C1128,C1128,$I$2:I1128,I1128)=1,1,0)</f>
        <v>1</v>
      </c>
      <c r="M1128" s="3" t="n">
        <f aca="false">IF(K1128&gt;=Parametri!$B$1,1,0)</f>
        <v>0</v>
      </c>
      <c r="N1128" s="3" t="n">
        <f aca="false">L1128*M1128</f>
        <v>0</v>
      </c>
    </row>
    <row r="1129" customFormat="false" ht="15" hidden="false" customHeight="false" outlineLevel="0" collapsed="false">
      <c r="A1129" s="0" t="s">
        <v>1965</v>
      </c>
      <c r="B1129" s="0" t="s">
        <v>68</v>
      </c>
      <c r="C1129" s="0" t="s">
        <v>1966</v>
      </c>
      <c r="D1129" s="0" t="s">
        <v>63</v>
      </c>
      <c r="E1129" s="2" t="n">
        <v>46140</v>
      </c>
      <c r="F1129" s="3" t="s">
        <v>20</v>
      </c>
      <c r="G1129" s="3" t="s">
        <v>21</v>
      </c>
      <c r="H1129" s="3" t="s">
        <v>29</v>
      </c>
      <c r="I1129" s="3" t="n">
        <f aca="false">YEAR(E1129)</f>
        <v>2026</v>
      </c>
      <c r="J1129" s="3" t="n">
        <f aca="false">MONTH(E1129)</f>
        <v>4</v>
      </c>
      <c r="K1129" s="3" t="n">
        <f aca="false">COUNTIFS($B$2:$B$4077,B1129,$C$2:$C$4077,C1129,$I$2:$I$4077,I1129)</f>
        <v>1</v>
      </c>
      <c r="L1129" s="3" t="n">
        <f aca="false">IF(COUNTIFS($B$2:B1129,B1129,$C$2:C1129,C1129,$I$2:I1129,I1129)=1,1,0)</f>
        <v>1</v>
      </c>
      <c r="M1129" s="3" t="n">
        <f aca="false">IF(K1129&gt;=Parametri!$B$1,1,0)</f>
        <v>0</v>
      </c>
      <c r="N1129" s="3" t="n">
        <f aca="false">L1129*M1129</f>
        <v>0</v>
      </c>
    </row>
    <row r="1130" customFormat="false" ht="15" hidden="false" customHeight="false" outlineLevel="0" collapsed="false">
      <c r="A1130" s="0" t="s">
        <v>1967</v>
      </c>
      <c r="B1130" s="0" t="s">
        <v>124</v>
      </c>
      <c r="C1130" s="0" t="s">
        <v>1279</v>
      </c>
      <c r="D1130" s="0" t="s">
        <v>66</v>
      </c>
      <c r="E1130" s="2" t="n">
        <v>46205</v>
      </c>
      <c r="F1130" s="3" t="s">
        <v>20</v>
      </c>
      <c r="G1130" s="3" t="s">
        <v>39</v>
      </c>
      <c r="H1130" s="3" t="s">
        <v>48</v>
      </c>
      <c r="I1130" s="3" t="n">
        <f aca="false">YEAR(E1130)</f>
        <v>2026</v>
      </c>
      <c r="J1130" s="3" t="n">
        <f aca="false">MONTH(E1130)</f>
        <v>7</v>
      </c>
      <c r="K1130" s="3" t="n">
        <f aca="false">COUNTIFS($B$2:$B$4077,B1130,$C$2:$C$4077,C1130,$I$2:$I$4077,I1130)</f>
        <v>2</v>
      </c>
      <c r="L1130" s="3" t="n">
        <f aca="false">IF(COUNTIFS($B$2:B1130,B1130,$C$2:C1130,C1130,$I$2:I1130,I1130)=1,1,0)</f>
        <v>1</v>
      </c>
      <c r="M1130" s="3" t="n">
        <f aca="false">IF(K1130&gt;=Parametri!$B$1,1,0)</f>
        <v>1</v>
      </c>
      <c r="N1130" s="3" t="n">
        <f aca="false">L1130*M1130</f>
        <v>1</v>
      </c>
    </row>
    <row r="1131" customFormat="false" ht="15" hidden="false" customHeight="false" outlineLevel="0" collapsed="false">
      <c r="A1131" s="0" t="s">
        <v>1968</v>
      </c>
      <c r="B1131" s="0" t="s">
        <v>68</v>
      </c>
      <c r="C1131" s="0" t="s">
        <v>693</v>
      </c>
      <c r="D1131" s="0" t="s">
        <v>38</v>
      </c>
      <c r="E1131" s="2" t="n">
        <v>46016</v>
      </c>
      <c r="F1131" s="3" t="s">
        <v>20</v>
      </c>
      <c r="G1131" s="3" t="s">
        <v>28</v>
      </c>
      <c r="H1131" s="3" t="s">
        <v>44</v>
      </c>
      <c r="I1131" s="3" t="n">
        <f aca="false">YEAR(E1131)</f>
        <v>2025</v>
      </c>
      <c r="J1131" s="3" t="n">
        <f aca="false">MONTH(E1131)</f>
        <v>12</v>
      </c>
      <c r="K1131" s="3" t="n">
        <f aca="false">COUNTIFS($B$2:$B$4077,B1131,$C$2:$C$4077,C1131,$I$2:$I$4077,I1131)</f>
        <v>3</v>
      </c>
      <c r="L1131" s="3" t="n">
        <f aca="false">IF(COUNTIFS($B$2:B1131,B1131,$C$2:C1131,C1131,$I$2:I1131,I1131)=1,1,0)</f>
        <v>1</v>
      </c>
      <c r="M1131" s="3" t="n">
        <f aca="false">IF(K1131&gt;=Parametri!$B$1,1,0)</f>
        <v>1</v>
      </c>
      <c r="N1131" s="3" t="n">
        <f aca="false">L1131*M1131</f>
        <v>1</v>
      </c>
    </row>
    <row r="1132" customFormat="false" ht="15" hidden="false" customHeight="false" outlineLevel="0" collapsed="false">
      <c r="A1132" s="0" t="s">
        <v>1969</v>
      </c>
      <c r="B1132" s="0" t="s">
        <v>57</v>
      </c>
      <c r="C1132" s="0" t="s">
        <v>1970</v>
      </c>
      <c r="D1132" s="0" t="s">
        <v>66</v>
      </c>
      <c r="E1132" s="2" t="n">
        <v>46191</v>
      </c>
      <c r="F1132" s="3" t="s">
        <v>20</v>
      </c>
      <c r="G1132" s="3" t="s">
        <v>89</v>
      </c>
      <c r="H1132" s="3" t="s">
        <v>44</v>
      </c>
      <c r="I1132" s="3" t="n">
        <f aca="false">YEAR(E1132)</f>
        <v>2026</v>
      </c>
      <c r="J1132" s="3" t="n">
        <f aca="false">MONTH(E1132)</f>
        <v>6</v>
      </c>
      <c r="K1132" s="3" t="n">
        <f aca="false">COUNTIFS($B$2:$B$4077,B1132,$C$2:$C$4077,C1132,$I$2:$I$4077,I1132)</f>
        <v>1</v>
      </c>
      <c r="L1132" s="3" t="n">
        <f aca="false">IF(COUNTIFS($B$2:B1132,B1132,$C$2:C1132,C1132,$I$2:I1132,I1132)=1,1,0)</f>
        <v>1</v>
      </c>
      <c r="M1132" s="3" t="n">
        <f aca="false">IF(K1132&gt;=Parametri!$B$1,1,0)</f>
        <v>0</v>
      </c>
      <c r="N1132" s="3" t="n">
        <f aca="false">L1132*M1132</f>
        <v>0</v>
      </c>
    </row>
    <row r="1133" customFormat="false" ht="15" hidden="false" customHeight="false" outlineLevel="0" collapsed="false">
      <c r="A1133" s="0" t="s">
        <v>1971</v>
      </c>
      <c r="B1133" s="0" t="s">
        <v>124</v>
      </c>
      <c r="C1133" s="0" t="s">
        <v>292</v>
      </c>
      <c r="D1133" s="0" t="s">
        <v>38</v>
      </c>
      <c r="E1133" s="2" t="n">
        <v>45809</v>
      </c>
      <c r="F1133" s="3" t="s">
        <v>20</v>
      </c>
      <c r="G1133" s="3" t="s">
        <v>21</v>
      </c>
      <c r="H1133" s="3" t="s">
        <v>48</v>
      </c>
      <c r="I1133" s="3" t="n">
        <f aca="false">YEAR(E1133)</f>
        <v>2025</v>
      </c>
      <c r="J1133" s="3" t="n">
        <f aca="false">MONTH(E1133)</f>
        <v>6</v>
      </c>
      <c r="K1133" s="3" t="n">
        <f aca="false">COUNTIFS($B$2:$B$4077,B1133,$C$2:$C$4077,C1133,$I$2:$I$4077,I1133)</f>
        <v>3</v>
      </c>
      <c r="L1133" s="3" t="n">
        <f aca="false">IF(COUNTIFS($B$2:B1133,B1133,$C$2:C1133,C1133,$I$2:I1133,I1133)=1,1,0)</f>
        <v>0</v>
      </c>
      <c r="M1133" s="3" t="n">
        <f aca="false">IF(K1133&gt;=Parametri!$B$1,1,0)</f>
        <v>1</v>
      </c>
      <c r="N1133" s="3" t="n">
        <f aca="false">L1133*M1133</f>
        <v>0</v>
      </c>
    </row>
    <row r="1134" customFormat="false" ht="15" hidden="false" customHeight="false" outlineLevel="0" collapsed="false">
      <c r="A1134" s="0" t="s">
        <v>1972</v>
      </c>
      <c r="B1134" s="0" t="s">
        <v>124</v>
      </c>
      <c r="C1134" s="0" t="s">
        <v>1932</v>
      </c>
      <c r="D1134" s="0" t="s">
        <v>63</v>
      </c>
      <c r="E1134" s="2" t="n">
        <v>45885</v>
      </c>
      <c r="F1134" s="3" t="s">
        <v>20</v>
      </c>
      <c r="G1134" s="3" t="s">
        <v>72</v>
      </c>
      <c r="H1134" s="3" t="s">
        <v>44</v>
      </c>
      <c r="I1134" s="3" t="n">
        <f aca="false">YEAR(E1134)</f>
        <v>2025</v>
      </c>
      <c r="J1134" s="3" t="n">
        <f aca="false">MONTH(E1134)</f>
        <v>8</v>
      </c>
      <c r="K1134" s="3" t="n">
        <f aca="false">COUNTIFS($B$2:$B$4077,B1134,$C$2:$C$4077,C1134,$I$2:$I$4077,I1134)</f>
        <v>3</v>
      </c>
      <c r="L1134" s="3" t="n">
        <f aca="false">IF(COUNTIFS($B$2:B1134,B1134,$C$2:C1134,C1134,$I$2:I1134,I1134)=1,1,0)</f>
        <v>1</v>
      </c>
      <c r="M1134" s="3" t="n">
        <f aca="false">IF(K1134&gt;=Parametri!$B$1,1,0)</f>
        <v>1</v>
      </c>
      <c r="N1134" s="3" t="n">
        <f aca="false">L1134*M1134</f>
        <v>1</v>
      </c>
    </row>
    <row r="1135" customFormat="false" ht="15" hidden="false" customHeight="false" outlineLevel="0" collapsed="false">
      <c r="A1135" s="0" t="s">
        <v>1973</v>
      </c>
      <c r="B1135" s="0" t="s">
        <v>31</v>
      </c>
      <c r="C1135" s="0" t="s">
        <v>1974</v>
      </c>
      <c r="D1135" s="0" t="s">
        <v>77</v>
      </c>
      <c r="E1135" s="2" t="n">
        <v>45910</v>
      </c>
      <c r="F1135" s="3" t="s">
        <v>20</v>
      </c>
      <c r="G1135" s="3" t="s">
        <v>43</v>
      </c>
      <c r="H1135" s="3" t="s">
        <v>48</v>
      </c>
      <c r="I1135" s="3" t="n">
        <f aca="false">YEAR(E1135)</f>
        <v>2025</v>
      </c>
      <c r="J1135" s="3" t="n">
        <f aca="false">MONTH(E1135)</f>
        <v>9</v>
      </c>
      <c r="K1135" s="3" t="n">
        <f aca="false">COUNTIFS($B$2:$B$4077,B1135,$C$2:$C$4077,C1135,$I$2:$I$4077,I1135)</f>
        <v>3</v>
      </c>
      <c r="L1135" s="3" t="n">
        <f aca="false">IF(COUNTIFS($B$2:B1135,B1135,$C$2:C1135,C1135,$I$2:I1135,I1135)=1,1,0)</f>
        <v>1</v>
      </c>
      <c r="M1135" s="3" t="n">
        <f aca="false">IF(K1135&gt;=Parametri!$B$1,1,0)</f>
        <v>1</v>
      </c>
      <c r="N1135" s="3" t="n">
        <f aca="false">L1135*M1135</f>
        <v>1</v>
      </c>
    </row>
    <row r="1136" customFormat="false" ht="15" hidden="false" customHeight="false" outlineLevel="0" collapsed="false">
      <c r="A1136" s="0" t="s">
        <v>1975</v>
      </c>
      <c r="B1136" s="0" t="s">
        <v>46</v>
      </c>
      <c r="C1136" s="0" t="s">
        <v>1883</v>
      </c>
      <c r="D1136" s="0" t="s">
        <v>26</v>
      </c>
      <c r="E1136" s="2" t="n">
        <v>45575</v>
      </c>
      <c r="F1136" s="3" t="s">
        <v>27</v>
      </c>
      <c r="G1136" s="3" t="s">
        <v>21</v>
      </c>
      <c r="H1136" s="3" t="s">
        <v>29</v>
      </c>
      <c r="I1136" s="3" t="n">
        <f aca="false">YEAR(E1136)</f>
        <v>2024</v>
      </c>
      <c r="J1136" s="3" t="n">
        <f aca="false">MONTH(E1136)</f>
        <v>10</v>
      </c>
      <c r="K1136" s="3" t="n">
        <f aca="false">COUNTIFS($B$2:$B$4077,B1136,$C$2:$C$4077,C1136,$I$2:$I$4077,I1136)</f>
        <v>1</v>
      </c>
      <c r="L1136" s="3" t="n">
        <f aca="false">IF(COUNTIFS($B$2:B1136,B1136,$C$2:C1136,C1136,$I$2:I1136,I1136)=1,1,0)</f>
        <v>1</v>
      </c>
      <c r="M1136" s="3" t="n">
        <f aca="false">IF(K1136&gt;=Parametri!$B$1,1,0)</f>
        <v>0</v>
      </c>
      <c r="N1136" s="3" t="n">
        <f aca="false">L1136*M1136</f>
        <v>0</v>
      </c>
    </row>
    <row r="1137" customFormat="false" ht="15" hidden="false" customHeight="false" outlineLevel="0" collapsed="false">
      <c r="A1137" s="0" t="s">
        <v>1976</v>
      </c>
      <c r="B1137" s="0" t="s">
        <v>41</v>
      </c>
      <c r="C1137" s="0" t="s">
        <v>1977</v>
      </c>
      <c r="D1137" s="0" t="s">
        <v>77</v>
      </c>
      <c r="E1137" s="2" t="n">
        <v>46136</v>
      </c>
      <c r="F1137" s="3" t="s">
        <v>20</v>
      </c>
      <c r="G1137" s="3" t="s">
        <v>35</v>
      </c>
      <c r="H1137" s="3" t="s">
        <v>44</v>
      </c>
      <c r="I1137" s="3" t="n">
        <f aca="false">YEAR(E1137)</f>
        <v>2026</v>
      </c>
      <c r="J1137" s="3" t="n">
        <f aca="false">MONTH(E1137)</f>
        <v>4</v>
      </c>
      <c r="K1137" s="3" t="n">
        <f aca="false">COUNTIFS($B$2:$B$4077,B1137,$C$2:$C$4077,C1137,$I$2:$I$4077,I1137)</f>
        <v>1</v>
      </c>
      <c r="L1137" s="3" t="n">
        <f aca="false">IF(COUNTIFS($B$2:B1137,B1137,$C$2:C1137,C1137,$I$2:I1137,I1137)=1,1,0)</f>
        <v>1</v>
      </c>
      <c r="M1137" s="3" t="n">
        <f aca="false">IF(K1137&gt;=Parametri!$B$1,1,0)</f>
        <v>0</v>
      </c>
      <c r="N1137" s="3" t="n">
        <f aca="false">L1137*M1137</f>
        <v>0</v>
      </c>
    </row>
    <row r="1138" customFormat="false" ht="15" hidden="false" customHeight="false" outlineLevel="0" collapsed="false">
      <c r="A1138" s="0" t="s">
        <v>1978</v>
      </c>
      <c r="B1138" s="0" t="s">
        <v>24</v>
      </c>
      <c r="C1138" s="0" t="s">
        <v>1979</v>
      </c>
      <c r="D1138" s="0" t="s">
        <v>66</v>
      </c>
      <c r="E1138" s="2" t="n">
        <v>45385</v>
      </c>
      <c r="F1138" s="3" t="s">
        <v>20</v>
      </c>
      <c r="G1138" s="3" t="s">
        <v>21</v>
      </c>
      <c r="H1138" s="3" t="s">
        <v>44</v>
      </c>
      <c r="I1138" s="3" t="n">
        <f aca="false">YEAR(E1138)</f>
        <v>2024</v>
      </c>
      <c r="J1138" s="3" t="n">
        <f aca="false">MONTH(E1138)</f>
        <v>4</v>
      </c>
      <c r="K1138" s="3" t="n">
        <f aca="false">COUNTIFS($B$2:$B$4077,B1138,$C$2:$C$4077,C1138,$I$2:$I$4077,I1138)</f>
        <v>1</v>
      </c>
      <c r="L1138" s="3" t="n">
        <f aca="false">IF(COUNTIFS($B$2:B1138,B1138,$C$2:C1138,C1138,$I$2:I1138,I1138)=1,1,0)</f>
        <v>1</v>
      </c>
      <c r="M1138" s="3" t="n">
        <f aca="false">IF(K1138&gt;=Parametri!$B$1,1,0)</f>
        <v>0</v>
      </c>
      <c r="N1138" s="3" t="n">
        <f aca="false">L1138*M1138</f>
        <v>0</v>
      </c>
    </row>
    <row r="1139" customFormat="false" ht="15" hidden="false" customHeight="false" outlineLevel="0" collapsed="false">
      <c r="A1139" s="0" t="s">
        <v>1980</v>
      </c>
      <c r="B1139" s="0" t="s">
        <v>46</v>
      </c>
      <c r="C1139" s="0" t="s">
        <v>1981</v>
      </c>
      <c r="D1139" s="0" t="s">
        <v>26</v>
      </c>
      <c r="E1139" s="2" t="n">
        <v>45820</v>
      </c>
      <c r="F1139" s="3" t="s">
        <v>27</v>
      </c>
      <c r="G1139" s="3" t="s">
        <v>35</v>
      </c>
      <c r="H1139" s="3" t="s">
        <v>48</v>
      </c>
      <c r="I1139" s="3" t="n">
        <f aca="false">YEAR(E1139)</f>
        <v>2025</v>
      </c>
      <c r="J1139" s="3" t="n">
        <f aca="false">MONTH(E1139)</f>
        <v>6</v>
      </c>
      <c r="K1139" s="3" t="n">
        <f aca="false">COUNTIFS($B$2:$B$4077,B1139,$C$2:$C$4077,C1139,$I$2:$I$4077,I1139)</f>
        <v>1</v>
      </c>
      <c r="L1139" s="3" t="n">
        <f aca="false">IF(COUNTIFS($B$2:B1139,B1139,$C$2:C1139,C1139,$I$2:I1139,I1139)=1,1,0)</f>
        <v>1</v>
      </c>
      <c r="M1139" s="3" t="n">
        <f aca="false">IF(K1139&gt;=Parametri!$B$1,1,0)</f>
        <v>0</v>
      </c>
      <c r="N1139" s="3" t="n">
        <f aca="false">L1139*M1139</f>
        <v>0</v>
      </c>
    </row>
    <row r="1140" customFormat="false" ht="15" hidden="false" customHeight="false" outlineLevel="0" collapsed="false">
      <c r="A1140" s="0" t="s">
        <v>1982</v>
      </c>
      <c r="B1140" s="0" t="s">
        <v>24</v>
      </c>
      <c r="C1140" s="0" t="s">
        <v>1983</v>
      </c>
      <c r="D1140" s="0" t="s">
        <v>19</v>
      </c>
      <c r="E1140" s="2" t="n">
        <v>45664</v>
      </c>
      <c r="F1140" s="3" t="s">
        <v>27</v>
      </c>
      <c r="G1140" s="3" t="s">
        <v>28</v>
      </c>
      <c r="H1140" s="3" t="s">
        <v>29</v>
      </c>
      <c r="I1140" s="3" t="n">
        <f aca="false">YEAR(E1140)</f>
        <v>2025</v>
      </c>
      <c r="J1140" s="3" t="n">
        <f aca="false">MONTH(E1140)</f>
        <v>1</v>
      </c>
      <c r="K1140" s="3" t="n">
        <f aca="false">COUNTIFS($B$2:$B$4077,B1140,$C$2:$C$4077,C1140,$I$2:$I$4077,I1140)</f>
        <v>2</v>
      </c>
      <c r="L1140" s="3" t="n">
        <f aca="false">IF(COUNTIFS($B$2:B1140,B1140,$C$2:C1140,C1140,$I$2:I1140,I1140)=1,1,0)</f>
        <v>1</v>
      </c>
      <c r="M1140" s="3" t="n">
        <f aca="false">IF(K1140&gt;=Parametri!$B$1,1,0)</f>
        <v>1</v>
      </c>
      <c r="N1140" s="3" t="n">
        <f aca="false">L1140*M1140</f>
        <v>1</v>
      </c>
    </row>
    <row r="1141" customFormat="false" ht="15" hidden="false" customHeight="false" outlineLevel="0" collapsed="false">
      <c r="A1141" s="0" t="s">
        <v>1984</v>
      </c>
      <c r="B1141" s="0" t="s">
        <v>24</v>
      </c>
      <c r="C1141" s="0" t="s">
        <v>1985</v>
      </c>
      <c r="D1141" s="0" t="s">
        <v>77</v>
      </c>
      <c r="E1141" s="2" t="n">
        <v>46033</v>
      </c>
      <c r="F1141" s="3" t="s">
        <v>27</v>
      </c>
      <c r="G1141" s="3" t="s">
        <v>28</v>
      </c>
      <c r="H1141" s="3" t="s">
        <v>44</v>
      </c>
      <c r="I1141" s="3" t="n">
        <f aca="false">YEAR(E1141)</f>
        <v>2026</v>
      </c>
      <c r="J1141" s="3" t="n">
        <f aca="false">MONTH(E1141)</f>
        <v>1</v>
      </c>
      <c r="K1141" s="3" t="n">
        <f aca="false">COUNTIFS($B$2:$B$4077,B1141,$C$2:$C$4077,C1141,$I$2:$I$4077,I1141)</f>
        <v>1</v>
      </c>
      <c r="L1141" s="3" t="n">
        <f aca="false">IF(COUNTIFS($B$2:B1141,B1141,$C$2:C1141,C1141,$I$2:I1141,I1141)=1,1,0)</f>
        <v>1</v>
      </c>
      <c r="M1141" s="3" t="n">
        <f aca="false">IF(K1141&gt;=Parametri!$B$1,1,0)</f>
        <v>0</v>
      </c>
      <c r="N1141" s="3" t="n">
        <f aca="false">L1141*M1141</f>
        <v>0</v>
      </c>
    </row>
    <row r="1142" customFormat="false" ht="15" hidden="false" customHeight="false" outlineLevel="0" collapsed="false">
      <c r="A1142" s="0" t="s">
        <v>1986</v>
      </c>
      <c r="B1142" s="0" t="s">
        <v>46</v>
      </c>
      <c r="C1142" s="0" t="s">
        <v>1987</v>
      </c>
      <c r="D1142" s="0" t="s">
        <v>26</v>
      </c>
      <c r="E1142" s="2" t="n">
        <v>45917</v>
      </c>
      <c r="F1142" s="3" t="s">
        <v>20</v>
      </c>
      <c r="G1142" s="3" t="s">
        <v>35</v>
      </c>
      <c r="H1142" s="3" t="s">
        <v>48</v>
      </c>
      <c r="I1142" s="3" t="n">
        <f aca="false">YEAR(E1142)</f>
        <v>2025</v>
      </c>
      <c r="J1142" s="3" t="n">
        <f aca="false">MONTH(E1142)</f>
        <v>9</v>
      </c>
      <c r="K1142" s="3" t="n">
        <f aca="false">COUNTIFS($B$2:$B$4077,B1142,$C$2:$C$4077,C1142,$I$2:$I$4077,I1142)</f>
        <v>1</v>
      </c>
      <c r="L1142" s="3" t="n">
        <f aca="false">IF(COUNTIFS($B$2:B1142,B1142,$C$2:C1142,C1142,$I$2:I1142,I1142)=1,1,0)</f>
        <v>1</v>
      </c>
      <c r="M1142" s="3" t="n">
        <f aca="false">IF(K1142&gt;=Parametri!$B$1,1,0)</f>
        <v>0</v>
      </c>
      <c r="N1142" s="3" t="n">
        <f aca="false">L1142*M1142</f>
        <v>0</v>
      </c>
    </row>
    <row r="1143" customFormat="false" ht="15" hidden="false" customHeight="false" outlineLevel="0" collapsed="false">
      <c r="A1143" s="0" t="s">
        <v>1988</v>
      </c>
      <c r="B1143" s="0" t="s">
        <v>68</v>
      </c>
      <c r="C1143" s="0" t="s">
        <v>1989</v>
      </c>
      <c r="D1143" s="0" t="s">
        <v>54</v>
      </c>
      <c r="E1143" s="2" t="n">
        <v>45608</v>
      </c>
      <c r="F1143" s="3" t="s">
        <v>34</v>
      </c>
      <c r="G1143" s="3" t="s">
        <v>72</v>
      </c>
      <c r="H1143" s="3" t="s">
        <v>29</v>
      </c>
      <c r="I1143" s="3" t="n">
        <f aca="false">YEAR(E1143)</f>
        <v>2024</v>
      </c>
      <c r="J1143" s="3" t="n">
        <f aca="false">MONTH(E1143)</f>
        <v>11</v>
      </c>
      <c r="K1143" s="3" t="n">
        <f aca="false">COUNTIFS($B$2:$B$4077,B1143,$C$2:$C$4077,C1143,$I$2:$I$4077,I1143)</f>
        <v>1</v>
      </c>
      <c r="L1143" s="3" t="n">
        <f aca="false">IF(COUNTIFS($B$2:B1143,B1143,$C$2:C1143,C1143,$I$2:I1143,I1143)=1,1,0)</f>
        <v>1</v>
      </c>
      <c r="M1143" s="3" t="n">
        <f aca="false">IF(K1143&gt;=Parametri!$B$1,1,0)</f>
        <v>0</v>
      </c>
      <c r="N1143" s="3" t="n">
        <f aca="false">L1143*M1143</f>
        <v>0</v>
      </c>
    </row>
    <row r="1144" customFormat="false" ht="15" hidden="false" customHeight="false" outlineLevel="0" collapsed="false">
      <c r="A1144" s="0" t="s">
        <v>1990</v>
      </c>
      <c r="B1144" s="0" t="s">
        <v>124</v>
      </c>
      <c r="C1144" s="0" t="s">
        <v>1991</v>
      </c>
      <c r="D1144" s="0" t="s">
        <v>38</v>
      </c>
      <c r="E1144" s="2" t="n">
        <v>46219</v>
      </c>
      <c r="F1144" s="3" t="s">
        <v>20</v>
      </c>
      <c r="G1144" s="3" t="s">
        <v>43</v>
      </c>
      <c r="H1144" s="3" t="s">
        <v>22</v>
      </c>
      <c r="I1144" s="3" t="n">
        <f aca="false">YEAR(E1144)</f>
        <v>2026</v>
      </c>
      <c r="J1144" s="3" t="n">
        <f aca="false">MONTH(E1144)</f>
        <v>7</v>
      </c>
      <c r="K1144" s="3" t="n">
        <f aca="false">COUNTIFS($B$2:$B$4077,B1144,$C$2:$C$4077,C1144,$I$2:$I$4077,I1144)</f>
        <v>1</v>
      </c>
      <c r="L1144" s="3" t="n">
        <f aca="false">IF(COUNTIFS($B$2:B1144,B1144,$C$2:C1144,C1144,$I$2:I1144,I1144)=1,1,0)</f>
        <v>1</v>
      </c>
      <c r="M1144" s="3" t="n">
        <f aca="false">IF(K1144&gt;=Parametri!$B$1,1,0)</f>
        <v>0</v>
      </c>
      <c r="N1144" s="3" t="n">
        <f aca="false">L1144*M1144</f>
        <v>0</v>
      </c>
    </row>
    <row r="1145" customFormat="false" ht="15" hidden="false" customHeight="false" outlineLevel="0" collapsed="false">
      <c r="A1145" s="0" t="s">
        <v>1992</v>
      </c>
      <c r="B1145" s="0" t="s">
        <v>124</v>
      </c>
      <c r="C1145" s="0" t="s">
        <v>1993</v>
      </c>
      <c r="D1145" s="0" t="s">
        <v>33</v>
      </c>
      <c r="E1145" s="2" t="n">
        <v>46029</v>
      </c>
      <c r="F1145" s="3" t="s">
        <v>34</v>
      </c>
      <c r="G1145" s="3" t="s">
        <v>35</v>
      </c>
      <c r="H1145" s="3" t="s">
        <v>48</v>
      </c>
      <c r="I1145" s="3" t="n">
        <f aca="false">YEAR(E1145)</f>
        <v>2026</v>
      </c>
      <c r="J1145" s="3" t="n">
        <f aca="false">MONTH(E1145)</f>
        <v>1</v>
      </c>
      <c r="K1145" s="3" t="n">
        <f aca="false">COUNTIFS($B$2:$B$4077,B1145,$C$2:$C$4077,C1145,$I$2:$I$4077,I1145)</f>
        <v>2</v>
      </c>
      <c r="L1145" s="3" t="n">
        <f aca="false">IF(COUNTIFS($B$2:B1145,B1145,$C$2:C1145,C1145,$I$2:I1145,I1145)=1,1,0)</f>
        <v>1</v>
      </c>
      <c r="M1145" s="3" t="n">
        <f aca="false">IF(K1145&gt;=Parametri!$B$1,1,0)</f>
        <v>1</v>
      </c>
      <c r="N1145" s="3" t="n">
        <f aca="false">L1145*M1145</f>
        <v>1</v>
      </c>
    </row>
    <row r="1146" customFormat="false" ht="15" hidden="false" customHeight="false" outlineLevel="0" collapsed="false">
      <c r="A1146" s="0" t="s">
        <v>1994</v>
      </c>
      <c r="B1146" s="0" t="s">
        <v>79</v>
      </c>
      <c r="C1146" s="0" t="s">
        <v>471</v>
      </c>
      <c r="D1146" s="0" t="s">
        <v>26</v>
      </c>
      <c r="E1146" s="2" t="n">
        <v>45860</v>
      </c>
      <c r="F1146" s="3" t="s">
        <v>34</v>
      </c>
      <c r="G1146" s="3" t="s">
        <v>55</v>
      </c>
      <c r="H1146" s="3" t="s">
        <v>48</v>
      </c>
      <c r="I1146" s="3" t="n">
        <f aca="false">YEAR(E1146)</f>
        <v>2025</v>
      </c>
      <c r="J1146" s="3" t="n">
        <f aca="false">MONTH(E1146)</f>
        <v>7</v>
      </c>
      <c r="K1146" s="3" t="n">
        <f aca="false">COUNTIFS($B$2:$B$4077,B1146,$C$2:$C$4077,C1146,$I$2:$I$4077,I1146)</f>
        <v>3</v>
      </c>
      <c r="L1146" s="3" t="n">
        <f aca="false">IF(COUNTIFS($B$2:B1146,B1146,$C$2:C1146,C1146,$I$2:I1146,I1146)=1,1,0)</f>
        <v>1</v>
      </c>
      <c r="M1146" s="3" t="n">
        <f aca="false">IF(K1146&gt;=Parametri!$B$1,1,0)</f>
        <v>1</v>
      </c>
      <c r="N1146" s="3" t="n">
        <f aca="false">L1146*M1146</f>
        <v>1</v>
      </c>
    </row>
    <row r="1147" customFormat="false" ht="15" hidden="false" customHeight="false" outlineLevel="0" collapsed="false">
      <c r="A1147" s="0" t="s">
        <v>1995</v>
      </c>
      <c r="B1147" s="0" t="s">
        <v>46</v>
      </c>
      <c r="C1147" s="0" t="s">
        <v>1996</v>
      </c>
      <c r="D1147" s="0" t="s">
        <v>54</v>
      </c>
      <c r="E1147" s="2" t="n">
        <v>45823</v>
      </c>
      <c r="F1147" s="3" t="s">
        <v>20</v>
      </c>
      <c r="G1147" s="3" t="s">
        <v>28</v>
      </c>
      <c r="H1147" s="3" t="s">
        <v>44</v>
      </c>
      <c r="I1147" s="3" t="n">
        <f aca="false">YEAR(E1147)</f>
        <v>2025</v>
      </c>
      <c r="J1147" s="3" t="n">
        <f aca="false">MONTH(E1147)</f>
        <v>6</v>
      </c>
      <c r="K1147" s="3" t="n">
        <f aca="false">COUNTIFS($B$2:$B$4077,B1147,$C$2:$C$4077,C1147,$I$2:$I$4077,I1147)</f>
        <v>1</v>
      </c>
      <c r="L1147" s="3" t="n">
        <f aca="false">IF(COUNTIFS($B$2:B1147,B1147,$C$2:C1147,C1147,$I$2:I1147,I1147)=1,1,0)</f>
        <v>1</v>
      </c>
      <c r="M1147" s="3" t="n">
        <f aca="false">IF(K1147&gt;=Parametri!$B$1,1,0)</f>
        <v>0</v>
      </c>
      <c r="N1147" s="3" t="n">
        <f aca="false">L1147*M1147</f>
        <v>0</v>
      </c>
    </row>
    <row r="1148" customFormat="false" ht="15" hidden="false" customHeight="false" outlineLevel="0" collapsed="false">
      <c r="A1148" s="0" t="s">
        <v>1997</v>
      </c>
      <c r="B1148" s="0" t="s">
        <v>41</v>
      </c>
      <c r="C1148" s="0" t="s">
        <v>1998</v>
      </c>
      <c r="D1148" s="0" t="s">
        <v>54</v>
      </c>
      <c r="E1148" s="2" t="n">
        <v>45936</v>
      </c>
      <c r="F1148" s="3" t="s">
        <v>20</v>
      </c>
      <c r="G1148" s="3" t="s">
        <v>72</v>
      </c>
      <c r="H1148" s="3" t="s">
        <v>44</v>
      </c>
      <c r="I1148" s="3" t="n">
        <f aca="false">YEAR(E1148)</f>
        <v>2025</v>
      </c>
      <c r="J1148" s="3" t="n">
        <f aca="false">MONTH(E1148)</f>
        <v>10</v>
      </c>
      <c r="K1148" s="3" t="n">
        <f aca="false">COUNTIFS($B$2:$B$4077,B1148,$C$2:$C$4077,C1148,$I$2:$I$4077,I1148)</f>
        <v>1</v>
      </c>
      <c r="L1148" s="3" t="n">
        <f aca="false">IF(COUNTIFS($B$2:B1148,B1148,$C$2:C1148,C1148,$I$2:I1148,I1148)=1,1,0)</f>
        <v>1</v>
      </c>
      <c r="M1148" s="3" t="n">
        <f aca="false">IF(K1148&gt;=Parametri!$B$1,1,0)</f>
        <v>0</v>
      </c>
      <c r="N1148" s="3" t="n">
        <f aca="false">L1148*M1148</f>
        <v>0</v>
      </c>
    </row>
    <row r="1149" customFormat="false" ht="15" hidden="false" customHeight="false" outlineLevel="0" collapsed="false">
      <c r="A1149" s="0" t="s">
        <v>1999</v>
      </c>
      <c r="B1149" s="0" t="s">
        <v>57</v>
      </c>
      <c r="C1149" s="0" t="s">
        <v>356</v>
      </c>
      <c r="D1149" s="0" t="s">
        <v>63</v>
      </c>
      <c r="E1149" s="2" t="n">
        <v>45559</v>
      </c>
      <c r="F1149" s="3" t="s">
        <v>34</v>
      </c>
      <c r="G1149" s="3" t="s">
        <v>72</v>
      </c>
      <c r="H1149" s="3" t="s">
        <v>22</v>
      </c>
      <c r="I1149" s="3" t="n">
        <f aca="false">YEAR(E1149)</f>
        <v>2024</v>
      </c>
      <c r="J1149" s="3" t="n">
        <f aca="false">MONTH(E1149)</f>
        <v>9</v>
      </c>
      <c r="K1149" s="3" t="n">
        <f aca="false">COUNTIFS($B$2:$B$4077,B1149,$C$2:$C$4077,C1149,$I$2:$I$4077,I1149)</f>
        <v>2</v>
      </c>
      <c r="L1149" s="3" t="n">
        <f aca="false">IF(COUNTIFS($B$2:B1149,B1149,$C$2:C1149,C1149,$I$2:I1149,I1149)=1,1,0)</f>
        <v>0</v>
      </c>
      <c r="M1149" s="3" t="n">
        <f aca="false">IF(K1149&gt;=Parametri!$B$1,1,0)</f>
        <v>1</v>
      </c>
      <c r="N1149" s="3" t="n">
        <f aca="false">L1149*M1149</f>
        <v>0</v>
      </c>
    </row>
    <row r="1150" customFormat="false" ht="15" hidden="false" customHeight="false" outlineLevel="0" collapsed="false">
      <c r="A1150" s="0" t="s">
        <v>2000</v>
      </c>
      <c r="B1150" s="0" t="s">
        <v>41</v>
      </c>
      <c r="C1150" s="0" t="s">
        <v>2001</v>
      </c>
      <c r="D1150" s="0" t="s">
        <v>54</v>
      </c>
      <c r="E1150" s="2" t="n">
        <v>46015</v>
      </c>
      <c r="F1150" s="3" t="s">
        <v>20</v>
      </c>
      <c r="G1150" s="3" t="s">
        <v>55</v>
      </c>
      <c r="H1150" s="3" t="s">
        <v>44</v>
      </c>
      <c r="I1150" s="3" t="n">
        <f aca="false">YEAR(E1150)</f>
        <v>2025</v>
      </c>
      <c r="J1150" s="3" t="n">
        <f aca="false">MONTH(E1150)</f>
        <v>12</v>
      </c>
      <c r="K1150" s="3" t="n">
        <f aca="false">COUNTIFS($B$2:$B$4077,B1150,$C$2:$C$4077,C1150,$I$2:$I$4077,I1150)</f>
        <v>1</v>
      </c>
      <c r="L1150" s="3" t="n">
        <f aca="false">IF(COUNTIFS($B$2:B1150,B1150,$C$2:C1150,C1150,$I$2:I1150,I1150)=1,1,0)</f>
        <v>1</v>
      </c>
      <c r="M1150" s="3" t="n">
        <f aca="false">IF(K1150&gt;=Parametri!$B$1,1,0)</f>
        <v>0</v>
      </c>
      <c r="N1150" s="3" t="n">
        <f aca="false">L1150*M1150</f>
        <v>0</v>
      </c>
    </row>
    <row r="1151" customFormat="false" ht="15" hidden="false" customHeight="false" outlineLevel="0" collapsed="false">
      <c r="A1151" s="0" t="s">
        <v>2002</v>
      </c>
      <c r="B1151" s="0" t="s">
        <v>24</v>
      </c>
      <c r="C1151" s="0" t="s">
        <v>1747</v>
      </c>
      <c r="D1151" s="0" t="s">
        <v>77</v>
      </c>
      <c r="E1151" s="2" t="n">
        <v>45838</v>
      </c>
      <c r="F1151" s="3" t="s">
        <v>34</v>
      </c>
      <c r="G1151" s="3" t="s">
        <v>35</v>
      </c>
      <c r="H1151" s="3" t="s">
        <v>44</v>
      </c>
      <c r="I1151" s="3" t="n">
        <f aca="false">YEAR(E1151)</f>
        <v>2025</v>
      </c>
      <c r="J1151" s="3" t="n">
        <f aca="false">MONTH(E1151)</f>
        <v>6</v>
      </c>
      <c r="K1151" s="3" t="n">
        <f aca="false">COUNTIFS($B$2:$B$4077,B1151,$C$2:$C$4077,C1151,$I$2:$I$4077,I1151)</f>
        <v>1</v>
      </c>
      <c r="L1151" s="3" t="n">
        <f aca="false">IF(COUNTIFS($B$2:B1151,B1151,$C$2:C1151,C1151,$I$2:I1151,I1151)=1,1,0)</f>
        <v>1</v>
      </c>
      <c r="M1151" s="3" t="n">
        <f aca="false">IF(K1151&gt;=Parametri!$B$1,1,0)</f>
        <v>0</v>
      </c>
      <c r="N1151" s="3" t="n">
        <f aca="false">L1151*M1151</f>
        <v>0</v>
      </c>
    </row>
    <row r="1152" customFormat="false" ht="15" hidden="false" customHeight="false" outlineLevel="0" collapsed="false">
      <c r="A1152" s="0" t="s">
        <v>2003</v>
      </c>
      <c r="B1152" s="0" t="s">
        <v>24</v>
      </c>
      <c r="C1152" s="0" t="s">
        <v>2004</v>
      </c>
      <c r="D1152" s="0" t="s">
        <v>38</v>
      </c>
      <c r="E1152" s="2" t="n">
        <v>45878</v>
      </c>
      <c r="F1152" s="3" t="s">
        <v>20</v>
      </c>
      <c r="G1152" s="3" t="s">
        <v>28</v>
      </c>
      <c r="H1152" s="3" t="s">
        <v>22</v>
      </c>
      <c r="I1152" s="3" t="n">
        <f aca="false">YEAR(E1152)</f>
        <v>2025</v>
      </c>
      <c r="J1152" s="3" t="n">
        <f aca="false">MONTH(E1152)</f>
        <v>8</v>
      </c>
      <c r="K1152" s="3" t="n">
        <f aca="false">COUNTIFS($B$2:$B$4077,B1152,$C$2:$C$4077,C1152,$I$2:$I$4077,I1152)</f>
        <v>1</v>
      </c>
      <c r="L1152" s="3" t="n">
        <f aca="false">IF(COUNTIFS($B$2:B1152,B1152,$C$2:C1152,C1152,$I$2:I1152,I1152)=1,1,0)</f>
        <v>1</v>
      </c>
      <c r="M1152" s="3" t="n">
        <f aca="false">IF(K1152&gt;=Parametri!$B$1,1,0)</f>
        <v>0</v>
      </c>
      <c r="N1152" s="3" t="n">
        <f aca="false">L1152*M1152</f>
        <v>0</v>
      </c>
    </row>
    <row r="1153" customFormat="false" ht="15" hidden="false" customHeight="false" outlineLevel="0" collapsed="false">
      <c r="A1153" s="0" t="s">
        <v>2005</v>
      </c>
      <c r="B1153" s="0" t="s">
        <v>24</v>
      </c>
      <c r="C1153" s="0" t="s">
        <v>636</v>
      </c>
      <c r="D1153" s="0" t="s">
        <v>77</v>
      </c>
      <c r="E1153" s="2" t="n">
        <v>46252</v>
      </c>
      <c r="F1153" s="3" t="s">
        <v>20</v>
      </c>
      <c r="G1153" s="3" t="s">
        <v>89</v>
      </c>
      <c r="H1153" s="3" t="s">
        <v>48</v>
      </c>
      <c r="I1153" s="3" t="n">
        <f aca="false">YEAR(E1153)</f>
        <v>2026</v>
      </c>
      <c r="J1153" s="3" t="n">
        <f aca="false">MONTH(E1153)</f>
        <v>8</v>
      </c>
      <c r="K1153" s="3" t="n">
        <f aca="false">COUNTIFS($B$2:$B$4077,B1153,$C$2:$C$4077,C1153,$I$2:$I$4077,I1153)</f>
        <v>1</v>
      </c>
      <c r="L1153" s="3" t="n">
        <f aca="false">IF(COUNTIFS($B$2:B1153,B1153,$C$2:C1153,C1153,$I$2:I1153,I1153)=1,1,0)</f>
        <v>1</v>
      </c>
      <c r="M1153" s="3" t="n">
        <f aca="false">IF(K1153&gt;=Parametri!$B$1,1,0)</f>
        <v>0</v>
      </c>
      <c r="N1153" s="3" t="n">
        <f aca="false">L1153*M1153</f>
        <v>0</v>
      </c>
    </row>
    <row r="1154" customFormat="false" ht="15" hidden="false" customHeight="false" outlineLevel="0" collapsed="false">
      <c r="A1154" s="0" t="s">
        <v>2006</v>
      </c>
      <c r="B1154" s="0" t="s">
        <v>17</v>
      </c>
      <c r="C1154" s="0" t="s">
        <v>2007</v>
      </c>
      <c r="D1154" s="0" t="s">
        <v>38</v>
      </c>
      <c r="E1154" s="2" t="n">
        <v>45512</v>
      </c>
      <c r="F1154" s="3" t="s">
        <v>20</v>
      </c>
      <c r="G1154" s="3" t="s">
        <v>39</v>
      </c>
      <c r="H1154" s="3" t="s">
        <v>48</v>
      </c>
      <c r="I1154" s="3" t="n">
        <f aca="false">YEAR(E1154)</f>
        <v>2024</v>
      </c>
      <c r="J1154" s="3" t="n">
        <f aca="false">MONTH(E1154)</f>
        <v>8</v>
      </c>
      <c r="K1154" s="3" t="n">
        <f aca="false">COUNTIFS($B$2:$B$4077,B1154,$C$2:$C$4077,C1154,$I$2:$I$4077,I1154)</f>
        <v>3</v>
      </c>
      <c r="L1154" s="3" t="n">
        <f aca="false">IF(COUNTIFS($B$2:B1154,B1154,$C$2:C1154,C1154,$I$2:I1154,I1154)=1,1,0)</f>
        <v>1</v>
      </c>
      <c r="M1154" s="3" t="n">
        <f aca="false">IF(K1154&gt;=Parametri!$B$1,1,0)</f>
        <v>1</v>
      </c>
      <c r="N1154" s="3" t="n">
        <f aca="false">L1154*M1154</f>
        <v>1</v>
      </c>
    </row>
    <row r="1155" customFormat="false" ht="15" hidden="false" customHeight="false" outlineLevel="0" collapsed="false">
      <c r="A1155" s="0" t="s">
        <v>2008</v>
      </c>
      <c r="B1155" s="0" t="s">
        <v>50</v>
      </c>
      <c r="C1155" s="0" t="s">
        <v>1436</v>
      </c>
      <c r="D1155" s="0" t="s">
        <v>19</v>
      </c>
      <c r="E1155" s="2" t="n">
        <v>46090</v>
      </c>
      <c r="F1155" s="3" t="s">
        <v>20</v>
      </c>
      <c r="G1155" s="3" t="s">
        <v>55</v>
      </c>
      <c r="H1155" s="3" t="s">
        <v>29</v>
      </c>
      <c r="I1155" s="3" t="n">
        <f aca="false">YEAR(E1155)</f>
        <v>2026</v>
      </c>
      <c r="J1155" s="3" t="n">
        <f aca="false">MONTH(E1155)</f>
        <v>3</v>
      </c>
      <c r="K1155" s="3" t="n">
        <f aca="false">COUNTIFS($B$2:$B$4077,B1155,$C$2:$C$4077,C1155,$I$2:$I$4077,I1155)</f>
        <v>3</v>
      </c>
      <c r="L1155" s="3" t="n">
        <f aca="false">IF(COUNTIFS($B$2:B1155,B1155,$C$2:C1155,C1155,$I$2:I1155,I1155)=1,1,0)</f>
        <v>0</v>
      </c>
      <c r="M1155" s="3" t="n">
        <f aca="false">IF(K1155&gt;=Parametri!$B$1,1,0)</f>
        <v>1</v>
      </c>
      <c r="N1155" s="3" t="n">
        <f aca="false">L1155*M1155</f>
        <v>0</v>
      </c>
    </row>
    <row r="1156" customFormat="false" ht="15" hidden="false" customHeight="false" outlineLevel="0" collapsed="false">
      <c r="A1156" s="0" t="s">
        <v>2009</v>
      </c>
      <c r="B1156" s="0" t="s">
        <v>46</v>
      </c>
      <c r="C1156" s="0" t="s">
        <v>2010</v>
      </c>
      <c r="D1156" s="0" t="s">
        <v>77</v>
      </c>
      <c r="E1156" s="2" t="n">
        <v>45851</v>
      </c>
      <c r="F1156" s="3" t="s">
        <v>27</v>
      </c>
      <c r="G1156" s="3" t="s">
        <v>43</v>
      </c>
      <c r="H1156" s="3" t="s">
        <v>44</v>
      </c>
      <c r="I1156" s="3" t="n">
        <f aca="false">YEAR(E1156)</f>
        <v>2025</v>
      </c>
      <c r="J1156" s="3" t="n">
        <f aca="false">MONTH(E1156)</f>
        <v>7</v>
      </c>
      <c r="K1156" s="3" t="n">
        <f aca="false">COUNTIFS($B$2:$B$4077,B1156,$C$2:$C$4077,C1156,$I$2:$I$4077,I1156)</f>
        <v>1</v>
      </c>
      <c r="L1156" s="3" t="n">
        <f aca="false">IF(COUNTIFS($B$2:B1156,B1156,$C$2:C1156,C1156,$I$2:I1156,I1156)=1,1,0)</f>
        <v>1</v>
      </c>
      <c r="M1156" s="3" t="n">
        <f aca="false">IF(K1156&gt;=Parametri!$B$1,1,0)</f>
        <v>0</v>
      </c>
      <c r="N1156" s="3" t="n">
        <f aca="false">L1156*M1156</f>
        <v>0</v>
      </c>
    </row>
    <row r="1157" customFormat="false" ht="15" hidden="false" customHeight="false" outlineLevel="0" collapsed="false">
      <c r="A1157" s="0" t="s">
        <v>2011</v>
      </c>
      <c r="B1157" s="0" t="s">
        <v>79</v>
      </c>
      <c r="C1157" s="0" t="s">
        <v>190</v>
      </c>
      <c r="D1157" s="0" t="s">
        <v>38</v>
      </c>
      <c r="E1157" s="2" t="n">
        <v>45672</v>
      </c>
      <c r="F1157" s="3" t="s">
        <v>20</v>
      </c>
      <c r="G1157" s="3" t="s">
        <v>43</v>
      </c>
      <c r="H1157" s="3" t="s">
        <v>22</v>
      </c>
      <c r="I1157" s="3" t="n">
        <f aca="false">YEAR(E1157)</f>
        <v>2025</v>
      </c>
      <c r="J1157" s="3" t="n">
        <f aca="false">MONTH(E1157)</f>
        <v>1</v>
      </c>
      <c r="K1157" s="3" t="n">
        <f aca="false">COUNTIFS($B$2:$B$4077,B1157,$C$2:$C$4077,C1157,$I$2:$I$4077,I1157)</f>
        <v>2</v>
      </c>
      <c r="L1157" s="3" t="n">
        <f aca="false">IF(COUNTIFS($B$2:B1157,B1157,$C$2:C1157,C1157,$I$2:I1157,I1157)=1,1,0)</f>
        <v>1</v>
      </c>
      <c r="M1157" s="3" t="n">
        <f aca="false">IF(K1157&gt;=Parametri!$B$1,1,0)</f>
        <v>1</v>
      </c>
      <c r="N1157" s="3" t="n">
        <f aca="false">L1157*M1157</f>
        <v>1</v>
      </c>
    </row>
    <row r="1158" customFormat="false" ht="15" hidden="false" customHeight="false" outlineLevel="0" collapsed="false">
      <c r="A1158" s="0" t="s">
        <v>2012</v>
      </c>
      <c r="B1158" s="0" t="s">
        <v>24</v>
      </c>
      <c r="C1158" s="0" t="s">
        <v>2013</v>
      </c>
      <c r="D1158" s="0" t="s">
        <v>54</v>
      </c>
      <c r="E1158" s="2" t="n">
        <v>45328</v>
      </c>
      <c r="F1158" s="3" t="s">
        <v>20</v>
      </c>
      <c r="G1158" s="3" t="s">
        <v>72</v>
      </c>
      <c r="H1158" s="3" t="s">
        <v>44</v>
      </c>
      <c r="I1158" s="3" t="n">
        <f aca="false">YEAR(E1158)</f>
        <v>2024</v>
      </c>
      <c r="J1158" s="3" t="n">
        <f aca="false">MONTH(E1158)</f>
        <v>2</v>
      </c>
      <c r="K1158" s="3" t="n">
        <f aca="false">COUNTIFS($B$2:$B$4077,B1158,$C$2:$C$4077,C1158,$I$2:$I$4077,I1158)</f>
        <v>1</v>
      </c>
      <c r="L1158" s="3" t="n">
        <f aca="false">IF(COUNTIFS($B$2:B1158,B1158,$C$2:C1158,C1158,$I$2:I1158,I1158)=1,1,0)</f>
        <v>1</v>
      </c>
      <c r="M1158" s="3" t="n">
        <f aca="false">IF(K1158&gt;=Parametri!$B$1,1,0)</f>
        <v>0</v>
      </c>
      <c r="N1158" s="3" t="n">
        <f aca="false">L1158*M1158</f>
        <v>0</v>
      </c>
    </row>
    <row r="1159" customFormat="false" ht="15" hidden="false" customHeight="false" outlineLevel="0" collapsed="false">
      <c r="A1159" s="0" t="s">
        <v>2014</v>
      </c>
      <c r="B1159" s="0" t="s">
        <v>24</v>
      </c>
      <c r="C1159" s="0" t="s">
        <v>1335</v>
      </c>
      <c r="D1159" s="0" t="s">
        <v>33</v>
      </c>
      <c r="E1159" s="2" t="n">
        <v>46220</v>
      </c>
      <c r="F1159" s="3" t="s">
        <v>34</v>
      </c>
      <c r="G1159" s="3" t="s">
        <v>28</v>
      </c>
      <c r="H1159" s="3" t="s">
        <v>44</v>
      </c>
      <c r="I1159" s="3" t="n">
        <f aca="false">YEAR(E1159)</f>
        <v>2026</v>
      </c>
      <c r="J1159" s="3" t="n">
        <f aca="false">MONTH(E1159)</f>
        <v>7</v>
      </c>
      <c r="K1159" s="3" t="n">
        <f aca="false">COUNTIFS($B$2:$B$4077,B1159,$C$2:$C$4077,C1159,$I$2:$I$4077,I1159)</f>
        <v>2</v>
      </c>
      <c r="L1159" s="3" t="n">
        <f aca="false">IF(COUNTIFS($B$2:B1159,B1159,$C$2:C1159,C1159,$I$2:I1159,I1159)=1,1,0)</f>
        <v>1</v>
      </c>
      <c r="M1159" s="3" t="n">
        <f aca="false">IF(K1159&gt;=Parametri!$B$1,1,0)</f>
        <v>1</v>
      </c>
      <c r="N1159" s="3" t="n">
        <f aca="false">L1159*M1159</f>
        <v>1</v>
      </c>
    </row>
    <row r="1160" customFormat="false" ht="15" hidden="false" customHeight="false" outlineLevel="0" collapsed="false">
      <c r="A1160" s="0" t="s">
        <v>2015</v>
      </c>
      <c r="B1160" s="0" t="s">
        <v>24</v>
      </c>
      <c r="C1160" s="0" t="s">
        <v>2016</v>
      </c>
      <c r="D1160" s="0" t="s">
        <v>54</v>
      </c>
      <c r="E1160" s="2" t="n">
        <v>45590</v>
      </c>
      <c r="F1160" s="3" t="s">
        <v>20</v>
      </c>
      <c r="G1160" s="3" t="s">
        <v>35</v>
      </c>
      <c r="H1160" s="3" t="s">
        <v>48</v>
      </c>
      <c r="I1160" s="3" t="n">
        <f aca="false">YEAR(E1160)</f>
        <v>2024</v>
      </c>
      <c r="J1160" s="3" t="n">
        <f aca="false">MONTH(E1160)</f>
        <v>10</v>
      </c>
      <c r="K1160" s="3" t="n">
        <f aca="false">COUNTIFS($B$2:$B$4077,B1160,$C$2:$C$4077,C1160,$I$2:$I$4077,I1160)</f>
        <v>2</v>
      </c>
      <c r="L1160" s="3" t="n">
        <f aca="false">IF(COUNTIFS($B$2:B1160,B1160,$C$2:C1160,C1160,$I$2:I1160,I1160)=1,1,0)</f>
        <v>1</v>
      </c>
      <c r="M1160" s="3" t="n">
        <f aca="false">IF(K1160&gt;=Parametri!$B$1,1,0)</f>
        <v>1</v>
      </c>
      <c r="N1160" s="3" t="n">
        <f aca="false">L1160*M1160</f>
        <v>1</v>
      </c>
    </row>
    <row r="1161" customFormat="false" ht="15" hidden="false" customHeight="false" outlineLevel="0" collapsed="false">
      <c r="A1161" s="0" t="s">
        <v>2017</v>
      </c>
      <c r="B1161" s="0" t="s">
        <v>68</v>
      </c>
      <c r="C1161" s="0" t="s">
        <v>1837</v>
      </c>
      <c r="D1161" s="0" t="s">
        <v>63</v>
      </c>
      <c r="E1161" s="2" t="n">
        <v>45424</v>
      </c>
      <c r="F1161" s="3" t="s">
        <v>27</v>
      </c>
      <c r="G1161" s="3" t="s">
        <v>55</v>
      </c>
      <c r="H1161" s="3" t="s">
        <v>48</v>
      </c>
      <c r="I1161" s="3" t="n">
        <f aca="false">YEAR(E1161)</f>
        <v>2024</v>
      </c>
      <c r="J1161" s="3" t="n">
        <f aca="false">MONTH(E1161)</f>
        <v>5</v>
      </c>
      <c r="K1161" s="3" t="n">
        <f aca="false">COUNTIFS($B$2:$B$4077,B1161,$C$2:$C$4077,C1161,$I$2:$I$4077,I1161)</f>
        <v>2</v>
      </c>
      <c r="L1161" s="3" t="n">
        <f aca="false">IF(COUNTIFS($B$2:B1161,B1161,$C$2:C1161,C1161,$I$2:I1161,I1161)=1,1,0)</f>
        <v>0</v>
      </c>
      <c r="M1161" s="3" t="n">
        <f aca="false">IF(K1161&gt;=Parametri!$B$1,1,0)</f>
        <v>1</v>
      </c>
      <c r="N1161" s="3" t="n">
        <f aca="false">L1161*M1161</f>
        <v>0</v>
      </c>
    </row>
    <row r="1162" customFormat="false" ht="15" hidden="false" customHeight="false" outlineLevel="0" collapsed="false">
      <c r="A1162" s="0" t="s">
        <v>2018</v>
      </c>
      <c r="B1162" s="0" t="s">
        <v>17</v>
      </c>
      <c r="C1162" s="0" t="s">
        <v>2019</v>
      </c>
      <c r="D1162" s="0" t="s">
        <v>26</v>
      </c>
      <c r="E1162" s="2" t="n">
        <v>46190</v>
      </c>
      <c r="F1162" s="3" t="s">
        <v>20</v>
      </c>
      <c r="G1162" s="3" t="s">
        <v>35</v>
      </c>
      <c r="H1162" s="3" t="s">
        <v>29</v>
      </c>
      <c r="I1162" s="3" t="n">
        <f aca="false">YEAR(E1162)</f>
        <v>2026</v>
      </c>
      <c r="J1162" s="3" t="n">
        <f aca="false">MONTH(E1162)</f>
        <v>6</v>
      </c>
      <c r="K1162" s="3" t="n">
        <f aca="false">COUNTIFS($B$2:$B$4077,B1162,$C$2:$C$4077,C1162,$I$2:$I$4077,I1162)</f>
        <v>1</v>
      </c>
      <c r="L1162" s="3" t="n">
        <f aca="false">IF(COUNTIFS($B$2:B1162,B1162,$C$2:C1162,C1162,$I$2:I1162,I1162)=1,1,0)</f>
        <v>1</v>
      </c>
      <c r="M1162" s="3" t="n">
        <f aca="false">IF(K1162&gt;=Parametri!$B$1,1,0)</f>
        <v>0</v>
      </c>
      <c r="N1162" s="3" t="n">
        <f aca="false">L1162*M1162</f>
        <v>0</v>
      </c>
    </row>
    <row r="1163" customFormat="false" ht="15" hidden="false" customHeight="false" outlineLevel="0" collapsed="false">
      <c r="A1163" s="0" t="s">
        <v>2020</v>
      </c>
      <c r="B1163" s="0" t="s">
        <v>46</v>
      </c>
      <c r="C1163" s="0" t="s">
        <v>2021</v>
      </c>
      <c r="D1163" s="0" t="s">
        <v>33</v>
      </c>
      <c r="E1163" s="2" t="n">
        <v>45553</v>
      </c>
      <c r="F1163" s="3" t="s">
        <v>34</v>
      </c>
      <c r="G1163" s="3" t="s">
        <v>21</v>
      </c>
      <c r="H1163" s="3" t="s">
        <v>44</v>
      </c>
      <c r="I1163" s="3" t="n">
        <f aca="false">YEAR(E1163)</f>
        <v>2024</v>
      </c>
      <c r="J1163" s="3" t="n">
        <f aca="false">MONTH(E1163)</f>
        <v>9</v>
      </c>
      <c r="K1163" s="3" t="n">
        <f aca="false">COUNTIFS($B$2:$B$4077,B1163,$C$2:$C$4077,C1163,$I$2:$I$4077,I1163)</f>
        <v>1</v>
      </c>
      <c r="L1163" s="3" t="n">
        <f aca="false">IF(COUNTIFS($B$2:B1163,B1163,$C$2:C1163,C1163,$I$2:I1163,I1163)=1,1,0)</f>
        <v>1</v>
      </c>
      <c r="M1163" s="3" t="n">
        <f aca="false">IF(K1163&gt;=Parametri!$B$1,1,0)</f>
        <v>0</v>
      </c>
      <c r="N1163" s="3" t="n">
        <f aca="false">L1163*M1163</f>
        <v>0</v>
      </c>
    </row>
    <row r="1164" customFormat="false" ht="15" hidden="false" customHeight="false" outlineLevel="0" collapsed="false">
      <c r="A1164" s="0" t="s">
        <v>2022</v>
      </c>
      <c r="B1164" s="0" t="s">
        <v>31</v>
      </c>
      <c r="C1164" s="0" t="s">
        <v>2023</v>
      </c>
      <c r="D1164" s="0" t="s">
        <v>33</v>
      </c>
      <c r="E1164" s="2" t="n">
        <v>45502</v>
      </c>
      <c r="F1164" s="3" t="s">
        <v>104</v>
      </c>
      <c r="G1164" s="3" t="s">
        <v>104</v>
      </c>
      <c r="H1164" s="3" t="s">
        <v>104</v>
      </c>
      <c r="I1164" s="3" t="n">
        <f aca="false">YEAR(E1164)</f>
        <v>2024</v>
      </c>
      <c r="J1164" s="3" t="n">
        <f aca="false">MONTH(E1164)</f>
        <v>7</v>
      </c>
      <c r="K1164" s="3" t="n">
        <f aca="false">COUNTIFS($B$2:$B$4077,B1164,$C$2:$C$4077,C1164,$I$2:$I$4077,I1164)</f>
        <v>2</v>
      </c>
      <c r="L1164" s="3" t="n">
        <f aca="false">IF(COUNTIFS($B$2:B1164,B1164,$C$2:C1164,C1164,$I$2:I1164,I1164)=1,1,0)</f>
        <v>1</v>
      </c>
      <c r="M1164" s="3" t="n">
        <f aca="false">IF(K1164&gt;=Parametri!$B$1,1,0)</f>
        <v>1</v>
      </c>
      <c r="N1164" s="3" t="n">
        <f aca="false">L1164*M1164</f>
        <v>1</v>
      </c>
    </row>
    <row r="1165" customFormat="false" ht="15" hidden="false" customHeight="false" outlineLevel="0" collapsed="false">
      <c r="A1165" s="0" t="s">
        <v>2024</v>
      </c>
      <c r="B1165" s="0" t="s">
        <v>46</v>
      </c>
      <c r="C1165" s="0" t="s">
        <v>1255</v>
      </c>
      <c r="D1165" s="0" t="s">
        <v>38</v>
      </c>
      <c r="E1165" s="2" t="n">
        <v>46020</v>
      </c>
      <c r="F1165" s="3" t="s">
        <v>34</v>
      </c>
      <c r="G1165" s="3" t="s">
        <v>89</v>
      </c>
      <c r="H1165" s="3" t="s">
        <v>44</v>
      </c>
      <c r="I1165" s="3" t="n">
        <f aca="false">YEAR(E1165)</f>
        <v>2025</v>
      </c>
      <c r="J1165" s="3" t="n">
        <f aca="false">MONTH(E1165)</f>
        <v>12</v>
      </c>
      <c r="K1165" s="3" t="n">
        <f aca="false">COUNTIFS($B$2:$B$4077,B1165,$C$2:$C$4077,C1165,$I$2:$I$4077,I1165)</f>
        <v>2</v>
      </c>
      <c r="L1165" s="3" t="n">
        <f aca="false">IF(COUNTIFS($B$2:B1165,B1165,$C$2:C1165,C1165,$I$2:I1165,I1165)=1,1,0)</f>
        <v>1</v>
      </c>
      <c r="M1165" s="3" t="n">
        <f aca="false">IF(K1165&gt;=Parametri!$B$1,1,0)</f>
        <v>1</v>
      </c>
      <c r="N1165" s="3" t="n">
        <f aca="false">L1165*M1165</f>
        <v>1</v>
      </c>
    </row>
    <row r="1166" customFormat="false" ht="15" hidden="false" customHeight="false" outlineLevel="0" collapsed="false">
      <c r="A1166" s="0" t="s">
        <v>2025</v>
      </c>
      <c r="B1166" s="0" t="s">
        <v>17</v>
      </c>
      <c r="C1166" s="0" t="s">
        <v>2026</v>
      </c>
      <c r="D1166" s="0" t="s">
        <v>54</v>
      </c>
      <c r="E1166" s="2" t="n">
        <v>45527</v>
      </c>
      <c r="F1166" s="3" t="s">
        <v>27</v>
      </c>
      <c r="G1166" s="3" t="s">
        <v>55</v>
      </c>
      <c r="H1166" s="3" t="s">
        <v>29</v>
      </c>
      <c r="I1166" s="3" t="n">
        <f aca="false">YEAR(E1166)</f>
        <v>2024</v>
      </c>
      <c r="J1166" s="3" t="n">
        <f aca="false">MONTH(E1166)</f>
        <v>8</v>
      </c>
      <c r="K1166" s="3" t="n">
        <f aca="false">COUNTIFS($B$2:$B$4077,B1166,$C$2:$C$4077,C1166,$I$2:$I$4077,I1166)</f>
        <v>2</v>
      </c>
      <c r="L1166" s="3" t="n">
        <f aca="false">IF(COUNTIFS($B$2:B1166,B1166,$C$2:C1166,C1166,$I$2:I1166,I1166)=1,1,0)</f>
        <v>1</v>
      </c>
      <c r="M1166" s="3" t="n">
        <f aca="false">IF(K1166&gt;=Parametri!$B$1,1,0)</f>
        <v>1</v>
      </c>
      <c r="N1166" s="3" t="n">
        <f aca="false">L1166*M1166</f>
        <v>1</v>
      </c>
    </row>
    <row r="1167" customFormat="false" ht="15" hidden="false" customHeight="false" outlineLevel="0" collapsed="false">
      <c r="A1167" s="0" t="s">
        <v>2027</v>
      </c>
      <c r="B1167" s="0" t="s">
        <v>41</v>
      </c>
      <c r="C1167" s="0" t="s">
        <v>2028</v>
      </c>
      <c r="D1167" s="0" t="s">
        <v>19</v>
      </c>
      <c r="E1167" s="2" t="n">
        <v>45685</v>
      </c>
      <c r="F1167" s="3" t="s">
        <v>20</v>
      </c>
      <c r="G1167" s="3" t="s">
        <v>39</v>
      </c>
      <c r="H1167" s="3" t="s">
        <v>29</v>
      </c>
      <c r="I1167" s="3" t="n">
        <f aca="false">YEAR(E1167)</f>
        <v>2025</v>
      </c>
      <c r="J1167" s="3" t="n">
        <f aca="false">MONTH(E1167)</f>
        <v>1</v>
      </c>
      <c r="K1167" s="3" t="n">
        <f aca="false">COUNTIFS($B$2:$B$4077,B1167,$C$2:$C$4077,C1167,$I$2:$I$4077,I1167)</f>
        <v>1</v>
      </c>
      <c r="L1167" s="3" t="n">
        <f aca="false">IF(COUNTIFS($B$2:B1167,B1167,$C$2:C1167,C1167,$I$2:I1167,I1167)=1,1,0)</f>
        <v>1</v>
      </c>
      <c r="M1167" s="3" t="n">
        <f aca="false">IF(K1167&gt;=Parametri!$B$1,1,0)</f>
        <v>0</v>
      </c>
      <c r="N1167" s="3" t="n">
        <f aca="false">L1167*M1167</f>
        <v>0</v>
      </c>
    </row>
    <row r="1168" customFormat="false" ht="15" hidden="false" customHeight="false" outlineLevel="0" collapsed="false">
      <c r="A1168" s="0" t="s">
        <v>2029</v>
      </c>
      <c r="B1168" s="0" t="s">
        <v>57</v>
      </c>
      <c r="C1168" s="0" t="s">
        <v>832</v>
      </c>
      <c r="D1168" s="0" t="s">
        <v>33</v>
      </c>
      <c r="E1168" s="2" t="n">
        <v>46260</v>
      </c>
      <c r="F1168" s="3" t="s">
        <v>20</v>
      </c>
      <c r="G1168" s="3" t="s">
        <v>21</v>
      </c>
      <c r="H1168" s="3" t="s">
        <v>44</v>
      </c>
      <c r="I1168" s="3" t="n">
        <f aca="false">YEAR(E1168)</f>
        <v>2026</v>
      </c>
      <c r="J1168" s="3" t="n">
        <f aca="false">MONTH(E1168)</f>
        <v>8</v>
      </c>
      <c r="K1168" s="3" t="n">
        <f aca="false">COUNTIFS($B$2:$B$4077,B1168,$C$2:$C$4077,C1168,$I$2:$I$4077,I1168)</f>
        <v>3</v>
      </c>
      <c r="L1168" s="3" t="n">
        <f aca="false">IF(COUNTIFS($B$2:B1168,B1168,$C$2:C1168,C1168,$I$2:I1168,I1168)=1,1,0)</f>
        <v>0</v>
      </c>
      <c r="M1168" s="3" t="n">
        <f aca="false">IF(K1168&gt;=Parametri!$B$1,1,0)</f>
        <v>1</v>
      </c>
      <c r="N1168" s="3" t="n">
        <f aca="false">L1168*M1168</f>
        <v>0</v>
      </c>
    </row>
    <row r="1169" customFormat="false" ht="15" hidden="false" customHeight="false" outlineLevel="0" collapsed="false">
      <c r="A1169" s="0" t="s">
        <v>2030</v>
      </c>
      <c r="B1169" s="0" t="s">
        <v>57</v>
      </c>
      <c r="C1169" s="0" t="s">
        <v>2031</v>
      </c>
      <c r="D1169" s="0" t="s">
        <v>26</v>
      </c>
      <c r="E1169" s="2" t="n">
        <v>46018</v>
      </c>
      <c r="F1169" s="3" t="s">
        <v>20</v>
      </c>
      <c r="G1169" s="3" t="s">
        <v>28</v>
      </c>
      <c r="H1169" s="3" t="s">
        <v>29</v>
      </c>
      <c r="I1169" s="3" t="n">
        <f aca="false">YEAR(E1169)</f>
        <v>2025</v>
      </c>
      <c r="J1169" s="3" t="n">
        <f aca="false">MONTH(E1169)</f>
        <v>12</v>
      </c>
      <c r="K1169" s="3" t="n">
        <f aca="false">COUNTIFS($B$2:$B$4077,B1169,$C$2:$C$4077,C1169,$I$2:$I$4077,I1169)</f>
        <v>1</v>
      </c>
      <c r="L1169" s="3" t="n">
        <f aca="false">IF(COUNTIFS($B$2:B1169,B1169,$C$2:C1169,C1169,$I$2:I1169,I1169)=1,1,0)</f>
        <v>1</v>
      </c>
      <c r="M1169" s="3" t="n">
        <f aca="false">IF(K1169&gt;=Parametri!$B$1,1,0)</f>
        <v>0</v>
      </c>
      <c r="N1169" s="3" t="n">
        <f aca="false">L1169*M1169</f>
        <v>0</v>
      </c>
    </row>
    <row r="1170" customFormat="false" ht="15" hidden="false" customHeight="false" outlineLevel="0" collapsed="false">
      <c r="A1170" s="0" t="s">
        <v>2032</v>
      </c>
      <c r="B1170" s="0" t="s">
        <v>124</v>
      </c>
      <c r="C1170" s="0" t="s">
        <v>657</v>
      </c>
      <c r="D1170" s="0" t="s">
        <v>63</v>
      </c>
      <c r="E1170" s="2" t="n">
        <v>45439</v>
      </c>
      <c r="F1170" s="3" t="s">
        <v>20</v>
      </c>
      <c r="G1170" s="3" t="s">
        <v>89</v>
      </c>
      <c r="H1170" s="3" t="s">
        <v>48</v>
      </c>
      <c r="I1170" s="3" t="n">
        <f aca="false">YEAR(E1170)</f>
        <v>2024</v>
      </c>
      <c r="J1170" s="3" t="n">
        <f aca="false">MONTH(E1170)</f>
        <v>5</v>
      </c>
      <c r="K1170" s="3" t="n">
        <f aca="false">COUNTIFS($B$2:$B$4077,B1170,$C$2:$C$4077,C1170,$I$2:$I$4077,I1170)</f>
        <v>3</v>
      </c>
      <c r="L1170" s="3" t="n">
        <f aca="false">IF(COUNTIFS($B$2:B1170,B1170,$C$2:C1170,C1170,$I$2:I1170,I1170)=1,1,0)</f>
        <v>0</v>
      </c>
      <c r="M1170" s="3" t="n">
        <f aca="false">IF(K1170&gt;=Parametri!$B$1,1,0)</f>
        <v>1</v>
      </c>
      <c r="N1170" s="3" t="n">
        <f aca="false">L1170*M1170</f>
        <v>0</v>
      </c>
    </row>
    <row r="1171" customFormat="false" ht="15" hidden="false" customHeight="false" outlineLevel="0" collapsed="false">
      <c r="A1171" s="0" t="s">
        <v>2033</v>
      </c>
      <c r="B1171" s="0" t="s">
        <v>57</v>
      </c>
      <c r="C1171" s="0" t="s">
        <v>702</v>
      </c>
      <c r="D1171" s="0" t="s">
        <v>54</v>
      </c>
      <c r="E1171" s="2" t="n">
        <v>45969</v>
      </c>
      <c r="F1171" s="3" t="s">
        <v>20</v>
      </c>
      <c r="G1171" s="3" t="s">
        <v>39</v>
      </c>
      <c r="H1171" s="3" t="s">
        <v>48</v>
      </c>
      <c r="I1171" s="3" t="n">
        <f aca="false">YEAR(E1171)</f>
        <v>2025</v>
      </c>
      <c r="J1171" s="3" t="n">
        <f aca="false">MONTH(E1171)</f>
        <v>11</v>
      </c>
      <c r="K1171" s="3" t="n">
        <f aca="false">COUNTIFS($B$2:$B$4077,B1171,$C$2:$C$4077,C1171,$I$2:$I$4077,I1171)</f>
        <v>3</v>
      </c>
      <c r="L1171" s="3" t="n">
        <f aca="false">IF(COUNTIFS($B$2:B1171,B1171,$C$2:C1171,C1171,$I$2:I1171,I1171)=1,1,0)</f>
        <v>1</v>
      </c>
      <c r="M1171" s="3" t="n">
        <f aca="false">IF(K1171&gt;=Parametri!$B$1,1,0)</f>
        <v>1</v>
      </c>
      <c r="N1171" s="3" t="n">
        <f aca="false">L1171*M1171</f>
        <v>1</v>
      </c>
    </row>
    <row r="1172" customFormat="false" ht="15" hidden="false" customHeight="false" outlineLevel="0" collapsed="false">
      <c r="A1172" s="0" t="s">
        <v>2034</v>
      </c>
      <c r="B1172" s="0" t="s">
        <v>46</v>
      </c>
      <c r="C1172" s="0" t="s">
        <v>1425</v>
      </c>
      <c r="D1172" s="0" t="s">
        <v>54</v>
      </c>
      <c r="E1172" s="2" t="n">
        <v>45745</v>
      </c>
      <c r="F1172" s="3" t="s">
        <v>20</v>
      </c>
      <c r="G1172" s="3" t="s">
        <v>89</v>
      </c>
      <c r="H1172" s="3" t="s">
        <v>29</v>
      </c>
      <c r="I1172" s="3" t="n">
        <f aca="false">YEAR(E1172)</f>
        <v>2025</v>
      </c>
      <c r="J1172" s="3" t="n">
        <f aca="false">MONTH(E1172)</f>
        <v>3</v>
      </c>
      <c r="K1172" s="3" t="n">
        <f aca="false">COUNTIFS($B$2:$B$4077,B1172,$C$2:$C$4077,C1172,$I$2:$I$4077,I1172)</f>
        <v>2</v>
      </c>
      <c r="L1172" s="3" t="n">
        <f aca="false">IF(COUNTIFS($B$2:B1172,B1172,$C$2:C1172,C1172,$I$2:I1172,I1172)=1,1,0)</f>
        <v>0</v>
      </c>
      <c r="M1172" s="3" t="n">
        <f aca="false">IF(K1172&gt;=Parametri!$B$1,1,0)</f>
        <v>1</v>
      </c>
      <c r="N1172" s="3" t="n">
        <f aca="false">L1172*M1172</f>
        <v>0</v>
      </c>
    </row>
    <row r="1173" customFormat="false" ht="15" hidden="false" customHeight="false" outlineLevel="0" collapsed="false">
      <c r="A1173" s="0" t="s">
        <v>2035</v>
      </c>
      <c r="B1173" s="0" t="s">
        <v>17</v>
      </c>
      <c r="C1173" s="0" t="s">
        <v>481</v>
      </c>
      <c r="D1173" s="0" t="s">
        <v>63</v>
      </c>
      <c r="E1173" s="2" t="n">
        <v>45957</v>
      </c>
      <c r="F1173" s="3" t="s">
        <v>34</v>
      </c>
      <c r="G1173" s="3" t="s">
        <v>28</v>
      </c>
      <c r="H1173" s="3" t="s">
        <v>29</v>
      </c>
      <c r="I1173" s="3" t="n">
        <f aca="false">YEAR(E1173)</f>
        <v>2025</v>
      </c>
      <c r="J1173" s="3" t="n">
        <f aca="false">MONTH(E1173)</f>
        <v>10</v>
      </c>
      <c r="K1173" s="3" t="n">
        <f aca="false">COUNTIFS($B$2:$B$4077,B1173,$C$2:$C$4077,C1173,$I$2:$I$4077,I1173)</f>
        <v>4</v>
      </c>
      <c r="L1173" s="3" t="n">
        <f aca="false">IF(COUNTIFS($B$2:B1173,B1173,$C$2:C1173,C1173,$I$2:I1173,I1173)=1,1,0)</f>
        <v>1</v>
      </c>
      <c r="M1173" s="3" t="n">
        <f aca="false">IF(K1173&gt;=Parametri!$B$1,1,0)</f>
        <v>1</v>
      </c>
      <c r="N1173" s="3" t="n">
        <f aca="false">L1173*M1173</f>
        <v>1</v>
      </c>
    </row>
    <row r="1174" customFormat="false" ht="15" hidden="false" customHeight="false" outlineLevel="0" collapsed="false">
      <c r="A1174" s="0" t="s">
        <v>2036</v>
      </c>
      <c r="B1174" s="0" t="s">
        <v>24</v>
      </c>
      <c r="C1174" s="0" t="s">
        <v>2037</v>
      </c>
      <c r="D1174" s="0" t="s">
        <v>19</v>
      </c>
      <c r="E1174" s="2" t="n">
        <v>45550</v>
      </c>
      <c r="F1174" s="3" t="s">
        <v>20</v>
      </c>
      <c r="G1174" s="3" t="s">
        <v>21</v>
      </c>
      <c r="H1174" s="3" t="s">
        <v>29</v>
      </c>
      <c r="I1174" s="3" t="n">
        <f aca="false">YEAR(E1174)</f>
        <v>2024</v>
      </c>
      <c r="J1174" s="3" t="n">
        <f aca="false">MONTH(E1174)</f>
        <v>9</v>
      </c>
      <c r="K1174" s="3" t="n">
        <f aca="false">COUNTIFS($B$2:$B$4077,B1174,$C$2:$C$4077,C1174,$I$2:$I$4077,I1174)</f>
        <v>1</v>
      </c>
      <c r="L1174" s="3" t="n">
        <f aca="false">IF(COUNTIFS($B$2:B1174,B1174,$C$2:C1174,C1174,$I$2:I1174,I1174)=1,1,0)</f>
        <v>1</v>
      </c>
      <c r="M1174" s="3" t="n">
        <f aca="false">IF(K1174&gt;=Parametri!$B$1,1,0)</f>
        <v>0</v>
      </c>
      <c r="N1174" s="3" t="n">
        <f aca="false">L1174*M1174</f>
        <v>0</v>
      </c>
    </row>
    <row r="1175" customFormat="false" ht="15" hidden="false" customHeight="false" outlineLevel="0" collapsed="false">
      <c r="A1175" s="0" t="s">
        <v>2038</v>
      </c>
      <c r="B1175" s="0" t="s">
        <v>31</v>
      </c>
      <c r="C1175" s="0" t="s">
        <v>1868</v>
      </c>
      <c r="D1175" s="0" t="s">
        <v>54</v>
      </c>
      <c r="E1175" s="2" t="n">
        <v>45962</v>
      </c>
      <c r="F1175" s="3" t="s">
        <v>34</v>
      </c>
      <c r="G1175" s="3" t="s">
        <v>72</v>
      </c>
      <c r="H1175" s="3" t="s">
        <v>29</v>
      </c>
      <c r="I1175" s="3" t="n">
        <f aca="false">YEAR(E1175)</f>
        <v>2025</v>
      </c>
      <c r="J1175" s="3" t="n">
        <f aca="false">MONTH(E1175)</f>
        <v>11</v>
      </c>
      <c r="K1175" s="3" t="n">
        <f aca="false">COUNTIFS($B$2:$B$4077,B1175,$C$2:$C$4077,C1175,$I$2:$I$4077,I1175)</f>
        <v>2</v>
      </c>
      <c r="L1175" s="3" t="n">
        <f aca="false">IF(COUNTIFS($B$2:B1175,B1175,$C$2:C1175,C1175,$I$2:I1175,I1175)=1,1,0)</f>
        <v>0</v>
      </c>
      <c r="M1175" s="3" t="n">
        <f aca="false">IF(K1175&gt;=Parametri!$B$1,1,0)</f>
        <v>1</v>
      </c>
      <c r="N1175" s="3" t="n">
        <f aca="false">L1175*M1175</f>
        <v>0</v>
      </c>
    </row>
    <row r="1176" customFormat="false" ht="15" hidden="false" customHeight="false" outlineLevel="0" collapsed="false">
      <c r="A1176" s="0" t="s">
        <v>2039</v>
      </c>
      <c r="B1176" s="0" t="s">
        <v>31</v>
      </c>
      <c r="C1176" s="0" t="s">
        <v>475</v>
      </c>
      <c r="D1176" s="0" t="s">
        <v>38</v>
      </c>
      <c r="E1176" s="2" t="n">
        <v>45742</v>
      </c>
      <c r="F1176" s="3" t="s">
        <v>34</v>
      </c>
      <c r="G1176" s="3" t="s">
        <v>55</v>
      </c>
      <c r="H1176" s="3" t="s">
        <v>29</v>
      </c>
      <c r="I1176" s="3" t="n">
        <f aca="false">YEAR(E1176)</f>
        <v>2025</v>
      </c>
      <c r="J1176" s="3" t="n">
        <f aca="false">MONTH(E1176)</f>
        <v>3</v>
      </c>
      <c r="K1176" s="3" t="n">
        <f aca="false">COUNTIFS($B$2:$B$4077,B1176,$C$2:$C$4077,C1176,$I$2:$I$4077,I1176)</f>
        <v>3</v>
      </c>
      <c r="L1176" s="3" t="n">
        <f aca="false">IF(COUNTIFS($B$2:B1176,B1176,$C$2:C1176,C1176,$I$2:I1176,I1176)=1,1,0)</f>
        <v>1</v>
      </c>
      <c r="M1176" s="3" t="n">
        <f aca="false">IF(K1176&gt;=Parametri!$B$1,1,0)</f>
        <v>1</v>
      </c>
      <c r="N1176" s="3" t="n">
        <f aca="false">L1176*M1176</f>
        <v>1</v>
      </c>
    </row>
    <row r="1177" customFormat="false" ht="15" hidden="false" customHeight="false" outlineLevel="0" collapsed="false">
      <c r="A1177" s="0" t="s">
        <v>2040</v>
      </c>
      <c r="B1177" s="0" t="s">
        <v>50</v>
      </c>
      <c r="C1177" s="0" t="s">
        <v>275</v>
      </c>
      <c r="D1177" s="0" t="s">
        <v>26</v>
      </c>
      <c r="E1177" s="2" t="n">
        <v>45618</v>
      </c>
      <c r="F1177" s="3" t="s">
        <v>20</v>
      </c>
      <c r="G1177" s="3" t="s">
        <v>39</v>
      </c>
      <c r="H1177" s="3" t="s">
        <v>48</v>
      </c>
      <c r="I1177" s="3" t="n">
        <f aca="false">YEAR(E1177)</f>
        <v>2024</v>
      </c>
      <c r="J1177" s="3" t="n">
        <f aca="false">MONTH(E1177)</f>
        <v>11</v>
      </c>
      <c r="K1177" s="3" t="n">
        <f aca="false">COUNTIFS($B$2:$B$4077,B1177,$C$2:$C$4077,C1177,$I$2:$I$4077,I1177)</f>
        <v>1</v>
      </c>
      <c r="L1177" s="3" t="n">
        <f aca="false">IF(COUNTIFS($B$2:B1177,B1177,$C$2:C1177,C1177,$I$2:I1177,I1177)=1,1,0)</f>
        <v>1</v>
      </c>
      <c r="M1177" s="3" t="n">
        <f aca="false">IF(K1177&gt;=Parametri!$B$1,1,0)</f>
        <v>0</v>
      </c>
      <c r="N1177" s="3" t="n">
        <f aca="false">L1177*M1177</f>
        <v>0</v>
      </c>
    </row>
    <row r="1178" customFormat="false" ht="15" hidden="false" customHeight="false" outlineLevel="0" collapsed="false">
      <c r="A1178" s="0" t="s">
        <v>2041</v>
      </c>
      <c r="B1178" s="0" t="s">
        <v>124</v>
      </c>
      <c r="C1178" s="0" t="s">
        <v>1243</v>
      </c>
      <c r="D1178" s="0" t="s">
        <v>66</v>
      </c>
      <c r="E1178" s="2" t="n">
        <v>45371</v>
      </c>
      <c r="F1178" s="3" t="s">
        <v>20</v>
      </c>
      <c r="G1178" s="3" t="s">
        <v>55</v>
      </c>
      <c r="H1178" s="3" t="s">
        <v>22</v>
      </c>
      <c r="I1178" s="3" t="n">
        <f aca="false">YEAR(E1178)</f>
        <v>2024</v>
      </c>
      <c r="J1178" s="3" t="n">
        <f aca="false">MONTH(E1178)</f>
        <v>3</v>
      </c>
      <c r="K1178" s="3" t="n">
        <f aca="false">COUNTIFS($B$2:$B$4077,B1178,$C$2:$C$4077,C1178,$I$2:$I$4077,I1178)</f>
        <v>4</v>
      </c>
      <c r="L1178" s="3" t="n">
        <f aca="false">IF(COUNTIFS($B$2:B1178,B1178,$C$2:C1178,C1178,$I$2:I1178,I1178)=1,1,0)</f>
        <v>1</v>
      </c>
      <c r="M1178" s="3" t="n">
        <f aca="false">IF(K1178&gt;=Parametri!$B$1,1,0)</f>
        <v>1</v>
      </c>
      <c r="N1178" s="3" t="n">
        <f aca="false">L1178*M1178</f>
        <v>1</v>
      </c>
    </row>
    <row r="1179" customFormat="false" ht="15" hidden="false" customHeight="false" outlineLevel="0" collapsed="false">
      <c r="A1179" s="0" t="s">
        <v>2042</v>
      </c>
      <c r="B1179" s="0" t="s">
        <v>57</v>
      </c>
      <c r="C1179" s="0" t="s">
        <v>2043</v>
      </c>
      <c r="D1179" s="0" t="s">
        <v>77</v>
      </c>
      <c r="E1179" s="2" t="n">
        <v>45734</v>
      </c>
      <c r="F1179" s="3" t="s">
        <v>20</v>
      </c>
      <c r="G1179" s="3" t="s">
        <v>43</v>
      </c>
      <c r="H1179" s="3" t="s">
        <v>22</v>
      </c>
      <c r="I1179" s="3" t="n">
        <f aca="false">YEAR(E1179)</f>
        <v>2025</v>
      </c>
      <c r="J1179" s="3" t="n">
        <f aca="false">MONTH(E1179)</f>
        <v>3</v>
      </c>
      <c r="K1179" s="3" t="n">
        <f aca="false">COUNTIFS($B$2:$B$4077,B1179,$C$2:$C$4077,C1179,$I$2:$I$4077,I1179)</f>
        <v>4</v>
      </c>
      <c r="L1179" s="3" t="n">
        <f aca="false">IF(COUNTIFS($B$2:B1179,B1179,$C$2:C1179,C1179,$I$2:I1179,I1179)=1,1,0)</f>
        <v>1</v>
      </c>
      <c r="M1179" s="3" t="n">
        <f aca="false">IF(K1179&gt;=Parametri!$B$1,1,0)</f>
        <v>1</v>
      </c>
      <c r="N1179" s="3" t="n">
        <f aca="false">L1179*M1179</f>
        <v>1</v>
      </c>
    </row>
    <row r="1180" customFormat="false" ht="15" hidden="false" customHeight="false" outlineLevel="0" collapsed="false">
      <c r="A1180" s="0" t="s">
        <v>2044</v>
      </c>
      <c r="B1180" s="0" t="s">
        <v>17</v>
      </c>
      <c r="C1180" s="0" t="s">
        <v>2045</v>
      </c>
      <c r="D1180" s="0" t="s">
        <v>38</v>
      </c>
      <c r="E1180" s="2" t="n">
        <v>45549</v>
      </c>
      <c r="F1180" s="3" t="s">
        <v>27</v>
      </c>
      <c r="G1180" s="3" t="s">
        <v>28</v>
      </c>
      <c r="H1180" s="3" t="s">
        <v>22</v>
      </c>
      <c r="I1180" s="3" t="n">
        <f aca="false">YEAR(E1180)</f>
        <v>2024</v>
      </c>
      <c r="J1180" s="3" t="n">
        <f aca="false">MONTH(E1180)</f>
        <v>9</v>
      </c>
      <c r="K1180" s="3" t="n">
        <f aca="false">COUNTIFS($B$2:$B$4077,B1180,$C$2:$C$4077,C1180,$I$2:$I$4077,I1180)</f>
        <v>1</v>
      </c>
      <c r="L1180" s="3" t="n">
        <f aca="false">IF(COUNTIFS($B$2:B1180,B1180,$C$2:C1180,C1180,$I$2:I1180,I1180)=1,1,0)</f>
        <v>1</v>
      </c>
      <c r="M1180" s="3" t="n">
        <f aca="false">IF(K1180&gt;=Parametri!$B$1,1,0)</f>
        <v>0</v>
      </c>
      <c r="N1180" s="3" t="n">
        <f aca="false">L1180*M1180</f>
        <v>0</v>
      </c>
    </row>
    <row r="1181" customFormat="false" ht="15" hidden="false" customHeight="false" outlineLevel="0" collapsed="false">
      <c r="A1181" s="0" t="s">
        <v>2046</v>
      </c>
      <c r="B1181" s="0" t="s">
        <v>46</v>
      </c>
      <c r="C1181" s="0" t="s">
        <v>962</v>
      </c>
      <c r="D1181" s="0" t="s">
        <v>66</v>
      </c>
      <c r="E1181" s="2" t="n">
        <v>45667</v>
      </c>
      <c r="F1181" s="3" t="s">
        <v>34</v>
      </c>
      <c r="G1181" s="3" t="s">
        <v>55</v>
      </c>
      <c r="H1181" s="3" t="s">
        <v>44</v>
      </c>
      <c r="I1181" s="3" t="n">
        <f aca="false">YEAR(E1181)</f>
        <v>2025</v>
      </c>
      <c r="J1181" s="3" t="n">
        <f aca="false">MONTH(E1181)</f>
        <v>1</v>
      </c>
      <c r="K1181" s="3" t="n">
        <f aca="false">COUNTIFS($B$2:$B$4077,B1181,$C$2:$C$4077,C1181,$I$2:$I$4077,I1181)</f>
        <v>5</v>
      </c>
      <c r="L1181" s="3" t="n">
        <f aca="false">IF(COUNTIFS($B$2:B1181,B1181,$C$2:C1181,C1181,$I$2:I1181,I1181)=1,1,0)</f>
        <v>0</v>
      </c>
      <c r="M1181" s="3" t="n">
        <f aca="false">IF(K1181&gt;=Parametri!$B$1,1,0)</f>
        <v>1</v>
      </c>
      <c r="N1181" s="3" t="n">
        <f aca="false">L1181*M1181</f>
        <v>0</v>
      </c>
    </row>
    <row r="1182" customFormat="false" ht="15" hidden="false" customHeight="false" outlineLevel="0" collapsed="false">
      <c r="A1182" s="0" t="s">
        <v>2047</v>
      </c>
      <c r="B1182" s="0" t="s">
        <v>41</v>
      </c>
      <c r="C1182" s="0" t="s">
        <v>675</v>
      </c>
      <c r="D1182" s="0" t="s">
        <v>26</v>
      </c>
      <c r="E1182" s="2" t="n">
        <v>45474</v>
      </c>
      <c r="F1182" s="3" t="s">
        <v>34</v>
      </c>
      <c r="G1182" s="3" t="s">
        <v>28</v>
      </c>
      <c r="H1182" s="3" t="s">
        <v>44</v>
      </c>
      <c r="I1182" s="3" t="n">
        <f aca="false">YEAR(E1182)</f>
        <v>2024</v>
      </c>
      <c r="J1182" s="3" t="n">
        <f aca="false">MONTH(E1182)</f>
        <v>7</v>
      </c>
      <c r="K1182" s="3" t="n">
        <f aca="false">COUNTIFS($B$2:$B$4077,B1182,$C$2:$C$4077,C1182,$I$2:$I$4077,I1182)</f>
        <v>5</v>
      </c>
      <c r="L1182" s="3" t="n">
        <f aca="false">IF(COUNTIFS($B$2:B1182,B1182,$C$2:C1182,C1182,$I$2:I1182,I1182)=1,1,0)</f>
        <v>0</v>
      </c>
      <c r="M1182" s="3" t="n">
        <f aca="false">IF(K1182&gt;=Parametri!$B$1,1,0)</f>
        <v>1</v>
      </c>
      <c r="N1182" s="3" t="n">
        <f aca="false">L1182*M1182</f>
        <v>0</v>
      </c>
    </row>
    <row r="1183" customFormat="false" ht="15" hidden="false" customHeight="false" outlineLevel="0" collapsed="false">
      <c r="A1183" s="0" t="s">
        <v>2048</v>
      </c>
      <c r="B1183" s="0" t="s">
        <v>50</v>
      </c>
      <c r="C1183" s="0" t="s">
        <v>2049</v>
      </c>
      <c r="D1183" s="0" t="s">
        <v>77</v>
      </c>
      <c r="E1183" s="2" t="n">
        <v>45438</v>
      </c>
      <c r="F1183" s="3" t="s">
        <v>27</v>
      </c>
      <c r="G1183" s="3" t="s">
        <v>43</v>
      </c>
      <c r="H1183" s="3" t="s">
        <v>29</v>
      </c>
      <c r="I1183" s="3" t="n">
        <f aca="false">YEAR(E1183)</f>
        <v>2024</v>
      </c>
      <c r="J1183" s="3" t="n">
        <f aca="false">MONTH(E1183)</f>
        <v>5</v>
      </c>
      <c r="K1183" s="3" t="n">
        <f aca="false">COUNTIFS($B$2:$B$4077,B1183,$C$2:$C$4077,C1183,$I$2:$I$4077,I1183)</f>
        <v>1</v>
      </c>
      <c r="L1183" s="3" t="n">
        <f aca="false">IF(COUNTIFS($B$2:B1183,B1183,$C$2:C1183,C1183,$I$2:I1183,I1183)=1,1,0)</f>
        <v>1</v>
      </c>
      <c r="M1183" s="3" t="n">
        <f aca="false">IF(K1183&gt;=Parametri!$B$1,1,0)</f>
        <v>0</v>
      </c>
      <c r="N1183" s="3" t="n">
        <f aca="false">L1183*M1183</f>
        <v>0</v>
      </c>
    </row>
    <row r="1184" customFormat="false" ht="15" hidden="false" customHeight="false" outlineLevel="0" collapsed="false">
      <c r="A1184" s="0" t="s">
        <v>2050</v>
      </c>
      <c r="B1184" s="0" t="s">
        <v>68</v>
      </c>
      <c r="C1184" s="0" t="s">
        <v>2051</v>
      </c>
      <c r="D1184" s="0" t="s">
        <v>33</v>
      </c>
      <c r="E1184" s="2" t="n">
        <v>45968</v>
      </c>
      <c r="F1184" s="3" t="s">
        <v>34</v>
      </c>
      <c r="G1184" s="3" t="s">
        <v>104</v>
      </c>
      <c r="H1184" s="3" t="s">
        <v>22</v>
      </c>
      <c r="I1184" s="3" t="n">
        <f aca="false">YEAR(E1184)</f>
        <v>2025</v>
      </c>
      <c r="J1184" s="3" t="n">
        <f aca="false">MONTH(E1184)</f>
        <v>11</v>
      </c>
      <c r="K1184" s="3" t="n">
        <f aca="false">COUNTIFS($B$2:$B$4077,B1184,$C$2:$C$4077,C1184,$I$2:$I$4077,I1184)</f>
        <v>2</v>
      </c>
      <c r="L1184" s="3" t="n">
        <f aca="false">IF(COUNTIFS($B$2:B1184,B1184,$C$2:C1184,C1184,$I$2:I1184,I1184)=1,1,0)</f>
        <v>1</v>
      </c>
      <c r="M1184" s="3" t="n">
        <f aca="false">IF(K1184&gt;=Parametri!$B$1,1,0)</f>
        <v>1</v>
      </c>
      <c r="N1184" s="3" t="n">
        <f aca="false">L1184*M1184</f>
        <v>1</v>
      </c>
    </row>
    <row r="1185" customFormat="false" ht="15" hidden="false" customHeight="false" outlineLevel="0" collapsed="false">
      <c r="A1185" s="0" t="s">
        <v>2052</v>
      </c>
      <c r="B1185" s="0" t="s">
        <v>46</v>
      </c>
      <c r="C1185" s="0" t="s">
        <v>2053</v>
      </c>
      <c r="D1185" s="0" t="s">
        <v>19</v>
      </c>
      <c r="E1185" s="2" t="n">
        <v>45524</v>
      </c>
      <c r="F1185" s="3" t="s">
        <v>34</v>
      </c>
      <c r="G1185" s="3" t="s">
        <v>72</v>
      </c>
      <c r="H1185" s="3" t="s">
        <v>48</v>
      </c>
      <c r="I1185" s="3" t="n">
        <f aca="false">YEAR(E1185)</f>
        <v>2024</v>
      </c>
      <c r="J1185" s="3" t="n">
        <f aca="false">MONTH(E1185)</f>
        <v>8</v>
      </c>
      <c r="K1185" s="3" t="n">
        <f aca="false">COUNTIFS($B$2:$B$4077,B1185,$C$2:$C$4077,C1185,$I$2:$I$4077,I1185)</f>
        <v>2</v>
      </c>
      <c r="L1185" s="3" t="n">
        <f aca="false">IF(COUNTIFS($B$2:B1185,B1185,$C$2:C1185,C1185,$I$2:I1185,I1185)=1,1,0)</f>
        <v>1</v>
      </c>
      <c r="M1185" s="3" t="n">
        <f aca="false">IF(K1185&gt;=Parametri!$B$1,1,0)</f>
        <v>1</v>
      </c>
      <c r="N1185" s="3" t="n">
        <f aca="false">L1185*M1185</f>
        <v>1</v>
      </c>
    </row>
    <row r="1186" customFormat="false" ht="15" hidden="false" customHeight="false" outlineLevel="0" collapsed="false">
      <c r="A1186" s="0" t="s">
        <v>2054</v>
      </c>
      <c r="B1186" s="0" t="s">
        <v>24</v>
      </c>
      <c r="C1186" s="0" t="s">
        <v>2055</v>
      </c>
      <c r="D1186" s="0" t="s">
        <v>77</v>
      </c>
      <c r="E1186" s="2" t="n">
        <v>45805</v>
      </c>
      <c r="F1186" s="3" t="s">
        <v>27</v>
      </c>
      <c r="G1186" s="3" t="s">
        <v>35</v>
      </c>
      <c r="H1186" s="3" t="s">
        <v>29</v>
      </c>
      <c r="I1186" s="3" t="n">
        <f aca="false">YEAR(E1186)</f>
        <v>2025</v>
      </c>
      <c r="J1186" s="3" t="n">
        <f aca="false">MONTH(E1186)</f>
        <v>5</v>
      </c>
      <c r="K1186" s="3" t="n">
        <f aca="false">COUNTIFS($B$2:$B$4077,B1186,$C$2:$C$4077,C1186,$I$2:$I$4077,I1186)</f>
        <v>2</v>
      </c>
      <c r="L1186" s="3" t="n">
        <f aca="false">IF(COUNTIFS($B$2:B1186,B1186,$C$2:C1186,C1186,$I$2:I1186,I1186)=1,1,0)</f>
        <v>1</v>
      </c>
      <c r="M1186" s="3" t="n">
        <f aca="false">IF(K1186&gt;=Parametri!$B$1,1,0)</f>
        <v>1</v>
      </c>
      <c r="N1186" s="3" t="n">
        <f aca="false">L1186*M1186</f>
        <v>1</v>
      </c>
    </row>
    <row r="1187" customFormat="false" ht="15" hidden="false" customHeight="false" outlineLevel="0" collapsed="false">
      <c r="A1187" s="0" t="s">
        <v>2056</v>
      </c>
      <c r="B1187" s="0" t="s">
        <v>31</v>
      </c>
      <c r="C1187" s="0" t="s">
        <v>2057</v>
      </c>
      <c r="D1187" s="0" t="s">
        <v>38</v>
      </c>
      <c r="E1187" s="2" t="n">
        <v>45851</v>
      </c>
      <c r="F1187" s="3" t="s">
        <v>27</v>
      </c>
      <c r="G1187" s="3" t="s">
        <v>72</v>
      </c>
      <c r="H1187" s="3" t="s">
        <v>44</v>
      </c>
      <c r="I1187" s="3" t="n">
        <f aca="false">YEAR(E1187)</f>
        <v>2025</v>
      </c>
      <c r="J1187" s="3" t="n">
        <f aca="false">MONTH(E1187)</f>
        <v>7</v>
      </c>
      <c r="K1187" s="3" t="n">
        <f aca="false">COUNTIFS($B$2:$B$4077,B1187,$C$2:$C$4077,C1187,$I$2:$I$4077,I1187)</f>
        <v>1</v>
      </c>
      <c r="L1187" s="3" t="n">
        <f aca="false">IF(COUNTIFS($B$2:B1187,B1187,$C$2:C1187,C1187,$I$2:I1187,I1187)=1,1,0)</f>
        <v>1</v>
      </c>
      <c r="M1187" s="3" t="n">
        <f aca="false">IF(K1187&gt;=Parametri!$B$1,1,0)</f>
        <v>0</v>
      </c>
      <c r="N1187" s="3" t="n">
        <f aca="false">L1187*M1187</f>
        <v>0</v>
      </c>
    </row>
    <row r="1188" customFormat="false" ht="15" hidden="false" customHeight="false" outlineLevel="0" collapsed="false">
      <c r="A1188" s="0" t="s">
        <v>2058</v>
      </c>
      <c r="B1188" s="0" t="s">
        <v>46</v>
      </c>
      <c r="C1188" s="0" t="s">
        <v>1321</v>
      </c>
      <c r="D1188" s="0" t="s">
        <v>38</v>
      </c>
      <c r="E1188" s="2" t="n">
        <v>45743</v>
      </c>
      <c r="F1188" s="3" t="s">
        <v>20</v>
      </c>
      <c r="G1188" s="3" t="s">
        <v>89</v>
      </c>
      <c r="H1188" s="3" t="s">
        <v>29</v>
      </c>
      <c r="I1188" s="3" t="n">
        <f aca="false">YEAR(E1188)</f>
        <v>2025</v>
      </c>
      <c r="J1188" s="3" t="n">
        <f aca="false">MONTH(E1188)</f>
        <v>3</v>
      </c>
      <c r="K1188" s="3" t="n">
        <f aca="false">COUNTIFS($B$2:$B$4077,B1188,$C$2:$C$4077,C1188,$I$2:$I$4077,I1188)</f>
        <v>1</v>
      </c>
      <c r="L1188" s="3" t="n">
        <f aca="false">IF(COUNTIFS($B$2:B1188,B1188,$C$2:C1188,C1188,$I$2:I1188,I1188)=1,1,0)</f>
        <v>1</v>
      </c>
      <c r="M1188" s="3" t="n">
        <f aca="false">IF(K1188&gt;=Parametri!$B$1,1,0)</f>
        <v>0</v>
      </c>
      <c r="N1188" s="3" t="n">
        <f aca="false">L1188*M1188</f>
        <v>0</v>
      </c>
    </row>
    <row r="1189" customFormat="false" ht="15" hidden="false" customHeight="false" outlineLevel="0" collapsed="false">
      <c r="A1189" s="0" t="s">
        <v>2059</v>
      </c>
      <c r="B1189" s="0" t="s">
        <v>68</v>
      </c>
      <c r="C1189" s="0" t="s">
        <v>2060</v>
      </c>
      <c r="D1189" s="0" t="s">
        <v>66</v>
      </c>
      <c r="E1189" s="2" t="n">
        <v>45349</v>
      </c>
      <c r="F1189" s="3" t="s">
        <v>27</v>
      </c>
      <c r="G1189" s="3" t="s">
        <v>35</v>
      </c>
      <c r="H1189" s="3" t="s">
        <v>22</v>
      </c>
      <c r="I1189" s="3" t="n">
        <f aca="false">YEAR(E1189)</f>
        <v>2024</v>
      </c>
      <c r="J1189" s="3" t="n">
        <f aca="false">MONTH(E1189)</f>
        <v>2</v>
      </c>
      <c r="K1189" s="3" t="n">
        <f aca="false">COUNTIFS($B$2:$B$4077,B1189,$C$2:$C$4077,C1189,$I$2:$I$4077,I1189)</f>
        <v>1</v>
      </c>
      <c r="L1189" s="3" t="n">
        <f aca="false">IF(COUNTIFS($B$2:B1189,B1189,$C$2:C1189,C1189,$I$2:I1189,I1189)=1,1,0)</f>
        <v>1</v>
      </c>
      <c r="M1189" s="3" t="n">
        <f aca="false">IF(K1189&gt;=Parametri!$B$1,1,0)</f>
        <v>0</v>
      </c>
      <c r="N1189" s="3" t="n">
        <f aca="false">L1189*M1189</f>
        <v>0</v>
      </c>
    </row>
    <row r="1190" customFormat="false" ht="15" hidden="false" customHeight="false" outlineLevel="0" collapsed="false">
      <c r="A1190" s="0" t="s">
        <v>2061</v>
      </c>
      <c r="B1190" s="0" t="s">
        <v>68</v>
      </c>
      <c r="C1190" s="0" t="s">
        <v>2062</v>
      </c>
      <c r="D1190" s="0" t="s">
        <v>26</v>
      </c>
      <c r="E1190" s="2" t="n">
        <v>45815</v>
      </c>
      <c r="F1190" s="3" t="s">
        <v>34</v>
      </c>
      <c r="G1190" s="3" t="s">
        <v>89</v>
      </c>
      <c r="H1190" s="3" t="s">
        <v>48</v>
      </c>
      <c r="I1190" s="3" t="n">
        <f aca="false">YEAR(E1190)</f>
        <v>2025</v>
      </c>
      <c r="J1190" s="3" t="n">
        <f aca="false">MONTH(E1190)</f>
        <v>6</v>
      </c>
      <c r="K1190" s="3" t="n">
        <f aca="false">COUNTIFS($B$2:$B$4077,B1190,$C$2:$C$4077,C1190,$I$2:$I$4077,I1190)</f>
        <v>1</v>
      </c>
      <c r="L1190" s="3" t="n">
        <f aca="false">IF(COUNTIFS($B$2:B1190,B1190,$C$2:C1190,C1190,$I$2:I1190,I1190)=1,1,0)</f>
        <v>1</v>
      </c>
      <c r="M1190" s="3" t="n">
        <f aca="false">IF(K1190&gt;=Parametri!$B$1,1,0)</f>
        <v>0</v>
      </c>
      <c r="N1190" s="3" t="n">
        <f aca="false">L1190*M1190</f>
        <v>0</v>
      </c>
    </row>
    <row r="1191" customFormat="false" ht="15" hidden="false" customHeight="false" outlineLevel="0" collapsed="false">
      <c r="A1191" s="0" t="s">
        <v>2063</v>
      </c>
      <c r="B1191" s="0" t="s">
        <v>79</v>
      </c>
      <c r="C1191" s="0" t="s">
        <v>838</v>
      </c>
      <c r="D1191" s="0" t="s">
        <v>77</v>
      </c>
      <c r="E1191" s="2" t="n">
        <v>45693</v>
      </c>
      <c r="F1191" s="3" t="s">
        <v>20</v>
      </c>
      <c r="G1191" s="3" t="s">
        <v>55</v>
      </c>
      <c r="H1191" s="3" t="s">
        <v>29</v>
      </c>
      <c r="I1191" s="3" t="n">
        <f aca="false">YEAR(E1191)</f>
        <v>2025</v>
      </c>
      <c r="J1191" s="3" t="n">
        <f aca="false">MONTH(E1191)</f>
        <v>2</v>
      </c>
      <c r="K1191" s="3" t="n">
        <f aca="false">COUNTIFS($B$2:$B$4077,B1191,$C$2:$C$4077,C1191,$I$2:$I$4077,I1191)</f>
        <v>3</v>
      </c>
      <c r="L1191" s="3" t="n">
        <f aca="false">IF(COUNTIFS($B$2:B1191,B1191,$C$2:C1191,C1191,$I$2:I1191,I1191)=1,1,0)</f>
        <v>0</v>
      </c>
      <c r="M1191" s="3" t="n">
        <f aca="false">IF(K1191&gt;=Parametri!$B$1,1,0)</f>
        <v>1</v>
      </c>
      <c r="N1191" s="3" t="n">
        <f aca="false">L1191*M1191</f>
        <v>0</v>
      </c>
    </row>
    <row r="1192" customFormat="false" ht="15" hidden="false" customHeight="false" outlineLevel="0" collapsed="false">
      <c r="A1192" s="0" t="s">
        <v>2064</v>
      </c>
      <c r="B1192" s="0" t="s">
        <v>57</v>
      </c>
      <c r="C1192" s="0" t="s">
        <v>216</v>
      </c>
      <c r="D1192" s="0" t="s">
        <v>38</v>
      </c>
      <c r="E1192" s="2" t="n">
        <v>46235</v>
      </c>
      <c r="F1192" s="3" t="s">
        <v>34</v>
      </c>
      <c r="G1192" s="3" t="s">
        <v>55</v>
      </c>
      <c r="H1192" s="3" t="s">
        <v>48</v>
      </c>
      <c r="I1192" s="3" t="n">
        <f aca="false">YEAR(E1192)</f>
        <v>2026</v>
      </c>
      <c r="J1192" s="3" t="n">
        <f aca="false">MONTH(E1192)</f>
        <v>8</v>
      </c>
      <c r="K1192" s="3" t="n">
        <f aca="false">COUNTIFS($B$2:$B$4077,B1192,$C$2:$C$4077,C1192,$I$2:$I$4077,I1192)</f>
        <v>7</v>
      </c>
      <c r="L1192" s="3" t="n">
        <f aca="false">IF(COUNTIFS($B$2:B1192,B1192,$C$2:C1192,C1192,$I$2:I1192,I1192)=1,1,0)</f>
        <v>0</v>
      </c>
      <c r="M1192" s="3" t="n">
        <f aca="false">IF(K1192&gt;=Parametri!$B$1,1,0)</f>
        <v>1</v>
      </c>
      <c r="N1192" s="3" t="n">
        <f aca="false">L1192*M1192</f>
        <v>0</v>
      </c>
    </row>
    <row r="1193" customFormat="false" ht="15" hidden="false" customHeight="false" outlineLevel="0" collapsed="false">
      <c r="A1193" s="0" t="s">
        <v>2065</v>
      </c>
      <c r="B1193" s="0" t="s">
        <v>31</v>
      </c>
      <c r="C1193" s="0" t="s">
        <v>712</v>
      </c>
      <c r="D1193" s="0" t="s">
        <v>26</v>
      </c>
      <c r="E1193" s="2" t="n">
        <v>45705</v>
      </c>
      <c r="F1193" s="3" t="s">
        <v>34</v>
      </c>
      <c r="G1193" s="3" t="s">
        <v>28</v>
      </c>
      <c r="H1193" s="3" t="s">
        <v>44</v>
      </c>
      <c r="I1193" s="3" t="n">
        <f aca="false">YEAR(E1193)</f>
        <v>2025</v>
      </c>
      <c r="J1193" s="3" t="n">
        <f aca="false">MONTH(E1193)</f>
        <v>2</v>
      </c>
      <c r="K1193" s="3" t="n">
        <f aca="false">COUNTIFS($B$2:$B$4077,B1193,$C$2:$C$4077,C1193,$I$2:$I$4077,I1193)</f>
        <v>6</v>
      </c>
      <c r="L1193" s="3" t="n">
        <f aca="false">IF(COUNTIFS($B$2:B1193,B1193,$C$2:C1193,C1193,$I$2:I1193,I1193)=1,1,0)</f>
        <v>0</v>
      </c>
      <c r="M1193" s="3" t="n">
        <f aca="false">IF(K1193&gt;=Parametri!$B$1,1,0)</f>
        <v>1</v>
      </c>
      <c r="N1193" s="3" t="n">
        <f aca="false">L1193*M1193</f>
        <v>0</v>
      </c>
    </row>
    <row r="1194" customFormat="false" ht="15" hidden="false" customHeight="false" outlineLevel="0" collapsed="false">
      <c r="A1194" s="0" t="s">
        <v>2066</v>
      </c>
      <c r="B1194" s="0" t="s">
        <v>17</v>
      </c>
      <c r="C1194" s="0" t="s">
        <v>1003</v>
      </c>
      <c r="D1194" s="0" t="s">
        <v>33</v>
      </c>
      <c r="E1194" s="2" t="n">
        <v>45569</v>
      </c>
      <c r="F1194" s="3" t="s">
        <v>20</v>
      </c>
      <c r="G1194" s="3" t="s">
        <v>72</v>
      </c>
      <c r="H1194" s="3" t="s">
        <v>48</v>
      </c>
      <c r="I1194" s="3" t="n">
        <f aca="false">YEAR(E1194)</f>
        <v>2024</v>
      </c>
      <c r="J1194" s="3" t="n">
        <f aca="false">MONTH(E1194)</f>
        <v>10</v>
      </c>
      <c r="K1194" s="3" t="n">
        <f aca="false">COUNTIFS($B$2:$B$4077,B1194,$C$2:$C$4077,C1194,$I$2:$I$4077,I1194)</f>
        <v>3</v>
      </c>
      <c r="L1194" s="3" t="n">
        <f aca="false">IF(COUNTIFS($B$2:B1194,B1194,$C$2:C1194,C1194,$I$2:I1194,I1194)=1,1,0)</f>
        <v>1</v>
      </c>
      <c r="M1194" s="3" t="n">
        <f aca="false">IF(K1194&gt;=Parametri!$B$1,1,0)</f>
        <v>1</v>
      </c>
      <c r="N1194" s="3" t="n">
        <f aca="false">L1194*M1194</f>
        <v>1</v>
      </c>
    </row>
    <row r="1195" customFormat="false" ht="15" hidden="false" customHeight="false" outlineLevel="0" collapsed="false">
      <c r="A1195" s="0" t="s">
        <v>2067</v>
      </c>
      <c r="B1195" s="0" t="s">
        <v>46</v>
      </c>
      <c r="C1195" s="0" t="s">
        <v>2068</v>
      </c>
      <c r="D1195" s="0" t="s">
        <v>33</v>
      </c>
      <c r="E1195" s="2" t="n">
        <v>45444</v>
      </c>
      <c r="F1195" s="3" t="s">
        <v>20</v>
      </c>
      <c r="G1195" s="3" t="s">
        <v>72</v>
      </c>
      <c r="H1195" s="3" t="s">
        <v>29</v>
      </c>
      <c r="I1195" s="3" t="n">
        <f aca="false">YEAR(E1195)</f>
        <v>2024</v>
      </c>
      <c r="J1195" s="3" t="n">
        <f aca="false">MONTH(E1195)</f>
        <v>6</v>
      </c>
      <c r="K1195" s="3" t="n">
        <f aca="false">COUNTIFS($B$2:$B$4077,B1195,$C$2:$C$4077,C1195,$I$2:$I$4077,I1195)</f>
        <v>1</v>
      </c>
      <c r="L1195" s="3" t="n">
        <f aca="false">IF(COUNTIFS($B$2:B1195,B1195,$C$2:C1195,C1195,$I$2:I1195,I1195)=1,1,0)</f>
        <v>1</v>
      </c>
      <c r="M1195" s="3" t="n">
        <f aca="false">IF(K1195&gt;=Parametri!$B$1,1,0)</f>
        <v>0</v>
      </c>
      <c r="N1195" s="3" t="n">
        <f aca="false">L1195*M1195</f>
        <v>0</v>
      </c>
    </row>
    <row r="1196" customFormat="false" ht="15" hidden="false" customHeight="false" outlineLevel="0" collapsed="false">
      <c r="A1196" s="0" t="s">
        <v>2069</v>
      </c>
      <c r="B1196" s="0" t="s">
        <v>68</v>
      </c>
      <c r="C1196" s="0" t="s">
        <v>2070</v>
      </c>
      <c r="D1196" s="0" t="s">
        <v>19</v>
      </c>
      <c r="E1196" s="2" t="n">
        <v>46123</v>
      </c>
      <c r="F1196" s="3" t="s">
        <v>20</v>
      </c>
      <c r="G1196" s="3" t="s">
        <v>28</v>
      </c>
      <c r="H1196" s="3" t="s">
        <v>29</v>
      </c>
      <c r="I1196" s="3" t="n">
        <f aca="false">YEAR(E1196)</f>
        <v>2026</v>
      </c>
      <c r="J1196" s="3" t="n">
        <f aca="false">MONTH(E1196)</f>
        <v>4</v>
      </c>
      <c r="K1196" s="3" t="n">
        <f aca="false">COUNTIFS($B$2:$B$4077,B1196,$C$2:$C$4077,C1196,$I$2:$I$4077,I1196)</f>
        <v>1</v>
      </c>
      <c r="L1196" s="3" t="n">
        <f aca="false">IF(COUNTIFS($B$2:B1196,B1196,$C$2:C1196,C1196,$I$2:I1196,I1196)=1,1,0)</f>
        <v>1</v>
      </c>
      <c r="M1196" s="3" t="n">
        <f aca="false">IF(K1196&gt;=Parametri!$B$1,1,0)</f>
        <v>0</v>
      </c>
      <c r="N1196" s="3" t="n">
        <f aca="false">L1196*M1196</f>
        <v>0</v>
      </c>
    </row>
    <row r="1197" customFormat="false" ht="15" hidden="false" customHeight="false" outlineLevel="0" collapsed="false">
      <c r="A1197" s="0" t="s">
        <v>2071</v>
      </c>
      <c r="B1197" s="0" t="s">
        <v>124</v>
      </c>
      <c r="C1197" s="0" t="s">
        <v>1364</v>
      </c>
      <c r="D1197" s="0" t="s">
        <v>66</v>
      </c>
      <c r="E1197" s="2" t="n">
        <v>45709</v>
      </c>
      <c r="F1197" s="3" t="s">
        <v>20</v>
      </c>
      <c r="G1197" s="3" t="s">
        <v>72</v>
      </c>
      <c r="H1197" s="3" t="s">
        <v>44</v>
      </c>
      <c r="I1197" s="3" t="n">
        <f aca="false">YEAR(E1197)</f>
        <v>2025</v>
      </c>
      <c r="J1197" s="3" t="n">
        <f aca="false">MONTH(E1197)</f>
        <v>2</v>
      </c>
      <c r="K1197" s="3" t="n">
        <f aca="false">COUNTIFS($B$2:$B$4077,B1197,$C$2:$C$4077,C1197,$I$2:$I$4077,I1197)</f>
        <v>2</v>
      </c>
      <c r="L1197" s="3" t="n">
        <f aca="false">IF(COUNTIFS($B$2:B1197,B1197,$C$2:C1197,C1197,$I$2:I1197,I1197)=1,1,0)</f>
        <v>0</v>
      </c>
      <c r="M1197" s="3" t="n">
        <f aca="false">IF(K1197&gt;=Parametri!$B$1,1,0)</f>
        <v>1</v>
      </c>
      <c r="N1197" s="3" t="n">
        <f aca="false">L1197*M1197</f>
        <v>0</v>
      </c>
    </row>
    <row r="1198" customFormat="false" ht="15" hidden="false" customHeight="false" outlineLevel="0" collapsed="false">
      <c r="A1198" s="0" t="s">
        <v>2072</v>
      </c>
      <c r="B1198" s="0" t="s">
        <v>46</v>
      </c>
      <c r="C1198" s="0" t="s">
        <v>2073</v>
      </c>
      <c r="D1198" s="0" t="s">
        <v>33</v>
      </c>
      <c r="E1198" s="2" t="n">
        <v>45502</v>
      </c>
      <c r="F1198" s="3" t="s">
        <v>20</v>
      </c>
      <c r="G1198" s="3" t="s">
        <v>39</v>
      </c>
      <c r="H1198" s="3" t="s">
        <v>48</v>
      </c>
      <c r="I1198" s="3" t="n">
        <f aca="false">YEAR(E1198)</f>
        <v>2024</v>
      </c>
      <c r="J1198" s="3" t="n">
        <f aca="false">MONTH(E1198)</f>
        <v>7</v>
      </c>
      <c r="K1198" s="3" t="n">
        <f aca="false">COUNTIFS($B$2:$B$4077,B1198,$C$2:$C$4077,C1198,$I$2:$I$4077,I1198)</f>
        <v>1</v>
      </c>
      <c r="L1198" s="3" t="n">
        <f aca="false">IF(COUNTIFS($B$2:B1198,B1198,$C$2:C1198,C1198,$I$2:I1198,I1198)=1,1,0)</f>
        <v>1</v>
      </c>
      <c r="M1198" s="3" t="n">
        <f aca="false">IF(K1198&gt;=Parametri!$B$1,1,0)</f>
        <v>0</v>
      </c>
      <c r="N1198" s="3" t="n">
        <f aca="false">L1198*M1198</f>
        <v>0</v>
      </c>
    </row>
    <row r="1199" customFormat="false" ht="15" hidden="false" customHeight="false" outlineLevel="0" collapsed="false">
      <c r="A1199" s="0" t="s">
        <v>2074</v>
      </c>
      <c r="B1199" s="0" t="s">
        <v>124</v>
      </c>
      <c r="C1199" s="0" t="s">
        <v>125</v>
      </c>
      <c r="D1199" s="0" t="s">
        <v>66</v>
      </c>
      <c r="E1199" s="2" t="n">
        <v>45455</v>
      </c>
      <c r="F1199" s="3" t="s">
        <v>20</v>
      </c>
      <c r="G1199" s="3" t="s">
        <v>28</v>
      </c>
      <c r="H1199" s="3" t="s">
        <v>48</v>
      </c>
      <c r="I1199" s="3" t="n">
        <f aca="false">YEAR(E1199)</f>
        <v>2024</v>
      </c>
      <c r="J1199" s="3" t="n">
        <f aca="false">MONTH(E1199)</f>
        <v>6</v>
      </c>
      <c r="K1199" s="3" t="n">
        <f aca="false">COUNTIFS($B$2:$B$4077,B1199,$C$2:$C$4077,C1199,$I$2:$I$4077,I1199)</f>
        <v>4</v>
      </c>
      <c r="L1199" s="3" t="n">
        <f aca="false">IF(COUNTIFS($B$2:B1199,B1199,$C$2:C1199,C1199,$I$2:I1199,I1199)=1,1,0)</f>
        <v>0</v>
      </c>
      <c r="M1199" s="3" t="n">
        <f aca="false">IF(K1199&gt;=Parametri!$B$1,1,0)</f>
        <v>1</v>
      </c>
      <c r="N1199" s="3" t="n">
        <f aca="false">L1199*M1199</f>
        <v>0</v>
      </c>
    </row>
    <row r="1200" customFormat="false" ht="15" hidden="false" customHeight="false" outlineLevel="0" collapsed="false">
      <c r="A1200" s="0" t="s">
        <v>2075</v>
      </c>
      <c r="B1200" s="0" t="s">
        <v>50</v>
      </c>
      <c r="C1200" s="0" t="s">
        <v>893</v>
      </c>
      <c r="D1200" s="0" t="s">
        <v>26</v>
      </c>
      <c r="E1200" s="2" t="n">
        <v>45488</v>
      </c>
      <c r="F1200" s="3" t="s">
        <v>20</v>
      </c>
      <c r="G1200" s="3" t="s">
        <v>35</v>
      </c>
      <c r="H1200" s="3" t="s">
        <v>48</v>
      </c>
      <c r="I1200" s="3" t="n">
        <f aca="false">YEAR(E1200)</f>
        <v>2024</v>
      </c>
      <c r="J1200" s="3" t="n">
        <f aca="false">MONTH(E1200)</f>
        <v>7</v>
      </c>
      <c r="K1200" s="3" t="n">
        <f aca="false">COUNTIFS($B$2:$B$4077,B1200,$C$2:$C$4077,C1200,$I$2:$I$4077,I1200)</f>
        <v>1</v>
      </c>
      <c r="L1200" s="3" t="n">
        <f aca="false">IF(COUNTIFS($B$2:B1200,B1200,$C$2:C1200,C1200,$I$2:I1200,I1200)=1,1,0)</f>
        <v>1</v>
      </c>
      <c r="M1200" s="3" t="n">
        <f aca="false">IF(K1200&gt;=Parametri!$B$1,1,0)</f>
        <v>0</v>
      </c>
      <c r="N1200" s="3" t="n">
        <f aca="false">L1200*M1200</f>
        <v>0</v>
      </c>
    </row>
    <row r="1201" customFormat="false" ht="15" hidden="false" customHeight="false" outlineLevel="0" collapsed="false">
      <c r="A1201" s="0" t="s">
        <v>2076</v>
      </c>
      <c r="B1201" s="0" t="s">
        <v>31</v>
      </c>
      <c r="C1201" s="0" t="s">
        <v>2077</v>
      </c>
      <c r="D1201" s="0" t="s">
        <v>26</v>
      </c>
      <c r="E1201" s="2" t="n">
        <v>45807</v>
      </c>
      <c r="F1201" s="3" t="s">
        <v>20</v>
      </c>
      <c r="G1201" s="3" t="s">
        <v>72</v>
      </c>
      <c r="H1201" s="3" t="s">
        <v>44</v>
      </c>
      <c r="I1201" s="3" t="n">
        <f aca="false">YEAR(E1201)</f>
        <v>2025</v>
      </c>
      <c r="J1201" s="3" t="n">
        <f aca="false">MONTH(E1201)</f>
        <v>5</v>
      </c>
      <c r="K1201" s="3" t="n">
        <f aca="false">COUNTIFS($B$2:$B$4077,B1201,$C$2:$C$4077,C1201,$I$2:$I$4077,I1201)</f>
        <v>1</v>
      </c>
      <c r="L1201" s="3" t="n">
        <f aca="false">IF(COUNTIFS($B$2:B1201,B1201,$C$2:C1201,C1201,$I$2:I1201,I1201)=1,1,0)</f>
        <v>1</v>
      </c>
      <c r="M1201" s="3" t="n">
        <f aca="false">IF(K1201&gt;=Parametri!$B$1,1,0)</f>
        <v>0</v>
      </c>
      <c r="N1201" s="3" t="n">
        <f aca="false">L1201*M1201</f>
        <v>0</v>
      </c>
    </row>
    <row r="1202" customFormat="false" ht="15" hidden="false" customHeight="false" outlineLevel="0" collapsed="false">
      <c r="A1202" s="0" t="s">
        <v>2078</v>
      </c>
      <c r="B1202" s="0" t="s">
        <v>41</v>
      </c>
      <c r="C1202" s="0" t="s">
        <v>2079</v>
      </c>
      <c r="D1202" s="0" t="s">
        <v>38</v>
      </c>
      <c r="E1202" s="2" t="n">
        <v>45716</v>
      </c>
      <c r="F1202" s="3" t="s">
        <v>34</v>
      </c>
      <c r="G1202" s="3" t="s">
        <v>43</v>
      </c>
      <c r="H1202" s="3" t="s">
        <v>29</v>
      </c>
      <c r="I1202" s="3" t="n">
        <f aca="false">YEAR(E1202)</f>
        <v>2025</v>
      </c>
      <c r="J1202" s="3" t="n">
        <f aca="false">MONTH(E1202)</f>
        <v>2</v>
      </c>
      <c r="K1202" s="3" t="n">
        <f aca="false">COUNTIFS($B$2:$B$4077,B1202,$C$2:$C$4077,C1202,$I$2:$I$4077,I1202)</f>
        <v>1</v>
      </c>
      <c r="L1202" s="3" t="n">
        <f aca="false">IF(COUNTIFS($B$2:B1202,B1202,$C$2:C1202,C1202,$I$2:I1202,I1202)=1,1,0)</f>
        <v>1</v>
      </c>
      <c r="M1202" s="3" t="n">
        <f aca="false">IF(K1202&gt;=Parametri!$B$1,1,0)</f>
        <v>0</v>
      </c>
      <c r="N1202" s="3" t="n">
        <f aca="false">L1202*M1202</f>
        <v>0</v>
      </c>
    </row>
    <row r="1203" customFormat="false" ht="15" hidden="false" customHeight="false" outlineLevel="0" collapsed="false">
      <c r="A1203" s="0" t="s">
        <v>2080</v>
      </c>
      <c r="B1203" s="0" t="s">
        <v>68</v>
      </c>
      <c r="C1203" s="0" t="s">
        <v>2081</v>
      </c>
      <c r="D1203" s="0" t="s">
        <v>63</v>
      </c>
      <c r="E1203" s="2" t="n">
        <v>46034</v>
      </c>
      <c r="F1203" s="3" t="s">
        <v>34</v>
      </c>
      <c r="G1203" s="3" t="s">
        <v>21</v>
      </c>
      <c r="H1203" s="3" t="s">
        <v>29</v>
      </c>
      <c r="I1203" s="3" t="n">
        <f aca="false">YEAR(E1203)</f>
        <v>2026</v>
      </c>
      <c r="J1203" s="3" t="n">
        <f aca="false">MONTH(E1203)</f>
        <v>1</v>
      </c>
      <c r="K1203" s="3" t="n">
        <f aca="false">COUNTIFS($B$2:$B$4077,B1203,$C$2:$C$4077,C1203,$I$2:$I$4077,I1203)</f>
        <v>1</v>
      </c>
      <c r="L1203" s="3" t="n">
        <f aca="false">IF(COUNTIFS($B$2:B1203,B1203,$C$2:C1203,C1203,$I$2:I1203,I1203)=1,1,0)</f>
        <v>1</v>
      </c>
      <c r="M1203" s="3" t="n">
        <f aca="false">IF(K1203&gt;=Parametri!$B$1,1,0)</f>
        <v>0</v>
      </c>
      <c r="N1203" s="3" t="n">
        <f aca="false">L1203*M1203</f>
        <v>0</v>
      </c>
    </row>
    <row r="1204" customFormat="false" ht="15" hidden="false" customHeight="false" outlineLevel="0" collapsed="false">
      <c r="A1204" s="0" t="s">
        <v>2082</v>
      </c>
      <c r="B1204" s="0" t="s">
        <v>79</v>
      </c>
      <c r="C1204" s="0" t="s">
        <v>352</v>
      </c>
      <c r="D1204" s="0" t="s">
        <v>19</v>
      </c>
      <c r="E1204" s="2" t="n">
        <v>45547</v>
      </c>
      <c r="F1204" s="3" t="s">
        <v>20</v>
      </c>
      <c r="G1204" s="3" t="s">
        <v>21</v>
      </c>
      <c r="H1204" s="3" t="s">
        <v>22</v>
      </c>
      <c r="I1204" s="3" t="n">
        <f aca="false">YEAR(E1204)</f>
        <v>2024</v>
      </c>
      <c r="J1204" s="3" t="n">
        <f aca="false">MONTH(E1204)</f>
        <v>9</v>
      </c>
      <c r="K1204" s="3" t="n">
        <f aca="false">COUNTIFS($B$2:$B$4077,B1204,$C$2:$C$4077,C1204,$I$2:$I$4077,I1204)</f>
        <v>3</v>
      </c>
      <c r="L1204" s="3" t="n">
        <f aca="false">IF(COUNTIFS($B$2:B1204,B1204,$C$2:C1204,C1204,$I$2:I1204,I1204)=1,1,0)</f>
        <v>1</v>
      </c>
      <c r="M1204" s="3" t="n">
        <f aca="false">IF(K1204&gt;=Parametri!$B$1,1,0)</f>
        <v>1</v>
      </c>
      <c r="N1204" s="3" t="n">
        <f aca="false">L1204*M1204</f>
        <v>1</v>
      </c>
    </row>
    <row r="1205" customFormat="false" ht="15" hidden="false" customHeight="false" outlineLevel="0" collapsed="false">
      <c r="A1205" s="0" t="s">
        <v>2083</v>
      </c>
      <c r="B1205" s="0" t="s">
        <v>68</v>
      </c>
      <c r="C1205" s="0" t="s">
        <v>2084</v>
      </c>
      <c r="D1205" s="0" t="s">
        <v>26</v>
      </c>
      <c r="E1205" s="2" t="n">
        <v>45834</v>
      </c>
      <c r="F1205" s="3" t="s">
        <v>20</v>
      </c>
      <c r="G1205" s="3" t="s">
        <v>43</v>
      </c>
      <c r="H1205" s="3" t="s">
        <v>22</v>
      </c>
      <c r="I1205" s="3" t="n">
        <f aca="false">YEAR(E1205)</f>
        <v>2025</v>
      </c>
      <c r="J1205" s="3" t="n">
        <f aca="false">MONTH(E1205)</f>
        <v>6</v>
      </c>
      <c r="K1205" s="3" t="n">
        <f aca="false">COUNTIFS($B$2:$B$4077,B1205,$C$2:$C$4077,C1205,$I$2:$I$4077,I1205)</f>
        <v>1</v>
      </c>
      <c r="L1205" s="3" t="n">
        <f aca="false">IF(COUNTIFS($B$2:B1205,B1205,$C$2:C1205,C1205,$I$2:I1205,I1205)=1,1,0)</f>
        <v>1</v>
      </c>
      <c r="M1205" s="3" t="n">
        <f aca="false">IF(K1205&gt;=Parametri!$B$1,1,0)</f>
        <v>0</v>
      </c>
      <c r="N1205" s="3" t="n">
        <f aca="false">L1205*M1205</f>
        <v>0</v>
      </c>
    </row>
    <row r="1206" customFormat="false" ht="15" hidden="false" customHeight="false" outlineLevel="0" collapsed="false">
      <c r="A1206" s="0" t="s">
        <v>2085</v>
      </c>
      <c r="B1206" s="0" t="s">
        <v>17</v>
      </c>
      <c r="C1206" s="0" t="s">
        <v>1079</v>
      </c>
      <c r="D1206" s="0" t="s">
        <v>26</v>
      </c>
      <c r="E1206" s="2" t="n">
        <v>46200</v>
      </c>
      <c r="F1206" s="3" t="s">
        <v>20</v>
      </c>
      <c r="G1206" s="3" t="s">
        <v>43</v>
      </c>
      <c r="H1206" s="3" t="s">
        <v>48</v>
      </c>
      <c r="I1206" s="3" t="n">
        <f aca="false">YEAR(E1206)</f>
        <v>2026</v>
      </c>
      <c r="J1206" s="3" t="n">
        <f aca="false">MONTH(E1206)</f>
        <v>6</v>
      </c>
      <c r="K1206" s="3" t="n">
        <f aca="false">COUNTIFS($B$2:$B$4077,B1206,$C$2:$C$4077,C1206,$I$2:$I$4077,I1206)</f>
        <v>2</v>
      </c>
      <c r="L1206" s="3" t="n">
        <f aca="false">IF(COUNTIFS($B$2:B1206,B1206,$C$2:C1206,C1206,$I$2:I1206,I1206)=1,1,0)</f>
        <v>0</v>
      </c>
      <c r="M1206" s="3" t="n">
        <f aca="false">IF(K1206&gt;=Parametri!$B$1,1,0)</f>
        <v>1</v>
      </c>
      <c r="N1206" s="3" t="n">
        <f aca="false">L1206*M1206</f>
        <v>0</v>
      </c>
    </row>
    <row r="1207" customFormat="false" ht="15" hidden="false" customHeight="false" outlineLevel="0" collapsed="false">
      <c r="A1207" s="0" t="s">
        <v>2086</v>
      </c>
      <c r="B1207" s="0" t="s">
        <v>124</v>
      </c>
      <c r="C1207" s="0" t="s">
        <v>2087</v>
      </c>
      <c r="D1207" s="0" t="s">
        <v>33</v>
      </c>
      <c r="E1207" s="2" t="n">
        <v>45488</v>
      </c>
      <c r="F1207" s="3" t="s">
        <v>20</v>
      </c>
      <c r="G1207" s="3" t="s">
        <v>43</v>
      </c>
      <c r="H1207" s="3" t="s">
        <v>44</v>
      </c>
      <c r="I1207" s="3" t="n">
        <f aca="false">YEAR(E1207)</f>
        <v>2024</v>
      </c>
      <c r="J1207" s="3" t="n">
        <f aca="false">MONTH(E1207)</f>
        <v>7</v>
      </c>
      <c r="K1207" s="3" t="n">
        <f aca="false">COUNTIFS($B$2:$B$4077,B1207,$C$2:$C$4077,C1207,$I$2:$I$4077,I1207)</f>
        <v>1</v>
      </c>
      <c r="L1207" s="3" t="n">
        <f aca="false">IF(COUNTIFS($B$2:B1207,B1207,$C$2:C1207,C1207,$I$2:I1207,I1207)=1,1,0)</f>
        <v>1</v>
      </c>
      <c r="M1207" s="3" t="n">
        <f aca="false">IF(K1207&gt;=Parametri!$B$1,1,0)</f>
        <v>0</v>
      </c>
      <c r="N1207" s="3" t="n">
        <f aca="false">L1207*M1207</f>
        <v>0</v>
      </c>
    </row>
    <row r="1208" customFormat="false" ht="15" hidden="false" customHeight="false" outlineLevel="0" collapsed="false">
      <c r="A1208" s="0" t="s">
        <v>2088</v>
      </c>
      <c r="B1208" s="0" t="s">
        <v>57</v>
      </c>
      <c r="C1208" s="0" t="s">
        <v>2089</v>
      </c>
      <c r="D1208" s="0" t="s">
        <v>63</v>
      </c>
      <c r="E1208" s="2" t="n">
        <v>46180</v>
      </c>
      <c r="F1208" s="3" t="s">
        <v>20</v>
      </c>
      <c r="G1208" s="3" t="s">
        <v>72</v>
      </c>
      <c r="H1208" s="3" t="s">
        <v>22</v>
      </c>
      <c r="I1208" s="3" t="n">
        <f aca="false">YEAR(E1208)</f>
        <v>2026</v>
      </c>
      <c r="J1208" s="3" t="n">
        <f aca="false">MONTH(E1208)</f>
        <v>6</v>
      </c>
      <c r="K1208" s="3" t="n">
        <f aca="false">COUNTIFS($B$2:$B$4077,B1208,$C$2:$C$4077,C1208,$I$2:$I$4077,I1208)</f>
        <v>1</v>
      </c>
      <c r="L1208" s="3" t="n">
        <f aca="false">IF(COUNTIFS($B$2:B1208,B1208,$C$2:C1208,C1208,$I$2:I1208,I1208)=1,1,0)</f>
        <v>1</v>
      </c>
      <c r="M1208" s="3" t="n">
        <f aca="false">IF(K1208&gt;=Parametri!$B$1,1,0)</f>
        <v>0</v>
      </c>
      <c r="N1208" s="3" t="n">
        <f aca="false">L1208*M1208</f>
        <v>0</v>
      </c>
    </row>
    <row r="1209" customFormat="false" ht="15" hidden="false" customHeight="false" outlineLevel="0" collapsed="false">
      <c r="A1209" s="0" t="s">
        <v>2090</v>
      </c>
      <c r="B1209" s="0" t="s">
        <v>31</v>
      </c>
      <c r="C1209" s="0" t="s">
        <v>1974</v>
      </c>
      <c r="D1209" s="0" t="s">
        <v>33</v>
      </c>
      <c r="E1209" s="2" t="n">
        <v>45939</v>
      </c>
      <c r="F1209" s="3" t="s">
        <v>27</v>
      </c>
      <c r="G1209" s="3" t="s">
        <v>55</v>
      </c>
      <c r="H1209" s="3" t="s">
        <v>29</v>
      </c>
      <c r="I1209" s="3" t="n">
        <f aca="false">YEAR(E1209)</f>
        <v>2025</v>
      </c>
      <c r="J1209" s="3" t="n">
        <f aca="false">MONTH(E1209)</f>
        <v>10</v>
      </c>
      <c r="K1209" s="3" t="n">
        <f aca="false">COUNTIFS($B$2:$B$4077,B1209,$C$2:$C$4077,C1209,$I$2:$I$4077,I1209)</f>
        <v>3</v>
      </c>
      <c r="L1209" s="3" t="n">
        <f aca="false">IF(COUNTIFS($B$2:B1209,B1209,$C$2:C1209,C1209,$I$2:I1209,I1209)=1,1,0)</f>
        <v>0</v>
      </c>
      <c r="M1209" s="3" t="n">
        <f aca="false">IF(K1209&gt;=Parametri!$B$1,1,0)</f>
        <v>1</v>
      </c>
      <c r="N1209" s="3" t="n">
        <f aca="false">L1209*M1209</f>
        <v>0</v>
      </c>
    </row>
    <row r="1210" customFormat="false" ht="15" hidden="false" customHeight="false" outlineLevel="0" collapsed="false">
      <c r="A1210" s="0" t="s">
        <v>2091</v>
      </c>
      <c r="B1210" s="0" t="s">
        <v>50</v>
      </c>
      <c r="C1210" s="0" t="s">
        <v>2092</v>
      </c>
      <c r="D1210" s="0" t="s">
        <v>77</v>
      </c>
      <c r="E1210" s="2" t="n">
        <v>45597</v>
      </c>
      <c r="F1210" s="3" t="s">
        <v>104</v>
      </c>
      <c r="G1210" s="3" t="s">
        <v>104</v>
      </c>
      <c r="H1210" s="3" t="s">
        <v>104</v>
      </c>
      <c r="I1210" s="3" t="n">
        <f aca="false">YEAR(E1210)</f>
        <v>2024</v>
      </c>
      <c r="J1210" s="3" t="n">
        <f aca="false">MONTH(E1210)</f>
        <v>11</v>
      </c>
      <c r="K1210" s="3" t="n">
        <f aca="false">COUNTIFS($B$2:$B$4077,B1210,$C$2:$C$4077,C1210,$I$2:$I$4077,I1210)</f>
        <v>1</v>
      </c>
      <c r="L1210" s="3" t="n">
        <f aca="false">IF(COUNTIFS($B$2:B1210,B1210,$C$2:C1210,C1210,$I$2:I1210,I1210)=1,1,0)</f>
        <v>1</v>
      </c>
      <c r="M1210" s="3" t="n">
        <f aca="false">IF(K1210&gt;=Parametri!$B$1,1,0)</f>
        <v>0</v>
      </c>
      <c r="N1210" s="3" t="n">
        <f aca="false">L1210*M1210</f>
        <v>0</v>
      </c>
    </row>
    <row r="1211" customFormat="false" ht="15" hidden="false" customHeight="false" outlineLevel="0" collapsed="false">
      <c r="A1211" s="0" t="s">
        <v>2093</v>
      </c>
      <c r="B1211" s="0" t="s">
        <v>68</v>
      </c>
      <c r="C1211" s="0" t="s">
        <v>438</v>
      </c>
      <c r="D1211" s="0" t="s">
        <v>19</v>
      </c>
      <c r="E1211" s="2" t="n">
        <v>45987</v>
      </c>
      <c r="F1211" s="3" t="s">
        <v>20</v>
      </c>
      <c r="G1211" s="3" t="s">
        <v>43</v>
      </c>
      <c r="H1211" s="3" t="s">
        <v>44</v>
      </c>
      <c r="I1211" s="3" t="n">
        <f aca="false">YEAR(E1211)</f>
        <v>2025</v>
      </c>
      <c r="J1211" s="3" t="n">
        <f aca="false">MONTH(E1211)</f>
        <v>11</v>
      </c>
      <c r="K1211" s="3" t="n">
        <f aca="false">COUNTIFS($B$2:$B$4077,B1211,$C$2:$C$4077,C1211,$I$2:$I$4077,I1211)</f>
        <v>4</v>
      </c>
      <c r="L1211" s="3" t="n">
        <f aca="false">IF(COUNTIFS($B$2:B1211,B1211,$C$2:C1211,C1211,$I$2:I1211,I1211)=1,1,0)</f>
        <v>0</v>
      </c>
      <c r="M1211" s="3" t="n">
        <f aca="false">IF(K1211&gt;=Parametri!$B$1,1,0)</f>
        <v>1</v>
      </c>
      <c r="N1211" s="3" t="n">
        <f aca="false">L1211*M1211</f>
        <v>0</v>
      </c>
    </row>
    <row r="1212" customFormat="false" ht="15" hidden="false" customHeight="false" outlineLevel="0" collapsed="false">
      <c r="A1212" s="0" t="s">
        <v>2094</v>
      </c>
      <c r="B1212" s="0" t="s">
        <v>79</v>
      </c>
      <c r="C1212" s="0" t="s">
        <v>2095</v>
      </c>
      <c r="D1212" s="0" t="s">
        <v>77</v>
      </c>
      <c r="E1212" s="2" t="n">
        <v>46007</v>
      </c>
      <c r="F1212" s="3" t="s">
        <v>20</v>
      </c>
      <c r="G1212" s="3" t="s">
        <v>89</v>
      </c>
      <c r="H1212" s="3" t="s">
        <v>22</v>
      </c>
      <c r="I1212" s="3" t="n">
        <f aca="false">YEAR(E1212)</f>
        <v>2025</v>
      </c>
      <c r="J1212" s="3" t="n">
        <f aca="false">MONTH(E1212)</f>
        <v>12</v>
      </c>
      <c r="K1212" s="3" t="n">
        <f aca="false">COUNTIFS($B$2:$B$4077,B1212,$C$2:$C$4077,C1212,$I$2:$I$4077,I1212)</f>
        <v>2</v>
      </c>
      <c r="L1212" s="3" t="n">
        <f aca="false">IF(COUNTIFS($B$2:B1212,B1212,$C$2:C1212,C1212,$I$2:I1212,I1212)=1,1,0)</f>
        <v>1</v>
      </c>
      <c r="M1212" s="3" t="n">
        <f aca="false">IF(K1212&gt;=Parametri!$B$1,1,0)</f>
        <v>1</v>
      </c>
      <c r="N1212" s="3" t="n">
        <f aca="false">L1212*M1212</f>
        <v>1</v>
      </c>
    </row>
    <row r="1213" customFormat="false" ht="15" hidden="false" customHeight="false" outlineLevel="0" collapsed="false">
      <c r="A1213" s="0" t="s">
        <v>2096</v>
      </c>
      <c r="B1213" s="0" t="s">
        <v>31</v>
      </c>
      <c r="C1213" s="0" t="s">
        <v>2097</v>
      </c>
      <c r="D1213" s="0" t="s">
        <v>38</v>
      </c>
      <c r="E1213" s="2" t="n">
        <v>45907</v>
      </c>
      <c r="F1213" s="3" t="s">
        <v>34</v>
      </c>
      <c r="G1213" s="3" t="s">
        <v>89</v>
      </c>
      <c r="H1213" s="3" t="s">
        <v>22</v>
      </c>
      <c r="I1213" s="3" t="n">
        <f aca="false">YEAR(E1213)</f>
        <v>2025</v>
      </c>
      <c r="J1213" s="3" t="n">
        <f aca="false">MONTH(E1213)</f>
        <v>9</v>
      </c>
      <c r="K1213" s="3" t="n">
        <f aca="false">COUNTIFS($B$2:$B$4077,B1213,$C$2:$C$4077,C1213,$I$2:$I$4077,I1213)</f>
        <v>1</v>
      </c>
      <c r="L1213" s="3" t="n">
        <f aca="false">IF(COUNTIFS($B$2:B1213,B1213,$C$2:C1213,C1213,$I$2:I1213,I1213)=1,1,0)</f>
        <v>1</v>
      </c>
      <c r="M1213" s="3" t="n">
        <f aca="false">IF(K1213&gt;=Parametri!$B$1,1,0)</f>
        <v>0</v>
      </c>
      <c r="N1213" s="3" t="n">
        <f aca="false">L1213*M1213</f>
        <v>0</v>
      </c>
    </row>
    <row r="1214" customFormat="false" ht="15" hidden="false" customHeight="false" outlineLevel="0" collapsed="false">
      <c r="A1214" s="0" t="s">
        <v>2098</v>
      </c>
      <c r="B1214" s="0" t="s">
        <v>50</v>
      </c>
      <c r="C1214" s="0" t="s">
        <v>2099</v>
      </c>
      <c r="D1214" s="0" t="s">
        <v>19</v>
      </c>
      <c r="E1214" s="2" t="n">
        <v>45358</v>
      </c>
      <c r="F1214" s="3" t="s">
        <v>34</v>
      </c>
      <c r="G1214" s="3" t="s">
        <v>89</v>
      </c>
      <c r="H1214" s="3" t="s">
        <v>48</v>
      </c>
      <c r="I1214" s="3" t="n">
        <f aca="false">YEAR(E1214)</f>
        <v>2024</v>
      </c>
      <c r="J1214" s="3" t="n">
        <f aca="false">MONTH(E1214)</f>
        <v>3</v>
      </c>
      <c r="K1214" s="3" t="n">
        <f aca="false">COUNTIFS($B$2:$B$4077,B1214,$C$2:$C$4077,C1214,$I$2:$I$4077,I1214)</f>
        <v>1</v>
      </c>
      <c r="L1214" s="3" t="n">
        <f aca="false">IF(COUNTIFS($B$2:B1214,B1214,$C$2:C1214,C1214,$I$2:I1214,I1214)=1,1,0)</f>
        <v>1</v>
      </c>
      <c r="M1214" s="3" t="n">
        <f aca="false">IF(K1214&gt;=Parametri!$B$1,1,0)</f>
        <v>0</v>
      </c>
      <c r="N1214" s="3" t="n">
        <f aca="false">L1214*M1214</f>
        <v>0</v>
      </c>
    </row>
    <row r="1215" customFormat="false" ht="15" hidden="false" customHeight="false" outlineLevel="0" collapsed="false">
      <c r="A1215" s="0" t="s">
        <v>2100</v>
      </c>
      <c r="B1215" s="0" t="s">
        <v>41</v>
      </c>
      <c r="C1215" s="0" t="s">
        <v>2101</v>
      </c>
      <c r="D1215" s="0" t="s">
        <v>63</v>
      </c>
      <c r="E1215" s="2" t="n">
        <v>45684</v>
      </c>
      <c r="F1215" s="3" t="s">
        <v>34</v>
      </c>
      <c r="G1215" s="3" t="s">
        <v>43</v>
      </c>
      <c r="H1215" s="3" t="s">
        <v>29</v>
      </c>
      <c r="I1215" s="3" t="n">
        <f aca="false">YEAR(E1215)</f>
        <v>2025</v>
      </c>
      <c r="J1215" s="3" t="n">
        <f aca="false">MONTH(E1215)</f>
        <v>1</v>
      </c>
      <c r="K1215" s="3" t="n">
        <f aca="false">COUNTIFS($B$2:$B$4077,B1215,$C$2:$C$4077,C1215,$I$2:$I$4077,I1215)</f>
        <v>1</v>
      </c>
      <c r="L1215" s="3" t="n">
        <f aca="false">IF(COUNTIFS($B$2:B1215,B1215,$C$2:C1215,C1215,$I$2:I1215,I1215)=1,1,0)</f>
        <v>1</v>
      </c>
      <c r="M1215" s="3" t="n">
        <f aca="false">IF(K1215&gt;=Parametri!$B$1,1,0)</f>
        <v>0</v>
      </c>
      <c r="N1215" s="3" t="n">
        <f aca="false">L1215*M1215</f>
        <v>0</v>
      </c>
    </row>
    <row r="1216" customFormat="false" ht="15" hidden="false" customHeight="false" outlineLevel="0" collapsed="false">
      <c r="A1216" s="0" t="s">
        <v>2102</v>
      </c>
      <c r="B1216" s="0" t="s">
        <v>46</v>
      </c>
      <c r="C1216" s="0" t="s">
        <v>2103</v>
      </c>
      <c r="D1216" s="0" t="s">
        <v>77</v>
      </c>
      <c r="E1216" s="2" t="n">
        <v>46062</v>
      </c>
      <c r="F1216" s="3" t="s">
        <v>20</v>
      </c>
      <c r="G1216" s="3" t="s">
        <v>35</v>
      </c>
      <c r="H1216" s="3" t="s">
        <v>48</v>
      </c>
      <c r="I1216" s="3" t="n">
        <f aca="false">YEAR(E1216)</f>
        <v>2026</v>
      </c>
      <c r="J1216" s="3" t="n">
        <f aca="false">MONTH(E1216)</f>
        <v>2</v>
      </c>
      <c r="K1216" s="3" t="n">
        <f aca="false">COUNTIFS($B$2:$B$4077,B1216,$C$2:$C$4077,C1216,$I$2:$I$4077,I1216)</f>
        <v>1</v>
      </c>
      <c r="L1216" s="3" t="n">
        <f aca="false">IF(COUNTIFS($B$2:B1216,B1216,$C$2:C1216,C1216,$I$2:I1216,I1216)=1,1,0)</f>
        <v>1</v>
      </c>
      <c r="M1216" s="3" t="n">
        <f aca="false">IF(K1216&gt;=Parametri!$B$1,1,0)</f>
        <v>0</v>
      </c>
      <c r="N1216" s="3" t="n">
        <f aca="false">L1216*M1216</f>
        <v>0</v>
      </c>
    </row>
    <row r="1217" customFormat="false" ht="15" hidden="false" customHeight="false" outlineLevel="0" collapsed="false">
      <c r="A1217" s="0" t="s">
        <v>2104</v>
      </c>
      <c r="B1217" s="0" t="s">
        <v>17</v>
      </c>
      <c r="C1217" s="0" t="s">
        <v>2105</v>
      </c>
      <c r="D1217" s="0" t="s">
        <v>63</v>
      </c>
      <c r="E1217" s="2" t="n">
        <v>45980</v>
      </c>
      <c r="F1217" s="3" t="s">
        <v>20</v>
      </c>
      <c r="G1217" s="3" t="s">
        <v>72</v>
      </c>
      <c r="H1217" s="3" t="s">
        <v>44</v>
      </c>
      <c r="I1217" s="3" t="n">
        <f aca="false">YEAR(E1217)</f>
        <v>2025</v>
      </c>
      <c r="J1217" s="3" t="n">
        <f aca="false">MONTH(E1217)</f>
        <v>11</v>
      </c>
      <c r="K1217" s="3" t="n">
        <f aca="false">COUNTIFS($B$2:$B$4077,B1217,$C$2:$C$4077,C1217,$I$2:$I$4077,I1217)</f>
        <v>1</v>
      </c>
      <c r="L1217" s="3" t="n">
        <f aca="false">IF(COUNTIFS($B$2:B1217,B1217,$C$2:C1217,C1217,$I$2:I1217,I1217)=1,1,0)</f>
        <v>1</v>
      </c>
      <c r="M1217" s="3" t="n">
        <f aca="false">IF(K1217&gt;=Parametri!$B$1,1,0)</f>
        <v>0</v>
      </c>
      <c r="N1217" s="3" t="n">
        <f aca="false">L1217*M1217</f>
        <v>0</v>
      </c>
    </row>
    <row r="1218" customFormat="false" ht="15" hidden="false" customHeight="false" outlineLevel="0" collapsed="false">
      <c r="A1218" s="0" t="s">
        <v>2106</v>
      </c>
      <c r="B1218" s="0" t="s">
        <v>79</v>
      </c>
      <c r="C1218" s="0" t="s">
        <v>931</v>
      </c>
      <c r="D1218" s="0" t="s">
        <v>33</v>
      </c>
      <c r="E1218" s="2" t="n">
        <v>45349</v>
      </c>
      <c r="F1218" s="3" t="s">
        <v>20</v>
      </c>
      <c r="G1218" s="3" t="s">
        <v>43</v>
      </c>
      <c r="H1218" s="3" t="s">
        <v>48</v>
      </c>
      <c r="I1218" s="3" t="n">
        <f aca="false">YEAR(E1218)</f>
        <v>2024</v>
      </c>
      <c r="J1218" s="3" t="n">
        <f aca="false">MONTH(E1218)</f>
        <v>2</v>
      </c>
      <c r="K1218" s="3" t="n">
        <f aca="false">COUNTIFS($B$2:$B$4077,B1218,$C$2:$C$4077,C1218,$I$2:$I$4077,I1218)</f>
        <v>3</v>
      </c>
      <c r="L1218" s="3" t="n">
        <f aca="false">IF(COUNTIFS($B$2:B1218,B1218,$C$2:C1218,C1218,$I$2:I1218,I1218)=1,1,0)</f>
        <v>1</v>
      </c>
      <c r="M1218" s="3" t="n">
        <f aca="false">IF(K1218&gt;=Parametri!$B$1,1,0)</f>
        <v>1</v>
      </c>
      <c r="N1218" s="3" t="n">
        <f aca="false">L1218*M1218</f>
        <v>1</v>
      </c>
    </row>
    <row r="1219" customFormat="false" ht="15" hidden="false" customHeight="false" outlineLevel="0" collapsed="false">
      <c r="A1219" s="0" t="s">
        <v>2107</v>
      </c>
      <c r="B1219" s="0" t="s">
        <v>50</v>
      </c>
      <c r="C1219" s="0" t="s">
        <v>2108</v>
      </c>
      <c r="D1219" s="0" t="s">
        <v>19</v>
      </c>
      <c r="E1219" s="2" t="n">
        <v>45431</v>
      </c>
      <c r="F1219" s="3" t="s">
        <v>20</v>
      </c>
      <c r="G1219" s="3" t="s">
        <v>89</v>
      </c>
      <c r="H1219" s="3" t="s">
        <v>44</v>
      </c>
      <c r="I1219" s="3" t="n">
        <f aca="false">YEAR(E1219)</f>
        <v>2024</v>
      </c>
      <c r="J1219" s="3" t="n">
        <f aca="false">MONTH(E1219)</f>
        <v>5</v>
      </c>
      <c r="K1219" s="3" t="n">
        <f aca="false">COUNTIFS($B$2:$B$4077,B1219,$C$2:$C$4077,C1219,$I$2:$I$4077,I1219)</f>
        <v>1</v>
      </c>
      <c r="L1219" s="3" t="n">
        <f aca="false">IF(COUNTIFS($B$2:B1219,B1219,$C$2:C1219,C1219,$I$2:I1219,I1219)=1,1,0)</f>
        <v>1</v>
      </c>
      <c r="M1219" s="3" t="n">
        <f aca="false">IF(K1219&gt;=Parametri!$B$1,1,0)</f>
        <v>0</v>
      </c>
      <c r="N1219" s="3" t="n">
        <f aca="false">L1219*M1219</f>
        <v>0</v>
      </c>
    </row>
    <row r="1220" customFormat="false" ht="15" hidden="false" customHeight="false" outlineLevel="0" collapsed="false">
      <c r="A1220" s="0" t="s">
        <v>2109</v>
      </c>
      <c r="B1220" s="0" t="s">
        <v>41</v>
      </c>
      <c r="C1220" s="0" t="s">
        <v>2110</v>
      </c>
      <c r="D1220" s="0" t="s">
        <v>26</v>
      </c>
      <c r="E1220" s="2" t="n">
        <v>45695</v>
      </c>
      <c r="F1220" s="3" t="s">
        <v>34</v>
      </c>
      <c r="G1220" s="3" t="s">
        <v>43</v>
      </c>
      <c r="H1220" s="3" t="s">
        <v>29</v>
      </c>
      <c r="I1220" s="3" t="n">
        <f aca="false">YEAR(E1220)</f>
        <v>2025</v>
      </c>
      <c r="J1220" s="3" t="n">
        <f aca="false">MONTH(E1220)</f>
        <v>2</v>
      </c>
      <c r="K1220" s="3" t="n">
        <f aca="false">COUNTIFS($B$2:$B$4077,B1220,$C$2:$C$4077,C1220,$I$2:$I$4077,I1220)</f>
        <v>1</v>
      </c>
      <c r="L1220" s="3" t="n">
        <f aca="false">IF(COUNTIFS($B$2:B1220,B1220,$C$2:C1220,C1220,$I$2:I1220,I1220)=1,1,0)</f>
        <v>1</v>
      </c>
      <c r="M1220" s="3" t="n">
        <f aca="false">IF(K1220&gt;=Parametri!$B$1,1,0)</f>
        <v>0</v>
      </c>
      <c r="N1220" s="3" t="n">
        <f aca="false">L1220*M1220</f>
        <v>0</v>
      </c>
    </row>
    <row r="1221" customFormat="false" ht="15" hidden="false" customHeight="false" outlineLevel="0" collapsed="false">
      <c r="A1221" s="0" t="s">
        <v>2111</v>
      </c>
      <c r="B1221" s="0" t="s">
        <v>68</v>
      </c>
      <c r="C1221" s="0" t="s">
        <v>2112</v>
      </c>
      <c r="D1221" s="0" t="s">
        <v>63</v>
      </c>
      <c r="E1221" s="2" t="n">
        <v>45747</v>
      </c>
      <c r="F1221" s="3" t="s">
        <v>34</v>
      </c>
      <c r="G1221" s="3" t="s">
        <v>35</v>
      </c>
      <c r="H1221" s="3" t="s">
        <v>29</v>
      </c>
      <c r="I1221" s="3" t="n">
        <f aca="false">YEAR(E1221)</f>
        <v>2025</v>
      </c>
      <c r="J1221" s="3" t="n">
        <f aca="false">MONTH(E1221)</f>
        <v>3</v>
      </c>
      <c r="K1221" s="3" t="n">
        <f aca="false">COUNTIFS($B$2:$B$4077,B1221,$C$2:$C$4077,C1221,$I$2:$I$4077,I1221)</f>
        <v>1</v>
      </c>
      <c r="L1221" s="3" t="n">
        <f aca="false">IF(COUNTIFS($B$2:B1221,B1221,$C$2:C1221,C1221,$I$2:I1221,I1221)=1,1,0)</f>
        <v>1</v>
      </c>
      <c r="M1221" s="3" t="n">
        <f aca="false">IF(K1221&gt;=Parametri!$B$1,1,0)</f>
        <v>0</v>
      </c>
      <c r="N1221" s="3" t="n">
        <f aca="false">L1221*M1221</f>
        <v>0</v>
      </c>
    </row>
    <row r="1222" customFormat="false" ht="15" hidden="false" customHeight="false" outlineLevel="0" collapsed="false">
      <c r="A1222" s="0" t="s">
        <v>2113</v>
      </c>
      <c r="B1222" s="0" t="s">
        <v>17</v>
      </c>
      <c r="C1222" s="0" t="s">
        <v>71</v>
      </c>
      <c r="D1222" s="0" t="s">
        <v>54</v>
      </c>
      <c r="E1222" s="2" t="n">
        <v>46071</v>
      </c>
      <c r="F1222" s="3" t="s">
        <v>34</v>
      </c>
      <c r="G1222" s="3" t="s">
        <v>21</v>
      </c>
      <c r="H1222" s="3" t="s">
        <v>44</v>
      </c>
      <c r="I1222" s="3" t="n">
        <f aca="false">YEAR(E1222)</f>
        <v>2026</v>
      </c>
      <c r="J1222" s="3" t="n">
        <f aca="false">MONTH(E1222)</f>
        <v>2</v>
      </c>
      <c r="K1222" s="3" t="n">
        <f aca="false">COUNTIFS($B$2:$B$4077,B1222,$C$2:$C$4077,C1222,$I$2:$I$4077,I1222)</f>
        <v>3</v>
      </c>
      <c r="L1222" s="3" t="n">
        <f aca="false">IF(COUNTIFS($B$2:B1222,B1222,$C$2:C1222,C1222,$I$2:I1222,I1222)=1,1,0)</f>
        <v>0</v>
      </c>
      <c r="M1222" s="3" t="n">
        <f aca="false">IF(K1222&gt;=Parametri!$B$1,1,0)</f>
        <v>1</v>
      </c>
      <c r="N1222" s="3" t="n">
        <f aca="false">L1222*M1222</f>
        <v>0</v>
      </c>
    </row>
    <row r="1223" customFormat="false" ht="15" hidden="false" customHeight="false" outlineLevel="0" collapsed="false">
      <c r="A1223" s="0" t="s">
        <v>2114</v>
      </c>
      <c r="B1223" s="0" t="s">
        <v>46</v>
      </c>
      <c r="C1223" s="0" t="s">
        <v>2115</v>
      </c>
      <c r="D1223" s="0" t="s">
        <v>77</v>
      </c>
      <c r="E1223" s="2" t="n">
        <v>45317</v>
      </c>
      <c r="F1223" s="3" t="s">
        <v>20</v>
      </c>
      <c r="G1223" s="3" t="s">
        <v>72</v>
      </c>
      <c r="H1223" s="3" t="s">
        <v>29</v>
      </c>
      <c r="I1223" s="3" t="n">
        <f aca="false">YEAR(E1223)</f>
        <v>2024</v>
      </c>
      <c r="J1223" s="3" t="n">
        <f aca="false">MONTH(E1223)</f>
        <v>1</v>
      </c>
      <c r="K1223" s="3" t="n">
        <f aca="false">COUNTIFS($B$2:$B$4077,B1223,$C$2:$C$4077,C1223,$I$2:$I$4077,I1223)</f>
        <v>1</v>
      </c>
      <c r="L1223" s="3" t="n">
        <f aca="false">IF(COUNTIFS($B$2:B1223,B1223,$C$2:C1223,C1223,$I$2:I1223,I1223)=1,1,0)</f>
        <v>1</v>
      </c>
      <c r="M1223" s="3" t="n">
        <f aca="false">IF(K1223&gt;=Parametri!$B$1,1,0)</f>
        <v>0</v>
      </c>
      <c r="N1223" s="3" t="n">
        <f aca="false">L1223*M1223</f>
        <v>0</v>
      </c>
    </row>
    <row r="1224" customFormat="false" ht="15" hidden="false" customHeight="false" outlineLevel="0" collapsed="false">
      <c r="A1224" s="0" t="s">
        <v>2116</v>
      </c>
      <c r="B1224" s="0" t="s">
        <v>31</v>
      </c>
      <c r="C1224" s="0" t="s">
        <v>1604</v>
      </c>
      <c r="D1224" s="0" t="s">
        <v>26</v>
      </c>
      <c r="E1224" s="2" t="n">
        <v>45900</v>
      </c>
      <c r="F1224" s="3" t="s">
        <v>20</v>
      </c>
      <c r="G1224" s="3" t="s">
        <v>28</v>
      </c>
      <c r="H1224" s="3" t="s">
        <v>29</v>
      </c>
      <c r="I1224" s="3" t="n">
        <f aca="false">YEAR(E1224)</f>
        <v>2025</v>
      </c>
      <c r="J1224" s="3" t="n">
        <f aca="false">MONTH(E1224)</f>
        <v>8</v>
      </c>
      <c r="K1224" s="3" t="n">
        <f aca="false">COUNTIFS($B$2:$B$4077,B1224,$C$2:$C$4077,C1224,$I$2:$I$4077,I1224)</f>
        <v>4</v>
      </c>
      <c r="L1224" s="3" t="n">
        <f aca="false">IF(COUNTIFS($B$2:B1224,B1224,$C$2:C1224,C1224,$I$2:I1224,I1224)=1,1,0)</f>
        <v>0</v>
      </c>
      <c r="M1224" s="3" t="n">
        <f aca="false">IF(K1224&gt;=Parametri!$B$1,1,0)</f>
        <v>1</v>
      </c>
      <c r="N1224" s="3" t="n">
        <f aca="false">L1224*M1224</f>
        <v>0</v>
      </c>
    </row>
    <row r="1225" customFormat="false" ht="15" hidden="false" customHeight="false" outlineLevel="0" collapsed="false">
      <c r="A1225" s="0" t="s">
        <v>2117</v>
      </c>
      <c r="B1225" s="0" t="s">
        <v>68</v>
      </c>
      <c r="C1225" s="0" t="s">
        <v>438</v>
      </c>
      <c r="D1225" s="0" t="s">
        <v>77</v>
      </c>
      <c r="E1225" s="2" t="n">
        <v>46018</v>
      </c>
      <c r="F1225" s="3" t="s">
        <v>20</v>
      </c>
      <c r="G1225" s="3" t="s">
        <v>89</v>
      </c>
      <c r="H1225" s="3" t="s">
        <v>29</v>
      </c>
      <c r="I1225" s="3" t="n">
        <f aca="false">YEAR(E1225)</f>
        <v>2025</v>
      </c>
      <c r="J1225" s="3" t="n">
        <f aca="false">MONTH(E1225)</f>
        <v>12</v>
      </c>
      <c r="K1225" s="3" t="n">
        <f aca="false">COUNTIFS($B$2:$B$4077,B1225,$C$2:$C$4077,C1225,$I$2:$I$4077,I1225)</f>
        <v>4</v>
      </c>
      <c r="L1225" s="3" t="n">
        <f aca="false">IF(COUNTIFS($B$2:B1225,B1225,$C$2:C1225,C1225,$I$2:I1225,I1225)=1,1,0)</f>
        <v>0</v>
      </c>
      <c r="M1225" s="3" t="n">
        <f aca="false">IF(K1225&gt;=Parametri!$B$1,1,0)</f>
        <v>1</v>
      </c>
      <c r="N1225" s="3" t="n">
        <f aca="false">L1225*M1225</f>
        <v>0</v>
      </c>
    </row>
    <row r="1226" customFormat="false" ht="15" hidden="false" customHeight="false" outlineLevel="0" collapsed="false">
      <c r="A1226" s="0" t="s">
        <v>2118</v>
      </c>
      <c r="B1226" s="0" t="s">
        <v>41</v>
      </c>
      <c r="C1226" s="0" t="s">
        <v>2119</v>
      </c>
      <c r="D1226" s="0" t="s">
        <v>19</v>
      </c>
      <c r="E1226" s="2" t="n">
        <v>45388</v>
      </c>
      <c r="F1226" s="3" t="s">
        <v>20</v>
      </c>
      <c r="G1226" s="3" t="s">
        <v>28</v>
      </c>
      <c r="H1226" s="3" t="s">
        <v>22</v>
      </c>
      <c r="I1226" s="3" t="n">
        <f aca="false">YEAR(E1226)</f>
        <v>2024</v>
      </c>
      <c r="J1226" s="3" t="n">
        <f aca="false">MONTH(E1226)</f>
        <v>4</v>
      </c>
      <c r="K1226" s="3" t="n">
        <f aca="false">COUNTIFS($B$2:$B$4077,B1226,$C$2:$C$4077,C1226,$I$2:$I$4077,I1226)</f>
        <v>2</v>
      </c>
      <c r="L1226" s="3" t="n">
        <f aca="false">IF(COUNTIFS($B$2:B1226,B1226,$C$2:C1226,C1226,$I$2:I1226,I1226)=1,1,0)</f>
        <v>1</v>
      </c>
      <c r="M1226" s="3" t="n">
        <f aca="false">IF(K1226&gt;=Parametri!$B$1,1,0)</f>
        <v>1</v>
      </c>
      <c r="N1226" s="3" t="n">
        <f aca="false">L1226*M1226</f>
        <v>1</v>
      </c>
    </row>
    <row r="1227" customFormat="false" ht="15" hidden="false" customHeight="false" outlineLevel="0" collapsed="false">
      <c r="A1227" s="0" t="s">
        <v>2120</v>
      </c>
      <c r="B1227" s="0" t="s">
        <v>31</v>
      </c>
      <c r="C1227" s="0" t="s">
        <v>2121</v>
      </c>
      <c r="D1227" s="0" t="s">
        <v>66</v>
      </c>
      <c r="E1227" s="2" t="n">
        <v>45893</v>
      </c>
      <c r="F1227" s="3" t="s">
        <v>20</v>
      </c>
      <c r="G1227" s="3" t="s">
        <v>39</v>
      </c>
      <c r="H1227" s="3" t="s">
        <v>44</v>
      </c>
      <c r="I1227" s="3" t="n">
        <f aca="false">YEAR(E1227)</f>
        <v>2025</v>
      </c>
      <c r="J1227" s="3" t="n">
        <f aca="false">MONTH(E1227)</f>
        <v>8</v>
      </c>
      <c r="K1227" s="3" t="n">
        <f aca="false">COUNTIFS($B$2:$B$4077,B1227,$C$2:$C$4077,C1227,$I$2:$I$4077,I1227)</f>
        <v>2</v>
      </c>
      <c r="L1227" s="3" t="n">
        <f aca="false">IF(COUNTIFS($B$2:B1227,B1227,$C$2:C1227,C1227,$I$2:I1227,I1227)=1,1,0)</f>
        <v>1</v>
      </c>
      <c r="M1227" s="3" t="n">
        <f aca="false">IF(K1227&gt;=Parametri!$B$1,1,0)</f>
        <v>1</v>
      </c>
      <c r="N1227" s="3" t="n">
        <f aca="false">L1227*M1227</f>
        <v>1</v>
      </c>
    </row>
    <row r="1228" customFormat="false" ht="15" hidden="false" customHeight="false" outlineLevel="0" collapsed="false">
      <c r="A1228" s="0" t="s">
        <v>2122</v>
      </c>
      <c r="B1228" s="0" t="s">
        <v>41</v>
      </c>
      <c r="C1228" s="0" t="s">
        <v>1270</v>
      </c>
      <c r="D1228" s="0" t="s">
        <v>26</v>
      </c>
      <c r="E1228" s="2" t="n">
        <v>46060</v>
      </c>
      <c r="F1228" s="3" t="s">
        <v>20</v>
      </c>
      <c r="G1228" s="3" t="s">
        <v>43</v>
      </c>
      <c r="H1228" s="3" t="s">
        <v>48</v>
      </c>
      <c r="I1228" s="3" t="n">
        <f aca="false">YEAR(E1228)</f>
        <v>2026</v>
      </c>
      <c r="J1228" s="3" t="n">
        <f aca="false">MONTH(E1228)</f>
        <v>2</v>
      </c>
      <c r="K1228" s="3" t="n">
        <f aca="false">COUNTIFS($B$2:$B$4077,B1228,$C$2:$C$4077,C1228,$I$2:$I$4077,I1228)</f>
        <v>1</v>
      </c>
      <c r="L1228" s="3" t="n">
        <f aca="false">IF(COUNTIFS($B$2:B1228,B1228,$C$2:C1228,C1228,$I$2:I1228,I1228)=1,1,0)</f>
        <v>1</v>
      </c>
      <c r="M1228" s="3" t="n">
        <f aca="false">IF(K1228&gt;=Parametri!$B$1,1,0)</f>
        <v>0</v>
      </c>
      <c r="N1228" s="3" t="n">
        <f aca="false">L1228*M1228</f>
        <v>0</v>
      </c>
    </row>
    <row r="1229" customFormat="false" ht="15" hidden="false" customHeight="false" outlineLevel="0" collapsed="false">
      <c r="A1229" s="0" t="s">
        <v>2123</v>
      </c>
      <c r="B1229" s="0" t="s">
        <v>57</v>
      </c>
      <c r="C1229" s="0" t="s">
        <v>225</v>
      </c>
      <c r="D1229" s="0" t="s">
        <v>26</v>
      </c>
      <c r="E1229" s="2" t="n">
        <v>45674</v>
      </c>
      <c r="F1229" s="3" t="s">
        <v>20</v>
      </c>
      <c r="G1229" s="3" t="s">
        <v>72</v>
      </c>
      <c r="H1229" s="3" t="s">
        <v>48</v>
      </c>
      <c r="I1229" s="3" t="n">
        <f aca="false">YEAR(E1229)</f>
        <v>2025</v>
      </c>
      <c r="J1229" s="3" t="n">
        <f aca="false">MONTH(E1229)</f>
        <v>1</v>
      </c>
      <c r="K1229" s="3" t="n">
        <f aca="false">COUNTIFS($B$2:$B$4077,B1229,$C$2:$C$4077,C1229,$I$2:$I$4077,I1229)</f>
        <v>2</v>
      </c>
      <c r="L1229" s="3" t="n">
        <f aca="false">IF(COUNTIFS($B$2:B1229,B1229,$C$2:C1229,C1229,$I$2:I1229,I1229)=1,1,0)</f>
        <v>1</v>
      </c>
      <c r="M1229" s="3" t="n">
        <f aca="false">IF(K1229&gt;=Parametri!$B$1,1,0)</f>
        <v>1</v>
      </c>
      <c r="N1229" s="3" t="n">
        <f aca="false">L1229*M1229</f>
        <v>1</v>
      </c>
    </row>
    <row r="1230" customFormat="false" ht="15" hidden="false" customHeight="false" outlineLevel="0" collapsed="false">
      <c r="A1230" s="0" t="s">
        <v>2124</v>
      </c>
      <c r="B1230" s="0" t="s">
        <v>46</v>
      </c>
      <c r="C1230" s="0" t="s">
        <v>2125</v>
      </c>
      <c r="D1230" s="0" t="s">
        <v>77</v>
      </c>
      <c r="E1230" s="2" t="n">
        <v>45549</v>
      </c>
      <c r="F1230" s="3" t="s">
        <v>20</v>
      </c>
      <c r="G1230" s="3" t="s">
        <v>28</v>
      </c>
      <c r="H1230" s="3" t="s">
        <v>29</v>
      </c>
      <c r="I1230" s="3" t="n">
        <f aca="false">YEAR(E1230)</f>
        <v>2024</v>
      </c>
      <c r="J1230" s="3" t="n">
        <f aca="false">MONTH(E1230)</f>
        <v>9</v>
      </c>
      <c r="K1230" s="3" t="n">
        <f aca="false">COUNTIFS($B$2:$B$4077,B1230,$C$2:$C$4077,C1230,$I$2:$I$4077,I1230)</f>
        <v>1</v>
      </c>
      <c r="L1230" s="3" t="n">
        <f aca="false">IF(COUNTIFS($B$2:B1230,B1230,$C$2:C1230,C1230,$I$2:I1230,I1230)=1,1,0)</f>
        <v>1</v>
      </c>
      <c r="M1230" s="3" t="n">
        <f aca="false">IF(K1230&gt;=Parametri!$B$1,1,0)</f>
        <v>0</v>
      </c>
      <c r="N1230" s="3" t="n">
        <f aca="false">L1230*M1230</f>
        <v>0</v>
      </c>
    </row>
    <row r="1231" customFormat="false" ht="15" hidden="false" customHeight="false" outlineLevel="0" collapsed="false">
      <c r="A1231" s="0" t="s">
        <v>2126</v>
      </c>
      <c r="B1231" s="0" t="s">
        <v>68</v>
      </c>
      <c r="C1231" s="0" t="s">
        <v>2127</v>
      </c>
      <c r="D1231" s="0" t="s">
        <v>26</v>
      </c>
      <c r="E1231" s="2" t="n">
        <v>45853</v>
      </c>
      <c r="F1231" s="3" t="s">
        <v>34</v>
      </c>
      <c r="G1231" s="3" t="s">
        <v>55</v>
      </c>
      <c r="H1231" s="3" t="s">
        <v>22</v>
      </c>
      <c r="I1231" s="3" t="n">
        <f aca="false">YEAR(E1231)</f>
        <v>2025</v>
      </c>
      <c r="J1231" s="3" t="n">
        <f aca="false">MONTH(E1231)</f>
        <v>7</v>
      </c>
      <c r="K1231" s="3" t="n">
        <f aca="false">COUNTIFS($B$2:$B$4077,B1231,$C$2:$C$4077,C1231,$I$2:$I$4077,I1231)</f>
        <v>1</v>
      </c>
      <c r="L1231" s="3" t="n">
        <f aca="false">IF(COUNTIFS($B$2:B1231,B1231,$C$2:C1231,C1231,$I$2:I1231,I1231)=1,1,0)</f>
        <v>1</v>
      </c>
      <c r="M1231" s="3" t="n">
        <f aca="false">IF(K1231&gt;=Parametri!$B$1,1,0)</f>
        <v>0</v>
      </c>
      <c r="N1231" s="3" t="n">
        <f aca="false">L1231*M1231</f>
        <v>0</v>
      </c>
    </row>
    <row r="1232" customFormat="false" ht="15" hidden="false" customHeight="false" outlineLevel="0" collapsed="false">
      <c r="A1232" s="0" t="s">
        <v>2128</v>
      </c>
      <c r="B1232" s="0" t="s">
        <v>124</v>
      </c>
      <c r="C1232" s="0" t="s">
        <v>2129</v>
      </c>
      <c r="D1232" s="0" t="s">
        <v>38</v>
      </c>
      <c r="E1232" s="2" t="n">
        <v>46242</v>
      </c>
      <c r="F1232" s="3" t="s">
        <v>20</v>
      </c>
      <c r="G1232" s="3" t="s">
        <v>35</v>
      </c>
      <c r="H1232" s="3" t="s">
        <v>48</v>
      </c>
      <c r="I1232" s="3" t="n">
        <f aca="false">YEAR(E1232)</f>
        <v>2026</v>
      </c>
      <c r="J1232" s="3" t="n">
        <f aca="false">MONTH(E1232)</f>
        <v>8</v>
      </c>
      <c r="K1232" s="3" t="n">
        <f aca="false">COUNTIFS($B$2:$B$4077,B1232,$C$2:$C$4077,C1232,$I$2:$I$4077,I1232)</f>
        <v>2</v>
      </c>
      <c r="L1232" s="3" t="n">
        <f aca="false">IF(COUNTIFS($B$2:B1232,B1232,$C$2:C1232,C1232,$I$2:I1232,I1232)=1,1,0)</f>
        <v>1</v>
      </c>
      <c r="M1232" s="3" t="n">
        <f aca="false">IF(K1232&gt;=Parametri!$B$1,1,0)</f>
        <v>1</v>
      </c>
      <c r="N1232" s="3" t="n">
        <f aca="false">L1232*M1232</f>
        <v>1</v>
      </c>
    </row>
    <row r="1233" customFormat="false" ht="15" hidden="false" customHeight="false" outlineLevel="0" collapsed="false">
      <c r="A1233" s="0" t="s">
        <v>2130</v>
      </c>
      <c r="B1233" s="0" t="s">
        <v>50</v>
      </c>
      <c r="C1233" s="0" t="s">
        <v>2131</v>
      </c>
      <c r="D1233" s="0" t="s">
        <v>77</v>
      </c>
      <c r="E1233" s="2" t="n">
        <v>45707</v>
      </c>
      <c r="F1233" s="3" t="s">
        <v>34</v>
      </c>
      <c r="G1233" s="3" t="s">
        <v>89</v>
      </c>
      <c r="H1233" s="3" t="s">
        <v>22</v>
      </c>
      <c r="I1233" s="3" t="n">
        <f aca="false">YEAR(E1233)</f>
        <v>2025</v>
      </c>
      <c r="J1233" s="3" t="n">
        <f aca="false">MONTH(E1233)</f>
        <v>2</v>
      </c>
      <c r="K1233" s="3" t="n">
        <f aca="false">COUNTIFS($B$2:$B$4077,B1233,$C$2:$C$4077,C1233,$I$2:$I$4077,I1233)</f>
        <v>1</v>
      </c>
      <c r="L1233" s="3" t="n">
        <f aca="false">IF(COUNTIFS($B$2:B1233,B1233,$C$2:C1233,C1233,$I$2:I1233,I1233)=1,1,0)</f>
        <v>1</v>
      </c>
      <c r="M1233" s="3" t="n">
        <f aca="false">IF(K1233&gt;=Parametri!$B$1,1,0)</f>
        <v>0</v>
      </c>
      <c r="N1233" s="3" t="n">
        <f aca="false">L1233*M1233</f>
        <v>0</v>
      </c>
    </row>
    <row r="1234" customFormat="false" ht="15" hidden="false" customHeight="false" outlineLevel="0" collapsed="false">
      <c r="A1234" s="0" t="s">
        <v>2132</v>
      </c>
      <c r="B1234" s="0" t="s">
        <v>57</v>
      </c>
      <c r="C1234" s="0" t="s">
        <v>2133</v>
      </c>
      <c r="D1234" s="0" t="s">
        <v>19</v>
      </c>
      <c r="E1234" s="2" t="n">
        <v>45519</v>
      </c>
      <c r="F1234" s="3" t="s">
        <v>104</v>
      </c>
      <c r="G1234" s="3" t="s">
        <v>104</v>
      </c>
      <c r="H1234" s="3" t="s">
        <v>104</v>
      </c>
      <c r="I1234" s="3" t="n">
        <f aca="false">YEAR(E1234)</f>
        <v>2024</v>
      </c>
      <c r="J1234" s="3" t="n">
        <f aca="false">MONTH(E1234)</f>
        <v>8</v>
      </c>
      <c r="K1234" s="3" t="n">
        <f aca="false">COUNTIFS($B$2:$B$4077,B1234,$C$2:$C$4077,C1234,$I$2:$I$4077,I1234)</f>
        <v>1</v>
      </c>
      <c r="L1234" s="3" t="n">
        <f aca="false">IF(COUNTIFS($B$2:B1234,B1234,$C$2:C1234,C1234,$I$2:I1234,I1234)=1,1,0)</f>
        <v>1</v>
      </c>
      <c r="M1234" s="3" t="n">
        <f aca="false">IF(K1234&gt;=Parametri!$B$1,1,0)</f>
        <v>0</v>
      </c>
      <c r="N1234" s="3" t="n">
        <f aca="false">L1234*M1234</f>
        <v>0</v>
      </c>
    </row>
    <row r="1235" customFormat="false" ht="15" hidden="false" customHeight="false" outlineLevel="0" collapsed="false">
      <c r="A1235" s="0" t="s">
        <v>2134</v>
      </c>
      <c r="B1235" s="0" t="s">
        <v>31</v>
      </c>
      <c r="C1235" s="0" t="s">
        <v>638</v>
      </c>
      <c r="D1235" s="0" t="s">
        <v>33</v>
      </c>
      <c r="E1235" s="2" t="n">
        <v>45579</v>
      </c>
      <c r="F1235" s="3" t="s">
        <v>20</v>
      </c>
      <c r="G1235" s="3" t="s">
        <v>21</v>
      </c>
      <c r="H1235" s="3" t="s">
        <v>44</v>
      </c>
      <c r="I1235" s="3" t="n">
        <f aca="false">YEAR(E1235)</f>
        <v>2024</v>
      </c>
      <c r="J1235" s="3" t="n">
        <f aca="false">MONTH(E1235)</f>
        <v>10</v>
      </c>
      <c r="K1235" s="3" t="n">
        <f aca="false">COUNTIFS($B$2:$B$4077,B1235,$C$2:$C$4077,C1235,$I$2:$I$4077,I1235)</f>
        <v>1</v>
      </c>
      <c r="L1235" s="3" t="n">
        <f aca="false">IF(COUNTIFS($B$2:B1235,B1235,$C$2:C1235,C1235,$I$2:I1235,I1235)=1,1,0)</f>
        <v>1</v>
      </c>
      <c r="M1235" s="3" t="n">
        <f aca="false">IF(K1235&gt;=Parametri!$B$1,1,0)</f>
        <v>0</v>
      </c>
      <c r="N1235" s="3" t="n">
        <f aca="false">L1235*M1235</f>
        <v>0</v>
      </c>
    </row>
    <row r="1236" customFormat="false" ht="15" hidden="false" customHeight="false" outlineLevel="0" collapsed="false">
      <c r="A1236" s="0" t="s">
        <v>2135</v>
      </c>
      <c r="B1236" s="0" t="s">
        <v>57</v>
      </c>
      <c r="C1236" s="0" t="s">
        <v>2136</v>
      </c>
      <c r="D1236" s="0" t="s">
        <v>77</v>
      </c>
      <c r="E1236" s="2" t="n">
        <v>45857</v>
      </c>
      <c r="F1236" s="3" t="s">
        <v>27</v>
      </c>
      <c r="G1236" s="3" t="s">
        <v>21</v>
      </c>
      <c r="H1236" s="3" t="s">
        <v>22</v>
      </c>
      <c r="I1236" s="3" t="n">
        <f aca="false">YEAR(E1236)</f>
        <v>2025</v>
      </c>
      <c r="J1236" s="3" t="n">
        <f aca="false">MONTH(E1236)</f>
        <v>7</v>
      </c>
      <c r="K1236" s="3" t="n">
        <f aca="false">COUNTIFS($B$2:$B$4077,B1236,$C$2:$C$4077,C1236,$I$2:$I$4077,I1236)</f>
        <v>1</v>
      </c>
      <c r="L1236" s="3" t="n">
        <f aca="false">IF(COUNTIFS($B$2:B1236,B1236,$C$2:C1236,C1236,$I$2:I1236,I1236)=1,1,0)</f>
        <v>1</v>
      </c>
      <c r="M1236" s="3" t="n">
        <f aca="false">IF(K1236&gt;=Parametri!$B$1,1,0)</f>
        <v>0</v>
      </c>
      <c r="N1236" s="3" t="n">
        <f aca="false">L1236*M1236</f>
        <v>0</v>
      </c>
    </row>
    <row r="1237" customFormat="false" ht="15" hidden="false" customHeight="false" outlineLevel="0" collapsed="false">
      <c r="A1237" s="0" t="s">
        <v>2137</v>
      </c>
      <c r="B1237" s="0" t="s">
        <v>124</v>
      </c>
      <c r="C1237" s="0" t="s">
        <v>1243</v>
      </c>
      <c r="D1237" s="0" t="s">
        <v>63</v>
      </c>
      <c r="E1237" s="2" t="n">
        <v>45705</v>
      </c>
      <c r="F1237" s="3" t="s">
        <v>20</v>
      </c>
      <c r="G1237" s="3" t="s">
        <v>43</v>
      </c>
      <c r="H1237" s="3" t="s">
        <v>48</v>
      </c>
      <c r="I1237" s="3" t="n">
        <f aca="false">YEAR(E1237)</f>
        <v>2025</v>
      </c>
      <c r="J1237" s="3" t="n">
        <f aca="false">MONTH(E1237)</f>
        <v>2</v>
      </c>
      <c r="K1237" s="3" t="n">
        <f aca="false">COUNTIFS($B$2:$B$4077,B1237,$C$2:$C$4077,C1237,$I$2:$I$4077,I1237)</f>
        <v>3</v>
      </c>
      <c r="L1237" s="3" t="n">
        <f aca="false">IF(COUNTIFS($B$2:B1237,B1237,$C$2:C1237,C1237,$I$2:I1237,I1237)=1,1,0)</f>
        <v>0</v>
      </c>
      <c r="M1237" s="3" t="n">
        <f aca="false">IF(K1237&gt;=Parametri!$B$1,1,0)</f>
        <v>1</v>
      </c>
      <c r="N1237" s="3" t="n">
        <f aca="false">L1237*M1237</f>
        <v>0</v>
      </c>
    </row>
    <row r="1238" customFormat="false" ht="15" hidden="false" customHeight="false" outlineLevel="0" collapsed="false">
      <c r="A1238" s="0" t="s">
        <v>2138</v>
      </c>
      <c r="B1238" s="0" t="s">
        <v>124</v>
      </c>
      <c r="C1238" s="0" t="s">
        <v>410</v>
      </c>
      <c r="D1238" s="0" t="s">
        <v>19</v>
      </c>
      <c r="E1238" s="2" t="n">
        <v>45371</v>
      </c>
      <c r="F1238" s="3" t="s">
        <v>20</v>
      </c>
      <c r="G1238" s="3" t="s">
        <v>35</v>
      </c>
      <c r="H1238" s="3" t="s">
        <v>22</v>
      </c>
      <c r="I1238" s="3" t="n">
        <f aca="false">YEAR(E1238)</f>
        <v>2024</v>
      </c>
      <c r="J1238" s="3" t="n">
        <f aca="false">MONTH(E1238)</f>
        <v>3</v>
      </c>
      <c r="K1238" s="3" t="n">
        <f aca="false">COUNTIFS($B$2:$B$4077,B1238,$C$2:$C$4077,C1238,$I$2:$I$4077,I1238)</f>
        <v>4</v>
      </c>
      <c r="L1238" s="3" t="n">
        <f aca="false">IF(COUNTIFS($B$2:B1238,B1238,$C$2:C1238,C1238,$I$2:I1238,I1238)=1,1,0)</f>
        <v>0</v>
      </c>
      <c r="M1238" s="3" t="n">
        <f aca="false">IF(K1238&gt;=Parametri!$B$1,1,0)</f>
        <v>1</v>
      </c>
      <c r="N1238" s="3" t="n">
        <f aca="false">L1238*M1238</f>
        <v>0</v>
      </c>
    </row>
    <row r="1239" customFormat="false" ht="15" hidden="false" customHeight="false" outlineLevel="0" collapsed="false">
      <c r="A1239" s="0" t="s">
        <v>2139</v>
      </c>
      <c r="B1239" s="0" t="s">
        <v>46</v>
      </c>
      <c r="C1239" s="0" t="s">
        <v>1512</v>
      </c>
      <c r="D1239" s="0" t="s">
        <v>54</v>
      </c>
      <c r="E1239" s="2" t="n">
        <v>45438</v>
      </c>
      <c r="F1239" s="3" t="s">
        <v>34</v>
      </c>
      <c r="G1239" s="3" t="s">
        <v>43</v>
      </c>
      <c r="H1239" s="3" t="s">
        <v>29</v>
      </c>
      <c r="I1239" s="3" t="n">
        <f aca="false">YEAR(E1239)</f>
        <v>2024</v>
      </c>
      <c r="J1239" s="3" t="n">
        <f aca="false">MONTH(E1239)</f>
        <v>5</v>
      </c>
      <c r="K1239" s="3" t="n">
        <f aca="false">COUNTIFS($B$2:$B$4077,B1239,$C$2:$C$4077,C1239,$I$2:$I$4077,I1239)</f>
        <v>3</v>
      </c>
      <c r="L1239" s="3" t="n">
        <f aca="false">IF(COUNTIFS($B$2:B1239,B1239,$C$2:C1239,C1239,$I$2:I1239,I1239)=1,1,0)</f>
        <v>1</v>
      </c>
      <c r="M1239" s="3" t="n">
        <f aca="false">IF(K1239&gt;=Parametri!$B$1,1,0)</f>
        <v>1</v>
      </c>
      <c r="N1239" s="3" t="n">
        <f aca="false">L1239*M1239</f>
        <v>1</v>
      </c>
    </row>
    <row r="1240" customFormat="false" ht="15" hidden="false" customHeight="false" outlineLevel="0" collapsed="false">
      <c r="A1240" s="0" t="s">
        <v>2140</v>
      </c>
      <c r="B1240" s="0" t="s">
        <v>79</v>
      </c>
      <c r="C1240" s="0" t="s">
        <v>327</v>
      </c>
      <c r="D1240" s="0" t="s">
        <v>63</v>
      </c>
      <c r="E1240" s="2" t="n">
        <v>45404</v>
      </c>
      <c r="F1240" s="3" t="s">
        <v>34</v>
      </c>
      <c r="G1240" s="3" t="s">
        <v>55</v>
      </c>
      <c r="H1240" s="3" t="s">
        <v>48</v>
      </c>
      <c r="I1240" s="3" t="n">
        <f aca="false">YEAR(E1240)</f>
        <v>2024</v>
      </c>
      <c r="J1240" s="3" t="n">
        <f aca="false">MONTH(E1240)</f>
        <v>4</v>
      </c>
      <c r="K1240" s="3" t="n">
        <f aca="false">COUNTIFS($B$2:$B$4077,B1240,$C$2:$C$4077,C1240,$I$2:$I$4077,I1240)</f>
        <v>2</v>
      </c>
      <c r="L1240" s="3" t="n">
        <f aca="false">IF(COUNTIFS($B$2:B1240,B1240,$C$2:C1240,C1240,$I$2:I1240,I1240)=1,1,0)</f>
        <v>1</v>
      </c>
      <c r="M1240" s="3" t="n">
        <f aca="false">IF(K1240&gt;=Parametri!$B$1,1,0)</f>
        <v>1</v>
      </c>
      <c r="N1240" s="3" t="n">
        <f aca="false">L1240*M1240</f>
        <v>1</v>
      </c>
    </row>
    <row r="1241" customFormat="false" ht="15" hidden="false" customHeight="false" outlineLevel="0" collapsed="false">
      <c r="A1241" s="0" t="s">
        <v>2141</v>
      </c>
      <c r="B1241" s="0" t="s">
        <v>41</v>
      </c>
      <c r="C1241" s="0" t="s">
        <v>1536</v>
      </c>
      <c r="D1241" s="0" t="s">
        <v>54</v>
      </c>
      <c r="E1241" s="2" t="n">
        <v>45692</v>
      </c>
      <c r="F1241" s="3" t="s">
        <v>20</v>
      </c>
      <c r="G1241" s="3" t="s">
        <v>39</v>
      </c>
      <c r="H1241" s="3" t="s">
        <v>44</v>
      </c>
      <c r="I1241" s="3" t="n">
        <f aca="false">YEAR(E1241)</f>
        <v>2025</v>
      </c>
      <c r="J1241" s="3" t="n">
        <f aca="false">MONTH(E1241)</f>
        <v>2</v>
      </c>
      <c r="K1241" s="3" t="n">
        <f aca="false">COUNTIFS($B$2:$B$4077,B1241,$C$2:$C$4077,C1241,$I$2:$I$4077,I1241)</f>
        <v>2</v>
      </c>
      <c r="L1241" s="3" t="n">
        <f aca="false">IF(COUNTIFS($B$2:B1241,B1241,$C$2:C1241,C1241,$I$2:I1241,I1241)=1,1,0)</f>
        <v>1</v>
      </c>
      <c r="M1241" s="3" t="n">
        <f aca="false">IF(K1241&gt;=Parametri!$B$1,1,0)</f>
        <v>1</v>
      </c>
      <c r="N1241" s="3" t="n">
        <f aca="false">L1241*M1241</f>
        <v>1</v>
      </c>
    </row>
    <row r="1242" customFormat="false" ht="15" hidden="false" customHeight="false" outlineLevel="0" collapsed="false">
      <c r="A1242" s="0" t="s">
        <v>2142</v>
      </c>
      <c r="B1242" s="0" t="s">
        <v>24</v>
      </c>
      <c r="C1242" s="0" t="s">
        <v>2143</v>
      </c>
      <c r="D1242" s="0" t="s">
        <v>63</v>
      </c>
      <c r="E1242" s="2" t="n">
        <v>45896</v>
      </c>
      <c r="F1242" s="3" t="s">
        <v>104</v>
      </c>
      <c r="G1242" s="3" t="s">
        <v>104</v>
      </c>
      <c r="H1242" s="3" t="s">
        <v>104</v>
      </c>
      <c r="I1242" s="3" t="n">
        <f aca="false">YEAR(E1242)</f>
        <v>2025</v>
      </c>
      <c r="J1242" s="3" t="n">
        <f aca="false">MONTH(E1242)</f>
        <v>8</v>
      </c>
      <c r="K1242" s="3" t="n">
        <f aca="false">COUNTIFS($B$2:$B$4077,B1242,$C$2:$C$4077,C1242,$I$2:$I$4077,I1242)</f>
        <v>1</v>
      </c>
      <c r="L1242" s="3" t="n">
        <f aca="false">IF(COUNTIFS($B$2:B1242,B1242,$C$2:C1242,C1242,$I$2:I1242,I1242)=1,1,0)</f>
        <v>1</v>
      </c>
      <c r="M1242" s="3" t="n">
        <f aca="false">IF(K1242&gt;=Parametri!$B$1,1,0)</f>
        <v>0</v>
      </c>
      <c r="N1242" s="3" t="n">
        <f aca="false">L1242*M1242</f>
        <v>0</v>
      </c>
    </row>
    <row r="1243" customFormat="false" ht="15" hidden="false" customHeight="false" outlineLevel="0" collapsed="false">
      <c r="A1243" s="0" t="s">
        <v>2144</v>
      </c>
      <c r="B1243" s="0" t="s">
        <v>68</v>
      </c>
      <c r="C1243" s="0" t="s">
        <v>2145</v>
      </c>
      <c r="D1243" s="0" t="s">
        <v>54</v>
      </c>
      <c r="E1243" s="2" t="n">
        <v>46060</v>
      </c>
      <c r="F1243" s="3" t="s">
        <v>27</v>
      </c>
      <c r="G1243" s="3" t="s">
        <v>55</v>
      </c>
      <c r="H1243" s="3" t="s">
        <v>48</v>
      </c>
      <c r="I1243" s="3" t="n">
        <f aca="false">YEAR(E1243)</f>
        <v>2026</v>
      </c>
      <c r="J1243" s="3" t="n">
        <f aca="false">MONTH(E1243)</f>
        <v>2</v>
      </c>
      <c r="K1243" s="3" t="n">
        <f aca="false">COUNTIFS($B$2:$B$4077,B1243,$C$2:$C$4077,C1243,$I$2:$I$4077,I1243)</f>
        <v>1</v>
      </c>
      <c r="L1243" s="3" t="n">
        <f aca="false">IF(COUNTIFS($B$2:B1243,B1243,$C$2:C1243,C1243,$I$2:I1243,I1243)=1,1,0)</f>
        <v>1</v>
      </c>
      <c r="M1243" s="3" t="n">
        <f aca="false">IF(K1243&gt;=Parametri!$B$1,1,0)</f>
        <v>0</v>
      </c>
      <c r="N1243" s="3" t="n">
        <f aca="false">L1243*M1243</f>
        <v>0</v>
      </c>
    </row>
    <row r="1244" customFormat="false" ht="15" hidden="false" customHeight="false" outlineLevel="0" collapsed="false">
      <c r="A1244" s="0" t="s">
        <v>2146</v>
      </c>
      <c r="B1244" s="0" t="s">
        <v>124</v>
      </c>
      <c r="C1244" s="0" t="s">
        <v>1389</v>
      </c>
      <c r="D1244" s="0" t="s">
        <v>38</v>
      </c>
      <c r="E1244" s="2" t="n">
        <v>45753</v>
      </c>
      <c r="F1244" s="3" t="s">
        <v>20</v>
      </c>
      <c r="G1244" s="3" t="s">
        <v>72</v>
      </c>
      <c r="H1244" s="3" t="s">
        <v>22</v>
      </c>
      <c r="I1244" s="3" t="n">
        <f aca="false">YEAR(E1244)</f>
        <v>2025</v>
      </c>
      <c r="J1244" s="3" t="n">
        <f aca="false">MONTH(E1244)</f>
        <v>4</v>
      </c>
      <c r="K1244" s="3" t="n">
        <f aca="false">COUNTIFS($B$2:$B$4077,B1244,$C$2:$C$4077,C1244,$I$2:$I$4077,I1244)</f>
        <v>2</v>
      </c>
      <c r="L1244" s="3" t="n">
        <f aca="false">IF(COUNTIFS($B$2:B1244,B1244,$C$2:C1244,C1244,$I$2:I1244,I1244)=1,1,0)</f>
        <v>0</v>
      </c>
      <c r="M1244" s="3" t="n">
        <f aca="false">IF(K1244&gt;=Parametri!$B$1,1,0)</f>
        <v>1</v>
      </c>
      <c r="N1244" s="3" t="n">
        <f aca="false">L1244*M1244</f>
        <v>0</v>
      </c>
    </row>
    <row r="1245" customFormat="false" ht="15" hidden="false" customHeight="false" outlineLevel="0" collapsed="false">
      <c r="A1245" s="0" t="s">
        <v>2147</v>
      </c>
      <c r="B1245" s="0" t="s">
        <v>17</v>
      </c>
      <c r="C1245" s="0" t="s">
        <v>2148</v>
      </c>
      <c r="D1245" s="0" t="s">
        <v>54</v>
      </c>
      <c r="E1245" s="2" t="n">
        <v>45445</v>
      </c>
      <c r="F1245" s="3" t="s">
        <v>27</v>
      </c>
      <c r="G1245" s="3" t="s">
        <v>72</v>
      </c>
      <c r="H1245" s="3" t="s">
        <v>44</v>
      </c>
      <c r="I1245" s="3" t="n">
        <f aca="false">YEAR(E1245)</f>
        <v>2024</v>
      </c>
      <c r="J1245" s="3" t="n">
        <f aca="false">MONTH(E1245)</f>
        <v>6</v>
      </c>
      <c r="K1245" s="3" t="n">
        <f aca="false">COUNTIFS($B$2:$B$4077,B1245,$C$2:$C$4077,C1245,$I$2:$I$4077,I1245)</f>
        <v>2</v>
      </c>
      <c r="L1245" s="3" t="n">
        <f aca="false">IF(COUNTIFS($B$2:B1245,B1245,$C$2:C1245,C1245,$I$2:I1245,I1245)=1,1,0)</f>
        <v>1</v>
      </c>
      <c r="M1245" s="3" t="n">
        <f aca="false">IF(K1245&gt;=Parametri!$B$1,1,0)</f>
        <v>1</v>
      </c>
      <c r="N1245" s="3" t="n">
        <f aca="false">L1245*M1245</f>
        <v>1</v>
      </c>
    </row>
    <row r="1246" customFormat="false" ht="15" hidden="false" customHeight="false" outlineLevel="0" collapsed="false">
      <c r="A1246" s="0" t="s">
        <v>2149</v>
      </c>
      <c r="B1246" s="0" t="s">
        <v>31</v>
      </c>
      <c r="C1246" s="0" t="s">
        <v>2150</v>
      </c>
      <c r="D1246" s="0" t="s">
        <v>63</v>
      </c>
      <c r="E1246" s="2" t="n">
        <v>45518</v>
      </c>
      <c r="F1246" s="3" t="s">
        <v>20</v>
      </c>
      <c r="G1246" s="3" t="s">
        <v>89</v>
      </c>
      <c r="H1246" s="3" t="s">
        <v>29</v>
      </c>
      <c r="I1246" s="3" t="n">
        <f aca="false">YEAR(E1246)</f>
        <v>2024</v>
      </c>
      <c r="J1246" s="3" t="n">
        <f aca="false">MONTH(E1246)</f>
        <v>8</v>
      </c>
      <c r="K1246" s="3" t="n">
        <f aca="false">COUNTIFS($B$2:$B$4077,B1246,$C$2:$C$4077,C1246,$I$2:$I$4077,I1246)</f>
        <v>2</v>
      </c>
      <c r="L1246" s="3" t="n">
        <f aca="false">IF(COUNTIFS($B$2:B1246,B1246,$C$2:C1246,C1246,$I$2:I1246,I1246)=1,1,0)</f>
        <v>1</v>
      </c>
      <c r="M1246" s="3" t="n">
        <f aca="false">IF(K1246&gt;=Parametri!$B$1,1,0)</f>
        <v>1</v>
      </c>
      <c r="N1246" s="3" t="n">
        <f aca="false">L1246*M1246</f>
        <v>1</v>
      </c>
    </row>
    <row r="1247" customFormat="false" ht="15" hidden="false" customHeight="false" outlineLevel="0" collapsed="false">
      <c r="A1247" s="0" t="s">
        <v>2151</v>
      </c>
      <c r="B1247" s="0" t="s">
        <v>41</v>
      </c>
      <c r="C1247" s="0" t="s">
        <v>2152</v>
      </c>
      <c r="D1247" s="0" t="s">
        <v>33</v>
      </c>
      <c r="E1247" s="2" t="n">
        <v>45979</v>
      </c>
      <c r="F1247" s="3" t="s">
        <v>34</v>
      </c>
      <c r="G1247" s="3" t="s">
        <v>72</v>
      </c>
      <c r="H1247" s="3" t="s">
        <v>48</v>
      </c>
      <c r="I1247" s="3" t="n">
        <f aca="false">YEAR(E1247)</f>
        <v>2025</v>
      </c>
      <c r="J1247" s="3" t="n">
        <f aca="false">MONTH(E1247)</f>
        <v>11</v>
      </c>
      <c r="K1247" s="3" t="n">
        <f aca="false">COUNTIFS($B$2:$B$4077,B1247,$C$2:$C$4077,C1247,$I$2:$I$4077,I1247)</f>
        <v>1</v>
      </c>
      <c r="L1247" s="3" t="n">
        <f aca="false">IF(COUNTIFS($B$2:B1247,B1247,$C$2:C1247,C1247,$I$2:I1247,I1247)=1,1,0)</f>
        <v>1</v>
      </c>
      <c r="M1247" s="3" t="n">
        <f aca="false">IF(K1247&gt;=Parametri!$B$1,1,0)</f>
        <v>0</v>
      </c>
      <c r="N1247" s="3" t="n">
        <f aca="false">L1247*M1247</f>
        <v>0</v>
      </c>
    </row>
    <row r="1248" customFormat="false" ht="15" hidden="false" customHeight="false" outlineLevel="0" collapsed="false">
      <c r="A1248" s="0" t="s">
        <v>2153</v>
      </c>
      <c r="B1248" s="0" t="s">
        <v>17</v>
      </c>
      <c r="C1248" s="0" t="s">
        <v>403</v>
      </c>
      <c r="D1248" s="0" t="s">
        <v>26</v>
      </c>
      <c r="E1248" s="2" t="n">
        <v>46146</v>
      </c>
      <c r="F1248" s="3" t="s">
        <v>27</v>
      </c>
      <c r="G1248" s="3" t="s">
        <v>89</v>
      </c>
      <c r="H1248" s="3" t="s">
        <v>22</v>
      </c>
      <c r="I1248" s="3" t="n">
        <f aca="false">YEAR(E1248)</f>
        <v>2026</v>
      </c>
      <c r="J1248" s="3" t="n">
        <f aca="false">MONTH(E1248)</f>
        <v>5</v>
      </c>
      <c r="K1248" s="3" t="n">
        <f aca="false">COUNTIFS($B$2:$B$4077,B1248,$C$2:$C$4077,C1248,$I$2:$I$4077,I1248)</f>
        <v>1</v>
      </c>
      <c r="L1248" s="3" t="n">
        <f aca="false">IF(COUNTIFS($B$2:B1248,B1248,$C$2:C1248,C1248,$I$2:I1248,I1248)=1,1,0)</f>
        <v>1</v>
      </c>
      <c r="M1248" s="3" t="n">
        <f aca="false">IF(K1248&gt;=Parametri!$B$1,1,0)</f>
        <v>0</v>
      </c>
      <c r="N1248" s="3" t="n">
        <f aca="false">L1248*M1248</f>
        <v>0</v>
      </c>
    </row>
    <row r="1249" customFormat="false" ht="15" hidden="false" customHeight="false" outlineLevel="0" collapsed="false">
      <c r="A1249" s="0" t="s">
        <v>2154</v>
      </c>
      <c r="B1249" s="0" t="s">
        <v>124</v>
      </c>
      <c r="C1249" s="0" t="s">
        <v>2155</v>
      </c>
      <c r="D1249" s="0" t="s">
        <v>63</v>
      </c>
      <c r="E1249" s="2" t="n">
        <v>45297</v>
      </c>
      <c r="F1249" s="3" t="s">
        <v>20</v>
      </c>
      <c r="G1249" s="3" t="s">
        <v>21</v>
      </c>
      <c r="H1249" s="3" t="s">
        <v>44</v>
      </c>
      <c r="I1249" s="3" t="n">
        <f aca="false">YEAR(E1249)</f>
        <v>2024</v>
      </c>
      <c r="J1249" s="3" t="n">
        <f aca="false">MONTH(E1249)</f>
        <v>1</v>
      </c>
      <c r="K1249" s="3" t="n">
        <f aca="false">COUNTIFS($B$2:$B$4077,B1249,$C$2:$C$4077,C1249,$I$2:$I$4077,I1249)</f>
        <v>1</v>
      </c>
      <c r="L1249" s="3" t="n">
        <f aca="false">IF(COUNTIFS($B$2:B1249,B1249,$C$2:C1249,C1249,$I$2:I1249,I1249)=1,1,0)</f>
        <v>1</v>
      </c>
      <c r="M1249" s="3" t="n">
        <f aca="false">IF(K1249&gt;=Parametri!$B$1,1,0)</f>
        <v>0</v>
      </c>
      <c r="N1249" s="3" t="n">
        <f aca="false">L1249*M1249</f>
        <v>0</v>
      </c>
    </row>
    <row r="1250" customFormat="false" ht="15" hidden="false" customHeight="false" outlineLevel="0" collapsed="false">
      <c r="A1250" s="0" t="s">
        <v>2156</v>
      </c>
      <c r="B1250" s="0" t="s">
        <v>79</v>
      </c>
      <c r="C1250" s="0" t="s">
        <v>570</v>
      </c>
      <c r="D1250" s="0" t="s">
        <v>26</v>
      </c>
      <c r="E1250" s="2" t="n">
        <v>45495</v>
      </c>
      <c r="F1250" s="3" t="s">
        <v>34</v>
      </c>
      <c r="G1250" s="3" t="s">
        <v>35</v>
      </c>
      <c r="H1250" s="3" t="s">
        <v>29</v>
      </c>
      <c r="I1250" s="3" t="n">
        <f aca="false">YEAR(E1250)</f>
        <v>2024</v>
      </c>
      <c r="J1250" s="3" t="n">
        <f aca="false">MONTH(E1250)</f>
        <v>7</v>
      </c>
      <c r="K1250" s="3" t="n">
        <f aca="false">COUNTIFS($B$2:$B$4077,B1250,$C$2:$C$4077,C1250,$I$2:$I$4077,I1250)</f>
        <v>2</v>
      </c>
      <c r="L1250" s="3" t="n">
        <f aca="false">IF(COUNTIFS($B$2:B1250,B1250,$C$2:C1250,C1250,$I$2:I1250,I1250)=1,1,0)</f>
        <v>1</v>
      </c>
      <c r="M1250" s="3" t="n">
        <f aca="false">IF(K1250&gt;=Parametri!$B$1,1,0)</f>
        <v>1</v>
      </c>
      <c r="N1250" s="3" t="n">
        <f aca="false">L1250*M1250</f>
        <v>1</v>
      </c>
    </row>
    <row r="1251" customFormat="false" ht="15" hidden="false" customHeight="false" outlineLevel="0" collapsed="false">
      <c r="A1251" s="0" t="s">
        <v>2157</v>
      </c>
      <c r="B1251" s="0" t="s">
        <v>24</v>
      </c>
      <c r="C1251" s="0" t="s">
        <v>325</v>
      </c>
      <c r="D1251" s="0" t="s">
        <v>63</v>
      </c>
      <c r="E1251" s="2" t="n">
        <v>45674</v>
      </c>
      <c r="F1251" s="3" t="s">
        <v>27</v>
      </c>
      <c r="G1251" s="3" t="s">
        <v>28</v>
      </c>
      <c r="H1251" s="3" t="s">
        <v>22</v>
      </c>
      <c r="I1251" s="3" t="n">
        <f aca="false">YEAR(E1251)</f>
        <v>2025</v>
      </c>
      <c r="J1251" s="3" t="n">
        <f aca="false">MONTH(E1251)</f>
        <v>1</v>
      </c>
      <c r="K1251" s="3" t="n">
        <f aca="false">COUNTIFS($B$2:$B$4077,B1251,$C$2:$C$4077,C1251,$I$2:$I$4077,I1251)</f>
        <v>4</v>
      </c>
      <c r="L1251" s="3" t="n">
        <f aca="false">IF(COUNTIFS($B$2:B1251,B1251,$C$2:C1251,C1251,$I$2:I1251,I1251)=1,1,0)</f>
        <v>0</v>
      </c>
      <c r="M1251" s="3" t="n">
        <f aca="false">IF(K1251&gt;=Parametri!$B$1,1,0)</f>
        <v>1</v>
      </c>
      <c r="N1251" s="3" t="n">
        <f aca="false">L1251*M1251</f>
        <v>0</v>
      </c>
    </row>
    <row r="1252" customFormat="false" ht="15" hidden="false" customHeight="false" outlineLevel="0" collapsed="false">
      <c r="A1252" s="0" t="s">
        <v>2158</v>
      </c>
      <c r="B1252" s="0" t="s">
        <v>79</v>
      </c>
      <c r="C1252" s="0" t="s">
        <v>2159</v>
      </c>
      <c r="D1252" s="0" t="s">
        <v>54</v>
      </c>
      <c r="E1252" s="2" t="n">
        <v>45972</v>
      </c>
      <c r="F1252" s="3" t="s">
        <v>20</v>
      </c>
      <c r="G1252" s="3" t="s">
        <v>43</v>
      </c>
      <c r="H1252" s="3" t="s">
        <v>29</v>
      </c>
      <c r="I1252" s="3" t="n">
        <f aca="false">YEAR(E1252)</f>
        <v>2025</v>
      </c>
      <c r="J1252" s="3" t="n">
        <f aca="false">MONTH(E1252)</f>
        <v>11</v>
      </c>
      <c r="K1252" s="3" t="n">
        <f aca="false">COUNTIFS($B$2:$B$4077,B1252,$C$2:$C$4077,C1252,$I$2:$I$4077,I1252)</f>
        <v>1</v>
      </c>
      <c r="L1252" s="3" t="n">
        <f aca="false">IF(COUNTIFS($B$2:B1252,B1252,$C$2:C1252,C1252,$I$2:I1252,I1252)=1,1,0)</f>
        <v>1</v>
      </c>
      <c r="M1252" s="3" t="n">
        <f aca="false">IF(K1252&gt;=Parametri!$B$1,1,0)</f>
        <v>0</v>
      </c>
      <c r="N1252" s="3" t="n">
        <f aca="false">L1252*M1252</f>
        <v>0</v>
      </c>
    </row>
    <row r="1253" customFormat="false" ht="15" hidden="false" customHeight="false" outlineLevel="0" collapsed="false">
      <c r="A1253" s="0" t="s">
        <v>2160</v>
      </c>
      <c r="B1253" s="0" t="s">
        <v>68</v>
      </c>
      <c r="C1253" s="0" t="s">
        <v>2161</v>
      </c>
      <c r="D1253" s="0" t="s">
        <v>26</v>
      </c>
      <c r="E1253" s="2" t="n">
        <v>46061</v>
      </c>
      <c r="F1253" s="3" t="s">
        <v>20</v>
      </c>
      <c r="G1253" s="3" t="s">
        <v>43</v>
      </c>
      <c r="H1253" s="3" t="s">
        <v>44</v>
      </c>
      <c r="I1253" s="3" t="n">
        <f aca="false">YEAR(E1253)</f>
        <v>2026</v>
      </c>
      <c r="J1253" s="3" t="n">
        <f aca="false">MONTH(E1253)</f>
        <v>2</v>
      </c>
      <c r="K1253" s="3" t="n">
        <f aca="false">COUNTIFS($B$2:$B$4077,B1253,$C$2:$C$4077,C1253,$I$2:$I$4077,I1253)</f>
        <v>1</v>
      </c>
      <c r="L1253" s="3" t="n">
        <f aca="false">IF(COUNTIFS($B$2:B1253,B1253,$C$2:C1253,C1253,$I$2:I1253,I1253)=1,1,0)</f>
        <v>1</v>
      </c>
      <c r="M1253" s="3" t="n">
        <f aca="false">IF(K1253&gt;=Parametri!$B$1,1,0)</f>
        <v>0</v>
      </c>
      <c r="N1253" s="3" t="n">
        <f aca="false">L1253*M1253</f>
        <v>0</v>
      </c>
    </row>
    <row r="1254" customFormat="false" ht="15" hidden="false" customHeight="false" outlineLevel="0" collapsed="false">
      <c r="A1254" s="0" t="s">
        <v>2162</v>
      </c>
      <c r="B1254" s="0" t="s">
        <v>124</v>
      </c>
      <c r="C1254" s="0" t="s">
        <v>410</v>
      </c>
      <c r="D1254" s="0" t="s">
        <v>66</v>
      </c>
      <c r="E1254" s="2" t="n">
        <v>45998</v>
      </c>
      <c r="F1254" s="3" t="s">
        <v>20</v>
      </c>
      <c r="G1254" s="3" t="s">
        <v>39</v>
      </c>
      <c r="H1254" s="3" t="s">
        <v>48</v>
      </c>
      <c r="I1254" s="3" t="n">
        <f aca="false">YEAR(E1254)</f>
        <v>2025</v>
      </c>
      <c r="J1254" s="3" t="n">
        <f aca="false">MONTH(E1254)</f>
        <v>12</v>
      </c>
      <c r="K1254" s="3" t="n">
        <f aca="false">COUNTIFS($B$2:$B$4077,B1254,$C$2:$C$4077,C1254,$I$2:$I$4077,I1254)</f>
        <v>6</v>
      </c>
      <c r="L1254" s="3" t="n">
        <f aca="false">IF(COUNTIFS($B$2:B1254,B1254,$C$2:C1254,C1254,$I$2:I1254,I1254)=1,1,0)</f>
        <v>0</v>
      </c>
      <c r="M1254" s="3" t="n">
        <f aca="false">IF(K1254&gt;=Parametri!$B$1,1,0)</f>
        <v>1</v>
      </c>
      <c r="N1254" s="3" t="n">
        <f aca="false">L1254*M1254</f>
        <v>0</v>
      </c>
    </row>
    <row r="1255" customFormat="false" ht="15" hidden="false" customHeight="false" outlineLevel="0" collapsed="false">
      <c r="A1255" s="0" t="s">
        <v>2163</v>
      </c>
      <c r="B1255" s="0" t="s">
        <v>24</v>
      </c>
      <c r="C1255" s="0" t="s">
        <v>669</v>
      </c>
      <c r="D1255" s="0" t="s">
        <v>38</v>
      </c>
      <c r="E1255" s="2" t="n">
        <v>45818</v>
      </c>
      <c r="F1255" s="3" t="s">
        <v>20</v>
      </c>
      <c r="G1255" s="3" t="s">
        <v>28</v>
      </c>
      <c r="H1255" s="3" t="s">
        <v>44</v>
      </c>
      <c r="I1255" s="3" t="n">
        <f aca="false">YEAR(E1255)</f>
        <v>2025</v>
      </c>
      <c r="J1255" s="3" t="n">
        <f aca="false">MONTH(E1255)</f>
        <v>6</v>
      </c>
      <c r="K1255" s="3" t="n">
        <f aca="false">COUNTIFS($B$2:$B$4077,B1255,$C$2:$C$4077,C1255,$I$2:$I$4077,I1255)</f>
        <v>4</v>
      </c>
      <c r="L1255" s="3" t="n">
        <f aca="false">IF(COUNTIFS($B$2:B1255,B1255,$C$2:C1255,C1255,$I$2:I1255,I1255)=1,1,0)</f>
        <v>1</v>
      </c>
      <c r="M1255" s="3" t="n">
        <f aca="false">IF(K1255&gt;=Parametri!$B$1,1,0)</f>
        <v>1</v>
      </c>
      <c r="N1255" s="3" t="n">
        <f aca="false">L1255*M1255</f>
        <v>1</v>
      </c>
    </row>
    <row r="1256" customFormat="false" ht="15" hidden="false" customHeight="false" outlineLevel="0" collapsed="false">
      <c r="A1256" s="0" t="s">
        <v>2164</v>
      </c>
      <c r="B1256" s="0" t="s">
        <v>41</v>
      </c>
      <c r="C1256" s="0" t="s">
        <v>999</v>
      </c>
      <c r="D1256" s="0" t="s">
        <v>19</v>
      </c>
      <c r="E1256" s="2" t="n">
        <v>46032</v>
      </c>
      <c r="F1256" s="3" t="s">
        <v>20</v>
      </c>
      <c r="G1256" s="3" t="s">
        <v>35</v>
      </c>
      <c r="H1256" s="3" t="s">
        <v>48</v>
      </c>
      <c r="I1256" s="3" t="n">
        <f aca="false">YEAR(E1256)</f>
        <v>2026</v>
      </c>
      <c r="J1256" s="3" t="n">
        <f aca="false">MONTH(E1256)</f>
        <v>1</v>
      </c>
      <c r="K1256" s="3" t="n">
        <f aca="false">COUNTIFS($B$2:$B$4077,B1256,$C$2:$C$4077,C1256,$I$2:$I$4077,I1256)</f>
        <v>1</v>
      </c>
      <c r="L1256" s="3" t="n">
        <f aca="false">IF(COUNTIFS($B$2:B1256,B1256,$C$2:C1256,C1256,$I$2:I1256,I1256)=1,1,0)</f>
        <v>1</v>
      </c>
      <c r="M1256" s="3" t="n">
        <f aca="false">IF(K1256&gt;=Parametri!$B$1,1,0)</f>
        <v>0</v>
      </c>
      <c r="N1256" s="3" t="n">
        <f aca="false">L1256*M1256</f>
        <v>0</v>
      </c>
    </row>
    <row r="1257" customFormat="false" ht="15" hidden="false" customHeight="false" outlineLevel="0" collapsed="false">
      <c r="A1257" s="0" t="s">
        <v>2165</v>
      </c>
      <c r="B1257" s="0" t="s">
        <v>17</v>
      </c>
      <c r="C1257" s="0" t="s">
        <v>399</v>
      </c>
      <c r="D1257" s="0" t="s">
        <v>77</v>
      </c>
      <c r="E1257" s="2" t="n">
        <v>45424</v>
      </c>
      <c r="F1257" s="3" t="s">
        <v>20</v>
      </c>
      <c r="G1257" s="3" t="s">
        <v>21</v>
      </c>
      <c r="H1257" s="3" t="s">
        <v>48</v>
      </c>
      <c r="I1257" s="3" t="n">
        <f aca="false">YEAR(E1257)</f>
        <v>2024</v>
      </c>
      <c r="J1257" s="3" t="n">
        <f aca="false">MONTH(E1257)</f>
        <v>5</v>
      </c>
      <c r="K1257" s="3" t="n">
        <f aca="false">COUNTIFS($B$2:$B$4077,B1257,$C$2:$C$4077,C1257,$I$2:$I$4077,I1257)</f>
        <v>3</v>
      </c>
      <c r="L1257" s="3" t="n">
        <f aca="false">IF(COUNTIFS($B$2:B1257,B1257,$C$2:C1257,C1257,$I$2:I1257,I1257)=1,1,0)</f>
        <v>1</v>
      </c>
      <c r="M1257" s="3" t="n">
        <f aca="false">IF(K1257&gt;=Parametri!$B$1,1,0)</f>
        <v>1</v>
      </c>
      <c r="N1257" s="3" t="n">
        <f aca="false">L1257*M1257</f>
        <v>1</v>
      </c>
    </row>
    <row r="1258" customFormat="false" ht="15" hidden="false" customHeight="false" outlineLevel="0" collapsed="false">
      <c r="A1258" s="0" t="s">
        <v>2166</v>
      </c>
      <c r="B1258" s="0" t="s">
        <v>17</v>
      </c>
      <c r="C1258" s="0" t="s">
        <v>406</v>
      </c>
      <c r="D1258" s="0" t="s">
        <v>54</v>
      </c>
      <c r="E1258" s="2" t="n">
        <v>45905</v>
      </c>
      <c r="F1258" s="3" t="s">
        <v>20</v>
      </c>
      <c r="G1258" s="3" t="s">
        <v>89</v>
      </c>
      <c r="H1258" s="3" t="s">
        <v>48</v>
      </c>
      <c r="I1258" s="3" t="n">
        <f aca="false">YEAR(E1258)</f>
        <v>2025</v>
      </c>
      <c r="J1258" s="3" t="n">
        <f aca="false">MONTH(E1258)</f>
        <v>9</v>
      </c>
      <c r="K1258" s="3" t="n">
        <f aca="false">COUNTIFS($B$2:$B$4077,B1258,$C$2:$C$4077,C1258,$I$2:$I$4077,I1258)</f>
        <v>4</v>
      </c>
      <c r="L1258" s="3" t="n">
        <f aca="false">IF(COUNTIFS($B$2:B1258,B1258,$C$2:C1258,C1258,$I$2:I1258,I1258)=1,1,0)</f>
        <v>0</v>
      </c>
      <c r="M1258" s="3" t="n">
        <f aca="false">IF(K1258&gt;=Parametri!$B$1,1,0)</f>
        <v>1</v>
      </c>
      <c r="N1258" s="3" t="n">
        <f aca="false">L1258*M1258</f>
        <v>0</v>
      </c>
    </row>
    <row r="1259" customFormat="false" ht="15" hidden="false" customHeight="false" outlineLevel="0" collapsed="false">
      <c r="A1259" s="0" t="s">
        <v>2167</v>
      </c>
      <c r="B1259" s="0" t="s">
        <v>68</v>
      </c>
      <c r="C1259" s="0" t="s">
        <v>2168</v>
      </c>
      <c r="D1259" s="0" t="s">
        <v>77</v>
      </c>
      <c r="E1259" s="2" t="n">
        <v>46156</v>
      </c>
      <c r="F1259" s="3" t="s">
        <v>27</v>
      </c>
      <c r="G1259" s="3" t="s">
        <v>89</v>
      </c>
      <c r="H1259" s="3" t="s">
        <v>22</v>
      </c>
      <c r="I1259" s="3" t="n">
        <f aca="false">YEAR(E1259)</f>
        <v>2026</v>
      </c>
      <c r="J1259" s="3" t="n">
        <f aca="false">MONTH(E1259)</f>
        <v>5</v>
      </c>
      <c r="K1259" s="3" t="n">
        <f aca="false">COUNTIFS($B$2:$B$4077,B1259,$C$2:$C$4077,C1259,$I$2:$I$4077,I1259)</f>
        <v>2</v>
      </c>
      <c r="L1259" s="3" t="n">
        <f aca="false">IF(COUNTIFS($B$2:B1259,B1259,$C$2:C1259,C1259,$I$2:I1259,I1259)=1,1,0)</f>
        <v>1</v>
      </c>
      <c r="M1259" s="3" t="n">
        <f aca="false">IF(K1259&gt;=Parametri!$B$1,1,0)</f>
        <v>1</v>
      </c>
      <c r="N1259" s="3" t="n">
        <f aca="false">L1259*M1259</f>
        <v>1</v>
      </c>
    </row>
    <row r="1260" customFormat="false" ht="15" hidden="false" customHeight="false" outlineLevel="0" collapsed="false">
      <c r="A1260" s="0" t="s">
        <v>2169</v>
      </c>
      <c r="B1260" s="0" t="s">
        <v>24</v>
      </c>
      <c r="C1260" s="0" t="s">
        <v>397</v>
      </c>
      <c r="D1260" s="0" t="s">
        <v>33</v>
      </c>
      <c r="E1260" s="2" t="n">
        <v>46010</v>
      </c>
      <c r="F1260" s="3" t="s">
        <v>27</v>
      </c>
      <c r="G1260" s="3" t="s">
        <v>39</v>
      </c>
      <c r="H1260" s="3" t="s">
        <v>48</v>
      </c>
      <c r="I1260" s="3" t="n">
        <f aca="false">YEAR(E1260)</f>
        <v>2025</v>
      </c>
      <c r="J1260" s="3" t="n">
        <f aca="false">MONTH(E1260)</f>
        <v>12</v>
      </c>
      <c r="K1260" s="3" t="n">
        <f aca="false">COUNTIFS($B$2:$B$4077,B1260,$C$2:$C$4077,C1260,$I$2:$I$4077,I1260)</f>
        <v>2</v>
      </c>
      <c r="L1260" s="3" t="n">
        <f aca="false">IF(COUNTIFS($B$2:B1260,B1260,$C$2:C1260,C1260,$I$2:I1260,I1260)=1,1,0)</f>
        <v>1</v>
      </c>
      <c r="M1260" s="3" t="n">
        <f aca="false">IF(K1260&gt;=Parametri!$B$1,1,0)</f>
        <v>1</v>
      </c>
      <c r="N1260" s="3" t="n">
        <f aca="false">L1260*M1260</f>
        <v>1</v>
      </c>
    </row>
    <row r="1261" customFormat="false" ht="15" hidden="false" customHeight="false" outlineLevel="0" collapsed="false">
      <c r="A1261" s="0" t="s">
        <v>2170</v>
      </c>
      <c r="B1261" s="0" t="s">
        <v>124</v>
      </c>
      <c r="C1261" s="0" t="s">
        <v>810</v>
      </c>
      <c r="D1261" s="0" t="s">
        <v>63</v>
      </c>
      <c r="E1261" s="2" t="n">
        <v>45336</v>
      </c>
      <c r="F1261" s="3" t="s">
        <v>20</v>
      </c>
      <c r="G1261" s="3" t="s">
        <v>43</v>
      </c>
      <c r="H1261" s="3" t="s">
        <v>44</v>
      </c>
      <c r="I1261" s="3" t="n">
        <f aca="false">YEAR(E1261)</f>
        <v>2024</v>
      </c>
      <c r="J1261" s="3" t="n">
        <f aca="false">MONTH(E1261)</f>
        <v>2</v>
      </c>
      <c r="K1261" s="3" t="n">
        <f aca="false">COUNTIFS($B$2:$B$4077,B1261,$C$2:$C$4077,C1261,$I$2:$I$4077,I1261)</f>
        <v>1</v>
      </c>
      <c r="L1261" s="3" t="n">
        <f aca="false">IF(COUNTIFS($B$2:B1261,B1261,$C$2:C1261,C1261,$I$2:I1261,I1261)=1,1,0)</f>
        <v>1</v>
      </c>
      <c r="M1261" s="3" t="n">
        <f aca="false">IF(K1261&gt;=Parametri!$B$1,1,0)</f>
        <v>0</v>
      </c>
      <c r="N1261" s="3" t="n">
        <f aca="false">L1261*M1261</f>
        <v>0</v>
      </c>
    </row>
    <row r="1262" customFormat="false" ht="15" hidden="false" customHeight="false" outlineLevel="0" collapsed="false">
      <c r="A1262" s="0" t="s">
        <v>2171</v>
      </c>
      <c r="B1262" s="0" t="s">
        <v>57</v>
      </c>
      <c r="C1262" s="0" t="s">
        <v>2172</v>
      </c>
      <c r="D1262" s="0" t="s">
        <v>19</v>
      </c>
      <c r="E1262" s="2" t="n">
        <v>45374</v>
      </c>
      <c r="F1262" s="3" t="s">
        <v>34</v>
      </c>
      <c r="G1262" s="3" t="s">
        <v>89</v>
      </c>
      <c r="H1262" s="3" t="s">
        <v>48</v>
      </c>
      <c r="I1262" s="3" t="n">
        <f aca="false">YEAR(E1262)</f>
        <v>2024</v>
      </c>
      <c r="J1262" s="3" t="n">
        <f aca="false">MONTH(E1262)</f>
        <v>3</v>
      </c>
      <c r="K1262" s="3" t="n">
        <f aca="false">COUNTIFS($B$2:$B$4077,B1262,$C$2:$C$4077,C1262,$I$2:$I$4077,I1262)</f>
        <v>1</v>
      </c>
      <c r="L1262" s="3" t="n">
        <f aca="false">IF(COUNTIFS($B$2:B1262,B1262,$C$2:C1262,C1262,$I$2:I1262,I1262)=1,1,0)</f>
        <v>1</v>
      </c>
      <c r="M1262" s="3" t="n">
        <f aca="false">IF(K1262&gt;=Parametri!$B$1,1,0)</f>
        <v>0</v>
      </c>
      <c r="N1262" s="3" t="n">
        <f aca="false">L1262*M1262</f>
        <v>0</v>
      </c>
    </row>
    <row r="1263" customFormat="false" ht="15" hidden="false" customHeight="false" outlineLevel="0" collapsed="false">
      <c r="A1263" s="0" t="s">
        <v>2173</v>
      </c>
      <c r="B1263" s="0" t="s">
        <v>17</v>
      </c>
      <c r="C1263" s="0" t="s">
        <v>2174</v>
      </c>
      <c r="D1263" s="0" t="s">
        <v>26</v>
      </c>
      <c r="E1263" s="2" t="n">
        <v>45625</v>
      </c>
      <c r="F1263" s="3" t="s">
        <v>34</v>
      </c>
      <c r="G1263" s="3" t="s">
        <v>43</v>
      </c>
      <c r="H1263" s="3" t="s">
        <v>48</v>
      </c>
      <c r="I1263" s="3" t="n">
        <f aca="false">YEAR(E1263)</f>
        <v>2024</v>
      </c>
      <c r="J1263" s="3" t="n">
        <f aca="false">MONTH(E1263)</f>
        <v>11</v>
      </c>
      <c r="K1263" s="3" t="n">
        <f aca="false">COUNTIFS($B$2:$B$4077,B1263,$C$2:$C$4077,C1263,$I$2:$I$4077,I1263)</f>
        <v>1</v>
      </c>
      <c r="L1263" s="3" t="n">
        <f aca="false">IF(COUNTIFS($B$2:B1263,B1263,$C$2:C1263,C1263,$I$2:I1263,I1263)=1,1,0)</f>
        <v>1</v>
      </c>
      <c r="M1263" s="3" t="n">
        <f aca="false">IF(K1263&gt;=Parametri!$B$1,1,0)</f>
        <v>0</v>
      </c>
      <c r="N1263" s="3" t="n">
        <f aca="false">L1263*M1263</f>
        <v>0</v>
      </c>
    </row>
    <row r="1264" customFormat="false" ht="15" hidden="false" customHeight="false" outlineLevel="0" collapsed="false">
      <c r="A1264" s="0" t="s">
        <v>2175</v>
      </c>
      <c r="B1264" s="0" t="s">
        <v>46</v>
      </c>
      <c r="C1264" s="0" t="s">
        <v>962</v>
      </c>
      <c r="D1264" s="0" t="s">
        <v>26</v>
      </c>
      <c r="E1264" s="2" t="n">
        <v>45771</v>
      </c>
      <c r="F1264" s="3" t="s">
        <v>20</v>
      </c>
      <c r="G1264" s="3" t="s">
        <v>43</v>
      </c>
      <c r="H1264" s="3" t="s">
        <v>29</v>
      </c>
      <c r="I1264" s="3" t="n">
        <f aca="false">YEAR(E1264)</f>
        <v>2025</v>
      </c>
      <c r="J1264" s="3" t="n">
        <f aca="false">MONTH(E1264)</f>
        <v>4</v>
      </c>
      <c r="K1264" s="3" t="n">
        <f aca="false">COUNTIFS($B$2:$B$4077,B1264,$C$2:$C$4077,C1264,$I$2:$I$4077,I1264)</f>
        <v>5</v>
      </c>
      <c r="L1264" s="3" t="n">
        <f aca="false">IF(COUNTIFS($B$2:B1264,B1264,$C$2:C1264,C1264,$I$2:I1264,I1264)=1,1,0)</f>
        <v>0</v>
      </c>
      <c r="M1264" s="3" t="n">
        <f aca="false">IF(K1264&gt;=Parametri!$B$1,1,0)</f>
        <v>1</v>
      </c>
      <c r="N1264" s="3" t="n">
        <f aca="false">L1264*M1264</f>
        <v>0</v>
      </c>
    </row>
    <row r="1265" customFormat="false" ht="15" hidden="false" customHeight="false" outlineLevel="0" collapsed="false">
      <c r="A1265" s="0" t="s">
        <v>2176</v>
      </c>
      <c r="B1265" s="0" t="s">
        <v>68</v>
      </c>
      <c r="C1265" s="0" t="s">
        <v>2177</v>
      </c>
      <c r="D1265" s="0" t="s">
        <v>26</v>
      </c>
      <c r="E1265" s="2" t="n">
        <v>45671</v>
      </c>
      <c r="F1265" s="3" t="s">
        <v>20</v>
      </c>
      <c r="G1265" s="3" t="s">
        <v>43</v>
      </c>
      <c r="H1265" s="3" t="s">
        <v>44</v>
      </c>
      <c r="I1265" s="3" t="n">
        <f aca="false">YEAR(E1265)</f>
        <v>2025</v>
      </c>
      <c r="J1265" s="3" t="n">
        <f aca="false">MONTH(E1265)</f>
        <v>1</v>
      </c>
      <c r="K1265" s="3" t="n">
        <f aca="false">COUNTIFS($B$2:$B$4077,B1265,$C$2:$C$4077,C1265,$I$2:$I$4077,I1265)</f>
        <v>1</v>
      </c>
      <c r="L1265" s="3" t="n">
        <f aca="false">IF(COUNTIFS($B$2:B1265,B1265,$C$2:C1265,C1265,$I$2:I1265,I1265)=1,1,0)</f>
        <v>1</v>
      </c>
      <c r="M1265" s="3" t="n">
        <f aca="false">IF(K1265&gt;=Parametri!$B$1,1,0)</f>
        <v>0</v>
      </c>
      <c r="N1265" s="3" t="n">
        <f aca="false">L1265*M1265</f>
        <v>0</v>
      </c>
    </row>
    <row r="1266" customFormat="false" ht="15" hidden="false" customHeight="false" outlineLevel="0" collapsed="false">
      <c r="A1266" s="0" t="s">
        <v>2178</v>
      </c>
      <c r="B1266" s="0" t="s">
        <v>24</v>
      </c>
      <c r="C1266" s="0" t="s">
        <v>1192</v>
      </c>
      <c r="D1266" s="0" t="s">
        <v>63</v>
      </c>
      <c r="E1266" s="2" t="n">
        <v>46256</v>
      </c>
      <c r="F1266" s="3" t="s">
        <v>27</v>
      </c>
      <c r="G1266" s="3" t="s">
        <v>28</v>
      </c>
      <c r="H1266" s="3" t="s">
        <v>48</v>
      </c>
      <c r="I1266" s="3" t="n">
        <f aca="false">YEAR(E1266)</f>
        <v>2026</v>
      </c>
      <c r="J1266" s="3" t="n">
        <f aca="false">MONTH(E1266)</f>
        <v>8</v>
      </c>
      <c r="K1266" s="3" t="n">
        <f aca="false">COUNTIFS($B$2:$B$4077,B1266,$C$2:$C$4077,C1266,$I$2:$I$4077,I1266)</f>
        <v>2</v>
      </c>
      <c r="L1266" s="3" t="n">
        <f aca="false">IF(COUNTIFS($B$2:B1266,B1266,$C$2:C1266,C1266,$I$2:I1266,I1266)=1,1,0)</f>
        <v>0</v>
      </c>
      <c r="M1266" s="3" t="n">
        <f aca="false">IF(K1266&gt;=Parametri!$B$1,1,0)</f>
        <v>1</v>
      </c>
      <c r="N1266" s="3" t="n">
        <f aca="false">L1266*M1266</f>
        <v>0</v>
      </c>
    </row>
    <row r="1267" customFormat="false" ht="15" hidden="false" customHeight="false" outlineLevel="0" collapsed="false">
      <c r="A1267" s="0" t="s">
        <v>2179</v>
      </c>
      <c r="B1267" s="0" t="s">
        <v>68</v>
      </c>
      <c r="C1267" s="0" t="s">
        <v>732</v>
      </c>
      <c r="D1267" s="0" t="s">
        <v>66</v>
      </c>
      <c r="E1267" s="2" t="n">
        <v>45463</v>
      </c>
      <c r="F1267" s="3" t="s">
        <v>34</v>
      </c>
      <c r="G1267" s="3" t="s">
        <v>28</v>
      </c>
      <c r="H1267" s="3" t="s">
        <v>29</v>
      </c>
      <c r="I1267" s="3" t="n">
        <f aca="false">YEAR(E1267)</f>
        <v>2024</v>
      </c>
      <c r="J1267" s="3" t="n">
        <f aca="false">MONTH(E1267)</f>
        <v>6</v>
      </c>
      <c r="K1267" s="3" t="n">
        <f aca="false">COUNTIFS($B$2:$B$4077,B1267,$C$2:$C$4077,C1267,$I$2:$I$4077,I1267)</f>
        <v>2</v>
      </c>
      <c r="L1267" s="3" t="n">
        <f aca="false">IF(COUNTIFS($B$2:B1267,B1267,$C$2:C1267,C1267,$I$2:I1267,I1267)=1,1,0)</f>
        <v>1</v>
      </c>
      <c r="M1267" s="3" t="n">
        <f aca="false">IF(K1267&gt;=Parametri!$B$1,1,0)</f>
        <v>1</v>
      </c>
      <c r="N1267" s="3" t="n">
        <f aca="false">L1267*M1267</f>
        <v>1</v>
      </c>
    </row>
    <row r="1268" customFormat="false" ht="15" hidden="false" customHeight="false" outlineLevel="0" collapsed="false">
      <c r="A1268" s="0" t="s">
        <v>2180</v>
      </c>
      <c r="B1268" s="0" t="s">
        <v>17</v>
      </c>
      <c r="C1268" s="0" t="s">
        <v>176</v>
      </c>
      <c r="D1268" s="0" t="s">
        <v>77</v>
      </c>
      <c r="E1268" s="2" t="n">
        <v>46127</v>
      </c>
      <c r="F1268" s="3" t="s">
        <v>27</v>
      </c>
      <c r="G1268" s="3" t="s">
        <v>28</v>
      </c>
      <c r="H1268" s="3" t="s">
        <v>44</v>
      </c>
      <c r="I1268" s="3" t="n">
        <f aca="false">YEAR(E1268)</f>
        <v>2026</v>
      </c>
      <c r="J1268" s="3" t="n">
        <f aca="false">MONTH(E1268)</f>
        <v>4</v>
      </c>
      <c r="K1268" s="3" t="n">
        <f aca="false">COUNTIFS($B$2:$B$4077,B1268,$C$2:$C$4077,C1268,$I$2:$I$4077,I1268)</f>
        <v>2</v>
      </c>
      <c r="L1268" s="3" t="n">
        <f aca="false">IF(COUNTIFS($B$2:B1268,B1268,$C$2:C1268,C1268,$I$2:I1268,I1268)=1,1,0)</f>
        <v>1</v>
      </c>
      <c r="M1268" s="3" t="n">
        <f aca="false">IF(K1268&gt;=Parametri!$B$1,1,0)</f>
        <v>1</v>
      </c>
      <c r="N1268" s="3" t="n">
        <f aca="false">L1268*M1268</f>
        <v>1</v>
      </c>
    </row>
    <row r="1269" customFormat="false" ht="15" hidden="false" customHeight="false" outlineLevel="0" collapsed="false">
      <c r="A1269" s="0" t="s">
        <v>2181</v>
      </c>
      <c r="B1269" s="0" t="s">
        <v>68</v>
      </c>
      <c r="C1269" s="0" t="s">
        <v>2182</v>
      </c>
      <c r="D1269" s="0" t="s">
        <v>66</v>
      </c>
      <c r="E1269" s="2" t="n">
        <v>46223</v>
      </c>
      <c r="F1269" s="3" t="s">
        <v>34</v>
      </c>
      <c r="G1269" s="3" t="s">
        <v>43</v>
      </c>
      <c r="H1269" s="3" t="s">
        <v>22</v>
      </c>
      <c r="I1269" s="3" t="n">
        <f aca="false">YEAR(E1269)</f>
        <v>2026</v>
      </c>
      <c r="J1269" s="3" t="n">
        <f aca="false">MONTH(E1269)</f>
        <v>7</v>
      </c>
      <c r="K1269" s="3" t="n">
        <f aca="false">COUNTIFS($B$2:$B$4077,B1269,$C$2:$C$4077,C1269,$I$2:$I$4077,I1269)</f>
        <v>2</v>
      </c>
      <c r="L1269" s="3" t="n">
        <f aca="false">IF(COUNTIFS($B$2:B1269,B1269,$C$2:C1269,C1269,$I$2:I1269,I1269)=1,1,0)</f>
        <v>1</v>
      </c>
      <c r="M1269" s="3" t="n">
        <f aca="false">IF(K1269&gt;=Parametri!$B$1,1,0)</f>
        <v>1</v>
      </c>
      <c r="N1269" s="3" t="n">
        <f aca="false">L1269*M1269</f>
        <v>1</v>
      </c>
    </row>
    <row r="1270" customFormat="false" ht="15" hidden="false" customHeight="false" outlineLevel="0" collapsed="false">
      <c r="A1270" s="0" t="s">
        <v>2183</v>
      </c>
      <c r="B1270" s="0" t="s">
        <v>68</v>
      </c>
      <c r="C1270" s="0" t="s">
        <v>2184</v>
      </c>
      <c r="D1270" s="0" t="s">
        <v>77</v>
      </c>
      <c r="E1270" s="2" t="n">
        <v>45312</v>
      </c>
      <c r="F1270" s="3" t="s">
        <v>20</v>
      </c>
      <c r="G1270" s="3" t="s">
        <v>89</v>
      </c>
      <c r="H1270" s="3" t="s">
        <v>22</v>
      </c>
      <c r="I1270" s="3" t="n">
        <f aca="false">YEAR(E1270)</f>
        <v>2024</v>
      </c>
      <c r="J1270" s="3" t="n">
        <f aca="false">MONTH(E1270)</f>
        <v>1</v>
      </c>
      <c r="K1270" s="3" t="n">
        <f aca="false">COUNTIFS($B$2:$B$4077,B1270,$C$2:$C$4077,C1270,$I$2:$I$4077,I1270)</f>
        <v>2</v>
      </c>
      <c r="L1270" s="3" t="n">
        <f aca="false">IF(COUNTIFS($B$2:B1270,B1270,$C$2:C1270,C1270,$I$2:I1270,I1270)=1,1,0)</f>
        <v>1</v>
      </c>
      <c r="M1270" s="3" t="n">
        <f aca="false">IF(K1270&gt;=Parametri!$B$1,1,0)</f>
        <v>1</v>
      </c>
      <c r="N1270" s="3" t="n">
        <f aca="false">L1270*M1270</f>
        <v>1</v>
      </c>
    </row>
    <row r="1271" customFormat="false" ht="15" hidden="false" customHeight="false" outlineLevel="0" collapsed="false">
      <c r="A1271" s="0" t="s">
        <v>2185</v>
      </c>
      <c r="B1271" s="0" t="s">
        <v>68</v>
      </c>
      <c r="C1271" s="0" t="s">
        <v>971</v>
      </c>
      <c r="D1271" s="0" t="s">
        <v>33</v>
      </c>
      <c r="E1271" s="2" t="n">
        <v>45776</v>
      </c>
      <c r="F1271" s="3" t="s">
        <v>20</v>
      </c>
      <c r="G1271" s="3" t="s">
        <v>28</v>
      </c>
      <c r="H1271" s="3" t="s">
        <v>29</v>
      </c>
      <c r="I1271" s="3" t="n">
        <f aca="false">YEAR(E1271)</f>
        <v>2025</v>
      </c>
      <c r="J1271" s="3" t="n">
        <f aca="false">MONTH(E1271)</f>
        <v>4</v>
      </c>
      <c r="K1271" s="3" t="n">
        <f aca="false">COUNTIFS($B$2:$B$4077,B1271,$C$2:$C$4077,C1271,$I$2:$I$4077,I1271)</f>
        <v>1</v>
      </c>
      <c r="L1271" s="3" t="n">
        <f aca="false">IF(COUNTIFS($B$2:B1271,B1271,$C$2:C1271,C1271,$I$2:I1271,I1271)=1,1,0)</f>
        <v>1</v>
      </c>
      <c r="M1271" s="3" t="n">
        <f aca="false">IF(K1271&gt;=Parametri!$B$1,1,0)</f>
        <v>0</v>
      </c>
      <c r="N1271" s="3" t="n">
        <f aca="false">L1271*M1271</f>
        <v>0</v>
      </c>
    </row>
    <row r="1272" customFormat="false" ht="15" hidden="false" customHeight="false" outlineLevel="0" collapsed="false">
      <c r="A1272" s="0" t="s">
        <v>2186</v>
      </c>
      <c r="B1272" s="0" t="s">
        <v>124</v>
      </c>
      <c r="C1272" s="0" t="s">
        <v>1802</v>
      </c>
      <c r="D1272" s="0" t="s">
        <v>63</v>
      </c>
      <c r="E1272" s="2" t="n">
        <v>46086</v>
      </c>
      <c r="F1272" s="3" t="s">
        <v>104</v>
      </c>
      <c r="G1272" s="3" t="s">
        <v>104</v>
      </c>
      <c r="H1272" s="3" t="s">
        <v>104</v>
      </c>
      <c r="I1272" s="3" t="n">
        <f aca="false">YEAR(E1272)</f>
        <v>2026</v>
      </c>
      <c r="J1272" s="3" t="n">
        <f aca="false">MONTH(E1272)</f>
        <v>3</v>
      </c>
      <c r="K1272" s="3" t="n">
        <f aca="false">COUNTIFS($B$2:$B$4077,B1272,$C$2:$C$4077,C1272,$I$2:$I$4077,I1272)</f>
        <v>1</v>
      </c>
      <c r="L1272" s="3" t="n">
        <f aca="false">IF(COUNTIFS($B$2:B1272,B1272,$C$2:C1272,C1272,$I$2:I1272,I1272)=1,1,0)</f>
        <v>1</v>
      </c>
      <c r="M1272" s="3" t="n">
        <f aca="false">IF(K1272&gt;=Parametri!$B$1,1,0)</f>
        <v>0</v>
      </c>
      <c r="N1272" s="3" t="n">
        <f aca="false">L1272*M1272</f>
        <v>0</v>
      </c>
    </row>
    <row r="1273" customFormat="false" ht="15" hidden="false" customHeight="false" outlineLevel="0" collapsed="false">
      <c r="A1273" s="0" t="s">
        <v>2187</v>
      </c>
      <c r="B1273" s="0" t="s">
        <v>68</v>
      </c>
      <c r="C1273" s="0" t="s">
        <v>2188</v>
      </c>
      <c r="D1273" s="0" t="s">
        <v>54</v>
      </c>
      <c r="E1273" s="2" t="n">
        <v>46244</v>
      </c>
      <c r="F1273" s="3" t="s">
        <v>27</v>
      </c>
      <c r="G1273" s="3" t="s">
        <v>39</v>
      </c>
      <c r="H1273" s="3" t="s">
        <v>44</v>
      </c>
      <c r="I1273" s="3" t="n">
        <f aca="false">YEAR(E1273)</f>
        <v>2026</v>
      </c>
      <c r="J1273" s="3" t="n">
        <f aca="false">MONTH(E1273)</f>
        <v>8</v>
      </c>
      <c r="K1273" s="3" t="n">
        <f aca="false">COUNTIFS($B$2:$B$4077,B1273,$C$2:$C$4077,C1273,$I$2:$I$4077,I1273)</f>
        <v>1</v>
      </c>
      <c r="L1273" s="3" t="n">
        <f aca="false">IF(COUNTIFS($B$2:B1273,B1273,$C$2:C1273,C1273,$I$2:I1273,I1273)=1,1,0)</f>
        <v>1</v>
      </c>
      <c r="M1273" s="3" t="n">
        <f aca="false">IF(K1273&gt;=Parametri!$B$1,1,0)</f>
        <v>0</v>
      </c>
      <c r="N1273" s="3" t="n">
        <f aca="false">L1273*M1273</f>
        <v>0</v>
      </c>
    </row>
    <row r="1274" customFormat="false" ht="15" hidden="false" customHeight="false" outlineLevel="0" collapsed="false">
      <c r="A1274" s="0" t="s">
        <v>2189</v>
      </c>
      <c r="B1274" s="0" t="s">
        <v>31</v>
      </c>
      <c r="C1274" s="0" t="s">
        <v>475</v>
      </c>
      <c r="D1274" s="0" t="s">
        <v>66</v>
      </c>
      <c r="E1274" s="2" t="n">
        <v>45487</v>
      </c>
      <c r="F1274" s="3" t="s">
        <v>34</v>
      </c>
      <c r="G1274" s="3" t="s">
        <v>39</v>
      </c>
      <c r="H1274" s="3" t="s">
        <v>22</v>
      </c>
      <c r="I1274" s="3" t="n">
        <f aca="false">YEAR(E1274)</f>
        <v>2024</v>
      </c>
      <c r="J1274" s="3" t="n">
        <f aca="false">MONTH(E1274)</f>
        <v>7</v>
      </c>
      <c r="K1274" s="3" t="n">
        <f aca="false">COUNTIFS($B$2:$B$4077,B1274,$C$2:$C$4077,C1274,$I$2:$I$4077,I1274)</f>
        <v>3</v>
      </c>
      <c r="L1274" s="3" t="n">
        <f aca="false">IF(COUNTIFS($B$2:B1274,B1274,$C$2:C1274,C1274,$I$2:I1274,I1274)=1,1,0)</f>
        <v>0</v>
      </c>
      <c r="M1274" s="3" t="n">
        <f aca="false">IF(K1274&gt;=Parametri!$B$1,1,0)</f>
        <v>1</v>
      </c>
      <c r="N1274" s="3" t="n">
        <f aca="false">L1274*M1274</f>
        <v>0</v>
      </c>
    </row>
    <row r="1275" customFormat="false" ht="15" hidden="false" customHeight="false" outlineLevel="0" collapsed="false">
      <c r="A1275" s="0" t="s">
        <v>2190</v>
      </c>
      <c r="B1275" s="0" t="s">
        <v>50</v>
      </c>
      <c r="C1275" s="0" t="s">
        <v>2191</v>
      </c>
      <c r="D1275" s="0" t="s">
        <v>38</v>
      </c>
      <c r="E1275" s="2" t="n">
        <v>46063</v>
      </c>
      <c r="F1275" s="3" t="s">
        <v>20</v>
      </c>
      <c r="G1275" s="3" t="s">
        <v>21</v>
      </c>
      <c r="H1275" s="3" t="s">
        <v>22</v>
      </c>
      <c r="I1275" s="3" t="n">
        <f aca="false">YEAR(E1275)</f>
        <v>2026</v>
      </c>
      <c r="J1275" s="3" t="n">
        <f aca="false">MONTH(E1275)</f>
        <v>2</v>
      </c>
      <c r="K1275" s="3" t="n">
        <f aca="false">COUNTIFS($B$2:$B$4077,B1275,$C$2:$C$4077,C1275,$I$2:$I$4077,I1275)</f>
        <v>1</v>
      </c>
      <c r="L1275" s="3" t="n">
        <f aca="false">IF(COUNTIFS($B$2:B1275,B1275,$C$2:C1275,C1275,$I$2:I1275,I1275)=1,1,0)</f>
        <v>1</v>
      </c>
      <c r="M1275" s="3" t="n">
        <f aca="false">IF(K1275&gt;=Parametri!$B$1,1,0)</f>
        <v>0</v>
      </c>
      <c r="N1275" s="3" t="n">
        <f aca="false">L1275*M1275</f>
        <v>0</v>
      </c>
    </row>
    <row r="1276" customFormat="false" ht="15" hidden="false" customHeight="false" outlineLevel="0" collapsed="false">
      <c r="A1276" s="0" t="s">
        <v>2192</v>
      </c>
      <c r="B1276" s="0" t="s">
        <v>57</v>
      </c>
      <c r="C1276" s="0" t="s">
        <v>2193</v>
      </c>
      <c r="D1276" s="0" t="s">
        <v>77</v>
      </c>
      <c r="E1276" s="2" t="n">
        <v>45664</v>
      </c>
      <c r="F1276" s="3" t="s">
        <v>20</v>
      </c>
      <c r="G1276" s="3" t="s">
        <v>43</v>
      </c>
      <c r="H1276" s="3" t="s">
        <v>29</v>
      </c>
      <c r="I1276" s="3" t="n">
        <f aca="false">YEAR(E1276)</f>
        <v>2025</v>
      </c>
      <c r="J1276" s="3" t="n">
        <f aca="false">MONTH(E1276)</f>
        <v>1</v>
      </c>
      <c r="K1276" s="3" t="n">
        <f aca="false">COUNTIFS($B$2:$B$4077,B1276,$C$2:$C$4077,C1276,$I$2:$I$4077,I1276)</f>
        <v>2</v>
      </c>
      <c r="L1276" s="3" t="n">
        <f aca="false">IF(COUNTIFS($B$2:B1276,B1276,$C$2:C1276,C1276,$I$2:I1276,I1276)=1,1,0)</f>
        <v>1</v>
      </c>
      <c r="M1276" s="3" t="n">
        <f aca="false">IF(K1276&gt;=Parametri!$B$1,1,0)</f>
        <v>1</v>
      </c>
      <c r="N1276" s="3" t="n">
        <f aca="false">L1276*M1276</f>
        <v>1</v>
      </c>
    </row>
    <row r="1277" customFormat="false" ht="15" hidden="false" customHeight="false" outlineLevel="0" collapsed="false">
      <c r="A1277" s="0" t="s">
        <v>2194</v>
      </c>
      <c r="B1277" s="0" t="s">
        <v>31</v>
      </c>
      <c r="C1277" s="0" t="s">
        <v>889</v>
      </c>
      <c r="D1277" s="0" t="s">
        <v>66</v>
      </c>
      <c r="E1277" s="2" t="n">
        <v>45847</v>
      </c>
      <c r="F1277" s="3" t="s">
        <v>20</v>
      </c>
      <c r="G1277" s="3" t="s">
        <v>35</v>
      </c>
      <c r="H1277" s="3" t="s">
        <v>48</v>
      </c>
      <c r="I1277" s="3" t="n">
        <f aca="false">YEAR(E1277)</f>
        <v>2025</v>
      </c>
      <c r="J1277" s="3" t="n">
        <f aca="false">MONTH(E1277)</f>
        <v>7</v>
      </c>
      <c r="K1277" s="3" t="n">
        <f aca="false">COUNTIFS($B$2:$B$4077,B1277,$C$2:$C$4077,C1277,$I$2:$I$4077,I1277)</f>
        <v>2</v>
      </c>
      <c r="L1277" s="3" t="n">
        <f aca="false">IF(COUNTIFS($B$2:B1277,B1277,$C$2:C1277,C1277,$I$2:I1277,I1277)=1,1,0)</f>
        <v>1</v>
      </c>
      <c r="M1277" s="3" t="n">
        <f aca="false">IF(K1277&gt;=Parametri!$B$1,1,0)</f>
        <v>1</v>
      </c>
      <c r="N1277" s="3" t="n">
        <f aca="false">L1277*M1277</f>
        <v>1</v>
      </c>
    </row>
    <row r="1278" customFormat="false" ht="15" hidden="false" customHeight="false" outlineLevel="0" collapsed="false">
      <c r="A1278" s="0" t="s">
        <v>2195</v>
      </c>
      <c r="B1278" s="0" t="s">
        <v>41</v>
      </c>
      <c r="C1278" s="0" t="s">
        <v>598</v>
      </c>
      <c r="D1278" s="0" t="s">
        <v>63</v>
      </c>
      <c r="E1278" s="2" t="n">
        <v>46047</v>
      </c>
      <c r="F1278" s="3" t="s">
        <v>20</v>
      </c>
      <c r="G1278" s="3" t="s">
        <v>35</v>
      </c>
      <c r="H1278" s="3" t="s">
        <v>22</v>
      </c>
      <c r="I1278" s="3" t="n">
        <f aca="false">YEAR(E1278)</f>
        <v>2026</v>
      </c>
      <c r="J1278" s="3" t="n">
        <f aca="false">MONTH(E1278)</f>
        <v>1</v>
      </c>
      <c r="K1278" s="3" t="n">
        <f aca="false">COUNTIFS($B$2:$B$4077,B1278,$C$2:$C$4077,C1278,$I$2:$I$4077,I1278)</f>
        <v>4</v>
      </c>
      <c r="L1278" s="3" t="n">
        <f aca="false">IF(COUNTIFS($B$2:B1278,B1278,$C$2:C1278,C1278,$I$2:I1278,I1278)=1,1,0)</f>
        <v>0</v>
      </c>
      <c r="M1278" s="3" t="n">
        <f aca="false">IF(K1278&gt;=Parametri!$B$1,1,0)</f>
        <v>1</v>
      </c>
      <c r="N1278" s="3" t="n">
        <f aca="false">L1278*M1278</f>
        <v>0</v>
      </c>
    </row>
    <row r="1279" customFormat="false" ht="15" hidden="false" customHeight="false" outlineLevel="0" collapsed="false">
      <c r="A1279" s="0" t="s">
        <v>2196</v>
      </c>
      <c r="B1279" s="0" t="s">
        <v>79</v>
      </c>
      <c r="C1279" s="0" t="s">
        <v>2197</v>
      </c>
      <c r="D1279" s="0" t="s">
        <v>26</v>
      </c>
      <c r="E1279" s="2" t="n">
        <v>46092</v>
      </c>
      <c r="F1279" s="3" t="s">
        <v>20</v>
      </c>
      <c r="G1279" s="3" t="s">
        <v>43</v>
      </c>
      <c r="H1279" s="3" t="s">
        <v>22</v>
      </c>
      <c r="I1279" s="3" t="n">
        <f aca="false">YEAR(E1279)</f>
        <v>2026</v>
      </c>
      <c r="J1279" s="3" t="n">
        <f aca="false">MONTH(E1279)</f>
        <v>3</v>
      </c>
      <c r="K1279" s="3" t="n">
        <f aca="false">COUNTIFS($B$2:$B$4077,B1279,$C$2:$C$4077,C1279,$I$2:$I$4077,I1279)</f>
        <v>2</v>
      </c>
      <c r="L1279" s="3" t="n">
        <f aca="false">IF(COUNTIFS($B$2:B1279,B1279,$C$2:C1279,C1279,$I$2:I1279,I1279)=1,1,0)</f>
        <v>1</v>
      </c>
      <c r="M1279" s="3" t="n">
        <f aca="false">IF(K1279&gt;=Parametri!$B$1,1,0)</f>
        <v>1</v>
      </c>
      <c r="N1279" s="3" t="n">
        <f aca="false">L1279*M1279</f>
        <v>1</v>
      </c>
    </row>
    <row r="1280" customFormat="false" ht="15" hidden="false" customHeight="false" outlineLevel="0" collapsed="false">
      <c r="A1280" s="0" t="s">
        <v>2198</v>
      </c>
      <c r="B1280" s="0" t="s">
        <v>41</v>
      </c>
      <c r="C1280" s="0" t="s">
        <v>602</v>
      </c>
      <c r="D1280" s="0" t="s">
        <v>54</v>
      </c>
      <c r="E1280" s="2" t="n">
        <v>46259</v>
      </c>
      <c r="F1280" s="3" t="s">
        <v>27</v>
      </c>
      <c r="G1280" s="3" t="s">
        <v>89</v>
      </c>
      <c r="H1280" s="3" t="s">
        <v>22</v>
      </c>
      <c r="I1280" s="3" t="n">
        <f aca="false">YEAR(E1280)</f>
        <v>2026</v>
      </c>
      <c r="J1280" s="3" t="n">
        <f aca="false">MONTH(E1280)</f>
        <v>8</v>
      </c>
      <c r="K1280" s="3" t="n">
        <f aca="false">COUNTIFS($B$2:$B$4077,B1280,$C$2:$C$4077,C1280,$I$2:$I$4077,I1280)</f>
        <v>1</v>
      </c>
      <c r="L1280" s="3" t="n">
        <f aca="false">IF(COUNTIFS($B$2:B1280,B1280,$C$2:C1280,C1280,$I$2:I1280,I1280)=1,1,0)</f>
        <v>1</v>
      </c>
      <c r="M1280" s="3" t="n">
        <f aca="false">IF(K1280&gt;=Parametri!$B$1,1,0)</f>
        <v>0</v>
      </c>
      <c r="N1280" s="3" t="n">
        <f aca="false">L1280*M1280</f>
        <v>0</v>
      </c>
    </row>
    <row r="1281" customFormat="false" ht="15" hidden="false" customHeight="false" outlineLevel="0" collapsed="false">
      <c r="A1281" s="0" t="s">
        <v>2199</v>
      </c>
      <c r="B1281" s="0" t="s">
        <v>31</v>
      </c>
      <c r="C1281" s="0" t="s">
        <v>2200</v>
      </c>
      <c r="D1281" s="0" t="s">
        <v>26</v>
      </c>
      <c r="E1281" s="2" t="n">
        <v>45711</v>
      </c>
      <c r="F1281" s="3" t="s">
        <v>27</v>
      </c>
      <c r="G1281" s="3" t="s">
        <v>89</v>
      </c>
      <c r="H1281" s="3" t="s">
        <v>22</v>
      </c>
      <c r="I1281" s="3" t="n">
        <f aca="false">YEAR(E1281)</f>
        <v>2025</v>
      </c>
      <c r="J1281" s="3" t="n">
        <f aca="false">MONTH(E1281)</f>
        <v>2</v>
      </c>
      <c r="K1281" s="3" t="n">
        <f aca="false">COUNTIFS($B$2:$B$4077,B1281,$C$2:$C$4077,C1281,$I$2:$I$4077,I1281)</f>
        <v>1</v>
      </c>
      <c r="L1281" s="3" t="n">
        <f aca="false">IF(COUNTIFS($B$2:B1281,B1281,$C$2:C1281,C1281,$I$2:I1281,I1281)=1,1,0)</f>
        <v>1</v>
      </c>
      <c r="M1281" s="3" t="n">
        <f aca="false">IF(K1281&gt;=Parametri!$B$1,1,0)</f>
        <v>0</v>
      </c>
      <c r="N1281" s="3" t="n">
        <f aca="false">L1281*M1281</f>
        <v>0</v>
      </c>
    </row>
    <row r="1282" customFormat="false" ht="15" hidden="false" customHeight="false" outlineLevel="0" collapsed="false">
      <c r="A1282" s="0" t="s">
        <v>2201</v>
      </c>
      <c r="B1282" s="0" t="s">
        <v>50</v>
      </c>
      <c r="C1282" s="0" t="s">
        <v>2202</v>
      </c>
      <c r="D1282" s="0" t="s">
        <v>77</v>
      </c>
      <c r="E1282" s="2" t="n">
        <v>45431</v>
      </c>
      <c r="F1282" s="3" t="s">
        <v>104</v>
      </c>
      <c r="G1282" s="3" t="s">
        <v>104</v>
      </c>
      <c r="H1282" s="3" t="s">
        <v>104</v>
      </c>
      <c r="I1282" s="3" t="n">
        <f aca="false">YEAR(E1282)</f>
        <v>2024</v>
      </c>
      <c r="J1282" s="3" t="n">
        <f aca="false">MONTH(E1282)</f>
        <v>5</v>
      </c>
      <c r="K1282" s="3" t="n">
        <f aca="false">COUNTIFS($B$2:$B$4077,B1282,$C$2:$C$4077,C1282,$I$2:$I$4077,I1282)</f>
        <v>1</v>
      </c>
      <c r="L1282" s="3" t="n">
        <f aca="false">IF(COUNTIFS($B$2:B1282,B1282,$C$2:C1282,C1282,$I$2:I1282,I1282)=1,1,0)</f>
        <v>1</v>
      </c>
      <c r="M1282" s="3" t="n">
        <f aca="false">IF(K1282&gt;=Parametri!$B$1,1,0)</f>
        <v>0</v>
      </c>
      <c r="N1282" s="3" t="n">
        <f aca="false">L1282*M1282</f>
        <v>0</v>
      </c>
    </row>
    <row r="1283" customFormat="false" ht="15" hidden="false" customHeight="false" outlineLevel="0" collapsed="false">
      <c r="A1283" s="0" t="s">
        <v>2203</v>
      </c>
      <c r="B1283" s="0" t="s">
        <v>57</v>
      </c>
      <c r="C1283" s="0" t="s">
        <v>2204</v>
      </c>
      <c r="D1283" s="0" t="s">
        <v>33</v>
      </c>
      <c r="E1283" s="2" t="n">
        <v>45822</v>
      </c>
      <c r="F1283" s="3" t="s">
        <v>34</v>
      </c>
      <c r="G1283" s="3" t="s">
        <v>104</v>
      </c>
      <c r="H1283" s="3" t="s">
        <v>104</v>
      </c>
      <c r="I1283" s="3" t="n">
        <f aca="false">YEAR(E1283)</f>
        <v>2025</v>
      </c>
      <c r="J1283" s="3" t="n">
        <f aca="false">MONTH(E1283)</f>
        <v>6</v>
      </c>
      <c r="K1283" s="3" t="n">
        <f aca="false">COUNTIFS($B$2:$B$4077,B1283,$C$2:$C$4077,C1283,$I$2:$I$4077,I1283)</f>
        <v>3</v>
      </c>
      <c r="L1283" s="3" t="n">
        <f aca="false">IF(COUNTIFS($B$2:B1283,B1283,$C$2:C1283,C1283,$I$2:I1283,I1283)=1,1,0)</f>
        <v>1</v>
      </c>
      <c r="M1283" s="3" t="n">
        <f aca="false">IF(K1283&gt;=Parametri!$B$1,1,0)</f>
        <v>1</v>
      </c>
      <c r="N1283" s="3" t="n">
        <f aca="false">L1283*M1283</f>
        <v>1</v>
      </c>
    </row>
    <row r="1284" customFormat="false" ht="15" hidden="false" customHeight="false" outlineLevel="0" collapsed="false">
      <c r="A1284" s="0" t="s">
        <v>2205</v>
      </c>
      <c r="B1284" s="0" t="s">
        <v>50</v>
      </c>
      <c r="C1284" s="0" t="s">
        <v>1066</v>
      </c>
      <c r="D1284" s="0" t="s">
        <v>63</v>
      </c>
      <c r="E1284" s="2" t="n">
        <v>46238</v>
      </c>
      <c r="F1284" s="3" t="s">
        <v>20</v>
      </c>
      <c r="G1284" s="3" t="s">
        <v>28</v>
      </c>
      <c r="H1284" s="3" t="s">
        <v>48</v>
      </c>
      <c r="I1284" s="3" t="n">
        <f aca="false">YEAR(E1284)</f>
        <v>2026</v>
      </c>
      <c r="J1284" s="3" t="n">
        <f aca="false">MONTH(E1284)</f>
        <v>8</v>
      </c>
      <c r="K1284" s="3" t="n">
        <f aca="false">COUNTIFS($B$2:$B$4077,B1284,$C$2:$C$4077,C1284,$I$2:$I$4077,I1284)</f>
        <v>2</v>
      </c>
      <c r="L1284" s="3" t="n">
        <f aca="false">IF(COUNTIFS($B$2:B1284,B1284,$C$2:C1284,C1284,$I$2:I1284,I1284)=1,1,0)</f>
        <v>0</v>
      </c>
      <c r="M1284" s="3" t="n">
        <f aca="false">IF(K1284&gt;=Parametri!$B$1,1,0)</f>
        <v>1</v>
      </c>
      <c r="N1284" s="3" t="n">
        <f aca="false">L1284*M1284</f>
        <v>0</v>
      </c>
    </row>
    <row r="1285" customFormat="false" ht="15" hidden="false" customHeight="false" outlineLevel="0" collapsed="false">
      <c r="A1285" s="0" t="s">
        <v>2206</v>
      </c>
      <c r="B1285" s="0" t="s">
        <v>17</v>
      </c>
      <c r="C1285" s="0" t="s">
        <v>1613</v>
      </c>
      <c r="D1285" s="0" t="s">
        <v>33</v>
      </c>
      <c r="E1285" s="2" t="n">
        <v>45550</v>
      </c>
      <c r="F1285" s="3" t="s">
        <v>20</v>
      </c>
      <c r="G1285" s="3" t="s">
        <v>35</v>
      </c>
      <c r="H1285" s="3" t="s">
        <v>44</v>
      </c>
      <c r="I1285" s="3" t="n">
        <f aca="false">YEAR(E1285)</f>
        <v>2024</v>
      </c>
      <c r="J1285" s="3" t="n">
        <f aca="false">MONTH(E1285)</f>
        <v>9</v>
      </c>
      <c r="K1285" s="3" t="n">
        <f aca="false">COUNTIFS($B$2:$B$4077,B1285,$C$2:$C$4077,C1285,$I$2:$I$4077,I1285)</f>
        <v>2</v>
      </c>
      <c r="L1285" s="3" t="n">
        <f aca="false">IF(COUNTIFS($B$2:B1285,B1285,$C$2:C1285,C1285,$I$2:I1285,I1285)=1,1,0)</f>
        <v>0</v>
      </c>
      <c r="M1285" s="3" t="n">
        <f aca="false">IF(K1285&gt;=Parametri!$B$1,1,0)</f>
        <v>1</v>
      </c>
      <c r="N1285" s="3" t="n">
        <f aca="false">L1285*M1285</f>
        <v>0</v>
      </c>
    </row>
    <row r="1286" customFormat="false" ht="15" hidden="false" customHeight="false" outlineLevel="0" collapsed="false">
      <c r="A1286" s="0" t="s">
        <v>2207</v>
      </c>
      <c r="B1286" s="0" t="s">
        <v>41</v>
      </c>
      <c r="C1286" s="0" t="s">
        <v>2208</v>
      </c>
      <c r="D1286" s="0" t="s">
        <v>77</v>
      </c>
      <c r="E1286" s="2" t="n">
        <v>46141</v>
      </c>
      <c r="F1286" s="3" t="s">
        <v>20</v>
      </c>
      <c r="G1286" s="3" t="s">
        <v>35</v>
      </c>
      <c r="H1286" s="3" t="s">
        <v>44</v>
      </c>
      <c r="I1286" s="3" t="n">
        <f aca="false">YEAR(E1286)</f>
        <v>2026</v>
      </c>
      <c r="J1286" s="3" t="n">
        <f aca="false">MONTH(E1286)</f>
        <v>4</v>
      </c>
      <c r="K1286" s="3" t="n">
        <f aca="false">COUNTIFS($B$2:$B$4077,B1286,$C$2:$C$4077,C1286,$I$2:$I$4077,I1286)</f>
        <v>2</v>
      </c>
      <c r="L1286" s="3" t="n">
        <f aca="false">IF(COUNTIFS($B$2:B1286,B1286,$C$2:C1286,C1286,$I$2:I1286,I1286)=1,1,0)</f>
        <v>1</v>
      </c>
      <c r="M1286" s="3" t="n">
        <f aca="false">IF(K1286&gt;=Parametri!$B$1,1,0)</f>
        <v>1</v>
      </c>
      <c r="N1286" s="3" t="n">
        <f aca="false">L1286*M1286</f>
        <v>1</v>
      </c>
    </row>
    <row r="1287" customFormat="false" ht="15" hidden="false" customHeight="false" outlineLevel="0" collapsed="false">
      <c r="A1287" s="0" t="s">
        <v>2209</v>
      </c>
      <c r="B1287" s="0" t="s">
        <v>57</v>
      </c>
      <c r="C1287" s="0" t="s">
        <v>2210</v>
      </c>
      <c r="D1287" s="0" t="s">
        <v>66</v>
      </c>
      <c r="E1287" s="2" t="n">
        <v>45690</v>
      </c>
      <c r="F1287" s="3" t="s">
        <v>27</v>
      </c>
      <c r="G1287" s="3" t="s">
        <v>35</v>
      </c>
      <c r="H1287" s="3" t="s">
        <v>29</v>
      </c>
      <c r="I1287" s="3" t="n">
        <f aca="false">YEAR(E1287)</f>
        <v>2025</v>
      </c>
      <c r="J1287" s="3" t="n">
        <f aca="false">MONTH(E1287)</f>
        <v>2</v>
      </c>
      <c r="K1287" s="3" t="n">
        <f aca="false">COUNTIFS($B$2:$B$4077,B1287,$C$2:$C$4077,C1287,$I$2:$I$4077,I1287)</f>
        <v>1</v>
      </c>
      <c r="L1287" s="3" t="n">
        <f aca="false">IF(COUNTIFS($B$2:B1287,B1287,$C$2:C1287,C1287,$I$2:I1287,I1287)=1,1,0)</f>
        <v>1</v>
      </c>
      <c r="M1287" s="3" t="n">
        <f aca="false">IF(K1287&gt;=Parametri!$B$1,1,0)</f>
        <v>0</v>
      </c>
      <c r="N1287" s="3" t="n">
        <f aca="false">L1287*M1287</f>
        <v>0</v>
      </c>
    </row>
    <row r="1288" customFormat="false" ht="15" hidden="false" customHeight="false" outlineLevel="0" collapsed="false">
      <c r="A1288" s="0" t="s">
        <v>2211</v>
      </c>
      <c r="B1288" s="0" t="s">
        <v>46</v>
      </c>
      <c r="C1288" s="0" t="s">
        <v>2212</v>
      </c>
      <c r="D1288" s="0" t="s">
        <v>33</v>
      </c>
      <c r="E1288" s="2" t="n">
        <v>45493</v>
      </c>
      <c r="F1288" s="3" t="s">
        <v>20</v>
      </c>
      <c r="G1288" s="3" t="s">
        <v>55</v>
      </c>
      <c r="H1288" s="3" t="s">
        <v>22</v>
      </c>
      <c r="I1288" s="3" t="n">
        <f aca="false">YEAR(E1288)</f>
        <v>2024</v>
      </c>
      <c r="J1288" s="3" t="n">
        <f aca="false">MONTH(E1288)</f>
        <v>7</v>
      </c>
      <c r="K1288" s="3" t="n">
        <f aca="false">COUNTIFS($B$2:$B$4077,B1288,$C$2:$C$4077,C1288,$I$2:$I$4077,I1288)</f>
        <v>1</v>
      </c>
      <c r="L1288" s="3" t="n">
        <f aca="false">IF(COUNTIFS($B$2:B1288,B1288,$C$2:C1288,C1288,$I$2:I1288,I1288)=1,1,0)</f>
        <v>1</v>
      </c>
      <c r="M1288" s="3" t="n">
        <f aca="false">IF(K1288&gt;=Parametri!$B$1,1,0)</f>
        <v>0</v>
      </c>
      <c r="N1288" s="3" t="n">
        <f aca="false">L1288*M1288</f>
        <v>0</v>
      </c>
    </row>
    <row r="1289" customFormat="false" ht="15" hidden="false" customHeight="false" outlineLevel="0" collapsed="false">
      <c r="A1289" s="0" t="s">
        <v>2213</v>
      </c>
      <c r="B1289" s="0" t="s">
        <v>68</v>
      </c>
      <c r="C1289" s="0" t="s">
        <v>1260</v>
      </c>
      <c r="D1289" s="0" t="s">
        <v>54</v>
      </c>
      <c r="E1289" s="2" t="n">
        <v>45749</v>
      </c>
      <c r="F1289" s="3" t="s">
        <v>20</v>
      </c>
      <c r="G1289" s="3" t="s">
        <v>72</v>
      </c>
      <c r="H1289" s="3" t="s">
        <v>48</v>
      </c>
      <c r="I1289" s="3" t="n">
        <f aca="false">YEAR(E1289)</f>
        <v>2025</v>
      </c>
      <c r="J1289" s="3" t="n">
        <f aca="false">MONTH(E1289)</f>
        <v>4</v>
      </c>
      <c r="K1289" s="3" t="n">
        <f aca="false">COUNTIFS($B$2:$B$4077,B1289,$C$2:$C$4077,C1289,$I$2:$I$4077,I1289)</f>
        <v>3</v>
      </c>
      <c r="L1289" s="3" t="n">
        <f aca="false">IF(COUNTIFS($B$2:B1289,B1289,$C$2:C1289,C1289,$I$2:I1289,I1289)=1,1,0)</f>
        <v>1</v>
      </c>
      <c r="M1289" s="3" t="n">
        <f aca="false">IF(K1289&gt;=Parametri!$B$1,1,0)</f>
        <v>1</v>
      </c>
      <c r="N1289" s="3" t="n">
        <f aca="false">L1289*M1289</f>
        <v>1</v>
      </c>
    </row>
    <row r="1290" customFormat="false" ht="15" hidden="false" customHeight="false" outlineLevel="0" collapsed="false">
      <c r="A1290" s="0" t="s">
        <v>2214</v>
      </c>
      <c r="B1290" s="0" t="s">
        <v>31</v>
      </c>
      <c r="C1290" s="0" t="s">
        <v>1036</v>
      </c>
      <c r="D1290" s="0" t="s">
        <v>54</v>
      </c>
      <c r="E1290" s="2" t="n">
        <v>45332</v>
      </c>
      <c r="F1290" s="3" t="s">
        <v>34</v>
      </c>
      <c r="G1290" s="3" t="s">
        <v>43</v>
      </c>
      <c r="H1290" s="3" t="s">
        <v>48</v>
      </c>
      <c r="I1290" s="3" t="n">
        <f aca="false">YEAR(E1290)</f>
        <v>2024</v>
      </c>
      <c r="J1290" s="3" t="n">
        <f aca="false">MONTH(E1290)</f>
        <v>2</v>
      </c>
      <c r="K1290" s="3" t="n">
        <f aca="false">COUNTIFS($B$2:$B$4077,B1290,$C$2:$C$4077,C1290,$I$2:$I$4077,I1290)</f>
        <v>1</v>
      </c>
      <c r="L1290" s="3" t="n">
        <f aca="false">IF(COUNTIFS($B$2:B1290,B1290,$C$2:C1290,C1290,$I$2:I1290,I1290)=1,1,0)</f>
        <v>1</v>
      </c>
      <c r="M1290" s="3" t="n">
        <f aca="false">IF(K1290&gt;=Parametri!$B$1,1,0)</f>
        <v>0</v>
      </c>
      <c r="N1290" s="3" t="n">
        <f aca="false">L1290*M1290</f>
        <v>0</v>
      </c>
    </row>
    <row r="1291" customFormat="false" ht="15" hidden="false" customHeight="false" outlineLevel="0" collapsed="false">
      <c r="A1291" s="0" t="s">
        <v>2215</v>
      </c>
      <c r="B1291" s="0" t="s">
        <v>41</v>
      </c>
      <c r="C1291" s="0" t="s">
        <v>2216</v>
      </c>
      <c r="D1291" s="0" t="s">
        <v>38</v>
      </c>
      <c r="E1291" s="2" t="n">
        <v>45625</v>
      </c>
      <c r="F1291" s="3" t="s">
        <v>20</v>
      </c>
      <c r="G1291" s="3" t="s">
        <v>28</v>
      </c>
      <c r="H1291" s="3" t="s">
        <v>22</v>
      </c>
      <c r="I1291" s="3" t="n">
        <f aca="false">YEAR(E1291)</f>
        <v>2024</v>
      </c>
      <c r="J1291" s="3" t="n">
        <f aca="false">MONTH(E1291)</f>
        <v>11</v>
      </c>
      <c r="K1291" s="3" t="n">
        <f aca="false">COUNTIFS($B$2:$B$4077,B1291,$C$2:$C$4077,C1291,$I$2:$I$4077,I1291)</f>
        <v>1</v>
      </c>
      <c r="L1291" s="3" t="n">
        <f aca="false">IF(COUNTIFS($B$2:B1291,B1291,$C$2:C1291,C1291,$I$2:I1291,I1291)=1,1,0)</f>
        <v>1</v>
      </c>
      <c r="M1291" s="3" t="n">
        <f aca="false">IF(K1291&gt;=Parametri!$B$1,1,0)</f>
        <v>0</v>
      </c>
      <c r="N1291" s="3" t="n">
        <f aca="false">L1291*M1291</f>
        <v>0</v>
      </c>
    </row>
    <row r="1292" customFormat="false" ht="15" hidden="false" customHeight="false" outlineLevel="0" collapsed="false">
      <c r="A1292" s="0" t="s">
        <v>2217</v>
      </c>
      <c r="B1292" s="0" t="s">
        <v>124</v>
      </c>
      <c r="C1292" s="0" t="s">
        <v>2218</v>
      </c>
      <c r="D1292" s="0" t="s">
        <v>54</v>
      </c>
      <c r="E1292" s="2" t="n">
        <v>45420</v>
      </c>
      <c r="F1292" s="3" t="s">
        <v>34</v>
      </c>
      <c r="G1292" s="3" t="s">
        <v>89</v>
      </c>
      <c r="H1292" s="3" t="s">
        <v>29</v>
      </c>
      <c r="I1292" s="3" t="n">
        <f aca="false">YEAR(E1292)</f>
        <v>2024</v>
      </c>
      <c r="J1292" s="3" t="n">
        <f aca="false">MONTH(E1292)</f>
        <v>5</v>
      </c>
      <c r="K1292" s="3" t="n">
        <f aca="false">COUNTIFS($B$2:$B$4077,B1292,$C$2:$C$4077,C1292,$I$2:$I$4077,I1292)</f>
        <v>1</v>
      </c>
      <c r="L1292" s="3" t="n">
        <f aca="false">IF(COUNTIFS($B$2:B1292,B1292,$C$2:C1292,C1292,$I$2:I1292,I1292)=1,1,0)</f>
        <v>1</v>
      </c>
      <c r="M1292" s="3" t="n">
        <f aca="false">IF(K1292&gt;=Parametri!$B$1,1,0)</f>
        <v>0</v>
      </c>
      <c r="N1292" s="3" t="n">
        <f aca="false">L1292*M1292</f>
        <v>0</v>
      </c>
    </row>
    <row r="1293" customFormat="false" ht="15" hidden="false" customHeight="false" outlineLevel="0" collapsed="false">
      <c r="A1293" s="0" t="s">
        <v>2219</v>
      </c>
      <c r="B1293" s="0" t="s">
        <v>50</v>
      </c>
      <c r="C1293" s="0" t="s">
        <v>489</v>
      </c>
      <c r="D1293" s="0" t="s">
        <v>38</v>
      </c>
      <c r="E1293" s="2" t="n">
        <v>45539</v>
      </c>
      <c r="F1293" s="3" t="s">
        <v>34</v>
      </c>
      <c r="G1293" s="3" t="s">
        <v>35</v>
      </c>
      <c r="H1293" s="3" t="s">
        <v>22</v>
      </c>
      <c r="I1293" s="3" t="n">
        <f aca="false">YEAR(E1293)</f>
        <v>2024</v>
      </c>
      <c r="J1293" s="3" t="n">
        <f aca="false">MONTH(E1293)</f>
        <v>9</v>
      </c>
      <c r="K1293" s="3" t="n">
        <f aca="false">COUNTIFS($B$2:$B$4077,B1293,$C$2:$C$4077,C1293,$I$2:$I$4077,I1293)</f>
        <v>1</v>
      </c>
      <c r="L1293" s="3" t="n">
        <f aca="false">IF(COUNTIFS($B$2:B1293,B1293,$C$2:C1293,C1293,$I$2:I1293,I1293)=1,1,0)</f>
        <v>1</v>
      </c>
      <c r="M1293" s="3" t="n">
        <f aca="false">IF(K1293&gt;=Parametri!$B$1,1,0)</f>
        <v>0</v>
      </c>
      <c r="N1293" s="3" t="n">
        <f aca="false">L1293*M1293</f>
        <v>0</v>
      </c>
    </row>
    <row r="1294" customFormat="false" ht="15" hidden="false" customHeight="false" outlineLevel="0" collapsed="false">
      <c r="A1294" s="0" t="s">
        <v>2220</v>
      </c>
      <c r="B1294" s="0" t="s">
        <v>124</v>
      </c>
      <c r="C1294" s="0" t="s">
        <v>2221</v>
      </c>
      <c r="D1294" s="0" t="s">
        <v>19</v>
      </c>
      <c r="E1294" s="2" t="n">
        <v>46261</v>
      </c>
      <c r="F1294" s="3" t="s">
        <v>34</v>
      </c>
      <c r="G1294" s="3" t="s">
        <v>43</v>
      </c>
      <c r="H1294" s="3" t="s">
        <v>44</v>
      </c>
      <c r="I1294" s="3" t="n">
        <f aca="false">YEAR(E1294)</f>
        <v>2026</v>
      </c>
      <c r="J1294" s="3" t="n">
        <f aca="false">MONTH(E1294)</f>
        <v>8</v>
      </c>
      <c r="K1294" s="3" t="n">
        <f aca="false">COUNTIFS($B$2:$B$4077,B1294,$C$2:$C$4077,C1294,$I$2:$I$4077,I1294)</f>
        <v>1</v>
      </c>
      <c r="L1294" s="3" t="n">
        <f aca="false">IF(COUNTIFS($B$2:B1294,B1294,$C$2:C1294,C1294,$I$2:I1294,I1294)=1,1,0)</f>
        <v>1</v>
      </c>
      <c r="M1294" s="3" t="n">
        <f aca="false">IF(K1294&gt;=Parametri!$B$1,1,0)</f>
        <v>0</v>
      </c>
      <c r="N1294" s="3" t="n">
        <f aca="false">L1294*M1294</f>
        <v>0</v>
      </c>
    </row>
    <row r="1295" customFormat="false" ht="15" hidden="false" customHeight="false" outlineLevel="0" collapsed="false">
      <c r="A1295" s="0" t="s">
        <v>2222</v>
      </c>
      <c r="B1295" s="0" t="s">
        <v>46</v>
      </c>
      <c r="C1295" s="0" t="s">
        <v>997</v>
      </c>
      <c r="D1295" s="0" t="s">
        <v>77</v>
      </c>
      <c r="E1295" s="2" t="n">
        <v>45930</v>
      </c>
      <c r="F1295" s="3" t="s">
        <v>34</v>
      </c>
      <c r="G1295" s="3" t="s">
        <v>89</v>
      </c>
      <c r="H1295" s="3" t="s">
        <v>29</v>
      </c>
      <c r="I1295" s="3" t="n">
        <f aca="false">YEAR(E1295)</f>
        <v>2025</v>
      </c>
      <c r="J1295" s="3" t="n">
        <f aca="false">MONTH(E1295)</f>
        <v>9</v>
      </c>
      <c r="K1295" s="3" t="n">
        <f aca="false">COUNTIFS($B$2:$B$4077,B1295,$C$2:$C$4077,C1295,$I$2:$I$4077,I1295)</f>
        <v>1</v>
      </c>
      <c r="L1295" s="3" t="n">
        <f aca="false">IF(COUNTIFS($B$2:B1295,B1295,$C$2:C1295,C1295,$I$2:I1295,I1295)=1,1,0)</f>
        <v>1</v>
      </c>
      <c r="M1295" s="3" t="n">
        <f aca="false">IF(K1295&gt;=Parametri!$B$1,1,0)</f>
        <v>0</v>
      </c>
      <c r="N1295" s="3" t="n">
        <f aca="false">L1295*M1295</f>
        <v>0</v>
      </c>
    </row>
    <row r="1296" customFormat="false" ht="15" hidden="false" customHeight="false" outlineLevel="0" collapsed="false">
      <c r="A1296" s="0" t="s">
        <v>2223</v>
      </c>
      <c r="B1296" s="0" t="s">
        <v>41</v>
      </c>
      <c r="C1296" s="0" t="s">
        <v>1308</v>
      </c>
      <c r="D1296" s="0" t="s">
        <v>38</v>
      </c>
      <c r="E1296" s="2" t="n">
        <v>45467</v>
      </c>
      <c r="F1296" s="3" t="s">
        <v>27</v>
      </c>
      <c r="G1296" s="3" t="s">
        <v>89</v>
      </c>
      <c r="H1296" s="3" t="s">
        <v>44</v>
      </c>
      <c r="I1296" s="3" t="n">
        <f aca="false">YEAR(E1296)</f>
        <v>2024</v>
      </c>
      <c r="J1296" s="3" t="n">
        <f aca="false">MONTH(E1296)</f>
        <v>6</v>
      </c>
      <c r="K1296" s="3" t="n">
        <f aca="false">COUNTIFS($B$2:$B$4077,B1296,$C$2:$C$4077,C1296,$I$2:$I$4077,I1296)</f>
        <v>2</v>
      </c>
      <c r="L1296" s="3" t="n">
        <f aca="false">IF(COUNTIFS($B$2:B1296,B1296,$C$2:C1296,C1296,$I$2:I1296,I1296)=1,1,0)</f>
        <v>1</v>
      </c>
      <c r="M1296" s="3" t="n">
        <f aca="false">IF(K1296&gt;=Parametri!$B$1,1,0)</f>
        <v>1</v>
      </c>
      <c r="N1296" s="3" t="n">
        <f aca="false">L1296*M1296</f>
        <v>1</v>
      </c>
    </row>
    <row r="1297" customFormat="false" ht="15" hidden="false" customHeight="false" outlineLevel="0" collapsed="false">
      <c r="A1297" s="0" t="s">
        <v>2224</v>
      </c>
      <c r="B1297" s="0" t="s">
        <v>46</v>
      </c>
      <c r="C1297" s="0" t="s">
        <v>1600</v>
      </c>
      <c r="D1297" s="0" t="s">
        <v>33</v>
      </c>
      <c r="E1297" s="2" t="n">
        <v>45629</v>
      </c>
      <c r="F1297" s="3" t="s">
        <v>27</v>
      </c>
      <c r="G1297" s="3" t="s">
        <v>72</v>
      </c>
      <c r="H1297" s="3" t="s">
        <v>48</v>
      </c>
      <c r="I1297" s="3" t="n">
        <f aca="false">YEAR(E1297)</f>
        <v>2024</v>
      </c>
      <c r="J1297" s="3" t="n">
        <f aca="false">MONTH(E1297)</f>
        <v>12</v>
      </c>
      <c r="K1297" s="3" t="n">
        <f aca="false">COUNTIFS($B$2:$B$4077,B1297,$C$2:$C$4077,C1297,$I$2:$I$4077,I1297)</f>
        <v>3</v>
      </c>
      <c r="L1297" s="3" t="n">
        <f aca="false">IF(COUNTIFS($B$2:B1297,B1297,$C$2:C1297,C1297,$I$2:I1297,I1297)=1,1,0)</f>
        <v>0</v>
      </c>
      <c r="M1297" s="3" t="n">
        <f aca="false">IF(K1297&gt;=Parametri!$B$1,1,0)</f>
        <v>1</v>
      </c>
      <c r="N1297" s="3" t="n">
        <f aca="false">L1297*M1297</f>
        <v>0</v>
      </c>
    </row>
    <row r="1298" customFormat="false" ht="15" hidden="false" customHeight="false" outlineLevel="0" collapsed="false">
      <c r="A1298" s="0" t="s">
        <v>2225</v>
      </c>
      <c r="B1298" s="0" t="s">
        <v>57</v>
      </c>
      <c r="C1298" s="0" t="s">
        <v>360</v>
      </c>
      <c r="D1298" s="0" t="s">
        <v>63</v>
      </c>
      <c r="E1298" s="2" t="n">
        <v>45392</v>
      </c>
      <c r="F1298" s="3" t="s">
        <v>27</v>
      </c>
      <c r="G1298" s="3" t="s">
        <v>43</v>
      </c>
      <c r="H1298" s="3" t="s">
        <v>48</v>
      </c>
      <c r="I1298" s="3" t="n">
        <f aca="false">YEAR(E1298)</f>
        <v>2024</v>
      </c>
      <c r="J1298" s="3" t="n">
        <f aca="false">MONTH(E1298)</f>
        <v>4</v>
      </c>
      <c r="K1298" s="3" t="n">
        <f aca="false">COUNTIFS($B$2:$B$4077,B1298,$C$2:$C$4077,C1298,$I$2:$I$4077,I1298)</f>
        <v>1</v>
      </c>
      <c r="L1298" s="3" t="n">
        <f aca="false">IF(COUNTIFS($B$2:B1298,B1298,$C$2:C1298,C1298,$I$2:I1298,I1298)=1,1,0)</f>
        <v>1</v>
      </c>
      <c r="M1298" s="3" t="n">
        <f aca="false">IF(K1298&gt;=Parametri!$B$1,1,0)</f>
        <v>0</v>
      </c>
      <c r="N1298" s="3" t="n">
        <f aca="false">L1298*M1298</f>
        <v>0</v>
      </c>
    </row>
    <row r="1299" customFormat="false" ht="15" hidden="false" customHeight="false" outlineLevel="0" collapsed="false">
      <c r="A1299" s="0" t="s">
        <v>2226</v>
      </c>
      <c r="B1299" s="0" t="s">
        <v>79</v>
      </c>
      <c r="C1299" s="0" t="s">
        <v>2227</v>
      </c>
      <c r="D1299" s="0" t="s">
        <v>66</v>
      </c>
      <c r="E1299" s="2" t="n">
        <v>45750</v>
      </c>
      <c r="F1299" s="3" t="s">
        <v>20</v>
      </c>
      <c r="G1299" s="3" t="s">
        <v>72</v>
      </c>
      <c r="H1299" s="3" t="s">
        <v>44</v>
      </c>
      <c r="I1299" s="3" t="n">
        <f aca="false">YEAR(E1299)</f>
        <v>2025</v>
      </c>
      <c r="J1299" s="3" t="n">
        <f aca="false">MONTH(E1299)</f>
        <v>4</v>
      </c>
      <c r="K1299" s="3" t="n">
        <f aca="false">COUNTIFS($B$2:$B$4077,B1299,$C$2:$C$4077,C1299,$I$2:$I$4077,I1299)</f>
        <v>3</v>
      </c>
      <c r="L1299" s="3" t="n">
        <f aca="false">IF(COUNTIFS($B$2:B1299,B1299,$C$2:C1299,C1299,$I$2:I1299,I1299)=1,1,0)</f>
        <v>1</v>
      </c>
      <c r="M1299" s="3" t="n">
        <f aca="false">IF(K1299&gt;=Parametri!$B$1,1,0)</f>
        <v>1</v>
      </c>
      <c r="N1299" s="3" t="n">
        <f aca="false">L1299*M1299</f>
        <v>1</v>
      </c>
    </row>
    <row r="1300" customFormat="false" ht="15" hidden="false" customHeight="false" outlineLevel="0" collapsed="false">
      <c r="A1300" s="0" t="s">
        <v>2228</v>
      </c>
      <c r="B1300" s="0" t="s">
        <v>79</v>
      </c>
      <c r="C1300" s="0" t="s">
        <v>331</v>
      </c>
      <c r="D1300" s="0" t="s">
        <v>77</v>
      </c>
      <c r="E1300" s="2" t="n">
        <v>45788</v>
      </c>
      <c r="F1300" s="3" t="s">
        <v>20</v>
      </c>
      <c r="G1300" s="3" t="s">
        <v>89</v>
      </c>
      <c r="H1300" s="3" t="s">
        <v>44</v>
      </c>
      <c r="I1300" s="3" t="n">
        <f aca="false">YEAR(E1300)</f>
        <v>2025</v>
      </c>
      <c r="J1300" s="3" t="n">
        <f aca="false">MONTH(E1300)</f>
        <v>5</v>
      </c>
      <c r="K1300" s="3" t="n">
        <f aca="false">COUNTIFS($B$2:$B$4077,B1300,$C$2:$C$4077,C1300,$I$2:$I$4077,I1300)</f>
        <v>1</v>
      </c>
      <c r="L1300" s="3" t="n">
        <f aca="false">IF(COUNTIFS($B$2:B1300,B1300,$C$2:C1300,C1300,$I$2:I1300,I1300)=1,1,0)</f>
        <v>1</v>
      </c>
      <c r="M1300" s="3" t="n">
        <f aca="false">IF(K1300&gt;=Parametri!$B$1,1,0)</f>
        <v>0</v>
      </c>
      <c r="N1300" s="3" t="n">
        <f aca="false">L1300*M1300</f>
        <v>0</v>
      </c>
    </row>
    <row r="1301" customFormat="false" ht="15" hidden="false" customHeight="false" outlineLevel="0" collapsed="false">
      <c r="A1301" s="0" t="s">
        <v>2229</v>
      </c>
      <c r="B1301" s="0" t="s">
        <v>31</v>
      </c>
      <c r="C1301" s="0" t="s">
        <v>1484</v>
      </c>
      <c r="D1301" s="0" t="s">
        <v>54</v>
      </c>
      <c r="E1301" s="2" t="n">
        <v>45352</v>
      </c>
      <c r="F1301" s="3" t="s">
        <v>20</v>
      </c>
      <c r="G1301" s="3" t="s">
        <v>89</v>
      </c>
      <c r="H1301" s="3" t="s">
        <v>44</v>
      </c>
      <c r="I1301" s="3" t="n">
        <f aca="false">YEAR(E1301)</f>
        <v>2024</v>
      </c>
      <c r="J1301" s="3" t="n">
        <f aca="false">MONTH(E1301)</f>
        <v>3</v>
      </c>
      <c r="K1301" s="3" t="n">
        <f aca="false">COUNTIFS($B$2:$B$4077,B1301,$C$2:$C$4077,C1301,$I$2:$I$4077,I1301)</f>
        <v>1</v>
      </c>
      <c r="L1301" s="3" t="n">
        <f aca="false">IF(COUNTIFS($B$2:B1301,B1301,$C$2:C1301,C1301,$I$2:I1301,I1301)=1,1,0)</f>
        <v>1</v>
      </c>
      <c r="M1301" s="3" t="n">
        <f aca="false">IF(K1301&gt;=Parametri!$B$1,1,0)</f>
        <v>0</v>
      </c>
      <c r="N1301" s="3" t="n">
        <f aca="false">L1301*M1301</f>
        <v>0</v>
      </c>
    </row>
    <row r="1302" customFormat="false" ht="15" hidden="false" customHeight="false" outlineLevel="0" collapsed="false">
      <c r="A1302" s="0" t="s">
        <v>2230</v>
      </c>
      <c r="B1302" s="0" t="s">
        <v>79</v>
      </c>
      <c r="C1302" s="0" t="s">
        <v>931</v>
      </c>
      <c r="D1302" s="0" t="s">
        <v>66</v>
      </c>
      <c r="E1302" s="2" t="n">
        <v>45846</v>
      </c>
      <c r="F1302" s="3" t="s">
        <v>20</v>
      </c>
      <c r="G1302" s="3" t="s">
        <v>72</v>
      </c>
      <c r="H1302" s="3" t="s">
        <v>48</v>
      </c>
      <c r="I1302" s="3" t="n">
        <f aca="false">YEAR(E1302)</f>
        <v>2025</v>
      </c>
      <c r="J1302" s="3" t="n">
        <f aca="false">MONTH(E1302)</f>
        <v>7</v>
      </c>
      <c r="K1302" s="3" t="n">
        <f aca="false">COUNTIFS($B$2:$B$4077,B1302,$C$2:$C$4077,C1302,$I$2:$I$4077,I1302)</f>
        <v>5</v>
      </c>
      <c r="L1302" s="3" t="n">
        <f aca="false">IF(COUNTIFS($B$2:B1302,B1302,$C$2:C1302,C1302,$I$2:I1302,I1302)=1,1,0)</f>
        <v>0</v>
      </c>
      <c r="M1302" s="3" t="n">
        <f aca="false">IF(K1302&gt;=Parametri!$B$1,1,0)</f>
        <v>1</v>
      </c>
      <c r="N1302" s="3" t="n">
        <f aca="false">L1302*M1302</f>
        <v>0</v>
      </c>
    </row>
    <row r="1303" customFormat="false" ht="15" hidden="false" customHeight="false" outlineLevel="0" collapsed="false">
      <c r="A1303" s="0" t="s">
        <v>2231</v>
      </c>
      <c r="B1303" s="0" t="s">
        <v>124</v>
      </c>
      <c r="C1303" s="0" t="s">
        <v>368</v>
      </c>
      <c r="D1303" s="0" t="s">
        <v>54</v>
      </c>
      <c r="E1303" s="2" t="n">
        <v>45500</v>
      </c>
      <c r="F1303" s="3" t="s">
        <v>20</v>
      </c>
      <c r="G1303" s="3" t="s">
        <v>35</v>
      </c>
      <c r="H1303" s="3" t="s">
        <v>29</v>
      </c>
      <c r="I1303" s="3" t="n">
        <f aca="false">YEAR(E1303)</f>
        <v>2024</v>
      </c>
      <c r="J1303" s="3" t="n">
        <f aca="false">MONTH(E1303)</f>
        <v>7</v>
      </c>
      <c r="K1303" s="3" t="n">
        <f aca="false">COUNTIFS($B$2:$B$4077,B1303,$C$2:$C$4077,C1303,$I$2:$I$4077,I1303)</f>
        <v>2</v>
      </c>
      <c r="L1303" s="3" t="n">
        <f aca="false">IF(COUNTIFS($B$2:B1303,B1303,$C$2:C1303,C1303,$I$2:I1303,I1303)=1,1,0)</f>
        <v>0</v>
      </c>
      <c r="M1303" s="3" t="n">
        <f aca="false">IF(K1303&gt;=Parametri!$B$1,1,0)</f>
        <v>1</v>
      </c>
      <c r="N1303" s="3" t="n">
        <f aca="false">L1303*M1303</f>
        <v>0</v>
      </c>
    </row>
    <row r="1304" customFormat="false" ht="15" hidden="false" customHeight="false" outlineLevel="0" collapsed="false">
      <c r="A1304" s="0" t="s">
        <v>2232</v>
      </c>
      <c r="B1304" s="0" t="s">
        <v>79</v>
      </c>
      <c r="C1304" s="0" t="s">
        <v>2233</v>
      </c>
      <c r="D1304" s="0" t="s">
        <v>77</v>
      </c>
      <c r="E1304" s="2" t="n">
        <v>45315</v>
      </c>
      <c r="F1304" s="3" t="s">
        <v>34</v>
      </c>
      <c r="G1304" s="3" t="s">
        <v>28</v>
      </c>
      <c r="H1304" s="3" t="s">
        <v>48</v>
      </c>
      <c r="I1304" s="3" t="n">
        <f aca="false">YEAR(E1304)</f>
        <v>2024</v>
      </c>
      <c r="J1304" s="3" t="n">
        <f aca="false">MONTH(E1304)</f>
        <v>1</v>
      </c>
      <c r="K1304" s="3" t="n">
        <f aca="false">COUNTIFS($B$2:$B$4077,B1304,$C$2:$C$4077,C1304,$I$2:$I$4077,I1304)</f>
        <v>1</v>
      </c>
      <c r="L1304" s="3" t="n">
        <f aca="false">IF(COUNTIFS($B$2:B1304,B1304,$C$2:C1304,C1304,$I$2:I1304,I1304)=1,1,0)</f>
        <v>1</v>
      </c>
      <c r="M1304" s="3" t="n">
        <f aca="false">IF(K1304&gt;=Parametri!$B$1,1,0)</f>
        <v>0</v>
      </c>
      <c r="N1304" s="3" t="n">
        <f aca="false">L1304*M1304</f>
        <v>0</v>
      </c>
    </row>
    <row r="1305" customFormat="false" ht="15" hidden="false" customHeight="false" outlineLevel="0" collapsed="false">
      <c r="A1305" s="0" t="s">
        <v>2234</v>
      </c>
      <c r="B1305" s="0" t="s">
        <v>24</v>
      </c>
      <c r="C1305" s="0" t="s">
        <v>2235</v>
      </c>
      <c r="D1305" s="0" t="s">
        <v>54</v>
      </c>
      <c r="E1305" s="2" t="n">
        <v>45358</v>
      </c>
      <c r="F1305" s="3" t="s">
        <v>20</v>
      </c>
      <c r="G1305" s="3" t="s">
        <v>43</v>
      </c>
      <c r="H1305" s="3" t="s">
        <v>48</v>
      </c>
      <c r="I1305" s="3" t="n">
        <f aca="false">YEAR(E1305)</f>
        <v>2024</v>
      </c>
      <c r="J1305" s="3" t="n">
        <f aca="false">MONTH(E1305)</f>
        <v>3</v>
      </c>
      <c r="K1305" s="3" t="n">
        <f aca="false">COUNTIFS($B$2:$B$4077,B1305,$C$2:$C$4077,C1305,$I$2:$I$4077,I1305)</f>
        <v>1</v>
      </c>
      <c r="L1305" s="3" t="n">
        <f aca="false">IF(COUNTIFS($B$2:B1305,B1305,$C$2:C1305,C1305,$I$2:I1305,I1305)=1,1,0)</f>
        <v>1</v>
      </c>
      <c r="M1305" s="3" t="n">
        <f aca="false">IF(K1305&gt;=Parametri!$B$1,1,0)</f>
        <v>0</v>
      </c>
      <c r="N1305" s="3" t="n">
        <f aca="false">L1305*M1305</f>
        <v>0</v>
      </c>
    </row>
    <row r="1306" customFormat="false" ht="15" hidden="false" customHeight="false" outlineLevel="0" collapsed="false">
      <c r="A1306" s="0" t="s">
        <v>2236</v>
      </c>
      <c r="B1306" s="0" t="s">
        <v>31</v>
      </c>
      <c r="C1306" s="0" t="s">
        <v>341</v>
      </c>
      <c r="D1306" s="0" t="s">
        <v>19</v>
      </c>
      <c r="E1306" s="2" t="n">
        <v>45401</v>
      </c>
      <c r="F1306" s="3" t="s">
        <v>34</v>
      </c>
      <c r="G1306" s="3" t="s">
        <v>39</v>
      </c>
      <c r="H1306" s="3" t="s">
        <v>44</v>
      </c>
      <c r="I1306" s="3" t="n">
        <f aca="false">YEAR(E1306)</f>
        <v>2024</v>
      </c>
      <c r="J1306" s="3" t="n">
        <f aca="false">MONTH(E1306)</f>
        <v>4</v>
      </c>
      <c r="K1306" s="3" t="n">
        <f aca="false">COUNTIFS($B$2:$B$4077,B1306,$C$2:$C$4077,C1306,$I$2:$I$4077,I1306)</f>
        <v>2</v>
      </c>
      <c r="L1306" s="3" t="n">
        <f aca="false">IF(COUNTIFS($B$2:B1306,B1306,$C$2:C1306,C1306,$I$2:I1306,I1306)=1,1,0)</f>
        <v>1</v>
      </c>
      <c r="M1306" s="3" t="n">
        <f aca="false">IF(K1306&gt;=Parametri!$B$1,1,0)</f>
        <v>1</v>
      </c>
      <c r="N1306" s="3" t="n">
        <f aca="false">L1306*M1306</f>
        <v>1</v>
      </c>
    </row>
    <row r="1307" customFormat="false" ht="15" hidden="false" customHeight="false" outlineLevel="0" collapsed="false">
      <c r="A1307" s="0" t="s">
        <v>2237</v>
      </c>
      <c r="B1307" s="0" t="s">
        <v>57</v>
      </c>
      <c r="C1307" s="0" t="s">
        <v>419</v>
      </c>
      <c r="D1307" s="0" t="s">
        <v>38</v>
      </c>
      <c r="E1307" s="2" t="n">
        <v>45891</v>
      </c>
      <c r="F1307" s="3" t="s">
        <v>20</v>
      </c>
      <c r="G1307" s="3" t="s">
        <v>39</v>
      </c>
      <c r="H1307" s="3" t="s">
        <v>44</v>
      </c>
      <c r="I1307" s="3" t="n">
        <f aca="false">YEAR(E1307)</f>
        <v>2025</v>
      </c>
      <c r="J1307" s="3" t="n">
        <f aca="false">MONTH(E1307)</f>
        <v>8</v>
      </c>
      <c r="K1307" s="3" t="n">
        <f aca="false">COUNTIFS($B$2:$B$4077,B1307,$C$2:$C$4077,C1307,$I$2:$I$4077,I1307)</f>
        <v>3</v>
      </c>
      <c r="L1307" s="3" t="n">
        <f aca="false">IF(COUNTIFS($B$2:B1307,B1307,$C$2:C1307,C1307,$I$2:I1307,I1307)=1,1,0)</f>
        <v>0</v>
      </c>
      <c r="M1307" s="3" t="n">
        <f aca="false">IF(K1307&gt;=Parametri!$B$1,1,0)</f>
        <v>1</v>
      </c>
      <c r="N1307" s="3" t="n">
        <f aca="false">L1307*M1307</f>
        <v>0</v>
      </c>
    </row>
    <row r="1308" customFormat="false" ht="15" hidden="false" customHeight="false" outlineLevel="0" collapsed="false">
      <c r="A1308" s="0" t="s">
        <v>2238</v>
      </c>
      <c r="B1308" s="0" t="s">
        <v>79</v>
      </c>
      <c r="C1308" s="0" t="s">
        <v>1366</v>
      </c>
      <c r="D1308" s="0" t="s">
        <v>77</v>
      </c>
      <c r="E1308" s="2" t="n">
        <v>46186</v>
      </c>
      <c r="F1308" s="3" t="s">
        <v>20</v>
      </c>
      <c r="G1308" s="3" t="s">
        <v>21</v>
      </c>
      <c r="H1308" s="3" t="s">
        <v>44</v>
      </c>
      <c r="I1308" s="3" t="n">
        <f aca="false">YEAR(E1308)</f>
        <v>2026</v>
      </c>
      <c r="J1308" s="3" t="n">
        <f aca="false">MONTH(E1308)</f>
        <v>6</v>
      </c>
      <c r="K1308" s="3" t="n">
        <f aca="false">COUNTIFS($B$2:$B$4077,B1308,$C$2:$C$4077,C1308,$I$2:$I$4077,I1308)</f>
        <v>1</v>
      </c>
      <c r="L1308" s="3" t="n">
        <f aca="false">IF(COUNTIFS($B$2:B1308,B1308,$C$2:C1308,C1308,$I$2:I1308,I1308)=1,1,0)</f>
        <v>1</v>
      </c>
      <c r="M1308" s="3" t="n">
        <f aca="false">IF(K1308&gt;=Parametri!$B$1,1,0)</f>
        <v>0</v>
      </c>
      <c r="N1308" s="3" t="n">
        <f aca="false">L1308*M1308</f>
        <v>0</v>
      </c>
    </row>
    <row r="1309" customFormat="false" ht="15" hidden="false" customHeight="false" outlineLevel="0" collapsed="false">
      <c r="A1309" s="0" t="s">
        <v>2239</v>
      </c>
      <c r="B1309" s="0" t="s">
        <v>46</v>
      </c>
      <c r="C1309" s="0" t="s">
        <v>2240</v>
      </c>
      <c r="D1309" s="0" t="s">
        <v>26</v>
      </c>
      <c r="E1309" s="2" t="n">
        <v>45938</v>
      </c>
      <c r="F1309" s="3" t="s">
        <v>27</v>
      </c>
      <c r="G1309" s="3" t="s">
        <v>43</v>
      </c>
      <c r="H1309" s="3" t="s">
        <v>29</v>
      </c>
      <c r="I1309" s="3" t="n">
        <f aca="false">YEAR(E1309)</f>
        <v>2025</v>
      </c>
      <c r="J1309" s="3" t="n">
        <f aca="false">MONTH(E1309)</f>
        <v>10</v>
      </c>
      <c r="K1309" s="3" t="n">
        <f aca="false">COUNTIFS($B$2:$B$4077,B1309,$C$2:$C$4077,C1309,$I$2:$I$4077,I1309)</f>
        <v>1</v>
      </c>
      <c r="L1309" s="3" t="n">
        <f aca="false">IF(COUNTIFS($B$2:B1309,B1309,$C$2:C1309,C1309,$I$2:I1309,I1309)=1,1,0)</f>
        <v>1</v>
      </c>
      <c r="M1309" s="3" t="n">
        <f aca="false">IF(K1309&gt;=Parametri!$B$1,1,0)</f>
        <v>0</v>
      </c>
      <c r="N1309" s="3" t="n">
        <f aca="false">L1309*M1309</f>
        <v>0</v>
      </c>
    </row>
    <row r="1310" customFormat="false" ht="15" hidden="false" customHeight="false" outlineLevel="0" collapsed="false">
      <c r="A1310" s="0" t="s">
        <v>2241</v>
      </c>
      <c r="B1310" s="0" t="s">
        <v>57</v>
      </c>
      <c r="C1310" s="0" t="s">
        <v>1531</v>
      </c>
      <c r="D1310" s="0" t="s">
        <v>26</v>
      </c>
      <c r="E1310" s="2" t="n">
        <v>46107</v>
      </c>
      <c r="F1310" s="3" t="s">
        <v>20</v>
      </c>
      <c r="G1310" s="3" t="s">
        <v>55</v>
      </c>
      <c r="H1310" s="3" t="s">
        <v>22</v>
      </c>
      <c r="I1310" s="3" t="n">
        <f aca="false">YEAR(E1310)</f>
        <v>2026</v>
      </c>
      <c r="J1310" s="3" t="n">
        <f aca="false">MONTH(E1310)</f>
        <v>3</v>
      </c>
      <c r="K1310" s="3" t="n">
        <f aca="false">COUNTIFS($B$2:$B$4077,B1310,$C$2:$C$4077,C1310,$I$2:$I$4077,I1310)</f>
        <v>4</v>
      </c>
      <c r="L1310" s="3" t="n">
        <f aca="false">IF(COUNTIFS($B$2:B1310,B1310,$C$2:C1310,C1310,$I$2:I1310,I1310)=1,1,0)</f>
        <v>1</v>
      </c>
      <c r="M1310" s="3" t="n">
        <f aca="false">IF(K1310&gt;=Parametri!$B$1,1,0)</f>
        <v>1</v>
      </c>
      <c r="N1310" s="3" t="n">
        <f aca="false">L1310*M1310</f>
        <v>1</v>
      </c>
    </row>
    <row r="1311" customFormat="false" ht="15" hidden="false" customHeight="false" outlineLevel="0" collapsed="false">
      <c r="A1311" s="0" t="s">
        <v>2242</v>
      </c>
      <c r="B1311" s="0" t="s">
        <v>17</v>
      </c>
      <c r="C1311" s="0" t="s">
        <v>231</v>
      </c>
      <c r="D1311" s="0" t="s">
        <v>77</v>
      </c>
      <c r="E1311" s="2" t="n">
        <v>45883</v>
      </c>
      <c r="F1311" s="3" t="s">
        <v>20</v>
      </c>
      <c r="G1311" s="3" t="s">
        <v>21</v>
      </c>
      <c r="H1311" s="3" t="s">
        <v>29</v>
      </c>
      <c r="I1311" s="3" t="n">
        <f aca="false">YEAR(E1311)</f>
        <v>2025</v>
      </c>
      <c r="J1311" s="3" t="n">
        <f aca="false">MONTH(E1311)</f>
        <v>8</v>
      </c>
      <c r="K1311" s="3" t="n">
        <f aca="false">COUNTIFS($B$2:$B$4077,B1311,$C$2:$C$4077,C1311,$I$2:$I$4077,I1311)</f>
        <v>6</v>
      </c>
      <c r="L1311" s="3" t="n">
        <f aca="false">IF(COUNTIFS($B$2:B1311,B1311,$C$2:C1311,C1311,$I$2:I1311,I1311)=1,1,0)</f>
        <v>1</v>
      </c>
      <c r="M1311" s="3" t="n">
        <f aca="false">IF(K1311&gt;=Parametri!$B$1,1,0)</f>
        <v>1</v>
      </c>
      <c r="N1311" s="3" t="n">
        <f aca="false">L1311*M1311</f>
        <v>1</v>
      </c>
    </row>
    <row r="1312" customFormat="false" ht="15" hidden="false" customHeight="false" outlineLevel="0" collapsed="false">
      <c r="A1312" s="0" t="s">
        <v>2243</v>
      </c>
      <c r="B1312" s="0" t="s">
        <v>46</v>
      </c>
      <c r="C1312" s="0" t="s">
        <v>2244</v>
      </c>
      <c r="D1312" s="0" t="s">
        <v>33</v>
      </c>
      <c r="E1312" s="2" t="n">
        <v>46004</v>
      </c>
      <c r="F1312" s="3" t="s">
        <v>20</v>
      </c>
      <c r="G1312" s="3" t="s">
        <v>28</v>
      </c>
      <c r="H1312" s="3" t="s">
        <v>44</v>
      </c>
      <c r="I1312" s="3" t="n">
        <f aca="false">YEAR(E1312)</f>
        <v>2025</v>
      </c>
      <c r="J1312" s="3" t="n">
        <f aca="false">MONTH(E1312)</f>
        <v>12</v>
      </c>
      <c r="K1312" s="3" t="n">
        <f aca="false">COUNTIFS($B$2:$B$4077,B1312,$C$2:$C$4077,C1312,$I$2:$I$4077,I1312)</f>
        <v>1</v>
      </c>
      <c r="L1312" s="3" t="n">
        <f aca="false">IF(COUNTIFS($B$2:B1312,B1312,$C$2:C1312,C1312,$I$2:I1312,I1312)=1,1,0)</f>
        <v>1</v>
      </c>
      <c r="M1312" s="3" t="n">
        <f aca="false">IF(K1312&gt;=Parametri!$B$1,1,0)</f>
        <v>0</v>
      </c>
      <c r="N1312" s="3" t="n">
        <f aca="false">L1312*M1312</f>
        <v>0</v>
      </c>
    </row>
    <row r="1313" customFormat="false" ht="15" hidden="false" customHeight="false" outlineLevel="0" collapsed="false">
      <c r="A1313" s="0" t="s">
        <v>2245</v>
      </c>
      <c r="B1313" s="0" t="s">
        <v>79</v>
      </c>
      <c r="C1313" s="0" t="s">
        <v>250</v>
      </c>
      <c r="D1313" s="0" t="s">
        <v>26</v>
      </c>
      <c r="E1313" s="2" t="n">
        <v>46029</v>
      </c>
      <c r="F1313" s="3" t="s">
        <v>27</v>
      </c>
      <c r="G1313" s="3" t="s">
        <v>72</v>
      </c>
      <c r="H1313" s="3" t="s">
        <v>44</v>
      </c>
      <c r="I1313" s="3" t="n">
        <f aca="false">YEAR(E1313)</f>
        <v>2026</v>
      </c>
      <c r="J1313" s="3" t="n">
        <f aca="false">MONTH(E1313)</f>
        <v>1</v>
      </c>
      <c r="K1313" s="3" t="n">
        <f aca="false">COUNTIFS($B$2:$B$4077,B1313,$C$2:$C$4077,C1313,$I$2:$I$4077,I1313)</f>
        <v>4</v>
      </c>
      <c r="L1313" s="3" t="n">
        <f aca="false">IF(COUNTIFS($B$2:B1313,B1313,$C$2:C1313,C1313,$I$2:I1313,I1313)=1,1,0)</f>
        <v>0</v>
      </c>
      <c r="M1313" s="3" t="n">
        <f aca="false">IF(K1313&gt;=Parametri!$B$1,1,0)</f>
        <v>1</v>
      </c>
      <c r="N1313" s="3" t="n">
        <f aca="false">L1313*M1313</f>
        <v>0</v>
      </c>
    </row>
    <row r="1314" customFormat="false" ht="15" hidden="false" customHeight="false" outlineLevel="0" collapsed="false">
      <c r="A1314" s="0" t="s">
        <v>2246</v>
      </c>
      <c r="B1314" s="0" t="s">
        <v>24</v>
      </c>
      <c r="C1314" s="0" t="s">
        <v>1983</v>
      </c>
      <c r="D1314" s="0" t="s">
        <v>19</v>
      </c>
      <c r="E1314" s="2" t="n">
        <v>45373</v>
      </c>
      <c r="F1314" s="3" t="s">
        <v>20</v>
      </c>
      <c r="G1314" s="3" t="s">
        <v>28</v>
      </c>
      <c r="H1314" s="3" t="s">
        <v>44</v>
      </c>
      <c r="I1314" s="3" t="n">
        <f aca="false">YEAR(E1314)</f>
        <v>2024</v>
      </c>
      <c r="J1314" s="3" t="n">
        <f aca="false">MONTH(E1314)</f>
        <v>3</v>
      </c>
      <c r="K1314" s="3" t="n">
        <f aca="false">COUNTIFS($B$2:$B$4077,B1314,$C$2:$C$4077,C1314,$I$2:$I$4077,I1314)</f>
        <v>1</v>
      </c>
      <c r="L1314" s="3" t="n">
        <f aca="false">IF(COUNTIFS($B$2:B1314,B1314,$C$2:C1314,C1314,$I$2:I1314,I1314)=1,1,0)</f>
        <v>1</v>
      </c>
      <c r="M1314" s="3" t="n">
        <f aca="false">IF(K1314&gt;=Parametri!$B$1,1,0)</f>
        <v>0</v>
      </c>
      <c r="N1314" s="3" t="n">
        <f aca="false">L1314*M1314</f>
        <v>0</v>
      </c>
    </row>
    <row r="1315" customFormat="false" ht="15" hidden="false" customHeight="false" outlineLevel="0" collapsed="false">
      <c r="A1315" s="0" t="s">
        <v>2247</v>
      </c>
      <c r="B1315" s="0" t="s">
        <v>50</v>
      </c>
      <c r="C1315" s="0" t="s">
        <v>2248</v>
      </c>
      <c r="D1315" s="0" t="s">
        <v>63</v>
      </c>
      <c r="E1315" s="2" t="n">
        <v>45916</v>
      </c>
      <c r="F1315" s="3" t="s">
        <v>20</v>
      </c>
      <c r="G1315" s="3" t="s">
        <v>35</v>
      </c>
      <c r="H1315" s="3" t="s">
        <v>44</v>
      </c>
      <c r="I1315" s="3" t="n">
        <f aca="false">YEAR(E1315)</f>
        <v>2025</v>
      </c>
      <c r="J1315" s="3" t="n">
        <f aca="false">MONTH(E1315)</f>
        <v>9</v>
      </c>
      <c r="K1315" s="3" t="n">
        <f aca="false">COUNTIFS($B$2:$B$4077,B1315,$C$2:$C$4077,C1315,$I$2:$I$4077,I1315)</f>
        <v>1</v>
      </c>
      <c r="L1315" s="3" t="n">
        <f aca="false">IF(COUNTIFS($B$2:B1315,B1315,$C$2:C1315,C1315,$I$2:I1315,I1315)=1,1,0)</f>
        <v>1</v>
      </c>
      <c r="M1315" s="3" t="n">
        <f aca="false">IF(K1315&gt;=Parametri!$B$1,1,0)</f>
        <v>0</v>
      </c>
      <c r="N1315" s="3" t="n">
        <f aca="false">L1315*M1315</f>
        <v>0</v>
      </c>
    </row>
    <row r="1316" customFormat="false" ht="15" hidden="false" customHeight="false" outlineLevel="0" collapsed="false">
      <c r="A1316" s="0" t="s">
        <v>2249</v>
      </c>
      <c r="B1316" s="0" t="s">
        <v>50</v>
      </c>
      <c r="C1316" s="0" t="s">
        <v>1164</v>
      </c>
      <c r="D1316" s="0" t="s">
        <v>63</v>
      </c>
      <c r="E1316" s="2" t="n">
        <v>45541</v>
      </c>
      <c r="F1316" s="3" t="s">
        <v>27</v>
      </c>
      <c r="G1316" s="3" t="s">
        <v>72</v>
      </c>
      <c r="H1316" s="3" t="s">
        <v>22</v>
      </c>
      <c r="I1316" s="3" t="n">
        <f aca="false">YEAR(E1316)</f>
        <v>2024</v>
      </c>
      <c r="J1316" s="3" t="n">
        <f aca="false">MONTH(E1316)</f>
        <v>9</v>
      </c>
      <c r="K1316" s="3" t="n">
        <f aca="false">COUNTIFS($B$2:$B$4077,B1316,$C$2:$C$4077,C1316,$I$2:$I$4077,I1316)</f>
        <v>4</v>
      </c>
      <c r="L1316" s="3" t="n">
        <f aca="false">IF(COUNTIFS($B$2:B1316,B1316,$C$2:C1316,C1316,$I$2:I1316,I1316)=1,1,0)</f>
        <v>0</v>
      </c>
      <c r="M1316" s="3" t="n">
        <f aca="false">IF(K1316&gt;=Parametri!$B$1,1,0)</f>
        <v>1</v>
      </c>
      <c r="N1316" s="3" t="n">
        <f aca="false">L1316*M1316</f>
        <v>0</v>
      </c>
    </row>
    <row r="1317" customFormat="false" ht="15" hidden="false" customHeight="false" outlineLevel="0" collapsed="false">
      <c r="A1317" s="0" t="s">
        <v>2250</v>
      </c>
      <c r="B1317" s="0" t="s">
        <v>31</v>
      </c>
      <c r="C1317" s="0" t="s">
        <v>2023</v>
      </c>
      <c r="D1317" s="0" t="s">
        <v>77</v>
      </c>
      <c r="E1317" s="2" t="n">
        <v>45991</v>
      </c>
      <c r="F1317" s="3" t="s">
        <v>20</v>
      </c>
      <c r="G1317" s="3" t="s">
        <v>39</v>
      </c>
      <c r="H1317" s="3" t="s">
        <v>29</v>
      </c>
      <c r="I1317" s="3" t="n">
        <f aca="false">YEAR(E1317)</f>
        <v>2025</v>
      </c>
      <c r="J1317" s="3" t="n">
        <f aca="false">MONTH(E1317)</f>
        <v>11</v>
      </c>
      <c r="K1317" s="3" t="n">
        <f aca="false">COUNTIFS($B$2:$B$4077,B1317,$C$2:$C$4077,C1317,$I$2:$I$4077,I1317)</f>
        <v>1</v>
      </c>
      <c r="L1317" s="3" t="n">
        <f aca="false">IF(COUNTIFS($B$2:B1317,B1317,$C$2:C1317,C1317,$I$2:I1317,I1317)=1,1,0)</f>
        <v>1</v>
      </c>
      <c r="M1317" s="3" t="n">
        <f aca="false">IF(K1317&gt;=Parametri!$B$1,1,0)</f>
        <v>0</v>
      </c>
      <c r="N1317" s="3" t="n">
        <f aca="false">L1317*M1317</f>
        <v>0</v>
      </c>
    </row>
    <row r="1318" customFormat="false" ht="15" hidden="false" customHeight="false" outlineLevel="0" collapsed="false">
      <c r="A1318" s="0" t="s">
        <v>2251</v>
      </c>
      <c r="B1318" s="0" t="s">
        <v>68</v>
      </c>
      <c r="C1318" s="0" t="s">
        <v>2252</v>
      </c>
      <c r="D1318" s="0" t="s">
        <v>54</v>
      </c>
      <c r="E1318" s="2" t="n">
        <v>45866</v>
      </c>
      <c r="F1318" s="3" t="s">
        <v>20</v>
      </c>
      <c r="G1318" s="3" t="s">
        <v>89</v>
      </c>
      <c r="H1318" s="3" t="s">
        <v>48</v>
      </c>
      <c r="I1318" s="3" t="n">
        <f aca="false">YEAR(E1318)</f>
        <v>2025</v>
      </c>
      <c r="J1318" s="3" t="n">
        <f aca="false">MONTH(E1318)</f>
        <v>7</v>
      </c>
      <c r="K1318" s="3" t="n">
        <f aca="false">COUNTIFS($B$2:$B$4077,B1318,$C$2:$C$4077,C1318,$I$2:$I$4077,I1318)</f>
        <v>1</v>
      </c>
      <c r="L1318" s="3" t="n">
        <f aca="false">IF(COUNTIFS($B$2:B1318,B1318,$C$2:C1318,C1318,$I$2:I1318,I1318)=1,1,0)</f>
        <v>1</v>
      </c>
      <c r="M1318" s="3" t="n">
        <f aca="false">IF(K1318&gt;=Parametri!$B$1,1,0)</f>
        <v>0</v>
      </c>
      <c r="N1318" s="3" t="n">
        <f aca="false">L1318*M1318</f>
        <v>0</v>
      </c>
    </row>
    <row r="1319" customFormat="false" ht="15" hidden="false" customHeight="false" outlineLevel="0" collapsed="false">
      <c r="A1319" s="0" t="s">
        <v>2253</v>
      </c>
      <c r="B1319" s="0" t="s">
        <v>24</v>
      </c>
      <c r="C1319" s="0" t="s">
        <v>1410</v>
      </c>
      <c r="D1319" s="0" t="s">
        <v>26</v>
      </c>
      <c r="E1319" s="2" t="n">
        <v>45587</v>
      </c>
      <c r="F1319" s="3" t="s">
        <v>20</v>
      </c>
      <c r="G1319" s="3" t="s">
        <v>43</v>
      </c>
      <c r="H1319" s="3" t="s">
        <v>48</v>
      </c>
      <c r="I1319" s="3" t="n">
        <f aca="false">YEAR(E1319)</f>
        <v>2024</v>
      </c>
      <c r="J1319" s="3" t="n">
        <f aca="false">MONTH(E1319)</f>
        <v>10</v>
      </c>
      <c r="K1319" s="3" t="n">
        <f aca="false">COUNTIFS($B$2:$B$4077,B1319,$C$2:$C$4077,C1319,$I$2:$I$4077,I1319)</f>
        <v>1</v>
      </c>
      <c r="L1319" s="3" t="n">
        <f aca="false">IF(COUNTIFS($B$2:B1319,B1319,$C$2:C1319,C1319,$I$2:I1319,I1319)=1,1,0)</f>
        <v>1</v>
      </c>
      <c r="M1319" s="3" t="n">
        <f aca="false">IF(K1319&gt;=Parametri!$B$1,1,0)</f>
        <v>0</v>
      </c>
      <c r="N1319" s="3" t="n">
        <f aca="false">L1319*M1319</f>
        <v>0</v>
      </c>
    </row>
    <row r="1320" customFormat="false" ht="15" hidden="false" customHeight="false" outlineLevel="0" collapsed="false">
      <c r="A1320" s="0" t="s">
        <v>2254</v>
      </c>
      <c r="B1320" s="0" t="s">
        <v>57</v>
      </c>
      <c r="C1320" s="0" t="s">
        <v>2255</v>
      </c>
      <c r="D1320" s="0" t="s">
        <v>26</v>
      </c>
      <c r="E1320" s="2" t="n">
        <v>45417</v>
      </c>
      <c r="F1320" s="3" t="s">
        <v>20</v>
      </c>
      <c r="G1320" s="3" t="s">
        <v>43</v>
      </c>
      <c r="H1320" s="3" t="s">
        <v>44</v>
      </c>
      <c r="I1320" s="3" t="n">
        <f aca="false">YEAR(E1320)</f>
        <v>2024</v>
      </c>
      <c r="J1320" s="3" t="n">
        <f aca="false">MONTH(E1320)</f>
        <v>5</v>
      </c>
      <c r="K1320" s="3" t="n">
        <f aca="false">COUNTIFS($B$2:$B$4077,B1320,$C$2:$C$4077,C1320,$I$2:$I$4077,I1320)</f>
        <v>1</v>
      </c>
      <c r="L1320" s="3" t="n">
        <f aca="false">IF(COUNTIFS($B$2:B1320,B1320,$C$2:C1320,C1320,$I$2:I1320,I1320)=1,1,0)</f>
        <v>1</v>
      </c>
      <c r="M1320" s="3" t="n">
        <f aca="false">IF(K1320&gt;=Parametri!$B$1,1,0)</f>
        <v>0</v>
      </c>
      <c r="N1320" s="3" t="n">
        <f aca="false">L1320*M1320</f>
        <v>0</v>
      </c>
    </row>
    <row r="1321" customFormat="false" ht="15" hidden="false" customHeight="false" outlineLevel="0" collapsed="false">
      <c r="A1321" s="0" t="s">
        <v>2256</v>
      </c>
      <c r="B1321" s="0" t="s">
        <v>41</v>
      </c>
      <c r="C1321" s="0" t="s">
        <v>1349</v>
      </c>
      <c r="D1321" s="0" t="s">
        <v>19</v>
      </c>
      <c r="E1321" s="2" t="n">
        <v>45480</v>
      </c>
      <c r="F1321" s="3" t="s">
        <v>20</v>
      </c>
      <c r="G1321" s="3" t="s">
        <v>39</v>
      </c>
      <c r="H1321" s="3" t="s">
        <v>48</v>
      </c>
      <c r="I1321" s="3" t="n">
        <f aca="false">YEAR(E1321)</f>
        <v>2024</v>
      </c>
      <c r="J1321" s="3" t="n">
        <f aca="false">MONTH(E1321)</f>
        <v>7</v>
      </c>
      <c r="K1321" s="3" t="n">
        <f aca="false">COUNTIFS($B$2:$B$4077,B1321,$C$2:$C$4077,C1321,$I$2:$I$4077,I1321)</f>
        <v>1</v>
      </c>
      <c r="L1321" s="3" t="n">
        <f aca="false">IF(COUNTIFS($B$2:B1321,B1321,$C$2:C1321,C1321,$I$2:I1321,I1321)=1,1,0)</f>
        <v>1</v>
      </c>
      <c r="M1321" s="3" t="n">
        <f aca="false">IF(K1321&gt;=Parametri!$B$1,1,0)</f>
        <v>0</v>
      </c>
      <c r="N1321" s="3" t="n">
        <f aca="false">L1321*M1321</f>
        <v>0</v>
      </c>
    </row>
    <row r="1322" customFormat="false" ht="15" hidden="false" customHeight="false" outlineLevel="0" collapsed="false">
      <c r="A1322" s="0" t="s">
        <v>2257</v>
      </c>
      <c r="B1322" s="0" t="s">
        <v>124</v>
      </c>
      <c r="C1322" s="0" t="s">
        <v>1700</v>
      </c>
      <c r="D1322" s="0" t="s">
        <v>66</v>
      </c>
      <c r="E1322" s="2" t="n">
        <v>45647</v>
      </c>
      <c r="F1322" s="3" t="s">
        <v>20</v>
      </c>
      <c r="G1322" s="3" t="s">
        <v>72</v>
      </c>
      <c r="H1322" s="3" t="s">
        <v>44</v>
      </c>
      <c r="I1322" s="3" t="n">
        <f aca="false">YEAR(E1322)</f>
        <v>2024</v>
      </c>
      <c r="J1322" s="3" t="n">
        <f aca="false">MONTH(E1322)</f>
        <v>12</v>
      </c>
      <c r="K1322" s="3" t="n">
        <f aca="false">COUNTIFS($B$2:$B$4077,B1322,$C$2:$C$4077,C1322,$I$2:$I$4077,I1322)</f>
        <v>1</v>
      </c>
      <c r="L1322" s="3" t="n">
        <f aca="false">IF(COUNTIFS($B$2:B1322,B1322,$C$2:C1322,C1322,$I$2:I1322,I1322)=1,1,0)</f>
        <v>1</v>
      </c>
      <c r="M1322" s="3" t="n">
        <f aca="false">IF(K1322&gt;=Parametri!$B$1,1,0)</f>
        <v>0</v>
      </c>
      <c r="N1322" s="3" t="n">
        <f aca="false">L1322*M1322</f>
        <v>0</v>
      </c>
    </row>
    <row r="1323" customFormat="false" ht="15" hidden="false" customHeight="false" outlineLevel="0" collapsed="false">
      <c r="A1323" s="0" t="s">
        <v>2258</v>
      </c>
      <c r="B1323" s="0" t="s">
        <v>68</v>
      </c>
      <c r="C1323" s="0" t="s">
        <v>2259</v>
      </c>
      <c r="D1323" s="0" t="s">
        <v>66</v>
      </c>
      <c r="E1323" s="2" t="n">
        <v>46067</v>
      </c>
      <c r="F1323" s="3" t="s">
        <v>34</v>
      </c>
      <c r="G1323" s="3" t="s">
        <v>89</v>
      </c>
      <c r="H1323" s="3" t="s">
        <v>48</v>
      </c>
      <c r="I1323" s="3" t="n">
        <f aca="false">YEAR(E1323)</f>
        <v>2026</v>
      </c>
      <c r="J1323" s="3" t="n">
        <f aca="false">MONTH(E1323)</f>
        <v>2</v>
      </c>
      <c r="K1323" s="3" t="n">
        <f aca="false">COUNTIFS($B$2:$B$4077,B1323,$C$2:$C$4077,C1323,$I$2:$I$4077,I1323)</f>
        <v>1</v>
      </c>
      <c r="L1323" s="3" t="n">
        <f aca="false">IF(COUNTIFS($B$2:B1323,B1323,$C$2:C1323,C1323,$I$2:I1323,I1323)=1,1,0)</f>
        <v>1</v>
      </c>
      <c r="M1323" s="3" t="n">
        <f aca="false">IF(K1323&gt;=Parametri!$B$1,1,0)</f>
        <v>0</v>
      </c>
      <c r="N1323" s="3" t="n">
        <f aca="false">L1323*M1323</f>
        <v>0</v>
      </c>
    </row>
    <row r="1324" customFormat="false" ht="15" hidden="false" customHeight="false" outlineLevel="0" collapsed="false">
      <c r="A1324" s="0" t="s">
        <v>2260</v>
      </c>
      <c r="B1324" s="0" t="s">
        <v>41</v>
      </c>
      <c r="C1324" s="0" t="s">
        <v>2261</v>
      </c>
      <c r="D1324" s="0" t="s">
        <v>19</v>
      </c>
      <c r="E1324" s="2" t="n">
        <v>46133</v>
      </c>
      <c r="F1324" s="3" t="s">
        <v>20</v>
      </c>
      <c r="G1324" s="3" t="s">
        <v>55</v>
      </c>
      <c r="H1324" s="3" t="s">
        <v>48</v>
      </c>
      <c r="I1324" s="3" t="n">
        <f aca="false">YEAR(E1324)</f>
        <v>2026</v>
      </c>
      <c r="J1324" s="3" t="n">
        <f aca="false">MONTH(E1324)</f>
        <v>4</v>
      </c>
      <c r="K1324" s="3" t="n">
        <f aca="false">COUNTIFS($B$2:$B$4077,B1324,$C$2:$C$4077,C1324,$I$2:$I$4077,I1324)</f>
        <v>1</v>
      </c>
      <c r="L1324" s="3" t="n">
        <f aca="false">IF(COUNTIFS($B$2:B1324,B1324,$C$2:C1324,C1324,$I$2:I1324,I1324)=1,1,0)</f>
        <v>1</v>
      </c>
      <c r="M1324" s="3" t="n">
        <f aca="false">IF(K1324&gt;=Parametri!$B$1,1,0)</f>
        <v>0</v>
      </c>
      <c r="N1324" s="3" t="n">
        <f aca="false">L1324*M1324</f>
        <v>0</v>
      </c>
    </row>
    <row r="1325" customFormat="false" ht="15" hidden="false" customHeight="false" outlineLevel="0" collapsed="false">
      <c r="A1325" s="0" t="s">
        <v>2262</v>
      </c>
      <c r="B1325" s="0" t="s">
        <v>46</v>
      </c>
      <c r="C1325" s="0" t="s">
        <v>2263</v>
      </c>
      <c r="D1325" s="0" t="s">
        <v>63</v>
      </c>
      <c r="E1325" s="2" t="n">
        <v>45819</v>
      </c>
      <c r="F1325" s="3" t="s">
        <v>27</v>
      </c>
      <c r="G1325" s="3" t="s">
        <v>39</v>
      </c>
      <c r="H1325" s="3" t="s">
        <v>29</v>
      </c>
      <c r="I1325" s="3" t="n">
        <f aca="false">YEAR(E1325)</f>
        <v>2025</v>
      </c>
      <c r="J1325" s="3" t="n">
        <f aca="false">MONTH(E1325)</f>
        <v>6</v>
      </c>
      <c r="K1325" s="3" t="n">
        <f aca="false">COUNTIFS($B$2:$B$4077,B1325,$C$2:$C$4077,C1325,$I$2:$I$4077,I1325)</f>
        <v>1</v>
      </c>
      <c r="L1325" s="3" t="n">
        <f aca="false">IF(COUNTIFS($B$2:B1325,B1325,$C$2:C1325,C1325,$I$2:I1325,I1325)=1,1,0)</f>
        <v>1</v>
      </c>
      <c r="M1325" s="3" t="n">
        <f aca="false">IF(K1325&gt;=Parametri!$B$1,1,0)</f>
        <v>0</v>
      </c>
      <c r="N1325" s="3" t="n">
        <f aca="false">L1325*M1325</f>
        <v>0</v>
      </c>
    </row>
    <row r="1326" customFormat="false" ht="15" hidden="false" customHeight="false" outlineLevel="0" collapsed="false">
      <c r="A1326" s="0" t="s">
        <v>2264</v>
      </c>
      <c r="B1326" s="0" t="s">
        <v>17</v>
      </c>
      <c r="C1326" s="0" t="s">
        <v>2265</v>
      </c>
      <c r="D1326" s="0" t="s">
        <v>38</v>
      </c>
      <c r="E1326" s="2" t="n">
        <v>45768</v>
      </c>
      <c r="F1326" s="3" t="s">
        <v>20</v>
      </c>
      <c r="G1326" s="3" t="s">
        <v>28</v>
      </c>
      <c r="H1326" s="3" t="s">
        <v>44</v>
      </c>
      <c r="I1326" s="3" t="n">
        <f aca="false">YEAR(E1326)</f>
        <v>2025</v>
      </c>
      <c r="J1326" s="3" t="n">
        <f aca="false">MONTH(E1326)</f>
        <v>4</v>
      </c>
      <c r="K1326" s="3" t="n">
        <f aca="false">COUNTIFS($B$2:$B$4077,B1326,$C$2:$C$4077,C1326,$I$2:$I$4077,I1326)</f>
        <v>1</v>
      </c>
      <c r="L1326" s="3" t="n">
        <f aca="false">IF(COUNTIFS($B$2:B1326,B1326,$C$2:C1326,C1326,$I$2:I1326,I1326)=1,1,0)</f>
        <v>1</v>
      </c>
      <c r="M1326" s="3" t="n">
        <f aca="false">IF(K1326&gt;=Parametri!$B$1,1,0)</f>
        <v>0</v>
      </c>
      <c r="N1326" s="3" t="n">
        <f aca="false">L1326*M1326</f>
        <v>0</v>
      </c>
    </row>
    <row r="1327" customFormat="false" ht="15" hidden="false" customHeight="false" outlineLevel="0" collapsed="false">
      <c r="A1327" s="0" t="s">
        <v>2266</v>
      </c>
      <c r="B1327" s="0" t="s">
        <v>31</v>
      </c>
      <c r="C1327" s="0" t="s">
        <v>2267</v>
      </c>
      <c r="D1327" s="0" t="s">
        <v>33</v>
      </c>
      <c r="E1327" s="2" t="n">
        <v>45433</v>
      </c>
      <c r="F1327" s="3" t="s">
        <v>34</v>
      </c>
      <c r="G1327" s="3" t="s">
        <v>21</v>
      </c>
      <c r="H1327" s="3" t="s">
        <v>48</v>
      </c>
      <c r="I1327" s="3" t="n">
        <f aca="false">YEAR(E1327)</f>
        <v>2024</v>
      </c>
      <c r="J1327" s="3" t="n">
        <f aca="false">MONTH(E1327)</f>
        <v>5</v>
      </c>
      <c r="K1327" s="3" t="n">
        <f aca="false">COUNTIFS($B$2:$B$4077,B1327,$C$2:$C$4077,C1327,$I$2:$I$4077,I1327)</f>
        <v>2</v>
      </c>
      <c r="L1327" s="3" t="n">
        <f aca="false">IF(COUNTIFS($B$2:B1327,B1327,$C$2:C1327,C1327,$I$2:I1327,I1327)=1,1,0)</f>
        <v>1</v>
      </c>
      <c r="M1327" s="3" t="n">
        <f aca="false">IF(K1327&gt;=Parametri!$B$1,1,0)</f>
        <v>1</v>
      </c>
      <c r="N1327" s="3" t="n">
        <f aca="false">L1327*M1327</f>
        <v>1</v>
      </c>
    </row>
    <row r="1328" customFormat="false" ht="15" hidden="false" customHeight="false" outlineLevel="0" collapsed="false">
      <c r="A1328" s="0" t="s">
        <v>2268</v>
      </c>
      <c r="B1328" s="0" t="s">
        <v>68</v>
      </c>
      <c r="C1328" s="0" t="s">
        <v>1643</v>
      </c>
      <c r="D1328" s="0" t="s">
        <v>33</v>
      </c>
      <c r="E1328" s="2" t="n">
        <v>45502</v>
      </c>
      <c r="F1328" s="3" t="s">
        <v>34</v>
      </c>
      <c r="G1328" s="3" t="s">
        <v>72</v>
      </c>
      <c r="H1328" s="3" t="s">
        <v>48</v>
      </c>
      <c r="I1328" s="3" t="n">
        <f aca="false">YEAR(E1328)</f>
        <v>2024</v>
      </c>
      <c r="J1328" s="3" t="n">
        <f aca="false">MONTH(E1328)</f>
        <v>7</v>
      </c>
      <c r="K1328" s="3" t="n">
        <f aca="false">COUNTIFS($B$2:$B$4077,B1328,$C$2:$C$4077,C1328,$I$2:$I$4077,I1328)</f>
        <v>2</v>
      </c>
      <c r="L1328" s="3" t="n">
        <f aca="false">IF(COUNTIFS($B$2:B1328,B1328,$C$2:C1328,C1328,$I$2:I1328,I1328)=1,1,0)</f>
        <v>1</v>
      </c>
      <c r="M1328" s="3" t="n">
        <f aca="false">IF(K1328&gt;=Parametri!$B$1,1,0)</f>
        <v>1</v>
      </c>
      <c r="N1328" s="3" t="n">
        <f aca="false">L1328*M1328</f>
        <v>1</v>
      </c>
    </row>
    <row r="1329" customFormat="false" ht="15" hidden="false" customHeight="false" outlineLevel="0" collapsed="false">
      <c r="A1329" s="0" t="s">
        <v>2269</v>
      </c>
      <c r="B1329" s="0" t="s">
        <v>24</v>
      </c>
      <c r="C1329" s="0" t="s">
        <v>2016</v>
      </c>
      <c r="D1329" s="0" t="s">
        <v>33</v>
      </c>
      <c r="E1329" s="2" t="n">
        <v>45385</v>
      </c>
      <c r="F1329" s="3" t="s">
        <v>20</v>
      </c>
      <c r="G1329" s="3" t="s">
        <v>89</v>
      </c>
      <c r="H1329" s="3" t="s">
        <v>22</v>
      </c>
      <c r="I1329" s="3" t="n">
        <f aca="false">YEAR(E1329)</f>
        <v>2024</v>
      </c>
      <c r="J1329" s="3" t="n">
        <f aca="false">MONTH(E1329)</f>
        <v>4</v>
      </c>
      <c r="K1329" s="3" t="n">
        <f aca="false">COUNTIFS($B$2:$B$4077,B1329,$C$2:$C$4077,C1329,$I$2:$I$4077,I1329)</f>
        <v>2</v>
      </c>
      <c r="L1329" s="3" t="n">
        <f aca="false">IF(COUNTIFS($B$2:B1329,B1329,$C$2:C1329,C1329,$I$2:I1329,I1329)=1,1,0)</f>
        <v>0</v>
      </c>
      <c r="M1329" s="3" t="n">
        <f aca="false">IF(K1329&gt;=Parametri!$B$1,1,0)</f>
        <v>1</v>
      </c>
      <c r="N1329" s="3" t="n">
        <f aca="false">L1329*M1329</f>
        <v>0</v>
      </c>
    </row>
    <row r="1330" customFormat="false" ht="15" hidden="false" customHeight="false" outlineLevel="0" collapsed="false">
      <c r="A1330" s="0" t="s">
        <v>2270</v>
      </c>
      <c r="B1330" s="0" t="s">
        <v>50</v>
      </c>
      <c r="C1330" s="0" t="s">
        <v>2271</v>
      </c>
      <c r="D1330" s="0" t="s">
        <v>19</v>
      </c>
      <c r="E1330" s="2" t="n">
        <v>45727</v>
      </c>
      <c r="F1330" s="3" t="s">
        <v>20</v>
      </c>
      <c r="G1330" s="3" t="s">
        <v>104</v>
      </c>
      <c r="H1330" s="3" t="s">
        <v>104</v>
      </c>
      <c r="I1330" s="3" t="n">
        <f aca="false">YEAR(E1330)</f>
        <v>2025</v>
      </c>
      <c r="J1330" s="3" t="n">
        <f aca="false">MONTH(E1330)</f>
        <v>3</v>
      </c>
      <c r="K1330" s="3" t="n">
        <f aca="false">COUNTIFS($B$2:$B$4077,B1330,$C$2:$C$4077,C1330,$I$2:$I$4077,I1330)</f>
        <v>1</v>
      </c>
      <c r="L1330" s="3" t="n">
        <f aca="false">IF(COUNTIFS($B$2:B1330,B1330,$C$2:C1330,C1330,$I$2:I1330,I1330)=1,1,0)</f>
        <v>1</v>
      </c>
      <c r="M1330" s="3" t="n">
        <f aca="false">IF(K1330&gt;=Parametri!$B$1,1,0)</f>
        <v>0</v>
      </c>
      <c r="N1330" s="3" t="n">
        <f aca="false">L1330*M1330</f>
        <v>0</v>
      </c>
    </row>
    <row r="1331" customFormat="false" ht="15" hidden="false" customHeight="false" outlineLevel="0" collapsed="false">
      <c r="A1331" s="0" t="s">
        <v>2272</v>
      </c>
      <c r="B1331" s="0" t="s">
        <v>50</v>
      </c>
      <c r="C1331" s="0" t="s">
        <v>2273</v>
      </c>
      <c r="D1331" s="0" t="s">
        <v>66</v>
      </c>
      <c r="E1331" s="2" t="n">
        <v>46109</v>
      </c>
      <c r="F1331" s="3" t="s">
        <v>20</v>
      </c>
      <c r="G1331" s="3" t="s">
        <v>43</v>
      </c>
      <c r="H1331" s="3" t="s">
        <v>22</v>
      </c>
      <c r="I1331" s="3" t="n">
        <f aca="false">YEAR(E1331)</f>
        <v>2026</v>
      </c>
      <c r="J1331" s="3" t="n">
        <f aca="false">MONTH(E1331)</f>
        <v>3</v>
      </c>
      <c r="K1331" s="3" t="n">
        <f aca="false">COUNTIFS($B$2:$B$4077,B1331,$C$2:$C$4077,C1331,$I$2:$I$4077,I1331)</f>
        <v>1</v>
      </c>
      <c r="L1331" s="3" t="n">
        <f aca="false">IF(COUNTIFS($B$2:B1331,B1331,$C$2:C1331,C1331,$I$2:I1331,I1331)=1,1,0)</f>
        <v>1</v>
      </c>
      <c r="M1331" s="3" t="n">
        <f aca="false">IF(K1331&gt;=Parametri!$B$1,1,0)</f>
        <v>0</v>
      </c>
      <c r="N1331" s="3" t="n">
        <f aca="false">L1331*M1331</f>
        <v>0</v>
      </c>
    </row>
    <row r="1332" customFormat="false" ht="15" hidden="false" customHeight="false" outlineLevel="0" collapsed="false">
      <c r="A1332" s="0" t="s">
        <v>2274</v>
      </c>
      <c r="B1332" s="0" t="s">
        <v>57</v>
      </c>
      <c r="C1332" s="0" t="s">
        <v>2275</v>
      </c>
      <c r="D1332" s="0" t="s">
        <v>19</v>
      </c>
      <c r="E1332" s="2" t="n">
        <v>46172</v>
      </c>
      <c r="F1332" s="3" t="s">
        <v>20</v>
      </c>
      <c r="G1332" s="3" t="s">
        <v>43</v>
      </c>
      <c r="H1332" s="3" t="s">
        <v>48</v>
      </c>
      <c r="I1332" s="3" t="n">
        <f aca="false">YEAR(E1332)</f>
        <v>2026</v>
      </c>
      <c r="J1332" s="3" t="n">
        <f aca="false">MONTH(E1332)</f>
        <v>5</v>
      </c>
      <c r="K1332" s="3" t="n">
        <f aca="false">COUNTIFS($B$2:$B$4077,B1332,$C$2:$C$4077,C1332,$I$2:$I$4077,I1332)</f>
        <v>1</v>
      </c>
      <c r="L1332" s="3" t="n">
        <f aca="false">IF(COUNTIFS($B$2:B1332,B1332,$C$2:C1332,C1332,$I$2:I1332,I1332)=1,1,0)</f>
        <v>1</v>
      </c>
      <c r="M1332" s="3" t="n">
        <f aca="false">IF(K1332&gt;=Parametri!$B$1,1,0)</f>
        <v>0</v>
      </c>
      <c r="N1332" s="3" t="n">
        <f aca="false">L1332*M1332</f>
        <v>0</v>
      </c>
    </row>
    <row r="1333" customFormat="false" ht="15" hidden="false" customHeight="false" outlineLevel="0" collapsed="false">
      <c r="A1333" s="0" t="s">
        <v>2276</v>
      </c>
      <c r="B1333" s="0" t="s">
        <v>124</v>
      </c>
      <c r="C1333" s="0" t="s">
        <v>2277</v>
      </c>
      <c r="D1333" s="0" t="s">
        <v>54</v>
      </c>
      <c r="E1333" s="2" t="n">
        <v>45373</v>
      </c>
      <c r="F1333" s="3" t="s">
        <v>20</v>
      </c>
      <c r="G1333" s="3" t="s">
        <v>39</v>
      </c>
      <c r="H1333" s="3" t="s">
        <v>44</v>
      </c>
      <c r="I1333" s="3" t="n">
        <f aca="false">YEAR(E1333)</f>
        <v>2024</v>
      </c>
      <c r="J1333" s="3" t="n">
        <f aca="false">MONTH(E1333)</f>
        <v>3</v>
      </c>
      <c r="K1333" s="3" t="n">
        <f aca="false">COUNTIFS($B$2:$B$4077,B1333,$C$2:$C$4077,C1333,$I$2:$I$4077,I1333)</f>
        <v>3</v>
      </c>
      <c r="L1333" s="3" t="n">
        <f aca="false">IF(COUNTIFS($B$2:B1333,B1333,$C$2:C1333,C1333,$I$2:I1333,I1333)=1,1,0)</f>
        <v>1</v>
      </c>
      <c r="M1333" s="3" t="n">
        <f aca="false">IF(K1333&gt;=Parametri!$B$1,1,0)</f>
        <v>1</v>
      </c>
      <c r="N1333" s="3" t="n">
        <f aca="false">L1333*M1333</f>
        <v>1</v>
      </c>
    </row>
    <row r="1334" customFormat="false" ht="15" hidden="false" customHeight="false" outlineLevel="0" collapsed="false">
      <c r="A1334" s="0" t="s">
        <v>2278</v>
      </c>
      <c r="B1334" s="0" t="s">
        <v>57</v>
      </c>
      <c r="C1334" s="0" t="s">
        <v>1831</v>
      </c>
      <c r="D1334" s="0" t="s">
        <v>19</v>
      </c>
      <c r="E1334" s="2" t="n">
        <v>45372</v>
      </c>
      <c r="F1334" s="3" t="s">
        <v>27</v>
      </c>
      <c r="G1334" s="3" t="s">
        <v>72</v>
      </c>
      <c r="H1334" s="3" t="s">
        <v>29</v>
      </c>
      <c r="I1334" s="3" t="n">
        <f aca="false">YEAR(E1334)</f>
        <v>2024</v>
      </c>
      <c r="J1334" s="3" t="n">
        <f aca="false">MONTH(E1334)</f>
        <v>3</v>
      </c>
      <c r="K1334" s="3" t="n">
        <f aca="false">COUNTIFS($B$2:$B$4077,B1334,$C$2:$C$4077,C1334,$I$2:$I$4077,I1334)</f>
        <v>1</v>
      </c>
      <c r="L1334" s="3" t="n">
        <f aca="false">IF(COUNTIFS($B$2:B1334,B1334,$C$2:C1334,C1334,$I$2:I1334,I1334)=1,1,0)</f>
        <v>1</v>
      </c>
      <c r="M1334" s="3" t="n">
        <f aca="false">IF(K1334&gt;=Parametri!$B$1,1,0)</f>
        <v>0</v>
      </c>
      <c r="N1334" s="3" t="n">
        <f aca="false">L1334*M1334</f>
        <v>0</v>
      </c>
    </row>
    <row r="1335" customFormat="false" ht="15" hidden="false" customHeight="false" outlineLevel="0" collapsed="false">
      <c r="A1335" s="0" t="s">
        <v>2279</v>
      </c>
      <c r="B1335" s="0" t="s">
        <v>24</v>
      </c>
      <c r="C1335" s="0" t="s">
        <v>2280</v>
      </c>
      <c r="D1335" s="0" t="s">
        <v>54</v>
      </c>
      <c r="E1335" s="2" t="n">
        <v>45299</v>
      </c>
      <c r="F1335" s="3" t="s">
        <v>20</v>
      </c>
      <c r="G1335" s="3" t="s">
        <v>72</v>
      </c>
      <c r="H1335" s="3" t="s">
        <v>22</v>
      </c>
      <c r="I1335" s="3" t="n">
        <f aca="false">YEAR(E1335)</f>
        <v>2024</v>
      </c>
      <c r="J1335" s="3" t="n">
        <f aca="false">MONTH(E1335)</f>
        <v>1</v>
      </c>
      <c r="K1335" s="3" t="n">
        <f aca="false">COUNTIFS($B$2:$B$4077,B1335,$C$2:$C$4077,C1335,$I$2:$I$4077,I1335)</f>
        <v>3</v>
      </c>
      <c r="L1335" s="3" t="n">
        <f aca="false">IF(COUNTIFS($B$2:B1335,B1335,$C$2:C1335,C1335,$I$2:I1335,I1335)=1,1,0)</f>
        <v>1</v>
      </c>
      <c r="M1335" s="3" t="n">
        <f aca="false">IF(K1335&gt;=Parametri!$B$1,1,0)</f>
        <v>1</v>
      </c>
      <c r="N1335" s="3" t="n">
        <f aca="false">L1335*M1335</f>
        <v>1</v>
      </c>
    </row>
    <row r="1336" customFormat="false" ht="15" hidden="false" customHeight="false" outlineLevel="0" collapsed="false">
      <c r="A1336" s="0" t="s">
        <v>2281</v>
      </c>
      <c r="B1336" s="0" t="s">
        <v>24</v>
      </c>
      <c r="C1336" s="0" t="s">
        <v>2282</v>
      </c>
      <c r="D1336" s="0" t="s">
        <v>77</v>
      </c>
      <c r="E1336" s="2" t="n">
        <v>45706</v>
      </c>
      <c r="F1336" s="3" t="s">
        <v>27</v>
      </c>
      <c r="G1336" s="3" t="s">
        <v>72</v>
      </c>
      <c r="H1336" s="3" t="s">
        <v>29</v>
      </c>
      <c r="I1336" s="3" t="n">
        <f aca="false">YEAR(E1336)</f>
        <v>2025</v>
      </c>
      <c r="J1336" s="3" t="n">
        <f aca="false">MONTH(E1336)</f>
        <v>2</v>
      </c>
      <c r="K1336" s="3" t="n">
        <f aca="false">COUNTIFS($B$2:$B$4077,B1336,$C$2:$C$4077,C1336,$I$2:$I$4077,I1336)</f>
        <v>1</v>
      </c>
      <c r="L1336" s="3" t="n">
        <f aca="false">IF(COUNTIFS($B$2:B1336,B1336,$C$2:C1336,C1336,$I$2:I1336,I1336)=1,1,0)</f>
        <v>1</v>
      </c>
      <c r="M1336" s="3" t="n">
        <f aca="false">IF(K1336&gt;=Parametri!$B$1,1,0)</f>
        <v>0</v>
      </c>
      <c r="N1336" s="3" t="n">
        <f aca="false">L1336*M1336</f>
        <v>0</v>
      </c>
    </row>
    <row r="1337" customFormat="false" ht="15" hidden="false" customHeight="false" outlineLevel="0" collapsed="false">
      <c r="A1337" s="0" t="s">
        <v>2283</v>
      </c>
      <c r="B1337" s="0" t="s">
        <v>124</v>
      </c>
      <c r="C1337" s="0" t="s">
        <v>2284</v>
      </c>
      <c r="D1337" s="0" t="s">
        <v>66</v>
      </c>
      <c r="E1337" s="2" t="n">
        <v>45296</v>
      </c>
      <c r="F1337" s="3" t="s">
        <v>34</v>
      </c>
      <c r="G1337" s="3" t="s">
        <v>104</v>
      </c>
      <c r="H1337" s="3" t="s">
        <v>29</v>
      </c>
      <c r="I1337" s="3" t="n">
        <f aca="false">YEAR(E1337)</f>
        <v>2024</v>
      </c>
      <c r="J1337" s="3" t="n">
        <f aca="false">MONTH(E1337)</f>
        <v>1</v>
      </c>
      <c r="K1337" s="3" t="n">
        <f aca="false">COUNTIFS($B$2:$B$4077,B1337,$C$2:$C$4077,C1337,$I$2:$I$4077,I1337)</f>
        <v>1</v>
      </c>
      <c r="L1337" s="3" t="n">
        <f aca="false">IF(COUNTIFS($B$2:B1337,B1337,$C$2:C1337,C1337,$I$2:I1337,I1337)=1,1,0)</f>
        <v>1</v>
      </c>
      <c r="M1337" s="3" t="n">
        <f aca="false">IF(K1337&gt;=Parametri!$B$1,1,0)</f>
        <v>0</v>
      </c>
      <c r="N1337" s="3" t="n">
        <f aca="false">L1337*M1337</f>
        <v>0</v>
      </c>
    </row>
    <row r="1338" customFormat="false" ht="15" hidden="false" customHeight="false" outlineLevel="0" collapsed="false">
      <c r="A1338" s="0" t="s">
        <v>2285</v>
      </c>
      <c r="B1338" s="0" t="s">
        <v>57</v>
      </c>
      <c r="C1338" s="0" t="s">
        <v>2286</v>
      </c>
      <c r="D1338" s="0" t="s">
        <v>26</v>
      </c>
      <c r="E1338" s="2" t="n">
        <v>46136</v>
      </c>
      <c r="F1338" s="3" t="s">
        <v>20</v>
      </c>
      <c r="G1338" s="3" t="s">
        <v>21</v>
      </c>
      <c r="H1338" s="3" t="s">
        <v>29</v>
      </c>
      <c r="I1338" s="3" t="n">
        <f aca="false">YEAR(E1338)</f>
        <v>2026</v>
      </c>
      <c r="J1338" s="3" t="n">
        <f aca="false">MONTH(E1338)</f>
        <v>4</v>
      </c>
      <c r="K1338" s="3" t="n">
        <f aca="false">COUNTIFS($B$2:$B$4077,B1338,$C$2:$C$4077,C1338,$I$2:$I$4077,I1338)</f>
        <v>1</v>
      </c>
      <c r="L1338" s="3" t="n">
        <f aca="false">IF(COUNTIFS($B$2:B1338,B1338,$C$2:C1338,C1338,$I$2:I1338,I1338)=1,1,0)</f>
        <v>1</v>
      </c>
      <c r="M1338" s="3" t="n">
        <f aca="false">IF(K1338&gt;=Parametri!$B$1,1,0)</f>
        <v>0</v>
      </c>
      <c r="N1338" s="3" t="n">
        <f aca="false">L1338*M1338</f>
        <v>0</v>
      </c>
    </row>
    <row r="1339" customFormat="false" ht="15" hidden="false" customHeight="false" outlineLevel="0" collapsed="false">
      <c r="A1339" s="0" t="s">
        <v>2287</v>
      </c>
      <c r="B1339" s="0" t="s">
        <v>41</v>
      </c>
      <c r="C1339" s="0" t="s">
        <v>2208</v>
      </c>
      <c r="D1339" s="0" t="s">
        <v>63</v>
      </c>
      <c r="E1339" s="2" t="n">
        <v>46119</v>
      </c>
      <c r="F1339" s="3" t="s">
        <v>20</v>
      </c>
      <c r="G1339" s="3" t="s">
        <v>39</v>
      </c>
      <c r="H1339" s="3" t="s">
        <v>44</v>
      </c>
      <c r="I1339" s="3" t="n">
        <f aca="false">YEAR(E1339)</f>
        <v>2026</v>
      </c>
      <c r="J1339" s="3" t="n">
        <f aca="false">MONTH(E1339)</f>
        <v>4</v>
      </c>
      <c r="K1339" s="3" t="n">
        <f aca="false">COUNTIFS($B$2:$B$4077,B1339,$C$2:$C$4077,C1339,$I$2:$I$4077,I1339)</f>
        <v>2</v>
      </c>
      <c r="L1339" s="3" t="n">
        <f aca="false">IF(COUNTIFS($B$2:B1339,B1339,$C$2:C1339,C1339,$I$2:I1339,I1339)=1,1,0)</f>
        <v>0</v>
      </c>
      <c r="M1339" s="3" t="n">
        <f aca="false">IF(K1339&gt;=Parametri!$B$1,1,0)</f>
        <v>1</v>
      </c>
      <c r="N1339" s="3" t="n">
        <f aca="false">L1339*M1339</f>
        <v>0</v>
      </c>
    </row>
    <row r="1340" customFormat="false" ht="15" hidden="false" customHeight="false" outlineLevel="0" collapsed="false">
      <c r="A1340" s="0" t="s">
        <v>2288</v>
      </c>
      <c r="B1340" s="0" t="s">
        <v>24</v>
      </c>
      <c r="C1340" s="0" t="s">
        <v>2289</v>
      </c>
      <c r="D1340" s="0" t="s">
        <v>19</v>
      </c>
      <c r="E1340" s="2" t="n">
        <v>45963</v>
      </c>
      <c r="F1340" s="3" t="s">
        <v>27</v>
      </c>
      <c r="G1340" s="3" t="s">
        <v>72</v>
      </c>
      <c r="H1340" s="3" t="s">
        <v>29</v>
      </c>
      <c r="I1340" s="3" t="n">
        <f aca="false">YEAR(E1340)</f>
        <v>2025</v>
      </c>
      <c r="J1340" s="3" t="n">
        <f aca="false">MONTH(E1340)</f>
        <v>11</v>
      </c>
      <c r="K1340" s="3" t="n">
        <f aca="false">COUNTIFS($B$2:$B$4077,B1340,$C$2:$C$4077,C1340,$I$2:$I$4077,I1340)</f>
        <v>1</v>
      </c>
      <c r="L1340" s="3" t="n">
        <f aca="false">IF(COUNTIFS($B$2:B1340,B1340,$C$2:C1340,C1340,$I$2:I1340,I1340)=1,1,0)</f>
        <v>1</v>
      </c>
      <c r="M1340" s="3" t="n">
        <f aca="false">IF(K1340&gt;=Parametri!$B$1,1,0)</f>
        <v>0</v>
      </c>
      <c r="N1340" s="3" t="n">
        <f aca="false">L1340*M1340</f>
        <v>0</v>
      </c>
    </row>
    <row r="1341" customFormat="false" ht="15" hidden="false" customHeight="false" outlineLevel="0" collapsed="false">
      <c r="A1341" s="0" t="s">
        <v>2290</v>
      </c>
      <c r="B1341" s="0" t="s">
        <v>24</v>
      </c>
      <c r="C1341" s="0" t="s">
        <v>131</v>
      </c>
      <c r="D1341" s="0" t="s">
        <v>66</v>
      </c>
      <c r="E1341" s="2" t="n">
        <v>46224</v>
      </c>
      <c r="F1341" s="3" t="s">
        <v>20</v>
      </c>
      <c r="G1341" s="3" t="s">
        <v>72</v>
      </c>
      <c r="H1341" s="3" t="s">
        <v>48</v>
      </c>
      <c r="I1341" s="3" t="n">
        <f aca="false">YEAR(E1341)</f>
        <v>2026</v>
      </c>
      <c r="J1341" s="3" t="n">
        <f aca="false">MONTH(E1341)</f>
        <v>7</v>
      </c>
      <c r="K1341" s="3" t="n">
        <f aca="false">COUNTIFS($B$2:$B$4077,B1341,$C$2:$C$4077,C1341,$I$2:$I$4077,I1341)</f>
        <v>4</v>
      </c>
      <c r="L1341" s="3" t="n">
        <f aca="false">IF(COUNTIFS($B$2:B1341,B1341,$C$2:C1341,C1341,$I$2:I1341,I1341)=1,1,0)</f>
        <v>0</v>
      </c>
      <c r="M1341" s="3" t="n">
        <f aca="false">IF(K1341&gt;=Parametri!$B$1,1,0)</f>
        <v>1</v>
      </c>
      <c r="N1341" s="3" t="n">
        <f aca="false">L1341*M1341</f>
        <v>0</v>
      </c>
    </row>
    <row r="1342" customFormat="false" ht="15" hidden="false" customHeight="false" outlineLevel="0" collapsed="false">
      <c r="A1342" s="0" t="s">
        <v>2291</v>
      </c>
      <c r="B1342" s="0" t="s">
        <v>124</v>
      </c>
      <c r="C1342" s="0" t="s">
        <v>2292</v>
      </c>
      <c r="D1342" s="0" t="s">
        <v>66</v>
      </c>
      <c r="E1342" s="2" t="n">
        <v>45325</v>
      </c>
      <c r="F1342" s="3" t="s">
        <v>27</v>
      </c>
      <c r="G1342" s="3" t="s">
        <v>39</v>
      </c>
      <c r="H1342" s="3" t="s">
        <v>29</v>
      </c>
      <c r="I1342" s="3" t="n">
        <f aca="false">YEAR(E1342)</f>
        <v>2024</v>
      </c>
      <c r="J1342" s="3" t="n">
        <f aca="false">MONTH(E1342)</f>
        <v>2</v>
      </c>
      <c r="K1342" s="3" t="n">
        <f aca="false">COUNTIFS($B$2:$B$4077,B1342,$C$2:$C$4077,C1342,$I$2:$I$4077,I1342)</f>
        <v>2</v>
      </c>
      <c r="L1342" s="3" t="n">
        <f aca="false">IF(COUNTIFS($B$2:B1342,B1342,$C$2:C1342,C1342,$I$2:I1342,I1342)=1,1,0)</f>
        <v>1</v>
      </c>
      <c r="M1342" s="3" t="n">
        <f aca="false">IF(K1342&gt;=Parametri!$B$1,1,0)</f>
        <v>1</v>
      </c>
      <c r="N1342" s="3" t="n">
        <f aca="false">L1342*M1342</f>
        <v>1</v>
      </c>
    </row>
    <row r="1343" customFormat="false" ht="15" hidden="false" customHeight="false" outlineLevel="0" collapsed="false">
      <c r="A1343" s="0" t="s">
        <v>2293</v>
      </c>
      <c r="B1343" s="0" t="s">
        <v>17</v>
      </c>
      <c r="C1343" s="0" t="s">
        <v>1079</v>
      </c>
      <c r="D1343" s="0" t="s">
        <v>19</v>
      </c>
      <c r="E1343" s="2" t="n">
        <v>45525</v>
      </c>
      <c r="F1343" s="3" t="s">
        <v>20</v>
      </c>
      <c r="G1343" s="3" t="s">
        <v>35</v>
      </c>
      <c r="H1343" s="3" t="s">
        <v>48</v>
      </c>
      <c r="I1343" s="3" t="n">
        <f aca="false">YEAR(E1343)</f>
        <v>2024</v>
      </c>
      <c r="J1343" s="3" t="n">
        <f aca="false">MONTH(E1343)</f>
        <v>8</v>
      </c>
      <c r="K1343" s="3" t="n">
        <f aca="false">COUNTIFS($B$2:$B$4077,B1343,$C$2:$C$4077,C1343,$I$2:$I$4077,I1343)</f>
        <v>2</v>
      </c>
      <c r="L1343" s="3" t="n">
        <f aca="false">IF(COUNTIFS($B$2:B1343,B1343,$C$2:C1343,C1343,$I$2:I1343,I1343)=1,1,0)</f>
        <v>0</v>
      </c>
      <c r="M1343" s="3" t="n">
        <f aca="false">IF(K1343&gt;=Parametri!$B$1,1,0)</f>
        <v>1</v>
      </c>
      <c r="N1343" s="3" t="n">
        <f aca="false">L1343*M1343</f>
        <v>0</v>
      </c>
    </row>
    <row r="1344" customFormat="false" ht="15" hidden="false" customHeight="false" outlineLevel="0" collapsed="false">
      <c r="A1344" s="0" t="s">
        <v>2294</v>
      </c>
      <c r="B1344" s="0" t="s">
        <v>124</v>
      </c>
      <c r="C1344" s="0" t="s">
        <v>2295</v>
      </c>
      <c r="D1344" s="0" t="s">
        <v>38</v>
      </c>
      <c r="E1344" s="2" t="n">
        <v>46206</v>
      </c>
      <c r="F1344" s="3" t="s">
        <v>34</v>
      </c>
      <c r="G1344" s="3" t="s">
        <v>35</v>
      </c>
      <c r="H1344" s="3" t="s">
        <v>29</v>
      </c>
      <c r="I1344" s="3" t="n">
        <f aca="false">YEAR(E1344)</f>
        <v>2026</v>
      </c>
      <c r="J1344" s="3" t="n">
        <f aca="false">MONTH(E1344)</f>
        <v>7</v>
      </c>
      <c r="K1344" s="3" t="n">
        <f aca="false">COUNTIFS($B$2:$B$4077,B1344,$C$2:$C$4077,C1344,$I$2:$I$4077,I1344)</f>
        <v>1</v>
      </c>
      <c r="L1344" s="3" t="n">
        <f aca="false">IF(COUNTIFS($B$2:B1344,B1344,$C$2:C1344,C1344,$I$2:I1344,I1344)=1,1,0)</f>
        <v>1</v>
      </c>
      <c r="M1344" s="3" t="n">
        <f aca="false">IF(K1344&gt;=Parametri!$B$1,1,0)</f>
        <v>0</v>
      </c>
      <c r="N1344" s="3" t="n">
        <f aca="false">L1344*M1344</f>
        <v>0</v>
      </c>
    </row>
    <row r="1345" customFormat="false" ht="15" hidden="false" customHeight="false" outlineLevel="0" collapsed="false">
      <c r="A1345" s="0" t="s">
        <v>2296</v>
      </c>
      <c r="B1345" s="0" t="s">
        <v>68</v>
      </c>
      <c r="C1345" s="0" t="s">
        <v>1457</v>
      </c>
      <c r="D1345" s="0" t="s">
        <v>54</v>
      </c>
      <c r="E1345" s="2" t="n">
        <v>45464</v>
      </c>
      <c r="F1345" s="3" t="s">
        <v>20</v>
      </c>
      <c r="G1345" s="3" t="s">
        <v>28</v>
      </c>
      <c r="H1345" s="3" t="s">
        <v>22</v>
      </c>
      <c r="I1345" s="3" t="n">
        <f aca="false">YEAR(E1345)</f>
        <v>2024</v>
      </c>
      <c r="J1345" s="3" t="n">
        <f aca="false">MONTH(E1345)</f>
        <v>6</v>
      </c>
      <c r="K1345" s="3" t="n">
        <f aca="false">COUNTIFS($B$2:$B$4077,B1345,$C$2:$C$4077,C1345,$I$2:$I$4077,I1345)</f>
        <v>6</v>
      </c>
      <c r="L1345" s="3" t="n">
        <f aca="false">IF(COUNTIFS($B$2:B1345,B1345,$C$2:C1345,C1345,$I$2:I1345,I1345)=1,1,0)</f>
        <v>1</v>
      </c>
      <c r="M1345" s="3" t="n">
        <f aca="false">IF(K1345&gt;=Parametri!$B$1,1,0)</f>
        <v>1</v>
      </c>
      <c r="N1345" s="3" t="n">
        <f aca="false">L1345*M1345</f>
        <v>1</v>
      </c>
    </row>
    <row r="1346" customFormat="false" ht="15" hidden="false" customHeight="false" outlineLevel="0" collapsed="false">
      <c r="A1346" s="0" t="s">
        <v>2297</v>
      </c>
      <c r="B1346" s="0" t="s">
        <v>46</v>
      </c>
      <c r="C1346" s="0" t="s">
        <v>1749</v>
      </c>
      <c r="D1346" s="0" t="s">
        <v>38</v>
      </c>
      <c r="E1346" s="2" t="n">
        <v>45694</v>
      </c>
      <c r="F1346" s="3" t="s">
        <v>34</v>
      </c>
      <c r="G1346" s="3" t="s">
        <v>35</v>
      </c>
      <c r="H1346" s="3" t="s">
        <v>29</v>
      </c>
      <c r="I1346" s="3" t="n">
        <f aca="false">YEAR(E1346)</f>
        <v>2025</v>
      </c>
      <c r="J1346" s="3" t="n">
        <f aca="false">MONTH(E1346)</f>
        <v>2</v>
      </c>
      <c r="K1346" s="3" t="n">
        <f aca="false">COUNTIFS($B$2:$B$4077,B1346,$C$2:$C$4077,C1346,$I$2:$I$4077,I1346)</f>
        <v>1</v>
      </c>
      <c r="L1346" s="3" t="n">
        <f aca="false">IF(COUNTIFS($B$2:B1346,B1346,$C$2:C1346,C1346,$I$2:I1346,I1346)=1,1,0)</f>
        <v>1</v>
      </c>
      <c r="M1346" s="3" t="n">
        <f aca="false">IF(K1346&gt;=Parametri!$B$1,1,0)</f>
        <v>0</v>
      </c>
      <c r="N1346" s="3" t="n">
        <f aca="false">L1346*M1346</f>
        <v>0</v>
      </c>
    </row>
    <row r="1347" customFormat="false" ht="15" hidden="false" customHeight="false" outlineLevel="0" collapsed="false">
      <c r="A1347" s="0" t="s">
        <v>2298</v>
      </c>
      <c r="B1347" s="0" t="s">
        <v>41</v>
      </c>
      <c r="C1347" s="0" t="s">
        <v>2299</v>
      </c>
      <c r="D1347" s="0" t="s">
        <v>33</v>
      </c>
      <c r="E1347" s="2" t="n">
        <v>45591</v>
      </c>
      <c r="F1347" s="3" t="s">
        <v>34</v>
      </c>
      <c r="G1347" s="3" t="s">
        <v>35</v>
      </c>
      <c r="H1347" s="3" t="s">
        <v>22</v>
      </c>
      <c r="I1347" s="3" t="n">
        <f aca="false">YEAR(E1347)</f>
        <v>2024</v>
      </c>
      <c r="J1347" s="3" t="n">
        <f aca="false">MONTH(E1347)</f>
        <v>10</v>
      </c>
      <c r="K1347" s="3" t="n">
        <f aca="false">COUNTIFS($B$2:$B$4077,B1347,$C$2:$C$4077,C1347,$I$2:$I$4077,I1347)</f>
        <v>1</v>
      </c>
      <c r="L1347" s="3" t="n">
        <f aca="false">IF(COUNTIFS($B$2:B1347,B1347,$C$2:C1347,C1347,$I$2:I1347,I1347)=1,1,0)</f>
        <v>1</v>
      </c>
      <c r="M1347" s="3" t="n">
        <f aca="false">IF(K1347&gt;=Parametri!$B$1,1,0)</f>
        <v>0</v>
      </c>
      <c r="N1347" s="3" t="n">
        <f aca="false">L1347*M1347</f>
        <v>0</v>
      </c>
    </row>
    <row r="1348" customFormat="false" ht="15" hidden="false" customHeight="false" outlineLevel="0" collapsed="false">
      <c r="A1348" s="0" t="s">
        <v>2300</v>
      </c>
      <c r="B1348" s="0" t="s">
        <v>124</v>
      </c>
      <c r="C1348" s="0" t="s">
        <v>1700</v>
      </c>
      <c r="D1348" s="0" t="s">
        <v>33</v>
      </c>
      <c r="E1348" s="2" t="n">
        <v>45971</v>
      </c>
      <c r="F1348" s="3" t="s">
        <v>104</v>
      </c>
      <c r="G1348" s="3" t="s">
        <v>104</v>
      </c>
      <c r="H1348" s="3" t="s">
        <v>104</v>
      </c>
      <c r="I1348" s="3" t="n">
        <f aca="false">YEAR(E1348)</f>
        <v>2025</v>
      </c>
      <c r="J1348" s="3" t="n">
        <f aca="false">MONTH(E1348)</f>
        <v>11</v>
      </c>
      <c r="K1348" s="3" t="n">
        <f aca="false">COUNTIFS($B$2:$B$4077,B1348,$C$2:$C$4077,C1348,$I$2:$I$4077,I1348)</f>
        <v>2</v>
      </c>
      <c r="L1348" s="3" t="n">
        <f aca="false">IF(COUNTIFS($B$2:B1348,B1348,$C$2:C1348,C1348,$I$2:I1348,I1348)=1,1,0)</f>
        <v>0</v>
      </c>
      <c r="M1348" s="3" t="n">
        <f aca="false">IF(K1348&gt;=Parametri!$B$1,1,0)</f>
        <v>1</v>
      </c>
      <c r="N1348" s="3" t="n">
        <f aca="false">L1348*M1348</f>
        <v>0</v>
      </c>
    </row>
    <row r="1349" customFormat="false" ht="15" hidden="false" customHeight="false" outlineLevel="0" collapsed="false">
      <c r="A1349" s="0" t="s">
        <v>2301</v>
      </c>
      <c r="B1349" s="0" t="s">
        <v>17</v>
      </c>
      <c r="C1349" s="0" t="s">
        <v>1633</v>
      </c>
      <c r="D1349" s="0" t="s">
        <v>38</v>
      </c>
      <c r="E1349" s="2" t="n">
        <v>45310</v>
      </c>
      <c r="F1349" s="3" t="s">
        <v>27</v>
      </c>
      <c r="G1349" s="3" t="s">
        <v>21</v>
      </c>
      <c r="H1349" s="3" t="s">
        <v>48</v>
      </c>
      <c r="I1349" s="3" t="n">
        <f aca="false">YEAR(E1349)</f>
        <v>2024</v>
      </c>
      <c r="J1349" s="3" t="n">
        <f aca="false">MONTH(E1349)</f>
        <v>1</v>
      </c>
      <c r="K1349" s="3" t="n">
        <f aca="false">COUNTIFS($B$2:$B$4077,B1349,$C$2:$C$4077,C1349,$I$2:$I$4077,I1349)</f>
        <v>1</v>
      </c>
      <c r="L1349" s="3" t="n">
        <f aca="false">IF(COUNTIFS($B$2:B1349,B1349,$C$2:C1349,C1349,$I$2:I1349,I1349)=1,1,0)</f>
        <v>1</v>
      </c>
      <c r="M1349" s="3" t="n">
        <f aca="false">IF(K1349&gt;=Parametri!$B$1,1,0)</f>
        <v>0</v>
      </c>
      <c r="N1349" s="3" t="n">
        <f aca="false">L1349*M1349</f>
        <v>0</v>
      </c>
    </row>
    <row r="1350" customFormat="false" ht="15" hidden="false" customHeight="false" outlineLevel="0" collapsed="false">
      <c r="A1350" s="0" t="s">
        <v>2302</v>
      </c>
      <c r="B1350" s="0" t="s">
        <v>31</v>
      </c>
      <c r="C1350" s="0" t="s">
        <v>2303</v>
      </c>
      <c r="D1350" s="0" t="s">
        <v>66</v>
      </c>
      <c r="E1350" s="2" t="n">
        <v>45839</v>
      </c>
      <c r="F1350" s="3" t="s">
        <v>20</v>
      </c>
      <c r="G1350" s="3" t="s">
        <v>35</v>
      </c>
      <c r="H1350" s="3" t="s">
        <v>29</v>
      </c>
      <c r="I1350" s="3" t="n">
        <f aca="false">YEAR(E1350)</f>
        <v>2025</v>
      </c>
      <c r="J1350" s="3" t="n">
        <f aca="false">MONTH(E1350)</f>
        <v>7</v>
      </c>
      <c r="K1350" s="3" t="n">
        <f aca="false">COUNTIFS($B$2:$B$4077,B1350,$C$2:$C$4077,C1350,$I$2:$I$4077,I1350)</f>
        <v>1</v>
      </c>
      <c r="L1350" s="3" t="n">
        <f aca="false">IF(COUNTIFS($B$2:B1350,B1350,$C$2:C1350,C1350,$I$2:I1350,I1350)=1,1,0)</f>
        <v>1</v>
      </c>
      <c r="M1350" s="3" t="n">
        <f aca="false">IF(K1350&gt;=Parametri!$B$1,1,0)</f>
        <v>0</v>
      </c>
      <c r="N1350" s="3" t="n">
        <f aca="false">L1350*M1350</f>
        <v>0</v>
      </c>
    </row>
    <row r="1351" customFormat="false" ht="15" hidden="false" customHeight="false" outlineLevel="0" collapsed="false">
      <c r="A1351" s="0" t="s">
        <v>2304</v>
      </c>
      <c r="B1351" s="0" t="s">
        <v>124</v>
      </c>
      <c r="C1351" s="0" t="s">
        <v>1150</v>
      </c>
      <c r="D1351" s="0" t="s">
        <v>77</v>
      </c>
      <c r="E1351" s="2" t="n">
        <v>45437</v>
      </c>
      <c r="F1351" s="3" t="s">
        <v>20</v>
      </c>
      <c r="G1351" s="3" t="s">
        <v>55</v>
      </c>
      <c r="H1351" s="3" t="s">
        <v>29</v>
      </c>
      <c r="I1351" s="3" t="n">
        <f aca="false">YEAR(E1351)</f>
        <v>2024</v>
      </c>
      <c r="J1351" s="3" t="n">
        <f aca="false">MONTH(E1351)</f>
        <v>5</v>
      </c>
      <c r="K1351" s="3" t="n">
        <f aca="false">COUNTIFS($B$2:$B$4077,B1351,$C$2:$C$4077,C1351,$I$2:$I$4077,I1351)</f>
        <v>2</v>
      </c>
      <c r="L1351" s="3" t="n">
        <f aca="false">IF(COUNTIFS($B$2:B1351,B1351,$C$2:C1351,C1351,$I$2:I1351,I1351)=1,1,0)</f>
        <v>1</v>
      </c>
      <c r="M1351" s="3" t="n">
        <f aca="false">IF(K1351&gt;=Parametri!$B$1,1,0)</f>
        <v>1</v>
      </c>
      <c r="N1351" s="3" t="n">
        <f aca="false">L1351*M1351</f>
        <v>1</v>
      </c>
    </row>
    <row r="1352" customFormat="false" ht="15" hidden="false" customHeight="false" outlineLevel="0" collapsed="false">
      <c r="A1352" s="0" t="s">
        <v>2305</v>
      </c>
      <c r="B1352" s="0" t="s">
        <v>57</v>
      </c>
      <c r="C1352" s="0" t="s">
        <v>1797</v>
      </c>
      <c r="D1352" s="0" t="s">
        <v>54</v>
      </c>
      <c r="E1352" s="2" t="n">
        <v>46152</v>
      </c>
      <c r="F1352" s="3" t="s">
        <v>27</v>
      </c>
      <c r="G1352" s="3" t="s">
        <v>28</v>
      </c>
      <c r="H1352" s="3" t="s">
        <v>22</v>
      </c>
      <c r="I1352" s="3" t="n">
        <f aca="false">YEAR(E1352)</f>
        <v>2026</v>
      </c>
      <c r="J1352" s="3" t="n">
        <f aca="false">MONTH(E1352)</f>
        <v>5</v>
      </c>
      <c r="K1352" s="3" t="n">
        <f aca="false">COUNTIFS($B$2:$B$4077,B1352,$C$2:$C$4077,C1352,$I$2:$I$4077,I1352)</f>
        <v>1</v>
      </c>
      <c r="L1352" s="3" t="n">
        <f aca="false">IF(COUNTIFS($B$2:B1352,B1352,$C$2:C1352,C1352,$I$2:I1352,I1352)=1,1,0)</f>
        <v>1</v>
      </c>
      <c r="M1352" s="3" t="n">
        <f aca="false">IF(K1352&gt;=Parametri!$B$1,1,0)</f>
        <v>0</v>
      </c>
      <c r="N1352" s="3" t="n">
        <f aca="false">L1352*M1352</f>
        <v>0</v>
      </c>
    </row>
    <row r="1353" customFormat="false" ht="15" hidden="false" customHeight="false" outlineLevel="0" collapsed="false">
      <c r="A1353" s="0" t="s">
        <v>2306</v>
      </c>
      <c r="B1353" s="0" t="s">
        <v>46</v>
      </c>
      <c r="C1353" s="0" t="s">
        <v>2053</v>
      </c>
      <c r="D1353" s="0" t="s">
        <v>26</v>
      </c>
      <c r="E1353" s="2" t="n">
        <v>45379</v>
      </c>
      <c r="F1353" s="3" t="s">
        <v>20</v>
      </c>
      <c r="G1353" s="3" t="s">
        <v>28</v>
      </c>
      <c r="H1353" s="3" t="s">
        <v>44</v>
      </c>
      <c r="I1353" s="3" t="n">
        <f aca="false">YEAR(E1353)</f>
        <v>2024</v>
      </c>
      <c r="J1353" s="3" t="n">
        <f aca="false">MONTH(E1353)</f>
        <v>3</v>
      </c>
      <c r="K1353" s="3" t="n">
        <f aca="false">COUNTIFS($B$2:$B$4077,B1353,$C$2:$C$4077,C1353,$I$2:$I$4077,I1353)</f>
        <v>2</v>
      </c>
      <c r="L1353" s="3" t="n">
        <f aca="false">IF(COUNTIFS($B$2:B1353,B1353,$C$2:C1353,C1353,$I$2:I1353,I1353)=1,1,0)</f>
        <v>0</v>
      </c>
      <c r="M1353" s="3" t="n">
        <f aca="false">IF(K1353&gt;=Parametri!$B$1,1,0)</f>
        <v>1</v>
      </c>
      <c r="N1353" s="3" t="n">
        <f aca="false">L1353*M1353</f>
        <v>0</v>
      </c>
    </row>
    <row r="1354" customFormat="false" ht="15" hidden="false" customHeight="false" outlineLevel="0" collapsed="false">
      <c r="A1354" s="0" t="s">
        <v>2307</v>
      </c>
      <c r="B1354" s="0" t="s">
        <v>41</v>
      </c>
      <c r="C1354" s="0" t="s">
        <v>2308</v>
      </c>
      <c r="D1354" s="0" t="s">
        <v>66</v>
      </c>
      <c r="E1354" s="2" t="n">
        <v>45883</v>
      </c>
      <c r="F1354" s="3" t="s">
        <v>104</v>
      </c>
      <c r="G1354" s="3" t="s">
        <v>104</v>
      </c>
      <c r="H1354" s="3" t="s">
        <v>104</v>
      </c>
      <c r="I1354" s="3" t="n">
        <f aca="false">YEAR(E1354)</f>
        <v>2025</v>
      </c>
      <c r="J1354" s="3" t="n">
        <f aca="false">MONTH(E1354)</f>
        <v>8</v>
      </c>
      <c r="K1354" s="3" t="n">
        <f aca="false">COUNTIFS($B$2:$B$4077,B1354,$C$2:$C$4077,C1354,$I$2:$I$4077,I1354)</f>
        <v>1</v>
      </c>
      <c r="L1354" s="3" t="n">
        <f aca="false">IF(COUNTIFS($B$2:B1354,B1354,$C$2:C1354,C1354,$I$2:I1354,I1354)=1,1,0)</f>
        <v>1</v>
      </c>
      <c r="M1354" s="3" t="n">
        <f aca="false">IF(K1354&gt;=Parametri!$B$1,1,0)</f>
        <v>0</v>
      </c>
      <c r="N1354" s="3" t="n">
        <f aca="false">L1354*M1354</f>
        <v>0</v>
      </c>
    </row>
    <row r="1355" customFormat="false" ht="15" hidden="false" customHeight="false" outlineLevel="0" collapsed="false">
      <c r="A1355" s="0" t="s">
        <v>2309</v>
      </c>
      <c r="B1355" s="0" t="s">
        <v>31</v>
      </c>
      <c r="C1355" s="0" t="s">
        <v>2310</v>
      </c>
      <c r="D1355" s="0" t="s">
        <v>54</v>
      </c>
      <c r="E1355" s="2" t="n">
        <v>46070</v>
      </c>
      <c r="F1355" s="3" t="s">
        <v>20</v>
      </c>
      <c r="G1355" s="3" t="s">
        <v>35</v>
      </c>
      <c r="H1355" s="3" t="s">
        <v>48</v>
      </c>
      <c r="I1355" s="3" t="n">
        <f aca="false">YEAR(E1355)</f>
        <v>2026</v>
      </c>
      <c r="J1355" s="3" t="n">
        <f aca="false">MONTH(E1355)</f>
        <v>2</v>
      </c>
      <c r="K1355" s="3" t="n">
        <f aca="false">COUNTIFS($B$2:$B$4077,B1355,$C$2:$C$4077,C1355,$I$2:$I$4077,I1355)</f>
        <v>1</v>
      </c>
      <c r="L1355" s="3" t="n">
        <f aca="false">IF(COUNTIFS($B$2:B1355,B1355,$C$2:C1355,C1355,$I$2:I1355,I1355)=1,1,0)</f>
        <v>1</v>
      </c>
      <c r="M1355" s="3" t="n">
        <f aca="false">IF(K1355&gt;=Parametri!$B$1,1,0)</f>
        <v>0</v>
      </c>
      <c r="N1355" s="3" t="n">
        <f aca="false">L1355*M1355</f>
        <v>0</v>
      </c>
    </row>
    <row r="1356" customFormat="false" ht="15" hidden="false" customHeight="false" outlineLevel="0" collapsed="false">
      <c r="A1356" s="0" t="s">
        <v>2311</v>
      </c>
      <c r="B1356" s="0" t="s">
        <v>24</v>
      </c>
      <c r="C1356" s="0" t="s">
        <v>2312</v>
      </c>
      <c r="D1356" s="0" t="s">
        <v>38</v>
      </c>
      <c r="E1356" s="2" t="n">
        <v>45374</v>
      </c>
      <c r="F1356" s="3" t="s">
        <v>20</v>
      </c>
      <c r="G1356" s="3" t="s">
        <v>39</v>
      </c>
      <c r="H1356" s="3" t="s">
        <v>29</v>
      </c>
      <c r="I1356" s="3" t="n">
        <f aca="false">YEAR(E1356)</f>
        <v>2024</v>
      </c>
      <c r="J1356" s="3" t="n">
        <f aca="false">MONTH(E1356)</f>
        <v>3</v>
      </c>
      <c r="K1356" s="3" t="n">
        <f aca="false">COUNTIFS($B$2:$B$4077,B1356,$C$2:$C$4077,C1356,$I$2:$I$4077,I1356)</f>
        <v>1</v>
      </c>
      <c r="L1356" s="3" t="n">
        <f aca="false">IF(COUNTIFS($B$2:B1356,B1356,$C$2:C1356,C1356,$I$2:I1356,I1356)=1,1,0)</f>
        <v>1</v>
      </c>
      <c r="M1356" s="3" t="n">
        <f aca="false">IF(K1356&gt;=Parametri!$B$1,1,0)</f>
        <v>0</v>
      </c>
      <c r="N1356" s="3" t="n">
        <f aca="false">L1356*M1356</f>
        <v>0</v>
      </c>
    </row>
    <row r="1357" customFormat="false" ht="15" hidden="false" customHeight="false" outlineLevel="0" collapsed="false">
      <c r="A1357" s="0" t="s">
        <v>2313</v>
      </c>
      <c r="B1357" s="0" t="s">
        <v>31</v>
      </c>
      <c r="C1357" s="0" t="s">
        <v>2314</v>
      </c>
      <c r="D1357" s="0" t="s">
        <v>77</v>
      </c>
      <c r="E1357" s="2" t="n">
        <v>45386</v>
      </c>
      <c r="F1357" s="3" t="s">
        <v>27</v>
      </c>
      <c r="G1357" s="3" t="s">
        <v>43</v>
      </c>
      <c r="H1357" s="3" t="s">
        <v>48</v>
      </c>
      <c r="I1357" s="3" t="n">
        <f aca="false">YEAR(E1357)</f>
        <v>2024</v>
      </c>
      <c r="J1357" s="3" t="n">
        <f aca="false">MONTH(E1357)</f>
        <v>4</v>
      </c>
      <c r="K1357" s="3" t="n">
        <f aca="false">COUNTIFS($B$2:$B$4077,B1357,$C$2:$C$4077,C1357,$I$2:$I$4077,I1357)</f>
        <v>1</v>
      </c>
      <c r="L1357" s="3" t="n">
        <f aca="false">IF(COUNTIFS($B$2:B1357,B1357,$C$2:C1357,C1357,$I$2:I1357,I1357)=1,1,0)</f>
        <v>1</v>
      </c>
      <c r="M1357" s="3" t="n">
        <f aca="false">IF(K1357&gt;=Parametri!$B$1,1,0)</f>
        <v>0</v>
      </c>
      <c r="N1357" s="3" t="n">
        <f aca="false">L1357*M1357</f>
        <v>0</v>
      </c>
    </row>
    <row r="1358" customFormat="false" ht="15" hidden="false" customHeight="false" outlineLevel="0" collapsed="false">
      <c r="A1358" s="0" t="s">
        <v>2315</v>
      </c>
      <c r="B1358" s="0" t="s">
        <v>57</v>
      </c>
      <c r="C1358" s="0" t="s">
        <v>216</v>
      </c>
      <c r="D1358" s="0" t="s">
        <v>26</v>
      </c>
      <c r="E1358" s="2" t="n">
        <v>46159</v>
      </c>
      <c r="F1358" s="3" t="s">
        <v>34</v>
      </c>
      <c r="G1358" s="3" t="s">
        <v>39</v>
      </c>
      <c r="H1358" s="3" t="s">
        <v>22</v>
      </c>
      <c r="I1358" s="3" t="n">
        <f aca="false">YEAR(E1358)</f>
        <v>2026</v>
      </c>
      <c r="J1358" s="3" t="n">
        <f aca="false">MONTH(E1358)</f>
        <v>5</v>
      </c>
      <c r="K1358" s="3" t="n">
        <f aca="false">COUNTIFS($B$2:$B$4077,B1358,$C$2:$C$4077,C1358,$I$2:$I$4077,I1358)</f>
        <v>7</v>
      </c>
      <c r="L1358" s="3" t="n">
        <f aca="false">IF(COUNTIFS($B$2:B1358,B1358,$C$2:C1358,C1358,$I$2:I1358,I1358)=1,1,0)</f>
        <v>0</v>
      </c>
      <c r="M1358" s="3" t="n">
        <f aca="false">IF(K1358&gt;=Parametri!$B$1,1,0)</f>
        <v>1</v>
      </c>
      <c r="N1358" s="3" t="n">
        <f aca="false">L1358*M1358</f>
        <v>0</v>
      </c>
    </row>
    <row r="1359" customFormat="false" ht="15" hidden="false" customHeight="false" outlineLevel="0" collapsed="false">
      <c r="A1359" s="0" t="s">
        <v>2316</v>
      </c>
      <c r="B1359" s="0" t="s">
        <v>124</v>
      </c>
      <c r="C1359" s="0" t="s">
        <v>2317</v>
      </c>
      <c r="D1359" s="0" t="s">
        <v>26</v>
      </c>
      <c r="E1359" s="2" t="n">
        <v>46003</v>
      </c>
      <c r="F1359" s="3" t="s">
        <v>20</v>
      </c>
      <c r="G1359" s="3" t="s">
        <v>55</v>
      </c>
      <c r="H1359" s="3" t="s">
        <v>48</v>
      </c>
      <c r="I1359" s="3" t="n">
        <f aca="false">YEAR(E1359)</f>
        <v>2025</v>
      </c>
      <c r="J1359" s="3" t="n">
        <f aca="false">MONTH(E1359)</f>
        <v>12</v>
      </c>
      <c r="K1359" s="3" t="n">
        <f aca="false">COUNTIFS($B$2:$B$4077,B1359,$C$2:$C$4077,C1359,$I$2:$I$4077,I1359)</f>
        <v>2</v>
      </c>
      <c r="L1359" s="3" t="n">
        <f aca="false">IF(COUNTIFS($B$2:B1359,B1359,$C$2:C1359,C1359,$I$2:I1359,I1359)=1,1,0)</f>
        <v>1</v>
      </c>
      <c r="M1359" s="3" t="n">
        <f aca="false">IF(K1359&gt;=Parametri!$B$1,1,0)</f>
        <v>1</v>
      </c>
      <c r="N1359" s="3" t="n">
        <f aca="false">L1359*M1359</f>
        <v>1</v>
      </c>
    </row>
    <row r="1360" customFormat="false" ht="15" hidden="false" customHeight="false" outlineLevel="0" collapsed="false">
      <c r="A1360" s="0" t="s">
        <v>2318</v>
      </c>
      <c r="B1360" s="0" t="s">
        <v>124</v>
      </c>
      <c r="C1360" s="0" t="s">
        <v>125</v>
      </c>
      <c r="D1360" s="0" t="s">
        <v>19</v>
      </c>
      <c r="E1360" s="2" t="n">
        <v>45321</v>
      </c>
      <c r="F1360" s="3" t="s">
        <v>20</v>
      </c>
      <c r="G1360" s="3" t="s">
        <v>55</v>
      </c>
      <c r="H1360" s="3" t="s">
        <v>22</v>
      </c>
      <c r="I1360" s="3" t="n">
        <f aca="false">YEAR(E1360)</f>
        <v>2024</v>
      </c>
      <c r="J1360" s="3" t="n">
        <f aca="false">MONTH(E1360)</f>
        <v>1</v>
      </c>
      <c r="K1360" s="3" t="n">
        <f aca="false">COUNTIFS($B$2:$B$4077,B1360,$C$2:$C$4077,C1360,$I$2:$I$4077,I1360)</f>
        <v>4</v>
      </c>
      <c r="L1360" s="3" t="n">
        <f aca="false">IF(COUNTIFS($B$2:B1360,B1360,$C$2:C1360,C1360,$I$2:I1360,I1360)=1,1,0)</f>
        <v>0</v>
      </c>
      <c r="M1360" s="3" t="n">
        <f aca="false">IF(K1360&gt;=Parametri!$B$1,1,0)</f>
        <v>1</v>
      </c>
      <c r="N1360" s="3" t="n">
        <f aca="false">L1360*M1360</f>
        <v>0</v>
      </c>
    </row>
    <row r="1361" customFormat="false" ht="15" hidden="false" customHeight="false" outlineLevel="0" collapsed="false">
      <c r="A1361" s="0" t="s">
        <v>2319</v>
      </c>
      <c r="B1361" s="0" t="s">
        <v>46</v>
      </c>
      <c r="C1361" s="0" t="s">
        <v>2320</v>
      </c>
      <c r="D1361" s="0" t="s">
        <v>66</v>
      </c>
      <c r="E1361" s="2" t="n">
        <v>46194</v>
      </c>
      <c r="F1361" s="3" t="s">
        <v>27</v>
      </c>
      <c r="G1361" s="3" t="s">
        <v>28</v>
      </c>
      <c r="H1361" s="3" t="s">
        <v>44</v>
      </c>
      <c r="I1361" s="3" t="n">
        <f aca="false">YEAR(E1361)</f>
        <v>2026</v>
      </c>
      <c r="J1361" s="3" t="n">
        <f aca="false">MONTH(E1361)</f>
        <v>6</v>
      </c>
      <c r="K1361" s="3" t="n">
        <f aca="false">COUNTIFS($B$2:$B$4077,B1361,$C$2:$C$4077,C1361,$I$2:$I$4077,I1361)</f>
        <v>1</v>
      </c>
      <c r="L1361" s="3" t="n">
        <f aca="false">IF(COUNTIFS($B$2:B1361,B1361,$C$2:C1361,C1361,$I$2:I1361,I1361)=1,1,0)</f>
        <v>1</v>
      </c>
      <c r="M1361" s="3" t="n">
        <f aca="false">IF(K1361&gt;=Parametri!$B$1,1,0)</f>
        <v>0</v>
      </c>
      <c r="N1361" s="3" t="n">
        <f aca="false">L1361*M1361</f>
        <v>0</v>
      </c>
    </row>
    <row r="1362" customFormat="false" ht="15" hidden="false" customHeight="false" outlineLevel="0" collapsed="false">
      <c r="A1362" s="0" t="s">
        <v>2321</v>
      </c>
      <c r="B1362" s="0" t="s">
        <v>41</v>
      </c>
      <c r="C1362" s="0" t="s">
        <v>2322</v>
      </c>
      <c r="D1362" s="0" t="s">
        <v>63</v>
      </c>
      <c r="E1362" s="2" t="n">
        <v>45996</v>
      </c>
      <c r="F1362" s="3" t="s">
        <v>27</v>
      </c>
      <c r="G1362" s="3" t="s">
        <v>55</v>
      </c>
      <c r="H1362" s="3" t="s">
        <v>22</v>
      </c>
      <c r="I1362" s="3" t="n">
        <f aca="false">YEAR(E1362)</f>
        <v>2025</v>
      </c>
      <c r="J1362" s="3" t="n">
        <f aca="false">MONTH(E1362)</f>
        <v>12</v>
      </c>
      <c r="K1362" s="3" t="n">
        <f aca="false">COUNTIFS($B$2:$B$4077,B1362,$C$2:$C$4077,C1362,$I$2:$I$4077,I1362)</f>
        <v>1</v>
      </c>
      <c r="L1362" s="3" t="n">
        <f aca="false">IF(COUNTIFS($B$2:B1362,B1362,$C$2:C1362,C1362,$I$2:I1362,I1362)=1,1,0)</f>
        <v>1</v>
      </c>
      <c r="M1362" s="3" t="n">
        <f aca="false">IF(K1362&gt;=Parametri!$B$1,1,0)</f>
        <v>0</v>
      </c>
      <c r="N1362" s="3" t="n">
        <f aca="false">L1362*M1362</f>
        <v>0</v>
      </c>
    </row>
    <row r="1363" customFormat="false" ht="15" hidden="false" customHeight="false" outlineLevel="0" collapsed="false">
      <c r="A1363" s="0" t="s">
        <v>2323</v>
      </c>
      <c r="B1363" s="0" t="s">
        <v>124</v>
      </c>
      <c r="C1363" s="0" t="s">
        <v>657</v>
      </c>
      <c r="D1363" s="0" t="s">
        <v>19</v>
      </c>
      <c r="E1363" s="2" t="n">
        <v>45614</v>
      </c>
      <c r="F1363" s="3" t="s">
        <v>20</v>
      </c>
      <c r="G1363" s="3" t="s">
        <v>39</v>
      </c>
      <c r="H1363" s="3" t="s">
        <v>48</v>
      </c>
      <c r="I1363" s="3" t="n">
        <f aca="false">YEAR(E1363)</f>
        <v>2024</v>
      </c>
      <c r="J1363" s="3" t="n">
        <f aca="false">MONTH(E1363)</f>
        <v>11</v>
      </c>
      <c r="K1363" s="3" t="n">
        <f aca="false">COUNTIFS($B$2:$B$4077,B1363,$C$2:$C$4077,C1363,$I$2:$I$4077,I1363)</f>
        <v>3</v>
      </c>
      <c r="L1363" s="3" t="n">
        <f aca="false">IF(COUNTIFS($B$2:B1363,B1363,$C$2:C1363,C1363,$I$2:I1363,I1363)=1,1,0)</f>
        <v>0</v>
      </c>
      <c r="M1363" s="3" t="n">
        <f aca="false">IF(K1363&gt;=Parametri!$B$1,1,0)</f>
        <v>1</v>
      </c>
      <c r="N1363" s="3" t="n">
        <f aca="false">L1363*M1363</f>
        <v>0</v>
      </c>
    </row>
    <row r="1364" customFormat="false" ht="15" hidden="false" customHeight="false" outlineLevel="0" collapsed="false">
      <c r="A1364" s="0" t="s">
        <v>2324</v>
      </c>
      <c r="B1364" s="0" t="s">
        <v>24</v>
      </c>
      <c r="C1364" s="0" t="s">
        <v>383</v>
      </c>
      <c r="D1364" s="0" t="s">
        <v>66</v>
      </c>
      <c r="E1364" s="2" t="n">
        <v>45322</v>
      </c>
      <c r="F1364" s="3" t="s">
        <v>20</v>
      </c>
      <c r="G1364" s="3" t="s">
        <v>28</v>
      </c>
      <c r="H1364" s="3" t="s">
        <v>29</v>
      </c>
      <c r="I1364" s="3" t="n">
        <f aca="false">YEAR(E1364)</f>
        <v>2024</v>
      </c>
      <c r="J1364" s="3" t="n">
        <f aca="false">MONTH(E1364)</f>
        <v>1</v>
      </c>
      <c r="K1364" s="3" t="n">
        <f aca="false">COUNTIFS($B$2:$B$4077,B1364,$C$2:$C$4077,C1364,$I$2:$I$4077,I1364)</f>
        <v>1</v>
      </c>
      <c r="L1364" s="3" t="n">
        <f aca="false">IF(COUNTIFS($B$2:B1364,B1364,$C$2:C1364,C1364,$I$2:I1364,I1364)=1,1,0)</f>
        <v>1</v>
      </c>
      <c r="M1364" s="3" t="n">
        <f aca="false">IF(K1364&gt;=Parametri!$B$1,1,0)</f>
        <v>0</v>
      </c>
      <c r="N1364" s="3" t="n">
        <f aca="false">L1364*M1364</f>
        <v>0</v>
      </c>
    </row>
    <row r="1365" customFormat="false" ht="15" hidden="false" customHeight="false" outlineLevel="0" collapsed="false">
      <c r="A1365" s="0" t="s">
        <v>2325</v>
      </c>
      <c r="B1365" s="0" t="s">
        <v>124</v>
      </c>
      <c r="C1365" s="0" t="s">
        <v>1156</v>
      </c>
      <c r="D1365" s="0" t="s">
        <v>54</v>
      </c>
      <c r="E1365" s="2" t="n">
        <v>46182</v>
      </c>
      <c r="F1365" s="3" t="s">
        <v>20</v>
      </c>
      <c r="G1365" s="3" t="s">
        <v>43</v>
      </c>
      <c r="H1365" s="3" t="s">
        <v>22</v>
      </c>
      <c r="I1365" s="3" t="n">
        <f aca="false">YEAR(E1365)</f>
        <v>2026</v>
      </c>
      <c r="J1365" s="3" t="n">
        <f aca="false">MONTH(E1365)</f>
        <v>6</v>
      </c>
      <c r="K1365" s="3" t="n">
        <f aca="false">COUNTIFS($B$2:$B$4077,B1365,$C$2:$C$4077,C1365,$I$2:$I$4077,I1365)</f>
        <v>2</v>
      </c>
      <c r="L1365" s="3" t="n">
        <f aca="false">IF(COUNTIFS($B$2:B1365,B1365,$C$2:C1365,C1365,$I$2:I1365,I1365)=1,1,0)</f>
        <v>1</v>
      </c>
      <c r="M1365" s="3" t="n">
        <f aca="false">IF(K1365&gt;=Parametri!$B$1,1,0)</f>
        <v>1</v>
      </c>
      <c r="N1365" s="3" t="n">
        <f aca="false">L1365*M1365</f>
        <v>1</v>
      </c>
    </row>
    <row r="1366" customFormat="false" ht="15" hidden="false" customHeight="false" outlineLevel="0" collapsed="false">
      <c r="A1366" s="0" t="s">
        <v>2326</v>
      </c>
      <c r="B1366" s="0" t="s">
        <v>24</v>
      </c>
      <c r="C1366" s="0" t="s">
        <v>82</v>
      </c>
      <c r="D1366" s="0" t="s">
        <v>77</v>
      </c>
      <c r="E1366" s="2" t="n">
        <v>45443</v>
      </c>
      <c r="F1366" s="3" t="s">
        <v>34</v>
      </c>
      <c r="G1366" s="3" t="s">
        <v>39</v>
      </c>
      <c r="H1366" s="3" t="s">
        <v>22</v>
      </c>
      <c r="I1366" s="3" t="n">
        <f aca="false">YEAR(E1366)</f>
        <v>2024</v>
      </c>
      <c r="J1366" s="3" t="n">
        <f aca="false">MONTH(E1366)</f>
        <v>5</v>
      </c>
      <c r="K1366" s="3" t="n">
        <f aca="false">COUNTIFS($B$2:$B$4077,B1366,$C$2:$C$4077,C1366,$I$2:$I$4077,I1366)</f>
        <v>6</v>
      </c>
      <c r="L1366" s="3" t="n">
        <f aca="false">IF(COUNTIFS($B$2:B1366,B1366,$C$2:C1366,C1366,$I$2:I1366,I1366)=1,1,0)</f>
        <v>0</v>
      </c>
      <c r="M1366" s="3" t="n">
        <f aca="false">IF(K1366&gt;=Parametri!$B$1,1,0)</f>
        <v>1</v>
      </c>
      <c r="N1366" s="3" t="n">
        <f aca="false">L1366*M1366</f>
        <v>0</v>
      </c>
    </row>
    <row r="1367" customFormat="false" ht="15" hidden="false" customHeight="false" outlineLevel="0" collapsed="false">
      <c r="A1367" s="0" t="s">
        <v>2327</v>
      </c>
      <c r="B1367" s="0" t="s">
        <v>79</v>
      </c>
      <c r="C1367" s="0" t="s">
        <v>1073</v>
      </c>
      <c r="D1367" s="0" t="s">
        <v>38</v>
      </c>
      <c r="E1367" s="2" t="n">
        <v>45364</v>
      </c>
      <c r="F1367" s="3" t="s">
        <v>20</v>
      </c>
      <c r="G1367" s="3" t="s">
        <v>43</v>
      </c>
      <c r="H1367" s="3" t="s">
        <v>22</v>
      </c>
      <c r="I1367" s="3" t="n">
        <f aca="false">YEAR(E1367)</f>
        <v>2024</v>
      </c>
      <c r="J1367" s="3" t="n">
        <f aca="false">MONTH(E1367)</f>
        <v>3</v>
      </c>
      <c r="K1367" s="3" t="n">
        <f aca="false">COUNTIFS($B$2:$B$4077,B1367,$C$2:$C$4077,C1367,$I$2:$I$4077,I1367)</f>
        <v>2</v>
      </c>
      <c r="L1367" s="3" t="n">
        <f aca="false">IF(COUNTIFS($B$2:B1367,B1367,$C$2:C1367,C1367,$I$2:I1367,I1367)=1,1,0)</f>
        <v>1</v>
      </c>
      <c r="M1367" s="3" t="n">
        <f aca="false">IF(K1367&gt;=Parametri!$B$1,1,0)</f>
        <v>1</v>
      </c>
      <c r="N1367" s="3" t="n">
        <f aca="false">L1367*M1367</f>
        <v>1</v>
      </c>
    </row>
    <row r="1368" customFormat="false" ht="15" hidden="false" customHeight="false" outlineLevel="0" collapsed="false">
      <c r="A1368" s="0" t="s">
        <v>2328</v>
      </c>
      <c r="B1368" s="0" t="s">
        <v>124</v>
      </c>
      <c r="C1368" s="0" t="s">
        <v>2329</v>
      </c>
      <c r="D1368" s="0" t="s">
        <v>63</v>
      </c>
      <c r="E1368" s="2" t="n">
        <v>45808</v>
      </c>
      <c r="F1368" s="3" t="s">
        <v>34</v>
      </c>
      <c r="G1368" s="3" t="s">
        <v>28</v>
      </c>
      <c r="H1368" s="3" t="s">
        <v>44</v>
      </c>
      <c r="I1368" s="3" t="n">
        <f aca="false">YEAR(E1368)</f>
        <v>2025</v>
      </c>
      <c r="J1368" s="3" t="n">
        <f aca="false">MONTH(E1368)</f>
        <v>5</v>
      </c>
      <c r="K1368" s="3" t="n">
        <f aca="false">COUNTIFS($B$2:$B$4077,B1368,$C$2:$C$4077,C1368,$I$2:$I$4077,I1368)</f>
        <v>2</v>
      </c>
      <c r="L1368" s="3" t="n">
        <f aca="false">IF(COUNTIFS($B$2:B1368,B1368,$C$2:C1368,C1368,$I$2:I1368,I1368)=1,1,0)</f>
        <v>1</v>
      </c>
      <c r="M1368" s="3" t="n">
        <f aca="false">IF(K1368&gt;=Parametri!$B$1,1,0)</f>
        <v>1</v>
      </c>
      <c r="N1368" s="3" t="n">
        <f aca="false">L1368*M1368</f>
        <v>1</v>
      </c>
    </row>
    <row r="1369" customFormat="false" ht="15" hidden="false" customHeight="false" outlineLevel="0" collapsed="false">
      <c r="A1369" s="0" t="s">
        <v>2330</v>
      </c>
      <c r="B1369" s="0" t="s">
        <v>124</v>
      </c>
      <c r="C1369" s="0" t="s">
        <v>2331</v>
      </c>
      <c r="D1369" s="0" t="s">
        <v>63</v>
      </c>
      <c r="E1369" s="2" t="n">
        <v>45821</v>
      </c>
      <c r="F1369" s="3" t="s">
        <v>20</v>
      </c>
      <c r="G1369" s="3" t="s">
        <v>21</v>
      </c>
      <c r="H1369" s="3" t="s">
        <v>44</v>
      </c>
      <c r="I1369" s="3" t="n">
        <f aca="false">YEAR(E1369)</f>
        <v>2025</v>
      </c>
      <c r="J1369" s="3" t="n">
        <f aca="false">MONTH(E1369)</f>
        <v>6</v>
      </c>
      <c r="K1369" s="3" t="n">
        <f aca="false">COUNTIFS($B$2:$B$4077,B1369,$C$2:$C$4077,C1369,$I$2:$I$4077,I1369)</f>
        <v>1</v>
      </c>
      <c r="L1369" s="3" t="n">
        <f aca="false">IF(COUNTIFS($B$2:B1369,B1369,$C$2:C1369,C1369,$I$2:I1369,I1369)=1,1,0)</f>
        <v>1</v>
      </c>
      <c r="M1369" s="3" t="n">
        <f aca="false">IF(K1369&gt;=Parametri!$B$1,1,0)</f>
        <v>0</v>
      </c>
      <c r="N1369" s="3" t="n">
        <f aca="false">L1369*M1369</f>
        <v>0</v>
      </c>
    </row>
    <row r="1370" customFormat="false" ht="15" hidden="false" customHeight="false" outlineLevel="0" collapsed="false">
      <c r="A1370" s="0" t="s">
        <v>2332</v>
      </c>
      <c r="B1370" s="0" t="s">
        <v>24</v>
      </c>
      <c r="C1370" s="0" t="s">
        <v>768</v>
      </c>
      <c r="D1370" s="0" t="s">
        <v>77</v>
      </c>
      <c r="E1370" s="2" t="n">
        <v>45326</v>
      </c>
      <c r="F1370" s="3" t="s">
        <v>104</v>
      </c>
      <c r="G1370" s="3" t="s">
        <v>104</v>
      </c>
      <c r="H1370" s="3" t="s">
        <v>104</v>
      </c>
      <c r="I1370" s="3" t="n">
        <f aca="false">YEAR(E1370)</f>
        <v>2024</v>
      </c>
      <c r="J1370" s="3" t="n">
        <f aca="false">MONTH(E1370)</f>
        <v>2</v>
      </c>
      <c r="K1370" s="3" t="n">
        <f aca="false">COUNTIFS($B$2:$B$4077,B1370,$C$2:$C$4077,C1370,$I$2:$I$4077,I1370)</f>
        <v>3</v>
      </c>
      <c r="L1370" s="3" t="n">
        <f aca="false">IF(COUNTIFS($B$2:B1370,B1370,$C$2:C1370,C1370,$I$2:I1370,I1370)=1,1,0)</f>
        <v>1</v>
      </c>
      <c r="M1370" s="3" t="n">
        <f aca="false">IF(K1370&gt;=Parametri!$B$1,1,0)</f>
        <v>1</v>
      </c>
      <c r="N1370" s="3" t="n">
        <f aca="false">L1370*M1370</f>
        <v>1</v>
      </c>
    </row>
    <row r="1371" customFormat="false" ht="15" hidden="false" customHeight="false" outlineLevel="0" collapsed="false">
      <c r="A1371" s="0" t="s">
        <v>2333</v>
      </c>
      <c r="B1371" s="0" t="s">
        <v>50</v>
      </c>
      <c r="C1371" s="0" t="s">
        <v>2334</v>
      </c>
      <c r="D1371" s="0" t="s">
        <v>54</v>
      </c>
      <c r="E1371" s="2" t="n">
        <v>45826</v>
      </c>
      <c r="F1371" s="3" t="s">
        <v>27</v>
      </c>
      <c r="G1371" s="3" t="s">
        <v>89</v>
      </c>
      <c r="H1371" s="3" t="s">
        <v>29</v>
      </c>
      <c r="I1371" s="3" t="n">
        <f aca="false">YEAR(E1371)</f>
        <v>2025</v>
      </c>
      <c r="J1371" s="3" t="n">
        <f aca="false">MONTH(E1371)</f>
        <v>6</v>
      </c>
      <c r="K1371" s="3" t="n">
        <f aca="false">COUNTIFS($B$2:$B$4077,B1371,$C$2:$C$4077,C1371,$I$2:$I$4077,I1371)</f>
        <v>1</v>
      </c>
      <c r="L1371" s="3" t="n">
        <f aca="false">IF(COUNTIFS($B$2:B1371,B1371,$C$2:C1371,C1371,$I$2:I1371,I1371)=1,1,0)</f>
        <v>1</v>
      </c>
      <c r="M1371" s="3" t="n">
        <f aca="false">IF(K1371&gt;=Parametri!$B$1,1,0)</f>
        <v>0</v>
      </c>
      <c r="N1371" s="3" t="n">
        <f aca="false">L1371*M1371</f>
        <v>0</v>
      </c>
    </row>
    <row r="1372" customFormat="false" ht="15" hidden="false" customHeight="false" outlineLevel="0" collapsed="false">
      <c r="A1372" s="0" t="s">
        <v>2335</v>
      </c>
      <c r="B1372" s="0" t="s">
        <v>41</v>
      </c>
      <c r="C1372" s="0" t="s">
        <v>623</v>
      </c>
      <c r="D1372" s="0" t="s">
        <v>66</v>
      </c>
      <c r="E1372" s="2" t="n">
        <v>45960</v>
      </c>
      <c r="F1372" s="3" t="s">
        <v>34</v>
      </c>
      <c r="G1372" s="3" t="s">
        <v>35</v>
      </c>
      <c r="H1372" s="3" t="s">
        <v>44</v>
      </c>
      <c r="I1372" s="3" t="n">
        <f aca="false">YEAR(E1372)</f>
        <v>2025</v>
      </c>
      <c r="J1372" s="3" t="n">
        <f aca="false">MONTH(E1372)</f>
        <v>10</v>
      </c>
      <c r="K1372" s="3" t="n">
        <f aca="false">COUNTIFS($B$2:$B$4077,B1372,$C$2:$C$4077,C1372,$I$2:$I$4077,I1372)</f>
        <v>2</v>
      </c>
      <c r="L1372" s="3" t="n">
        <f aca="false">IF(COUNTIFS($B$2:B1372,B1372,$C$2:C1372,C1372,$I$2:I1372,I1372)=1,1,0)</f>
        <v>1</v>
      </c>
      <c r="M1372" s="3" t="n">
        <f aca="false">IF(K1372&gt;=Parametri!$B$1,1,0)</f>
        <v>1</v>
      </c>
      <c r="N1372" s="3" t="n">
        <f aca="false">L1372*M1372</f>
        <v>1</v>
      </c>
    </row>
    <row r="1373" customFormat="false" ht="15" hidden="false" customHeight="false" outlineLevel="0" collapsed="false">
      <c r="A1373" s="0" t="s">
        <v>2336</v>
      </c>
      <c r="B1373" s="0" t="s">
        <v>24</v>
      </c>
      <c r="C1373" s="0" t="s">
        <v>2337</v>
      </c>
      <c r="D1373" s="0" t="s">
        <v>77</v>
      </c>
      <c r="E1373" s="2" t="n">
        <v>45548</v>
      </c>
      <c r="F1373" s="3" t="s">
        <v>27</v>
      </c>
      <c r="G1373" s="3" t="s">
        <v>28</v>
      </c>
      <c r="H1373" s="3" t="s">
        <v>44</v>
      </c>
      <c r="I1373" s="3" t="n">
        <f aca="false">YEAR(E1373)</f>
        <v>2024</v>
      </c>
      <c r="J1373" s="3" t="n">
        <f aca="false">MONTH(E1373)</f>
        <v>9</v>
      </c>
      <c r="K1373" s="3" t="n">
        <f aca="false">COUNTIFS($B$2:$B$4077,B1373,$C$2:$C$4077,C1373,$I$2:$I$4077,I1373)</f>
        <v>1</v>
      </c>
      <c r="L1373" s="3" t="n">
        <f aca="false">IF(COUNTIFS($B$2:B1373,B1373,$C$2:C1373,C1373,$I$2:I1373,I1373)=1,1,0)</f>
        <v>1</v>
      </c>
      <c r="M1373" s="3" t="n">
        <f aca="false">IF(K1373&gt;=Parametri!$B$1,1,0)</f>
        <v>0</v>
      </c>
      <c r="N1373" s="3" t="n">
        <f aca="false">L1373*M1373</f>
        <v>0</v>
      </c>
    </row>
    <row r="1374" customFormat="false" ht="15" hidden="false" customHeight="false" outlineLevel="0" collapsed="false">
      <c r="A1374" s="0" t="s">
        <v>2338</v>
      </c>
      <c r="B1374" s="0" t="s">
        <v>124</v>
      </c>
      <c r="C1374" s="0" t="s">
        <v>2129</v>
      </c>
      <c r="D1374" s="0" t="s">
        <v>19</v>
      </c>
      <c r="E1374" s="2" t="n">
        <v>46123</v>
      </c>
      <c r="F1374" s="3" t="s">
        <v>20</v>
      </c>
      <c r="G1374" s="3" t="s">
        <v>21</v>
      </c>
      <c r="H1374" s="3" t="s">
        <v>22</v>
      </c>
      <c r="I1374" s="3" t="n">
        <f aca="false">YEAR(E1374)</f>
        <v>2026</v>
      </c>
      <c r="J1374" s="3" t="n">
        <f aca="false">MONTH(E1374)</f>
        <v>4</v>
      </c>
      <c r="K1374" s="3" t="n">
        <f aca="false">COUNTIFS($B$2:$B$4077,B1374,$C$2:$C$4077,C1374,$I$2:$I$4077,I1374)</f>
        <v>2</v>
      </c>
      <c r="L1374" s="3" t="n">
        <f aca="false">IF(COUNTIFS($B$2:B1374,B1374,$C$2:C1374,C1374,$I$2:I1374,I1374)=1,1,0)</f>
        <v>0</v>
      </c>
      <c r="M1374" s="3" t="n">
        <f aca="false">IF(K1374&gt;=Parametri!$B$1,1,0)</f>
        <v>1</v>
      </c>
      <c r="N1374" s="3" t="n">
        <f aca="false">L1374*M1374</f>
        <v>0</v>
      </c>
    </row>
    <row r="1375" customFormat="false" ht="15" hidden="false" customHeight="false" outlineLevel="0" collapsed="false">
      <c r="A1375" s="0" t="s">
        <v>2339</v>
      </c>
      <c r="B1375" s="0" t="s">
        <v>79</v>
      </c>
      <c r="C1375" s="0" t="s">
        <v>250</v>
      </c>
      <c r="D1375" s="0" t="s">
        <v>77</v>
      </c>
      <c r="E1375" s="2" t="n">
        <v>46192</v>
      </c>
      <c r="F1375" s="3" t="s">
        <v>20</v>
      </c>
      <c r="G1375" s="3" t="s">
        <v>35</v>
      </c>
      <c r="H1375" s="3" t="s">
        <v>44</v>
      </c>
      <c r="I1375" s="3" t="n">
        <f aca="false">YEAR(E1375)</f>
        <v>2026</v>
      </c>
      <c r="J1375" s="3" t="n">
        <f aca="false">MONTH(E1375)</f>
        <v>6</v>
      </c>
      <c r="K1375" s="3" t="n">
        <f aca="false">COUNTIFS($B$2:$B$4077,B1375,$C$2:$C$4077,C1375,$I$2:$I$4077,I1375)</f>
        <v>4</v>
      </c>
      <c r="L1375" s="3" t="n">
        <f aca="false">IF(COUNTIFS($B$2:B1375,B1375,$C$2:C1375,C1375,$I$2:I1375,I1375)=1,1,0)</f>
        <v>0</v>
      </c>
      <c r="M1375" s="3" t="n">
        <f aca="false">IF(K1375&gt;=Parametri!$B$1,1,0)</f>
        <v>1</v>
      </c>
      <c r="N1375" s="3" t="n">
        <f aca="false">L1375*M1375</f>
        <v>0</v>
      </c>
    </row>
    <row r="1376" customFormat="false" ht="15" hidden="false" customHeight="false" outlineLevel="0" collapsed="false">
      <c r="A1376" s="0" t="s">
        <v>2340</v>
      </c>
      <c r="B1376" s="0" t="s">
        <v>46</v>
      </c>
      <c r="C1376" s="0" t="s">
        <v>2341</v>
      </c>
      <c r="D1376" s="0" t="s">
        <v>54</v>
      </c>
      <c r="E1376" s="2" t="n">
        <v>45737</v>
      </c>
      <c r="F1376" s="3" t="s">
        <v>20</v>
      </c>
      <c r="G1376" s="3" t="s">
        <v>55</v>
      </c>
      <c r="H1376" s="3" t="s">
        <v>48</v>
      </c>
      <c r="I1376" s="3" t="n">
        <f aca="false">YEAR(E1376)</f>
        <v>2025</v>
      </c>
      <c r="J1376" s="3" t="n">
        <f aca="false">MONTH(E1376)</f>
        <v>3</v>
      </c>
      <c r="K1376" s="3" t="n">
        <f aca="false">COUNTIFS($B$2:$B$4077,B1376,$C$2:$C$4077,C1376,$I$2:$I$4077,I1376)</f>
        <v>1</v>
      </c>
      <c r="L1376" s="3" t="n">
        <f aca="false">IF(COUNTIFS($B$2:B1376,B1376,$C$2:C1376,C1376,$I$2:I1376,I1376)=1,1,0)</f>
        <v>1</v>
      </c>
      <c r="M1376" s="3" t="n">
        <f aca="false">IF(K1376&gt;=Parametri!$B$1,1,0)</f>
        <v>0</v>
      </c>
      <c r="N1376" s="3" t="n">
        <f aca="false">L1376*M1376</f>
        <v>0</v>
      </c>
    </row>
    <row r="1377" customFormat="false" ht="15" hidden="false" customHeight="false" outlineLevel="0" collapsed="false">
      <c r="A1377" s="0" t="s">
        <v>2342</v>
      </c>
      <c r="B1377" s="0" t="s">
        <v>17</v>
      </c>
      <c r="C1377" s="0" t="s">
        <v>481</v>
      </c>
      <c r="D1377" s="0" t="s">
        <v>19</v>
      </c>
      <c r="E1377" s="2" t="n">
        <v>46166</v>
      </c>
      <c r="F1377" s="3" t="s">
        <v>20</v>
      </c>
      <c r="G1377" s="3" t="s">
        <v>28</v>
      </c>
      <c r="H1377" s="3" t="s">
        <v>29</v>
      </c>
      <c r="I1377" s="3" t="n">
        <f aca="false">YEAR(E1377)</f>
        <v>2026</v>
      </c>
      <c r="J1377" s="3" t="n">
        <f aca="false">MONTH(E1377)</f>
        <v>5</v>
      </c>
      <c r="K1377" s="3" t="n">
        <f aca="false">COUNTIFS($B$2:$B$4077,B1377,$C$2:$C$4077,C1377,$I$2:$I$4077,I1377)</f>
        <v>5</v>
      </c>
      <c r="L1377" s="3" t="n">
        <f aca="false">IF(COUNTIFS($B$2:B1377,B1377,$C$2:C1377,C1377,$I$2:I1377,I1377)=1,1,0)</f>
        <v>0</v>
      </c>
      <c r="M1377" s="3" t="n">
        <f aca="false">IF(K1377&gt;=Parametri!$B$1,1,0)</f>
        <v>1</v>
      </c>
      <c r="N1377" s="3" t="n">
        <f aca="false">L1377*M1377</f>
        <v>0</v>
      </c>
    </row>
    <row r="1378" customFormat="false" ht="15" hidden="false" customHeight="false" outlineLevel="0" collapsed="false">
      <c r="A1378" s="0" t="s">
        <v>2343</v>
      </c>
      <c r="B1378" s="0" t="s">
        <v>124</v>
      </c>
      <c r="C1378" s="0" t="s">
        <v>2344</v>
      </c>
      <c r="D1378" s="0" t="s">
        <v>19</v>
      </c>
      <c r="E1378" s="2" t="n">
        <v>45466</v>
      </c>
      <c r="F1378" s="3" t="s">
        <v>27</v>
      </c>
      <c r="G1378" s="3" t="s">
        <v>21</v>
      </c>
      <c r="H1378" s="3" t="s">
        <v>48</v>
      </c>
      <c r="I1378" s="3" t="n">
        <f aca="false">YEAR(E1378)</f>
        <v>2024</v>
      </c>
      <c r="J1378" s="3" t="n">
        <f aca="false">MONTH(E1378)</f>
        <v>6</v>
      </c>
      <c r="K1378" s="3" t="n">
        <f aca="false">COUNTIFS($B$2:$B$4077,B1378,$C$2:$C$4077,C1378,$I$2:$I$4077,I1378)</f>
        <v>1</v>
      </c>
      <c r="L1378" s="3" t="n">
        <f aca="false">IF(COUNTIFS($B$2:B1378,B1378,$C$2:C1378,C1378,$I$2:I1378,I1378)=1,1,0)</f>
        <v>1</v>
      </c>
      <c r="M1378" s="3" t="n">
        <f aca="false">IF(K1378&gt;=Parametri!$B$1,1,0)</f>
        <v>0</v>
      </c>
      <c r="N1378" s="3" t="n">
        <f aca="false">L1378*M1378</f>
        <v>0</v>
      </c>
    </row>
    <row r="1379" customFormat="false" ht="15" hidden="false" customHeight="false" outlineLevel="0" collapsed="false">
      <c r="A1379" s="0" t="s">
        <v>2345</v>
      </c>
      <c r="B1379" s="0" t="s">
        <v>79</v>
      </c>
      <c r="C1379" s="0" t="s">
        <v>909</v>
      </c>
      <c r="D1379" s="0" t="s">
        <v>54</v>
      </c>
      <c r="E1379" s="2" t="n">
        <v>46163</v>
      </c>
      <c r="F1379" s="3" t="s">
        <v>20</v>
      </c>
      <c r="G1379" s="3" t="s">
        <v>28</v>
      </c>
      <c r="H1379" s="3" t="s">
        <v>22</v>
      </c>
      <c r="I1379" s="3" t="n">
        <f aca="false">YEAR(E1379)</f>
        <v>2026</v>
      </c>
      <c r="J1379" s="3" t="n">
        <f aca="false">MONTH(E1379)</f>
        <v>5</v>
      </c>
      <c r="K1379" s="3" t="n">
        <f aca="false">COUNTIFS($B$2:$B$4077,B1379,$C$2:$C$4077,C1379,$I$2:$I$4077,I1379)</f>
        <v>6</v>
      </c>
      <c r="L1379" s="3" t="n">
        <f aca="false">IF(COUNTIFS($B$2:B1379,B1379,$C$2:C1379,C1379,$I$2:I1379,I1379)=1,1,0)</f>
        <v>1</v>
      </c>
      <c r="M1379" s="3" t="n">
        <f aca="false">IF(K1379&gt;=Parametri!$B$1,1,0)</f>
        <v>1</v>
      </c>
      <c r="N1379" s="3" t="n">
        <f aca="false">L1379*M1379</f>
        <v>1</v>
      </c>
    </row>
    <row r="1380" customFormat="false" ht="15" hidden="false" customHeight="false" outlineLevel="0" collapsed="false">
      <c r="A1380" s="0" t="s">
        <v>2346</v>
      </c>
      <c r="B1380" s="0" t="s">
        <v>41</v>
      </c>
      <c r="C1380" s="0" t="s">
        <v>2347</v>
      </c>
      <c r="D1380" s="0" t="s">
        <v>54</v>
      </c>
      <c r="E1380" s="2" t="n">
        <v>45520</v>
      </c>
      <c r="F1380" s="3" t="s">
        <v>20</v>
      </c>
      <c r="G1380" s="3" t="s">
        <v>43</v>
      </c>
      <c r="H1380" s="3" t="s">
        <v>29</v>
      </c>
      <c r="I1380" s="3" t="n">
        <f aca="false">YEAR(E1380)</f>
        <v>2024</v>
      </c>
      <c r="J1380" s="3" t="n">
        <f aca="false">MONTH(E1380)</f>
        <v>8</v>
      </c>
      <c r="K1380" s="3" t="n">
        <f aca="false">COUNTIFS($B$2:$B$4077,B1380,$C$2:$C$4077,C1380,$I$2:$I$4077,I1380)</f>
        <v>2</v>
      </c>
      <c r="L1380" s="3" t="n">
        <f aca="false">IF(COUNTIFS($B$2:B1380,B1380,$C$2:C1380,C1380,$I$2:I1380,I1380)=1,1,0)</f>
        <v>1</v>
      </c>
      <c r="M1380" s="3" t="n">
        <f aca="false">IF(K1380&gt;=Parametri!$B$1,1,0)</f>
        <v>1</v>
      </c>
      <c r="N1380" s="3" t="n">
        <f aca="false">L1380*M1380</f>
        <v>1</v>
      </c>
    </row>
    <row r="1381" customFormat="false" ht="15" hidden="false" customHeight="false" outlineLevel="0" collapsed="false">
      <c r="A1381" s="0" t="s">
        <v>2348</v>
      </c>
      <c r="B1381" s="0" t="s">
        <v>124</v>
      </c>
      <c r="C1381" s="0" t="s">
        <v>2129</v>
      </c>
      <c r="D1381" s="0" t="s">
        <v>19</v>
      </c>
      <c r="E1381" s="2" t="n">
        <v>45749</v>
      </c>
      <c r="F1381" s="3" t="s">
        <v>34</v>
      </c>
      <c r="G1381" s="3" t="s">
        <v>55</v>
      </c>
      <c r="H1381" s="3" t="s">
        <v>48</v>
      </c>
      <c r="I1381" s="3" t="n">
        <f aca="false">YEAR(E1381)</f>
        <v>2025</v>
      </c>
      <c r="J1381" s="3" t="n">
        <f aca="false">MONTH(E1381)</f>
        <v>4</v>
      </c>
      <c r="K1381" s="3" t="n">
        <f aca="false">COUNTIFS($B$2:$B$4077,B1381,$C$2:$C$4077,C1381,$I$2:$I$4077,I1381)</f>
        <v>2</v>
      </c>
      <c r="L1381" s="3" t="n">
        <f aca="false">IF(COUNTIFS($B$2:B1381,B1381,$C$2:C1381,C1381,$I$2:I1381,I1381)=1,1,0)</f>
        <v>1</v>
      </c>
      <c r="M1381" s="3" t="n">
        <f aca="false">IF(K1381&gt;=Parametri!$B$1,1,0)</f>
        <v>1</v>
      </c>
      <c r="N1381" s="3" t="n">
        <f aca="false">L1381*M1381</f>
        <v>1</v>
      </c>
    </row>
    <row r="1382" customFormat="false" ht="15" hidden="false" customHeight="false" outlineLevel="0" collapsed="false">
      <c r="A1382" s="0" t="s">
        <v>2349</v>
      </c>
      <c r="B1382" s="0" t="s">
        <v>50</v>
      </c>
      <c r="C1382" s="0" t="s">
        <v>1436</v>
      </c>
      <c r="D1382" s="0" t="s">
        <v>54</v>
      </c>
      <c r="E1382" s="2" t="n">
        <v>45913</v>
      </c>
      <c r="F1382" s="3" t="s">
        <v>20</v>
      </c>
      <c r="G1382" s="3" t="s">
        <v>39</v>
      </c>
      <c r="H1382" s="3" t="s">
        <v>22</v>
      </c>
      <c r="I1382" s="3" t="n">
        <f aca="false">YEAR(E1382)</f>
        <v>2025</v>
      </c>
      <c r="J1382" s="3" t="n">
        <f aca="false">MONTH(E1382)</f>
        <v>9</v>
      </c>
      <c r="K1382" s="3" t="n">
        <f aca="false">COUNTIFS($B$2:$B$4077,B1382,$C$2:$C$4077,C1382,$I$2:$I$4077,I1382)</f>
        <v>4</v>
      </c>
      <c r="L1382" s="3" t="n">
        <f aca="false">IF(COUNTIFS($B$2:B1382,B1382,$C$2:C1382,C1382,$I$2:I1382,I1382)=1,1,0)</f>
        <v>0</v>
      </c>
      <c r="M1382" s="3" t="n">
        <f aca="false">IF(K1382&gt;=Parametri!$B$1,1,0)</f>
        <v>1</v>
      </c>
      <c r="N1382" s="3" t="n">
        <f aca="false">L1382*M1382</f>
        <v>0</v>
      </c>
    </row>
    <row r="1383" customFormat="false" ht="15" hidden="false" customHeight="false" outlineLevel="0" collapsed="false">
      <c r="A1383" s="0" t="s">
        <v>2350</v>
      </c>
      <c r="B1383" s="0" t="s">
        <v>57</v>
      </c>
      <c r="C1383" s="0" t="s">
        <v>2136</v>
      </c>
      <c r="D1383" s="0" t="s">
        <v>19</v>
      </c>
      <c r="E1383" s="2" t="n">
        <v>46077</v>
      </c>
      <c r="F1383" s="3" t="s">
        <v>34</v>
      </c>
      <c r="G1383" s="3" t="s">
        <v>39</v>
      </c>
      <c r="H1383" s="3" t="s">
        <v>48</v>
      </c>
      <c r="I1383" s="3" t="n">
        <f aca="false">YEAR(E1383)</f>
        <v>2026</v>
      </c>
      <c r="J1383" s="3" t="n">
        <f aca="false">MONTH(E1383)</f>
        <v>2</v>
      </c>
      <c r="K1383" s="3" t="n">
        <f aca="false">COUNTIFS($B$2:$B$4077,B1383,$C$2:$C$4077,C1383,$I$2:$I$4077,I1383)</f>
        <v>2</v>
      </c>
      <c r="L1383" s="3" t="n">
        <f aca="false">IF(COUNTIFS($B$2:B1383,B1383,$C$2:C1383,C1383,$I$2:I1383,I1383)=1,1,0)</f>
        <v>1</v>
      </c>
      <c r="M1383" s="3" t="n">
        <f aca="false">IF(K1383&gt;=Parametri!$B$1,1,0)</f>
        <v>1</v>
      </c>
      <c r="N1383" s="3" t="n">
        <f aca="false">L1383*M1383</f>
        <v>1</v>
      </c>
    </row>
    <row r="1384" customFormat="false" ht="15" hidden="false" customHeight="false" outlineLevel="0" collapsed="false">
      <c r="A1384" s="0" t="s">
        <v>2351</v>
      </c>
      <c r="B1384" s="0" t="s">
        <v>124</v>
      </c>
      <c r="C1384" s="0" t="s">
        <v>2352</v>
      </c>
      <c r="D1384" s="0" t="s">
        <v>33</v>
      </c>
      <c r="E1384" s="2" t="n">
        <v>45633</v>
      </c>
      <c r="F1384" s="3" t="s">
        <v>20</v>
      </c>
      <c r="G1384" s="3" t="s">
        <v>89</v>
      </c>
      <c r="H1384" s="3" t="s">
        <v>44</v>
      </c>
      <c r="I1384" s="3" t="n">
        <f aca="false">YEAR(E1384)</f>
        <v>2024</v>
      </c>
      <c r="J1384" s="3" t="n">
        <f aca="false">MONTH(E1384)</f>
        <v>12</v>
      </c>
      <c r="K1384" s="3" t="n">
        <f aca="false">COUNTIFS($B$2:$B$4077,B1384,$C$2:$C$4077,C1384,$I$2:$I$4077,I1384)</f>
        <v>1</v>
      </c>
      <c r="L1384" s="3" t="n">
        <f aca="false">IF(COUNTIFS($B$2:B1384,B1384,$C$2:C1384,C1384,$I$2:I1384,I1384)=1,1,0)</f>
        <v>1</v>
      </c>
      <c r="M1384" s="3" t="n">
        <f aca="false">IF(K1384&gt;=Parametri!$B$1,1,0)</f>
        <v>0</v>
      </c>
      <c r="N1384" s="3" t="n">
        <f aca="false">L1384*M1384</f>
        <v>0</v>
      </c>
    </row>
    <row r="1385" customFormat="false" ht="15" hidden="false" customHeight="false" outlineLevel="0" collapsed="false">
      <c r="A1385" s="0" t="s">
        <v>2353</v>
      </c>
      <c r="B1385" s="0" t="s">
        <v>31</v>
      </c>
      <c r="C1385" s="0" t="s">
        <v>2354</v>
      </c>
      <c r="D1385" s="0" t="s">
        <v>19</v>
      </c>
      <c r="E1385" s="2" t="n">
        <v>46219</v>
      </c>
      <c r="F1385" s="3" t="s">
        <v>27</v>
      </c>
      <c r="G1385" s="3" t="s">
        <v>28</v>
      </c>
      <c r="H1385" s="3" t="s">
        <v>29</v>
      </c>
      <c r="I1385" s="3" t="n">
        <f aca="false">YEAR(E1385)</f>
        <v>2026</v>
      </c>
      <c r="J1385" s="3" t="n">
        <f aca="false">MONTH(E1385)</f>
        <v>7</v>
      </c>
      <c r="K1385" s="3" t="n">
        <f aca="false">COUNTIFS($B$2:$B$4077,B1385,$C$2:$C$4077,C1385,$I$2:$I$4077,I1385)</f>
        <v>1</v>
      </c>
      <c r="L1385" s="3" t="n">
        <f aca="false">IF(COUNTIFS($B$2:B1385,B1385,$C$2:C1385,C1385,$I$2:I1385,I1385)=1,1,0)</f>
        <v>1</v>
      </c>
      <c r="M1385" s="3" t="n">
        <f aca="false">IF(K1385&gt;=Parametri!$B$1,1,0)</f>
        <v>0</v>
      </c>
      <c r="N1385" s="3" t="n">
        <f aca="false">L1385*M1385</f>
        <v>0</v>
      </c>
    </row>
    <row r="1386" customFormat="false" ht="15" hidden="false" customHeight="false" outlineLevel="0" collapsed="false">
      <c r="A1386" s="0" t="s">
        <v>2355</v>
      </c>
      <c r="B1386" s="0" t="s">
        <v>124</v>
      </c>
      <c r="C1386" s="0" t="s">
        <v>153</v>
      </c>
      <c r="D1386" s="0" t="s">
        <v>77</v>
      </c>
      <c r="E1386" s="2" t="n">
        <v>45472</v>
      </c>
      <c r="F1386" s="3" t="s">
        <v>20</v>
      </c>
      <c r="G1386" s="3" t="s">
        <v>43</v>
      </c>
      <c r="H1386" s="3" t="s">
        <v>29</v>
      </c>
      <c r="I1386" s="3" t="n">
        <f aca="false">YEAR(E1386)</f>
        <v>2024</v>
      </c>
      <c r="J1386" s="3" t="n">
        <f aca="false">MONTH(E1386)</f>
        <v>6</v>
      </c>
      <c r="K1386" s="3" t="n">
        <f aca="false">COUNTIFS($B$2:$B$4077,B1386,$C$2:$C$4077,C1386,$I$2:$I$4077,I1386)</f>
        <v>2</v>
      </c>
      <c r="L1386" s="3" t="n">
        <f aca="false">IF(COUNTIFS($B$2:B1386,B1386,$C$2:C1386,C1386,$I$2:I1386,I1386)=1,1,0)</f>
        <v>1</v>
      </c>
      <c r="M1386" s="3" t="n">
        <f aca="false">IF(K1386&gt;=Parametri!$B$1,1,0)</f>
        <v>1</v>
      </c>
      <c r="N1386" s="3" t="n">
        <f aca="false">L1386*M1386</f>
        <v>1</v>
      </c>
    </row>
    <row r="1387" customFormat="false" ht="15" hidden="false" customHeight="false" outlineLevel="0" collapsed="false">
      <c r="A1387" s="0" t="s">
        <v>2356</v>
      </c>
      <c r="B1387" s="0" t="s">
        <v>50</v>
      </c>
      <c r="C1387" s="0" t="s">
        <v>319</v>
      </c>
      <c r="D1387" s="0" t="s">
        <v>63</v>
      </c>
      <c r="E1387" s="2" t="n">
        <v>45337</v>
      </c>
      <c r="F1387" s="3" t="s">
        <v>34</v>
      </c>
      <c r="G1387" s="3" t="s">
        <v>55</v>
      </c>
      <c r="H1387" s="3" t="s">
        <v>44</v>
      </c>
      <c r="I1387" s="3" t="n">
        <f aca="false">YEAR(E1387)</f>
        <v>2024</v>
      </c>
      <c r="J1387" s="3" t="n">
        <f aca="false">MONTH(E1387)</f>
        <v>2</v>
      </c>
      <c r="K1387" s="3" t="n">
        <f aca="false">COUNTIFS($B$2:$B$4077,B1387,$C$2:$C$4077,C1387,$I$2:$I$4077,I1387)</f>
        <v>1</v>
      </c>
      <c r="L1387" s="3" t="n">
        <f aca="false">IF(COUNTIFS($B$2:B1387,B1387,$C$2:C1387,C1387,$I$2:I1387,I1387)=1,1,0)</f>
        <v>1</v>
      </c>
      <c r="M1387" s="3" t="n">
        <f aca="false">IF(K1387&gt;=Parametri!$B$1,1,0)</f>
        <v>0</v>
      </c>
      <c r="N1387" s="3" t="n">
        <f aca="false">L1387*M1387</f>
        <v>0</v>
      </c>
    </row>
    <row r="1388" customFormat="false" ht="15" hidden="false" customHeight="false" outlineLevel="0" collapsed="false">
      <c r="A1388" s="0" t="s">
        <v>2357</v>
      </c>
      <c r="B1388" s="0" t="s">
        <v>41</v>
      </c>
      <c r="C1388" s="0" t="s">
        <v>2358</v>
      </c>
      <c r="D1388" s="0" t="s">
        <v>19</v>
      </c>
      <c r="E1388" s="2" t="n">
        <v>45555</v>
      </c>
      <c r="F1388" s="3" t="s">
        <v>20</v>
      </c>
      <c r="G1388" s="3" t="s">
        <v>89</v>
      </c>
      <c r="H1388" s="3" t="s">
        <v>29</v>
      </c>
      <c r="I1388" s="3" t="n">
        <f aca="false">YEAR(E1388)</f>
        <v>2024</v>
      </c>
      <c r="J1388" s="3" t="n">
        <f aca="false">MONTH(E1388)</f>
        <v>9</v>
      </c>
      <c r="K1388" s="3" t="n">
        <f aca="false">COUNTIFS($B$2:$B$4077,B1388,$C$2:$C$4077,C1388,$I$2:$I$4077,I1388)</f>
        <v>1</v>
      </c>
      <c r="L1388" s="3" t="n">
        <f aca="false">IF(COUNTIFS($B$2:B1388,B1388,$C$2:C1388,C1388,$I$2:I1388,I1388)=1,1,0)</f>
        <v>1</v>
      </c>
      <c r="M1388" s="3" t="n">
        <f aca="false">IF(K1388&gt;=Parametri!$B$1,1,0)</f>
        <v>0</v>
      </c>
      <c r="N1388" s="3" t="n">
        <f aca="false">L1388*M1388</f>
        <v>0</v>
      </c>
    </row>
    <row r="1389" customFormat="false" ht="15" hidden="false" customHeight="false" outlineLevel="0" collapsed="false">
      <c r="A1389" s="0" t="s">
        <v>2359</v>
      </c>
      <c r="B1389" s="0" t="s">
        <v>46</v>
      </c>
      <c r="C1389" s="0" t="s">
        <v>2360</v>
      </c>
      <c r="D1389" s="0" t="s">
        <v>63</v>
      </c>
      <c r="E1389" s="2" t="n">
        <v>45442</v>
      </c>
      <c r="F1389" s="3" t="s">
        <v>20</v>
      </c>
      <c r="G1389" s="3" t="s">
        <v>55</v>
      </c>
      <c r="H1389" s="3" t="s">
        <v>22</v>
      </c>
      <c r="I1389" s="3" t="n">
        <f aca="false">YEAR(E1389)</f>
        <v>2024</v>
      </c>
      <c r="J1389" s="3" t="n">
        <f aca="false">MONTH(E1389)</f>
        <v>5</v>
      </c>
      <c r="K1389" s="3" t="n">
        <f aca="false">COUNTIFS($B$2:$B$4077,B1389,$C$2:$C$4077,C1389,$I$2:$I$4077,I1389)</f>
        <v>1</v>
      </c>
      <c r="L1389" s="3" t="n">
        <f aca="false">IF(COUNTIFS($B$2:B1389,B1389,$C$2:C1389,C1389,$I$2:I1389,I1389)=1,1,0)</f>
        <v>1</v>
      </c>
      <c r="M1389" s="3" t="n">
        <f aca="false">IF(K1389&gt;=Parametri!$B$1,1,0)</f>
        <v>0</v>
      </c>
      <c r="N1389" s="3" t="n">
        <f aca="false">L1389*M1389</f>
        <v>0</v>
      </c>
    </row>
    <row r="1390" customFormat="false" ht="15" hidden="false" customHeight="false" outlineLevel="0" collapsed="false">
      <c r="A1390" s="0" t="s">
        <v>2361</v>
      </c>
      <c r="B1390" s="0" t="s">
        <v>50</v>
      </c>
      <c r="C1390" s="0" t="s">
        <v>2362</v>
      </c>
      <c r="D1390" s="0" t="s">
        <v>66</v>
      </c>
      <c r="E1390" s="2" t="n">
        <v>46082</v>
      </c>
      <c r="F1390" s="3" t="s">
        <v>20</v>
      </c>
      <c r="G1390" s="3" t="s">
        <v>72</v>
      </c>
      <c r="H1390" s="3" t="s">
        <v>22</v>
      </c>
      <c r="I1390" s="3" t="n">
        <f aca="false">YEAR(E1390)</f>
        <v>2026</v>
      </c>
      <c r="J1390" s="3" t="n">
        <f aca="false">MONTH(E1390)</f>
        <v>3</v>
      </c>
      <c r="K1390" s="3" t="n">
        <f aca="false">COUNTIFS($B$2:$B$4077,B1390,$C$2:$C$4077,C1390,$I$2:$I$4077,I1390)</f>
        <v>1</v>
      </c>
      <c r="L1390" s="3" t="n">
        <f aca="false">IF(COUNTIFS($B$2:B1390,B1390,$C$2:C1390,C1390,$I$2:I1390,I1390)=1,1,0)</f>
        <v>1</v>
      </c>
      <c r="M1390" s="3" t="n">
        <f aca="false">IF(K1390&gt;=Parametri!$B$1,1,0)</f>
        <v>0</v>
      </c>
      <c r="N1390" s="3" t="n">
        <f aca="false">L1390*M1390</f>
        <v>0</v>
      </c>
    </row>
    <row r="1391" customFormat="false" ht="15" hidden="false" customHeight="false" outlineLevel="0" collapsed="false">
      <c r="A1391" s="0" t="s">
        <v>2363</v>
      </c>
      <c r="B1391" s="0" t="s">
        <v>24</v>
      </c>
      <c r="C1391" s="0" t="s">
        <v>721</v>
      </c>
      <c r="D1391" s="0" t="s">
        <v>77</v>
      </c>
      <c r="E1391" s="2" t="n">
        <v>45953</v>
      </c>
      <c r="F1391" s="3" t="s">
        <v>34</v>
      </c>
      <c r="G1391" s="3" t="s">
        <v>55</v>
      </c>
      <c r="H1391" s="3" t="s">
        <v>44</v>
      </c>
      <c r="I1391" s="3" t="n">
        <f aca="false">YEAR(E1391)</f>
        <v>2025</v>
      </c>
      <c r="J1391" s="3" t="n">
        <f aca="false">MONTH(E1391)</f>
        <v>10</v>
      </c>
      <c r="K1391" s="3" t="n">
        <f aca="false">COUNTIFS($B$2:$B$4077,B1391,$C$2:$C$4077,C1391,$I$2:$I$4077,I1391)</f>
        <v>2</v>
      </c>
      <c r="L1391" s="3" t="n">
        <f aca="false">IF(COUNTIFS($B$2:B1391,B1391,$C$2:C1391,C1391,$I$2:I1391,I1391)=1,1,0)</f>
        <v>0</v>
      </c>
      <c r="M1391" s="3" t="n">
        <f aca="false">IF(K1391&gt;=Parametri!$B$1,1,0)</f>
        <v>1</v>
      </c>
      <c r="N1391" s="3" t="n">
        <f aca="false">L1391*M1391</f>
        <v>0</v>
      </c>
    </row>
    <row r="1392" customFormat="false" ht="15" hidden="false" customHeight="false" outlineLevel="0" collapsed="false">
      <c r="A1392" s="0" t="s">
        <v>2364</v>
      </c>
      <c r="B1392" s="0" t="s">
        <v>50</v>
      </c>
      <c r="C1392" s="0" t="s">
        <v>1164</v>
      </c>
      <c r="D1392" s="0" t="s">
        <v>77</v>
      </c>
      <c r="E1392" s="2" t="n">
        <v>46206</v>
      </c>
      <c r="F1392" s="3" t="s">
        <v>20</v>
      </c>
      <c r="G1392" s="3" t="s">
        <v>104</v>
      </c>
      <c r="H1392" s="3" t="s">
        <v>48</v>
      </c>
      <c r="I1392" s="3" t="n">
        <f aca="false">YEAR(E1392)</f>
        <v>2026</v>
      </c>
      <c r="J1392" s="3" t="n">
        <f aca="false">MONTH(E1392)</f>
        <v>7</v>
      </c>
      <c r="K1392" s="3" t="n">
        <f aca="false">COUNTIFS($B$2:$B$4077,B1392,$C$2:$C$4077,C1392,$I$2:$I$4077,I1392)</f>
        <v>3</v>
      </c>
      <c r="L1392" s="3" t="n">
        <f aca="false">IF(COUNTIFS($B$2:B1392,B1392,$C$2:C1392,C1392,$I$2:I1392,I1392)=1,1,0)</f>
        <v>1</v>
      </c>
      <c r="M1392" s="3" t="n">
        <f aca="false">IF(K1392&gt;=Parametri!$B$1,1,0)</f>
        <v>1</v>
      </c>
      <c r="N1392" s="3" t="n">
        <f aca="false">L1392*M1392</f>
        <v>1</v>
      </c>
    </row>
    <row r="1393" customFormat="false" ht="15" hidden="false" customHeight="false" outlineLevel="0" collapsed="false">
      <c r="A1393" s="0" t="s">
        <v>2365</v>
      </c>
      <c r="B1393" s="0" t="s">
        <v>68</v>
      </c>
      <c r="C1393" s="0" t="s">
        <v>2366</v>
      </c>
      <c r="D1393" s="0" t="s">
        <v>66</v>
      </c>
      <c r="E1393" s="2" t="n">
        <v>45394</v>
      </c>
      <c r="F1393" s="3" t="s">
        <v>27</v>
      </c>
      <c r="G1393" s="3" t="s">
        <v>89</v>
      </c>
      <c r="H1393" s="3" t="s">
        <v>29</v>
      </c>
      <c r="I1393" s="3" t="n">
        <f aca="false">YEAR(E1393)</f>
        <v>2024</v>
      </c>
      <c r="J1393" s="3" t="n">
        <f aca="false">MONTH(E1393)</f>
        <v>4</v>
      </c>
      <c r="K1393" s="3" t="n">
        <f aca="false">COUNTIFS($B$2:$B$4077,B1393,$C$2:$C$4077,C1393,$I$2:$I$4077,I1393)</f>
        <v>4</v>
      </c>
      <c r="L1393" s="3" t="n">
        <f aca="false">IF(COUNTIFS($B$2:B1393,B1393,$C$2:C1393,C1393,$I$2:I1393,I1393)=1,1,0)</f>
        <v>1</v>
      </c>
      <c r="M1393" s="3" t="n">
        <f aca="false">IF(K1393&gt;=Parametri!$B$1,1,0)</f>
        <v>1</v>
      </c>
      <c r="N1393" s="3" t="n">
        <f aca="false">L1393*M1393</f>
        <v>1</v>
      </c>
    </row>
    <row r="1394" customFormat="false" ht="15" hidden="false" customHeight="false" outlineLevel="0" collapsed="false">
      <c r="A1394" s="0" t="s">
        <v>2367</v>
      </c>
      <c r="B1394" s="0" t="s">
        <v>46</v>
      </c>
      <c r="C1394" s="0" t="s">
        <v>962</v>
      </c>
      <c r="D1394" s="0" t="s">
        <v>63</v>
      </c>
      <c r="E1394" s="2" t="n">
        <v>45436</v>
      </c>
      <c r="F1394" s="3" t="s">
        <v>20</v>
      </c>
      <c r="G1394" s="3" t="s">
        <v>28</v>
      </c>
      <c r="H1394" s="3" t="s">
        <v>48</v>
      </c>
      <c r="I1394" s="3" t="n">
        <f aca="false">YEAR(E1394)</f>
        <v>2024</v>
      </c>
      <c r="J1394" s="3" t="n">
        <f aca="false">MONTH(E1394)</f>
        <v>5</v>
      </c>
      <c r="K1394" s="3" t="n">
        <f aca="false">COUNTIFS($B$2:$B$4077,B1394,$C$2:$C$4077,C1394,$I$2:$I$4077,I1394)</f>
        <v>4</v>
      </c>
      <c r="L1394" s="3" t="n">
        <f aca="false">IF(COUNTIFS($B$2:B1394,B1394,$C$2:C1394,C1394,$I$2:I1394,I1394)=1,1,0)</f>
        <v>0</v>
      </c>
      <c r="M1394" s="3" t="n">
        <f aca="false">IF(K1394&gt;=Parametri!$B$1,1,0)</f>
        <v>1</v>
      </c>
      <c r="N1394" s="3" t="n">
        <f aca="false">L1394*M1394</f>
        <v>0</v>
      </c>
    </row>
    <row r="1395" customFormat="false" ht="15" hidden="false" customHeight="false" outlineLevel="0" collapsed="false">
      <c r="A1395" s="0" t="s">
        <v>2368</v>
      </c>
      <c r="B1395" s="0" t="s">
        <v>17</v>
      </c>
      <c r="C1395" s="0" t="s">
        <v>372</v>
      </c>
      <c r="D1395" s="0" t="s">
        <v>54</v>
      </c>
      <c r="E1395" s="2" t="n">
        <v>45879</v>
      </c>
      <c r="F1395" s="3" t="s">
        <v>20</v>
      </c>
      <c r="G1395" s="3" t="s">
        <v>55</v>
      </c>
      <c r="H1395" s="3" t="s">
        <v>48</v>
      </c>
      <c r="I1395" s="3" t="n">
        <f aca="false">YEAR(E1395)</f>
        <v>2025</v>
      </c>
      <c r="J1395" s="3" t="n">
        <f aca="false">MONTH(E1395)</f>
        <v>8</v>
      </c>
      <c r="K1395" s="3" t="n">
        <f aca="false">COUNTIFS($B$2:$B$4077,B1395,$C$2:$C$4077,C1395,$I$2:$I$4077,I1395)</f>
        <v>1</v>
      </c>
      <c r="L1395" s="3" t="n">
        <f aca="false">IF(COUNTIFS($B$2:B1395,B1395,$C$2:C1395,C1395,$I$2:I1395,I1395)=1,1,0)</f>
        <v>1</v>
      </c>
      <c r="M1395" s="3" t="n">
        <f aca="false">IF(K1395&gt;=Parametri!$B$1,1,0)</f>
        <v>0</v>
      </c>
      <c r="N1395" s="3" t="n">
        <f aca="false">L1395*M1395</f>
        <v>0</v>
      </c>
    </row>
    <row r="1396" customFormat="false" ht="15" hidden="false" customHeight="false" outlineLevel="0" collapsed="false">
      <c r="A1396" s="0" t="s">
        <v>2369</v>
      </c>
      <c r="B1396" s="0" t="s">
        <v>46</v>
      </c>
      <c r="C1396" s="0" t="s">
        <v>2370</v>
      </c>
      <c r="D1396" s="0" t="s">
        <v>26</v>
      </c>
      <c r="E1396" s="2" t="n">
        <v>45722</v>
      </c>
      <c r="F1396" s="3" t="s">
        <v>20</v>
      </c>
      <c r="G1396" s="3" t="s">
        <v>89</v>
      </c>
      <c r="H1396" s="3" t="s">
        <v>29</v>
      </c>
      <c r="I1396" s="3" t="n">
        <f aca="false">YEAR(E1396)</f>
        <v>2025</v>
      </c>
      <c r="J1396" s="3" t="n">
        <f aca="false">MONTH(E1396)</f>
        <v>3</v>
      </c>
      <c r="K1396" s="3" t="n">
        <f aca="false">COUNTIFS($B$2:$B$4077,B1396,$C$2:$C$4077,C1396,$I$2:$I$4077,I1396)</f>
        <v>1</v>
      </c>
      <c r="L1396" s="3" t="n">
        <f aca="false">IF(COUNTIFS($B$2:B1396,B1396,$C$2:C1396,C1396,$I$2:I1396,I1396)=1,1,0)</f>
        <v>1</v>
      </c>
      <c r="M1396" s="3" t="n">
        <f aca="false">IF(K1396&gt;=Parametri!$B$1,1,0)</f>
        <v>0</v>
      </c>
      <c r="N1396" s="3" t="n">
        <f aca="false">L1396*M1396</f>
        <v>0</v>
      </c>
    </row>
    <row r="1397" customFormat="false" ht="15" hidden="false" customHeight="false" outlineLevel="0" collapsed="false">
      <c r="A1397" s="0" t="s">
        <v>2371</v>
      </c>
      <c r="B1397" s="0" t="s">
        <v>31</v>
      </c>
      <c r="C1397" s="0" t="s">
        <v>1604</v>
      </c>
      <c r="D1397" s="0" t="s">
        <v>54</v>
      </c>
      <c r="E1397" s="2" t="n">
        <v>46039</v>
      </c>
      <c r="F1397" s="3" t="s">
        <v>34</v>
      </c>
      <c r="G1397" s="3" t="s">
        <v>21</v>
      </c>
      <c r="H1397" s="3" t="s">
        <v>44</v>
      </c>
      <c r="I1397" s="3" t="n">
        <f aca="false">YEAR(E1397)</f>
        <v>2026</v>
      </c>
      <c r="J1397" s="3" t="n">
        <f aca="false">MONTH(E1397)</f>
        <v>1</v>
      </c>
      <c r="K1397" s="3" t="n">
        <f aca="false">COUNTIFS($B$2:$B$4077,B1397,$C$2:$C$4077,C1397,$I$2:$I$4077,I1397)</f>
        <v>1</v>
      </c>
      <c r="L1397" s="3" t="n">
        <f aca="false">IF(COUNTIFS($B$2:B1397,B1397,$C$2:C1397,C1397,$I$2:I1397,I1397)=1,1,0)</f>
        <v>1</v>
      </c>
      <c r="M1397" s="3" t="n">
        <f aca="false">IF(K1397&gt;=Parametri!$B$1,1,0)</f>
        <v>0</v>
      </c>
      <c r="N1397" s="3" t="n">
        <f aca="false">L1397*M1397</f>
        <v>0</v>
      </c>
    </row>
    <row r="1398" customFormat="false" ht="15" hidden="false" customHeight="false" outlineLevel="0" collapsed="false">
      <c r="A1398" s="0" t="s">
        <v>2372</v>
      </c>
      <c r="B1398" s="0" t="s">
        <v>46</v>
      </c>
      <c r="C1398" s="0" t="s">
        <v>1380</v>
      </c>
      <c r="D1398" s="0" t="s">
        <v>33</v>
      </c>
      <c r="E1398" s="2" t="n">
        <v>45921</v>
      </c>
      <c r="F1398" s="3" t="s">
        <v>20</v>
      </c>
      <c r="G1398" s="3" t="s">
        <v>55</v>
      </c>
      <c r="H1398" s="3" t="s">
        <v>22</v>
      </c>
      <c r="I1398" s="3" t="n">
        <f aca="false">YEAR(E1398)</f>
        <v>2025</v>
      </c>
      <c r="J1398" s="3" t="n">
        <f aca="false">MONTH(E1398)</f>
        <v>9</v>
      </c>
      <c r="K1398" s="3" t="n">
        <f aca="false">COUNTIFS($B$2:$B$4077,B1398,$C$2:$C$4077,C1398,$I$2:$I$4077,I1398)</f>
        <v>1</v>
      </c>
      <c r="L1398" s="3" t="n">
        <f aca="false">IF(COUNTIFS($B$2:B1398,B1398,$C$2:C1398,C1398,$I$2:I1398,I1398)=1,1,0)</f>
        <v>1</v>
      </c>
      <c r="M1398" s="3" t="n">
        <f aca="false">IF(K1398&gt;=Parametri!$B$1,1,0)</f>
        <v>0</v>
      </c>
      <c r="N1398" s="3" t="n">
        <f aca="false">L1398*M1398</f>
        <v>0</v>
      </c>
    </row>
    <row r="1399" customFormat="false" ht="15" hidden="false" customHeight="false" outlineLevel="0" collapsed="false">
      <c r="A1399" s="0" t="s">
        <v>2373</v>
      </c>
      <c r="B1399" s="0" t="s">
        <v>57</v>
      </c>
      <c r="C1399" s="0" t="s">
        <v>2374</v>
      </c>
      <c r="D1399" s="0" t="s">
        <v>54</v>
      </c>
      <c r="E1399" s="2" t="n">
        <v>45894</v>
      </c>
      <c r="F1399" s="3" t="s">
        <v>20</v>
      </c>
      <c r="G1399" s="3" t="s">
        <v>55</v>
      </c>
      <c r="H1399" s="3" t="s">
        <v>22</v>
      </c>
      <c r="I1399" s="3" t="n">
        <f aca="false">YEAR(E1399)</f>
        <v>2025</v>
      </c>
      <c r="J1399" s="3" t="n">
        <f aca="false">MONTH(E1399)</f>
        <v>8</v>
      </c>
      <c r="K1399" s="3" t="n">
        <f aca="false">COUNTIFS($B$2:$B$4077,B1399,$C$2:$C$4077,C1399,$I$2:$I$4077,I1399)</f>
        <v>2</v>
      </c>
      <c r="L1399" s="3" t="n">
        <f aca="false">IF(COUNTIFS($B$2:B1399,B1399,$C$2:C1399,C1399,$I$2:I1399,I1399)=1,1,0)</f>
        <v>1</v>
      </c>
      <c r="M1399" s="3" t="n">
        <f aca="false">IF(K1399&gt;=Parametri!$B$1,1,0)</f>
        <v>1</v>
      </c>
      <c r="N1399" s="3" t="n">
        <f aca="false">L1399*M1399</f>
        <v>1</v>
      </c>
    </row>
    <row r="1400" customFormat="false" ht="15" hidden="false" customHeight="false" outlineLevel="0" collapsed="false">
      <c r="A1400" s="0" t="s">
        <v>2375</v>
      </c>
      <c r="B1400" s="0" t="s">
        <v>41</v>
      </c>
      <c r="C1400" s="0" t="s">
        <v>493</v>
      </c>
      <c r="D1400" s="0" t="s">
        <v>33</v>
      </c>
      <c r="E1400" s="2" t="n">
        <v>45626</v>
      </c>
      <c r="F1400" s="3" t="s">
        <v>27</v>
      </c>
      <c r="G1400" s="3" t="s">
        <v>72</v>
      </c>
      <c r="H1400" s="3" t="s">
        <v>22</v>
      </c>
      <c r="I1400" s="3" t="n">
        <f aca="false">YEAR(E1400)</f>
        <v>2024</v>
      </c>
      <c r="J1400" s="3" t="n">
        <f aca="false">MONTH(E1400)</f>
        <v>11</v>
      </c>
      <c r="K1400" s="3" t="n">
        <f aca="false">COUNTIFS($B$2:$B$4077,B1400,$C$2:$C$4077,C1400,$I$2:$I$4077,I1400)</f>
        <v>2</v>
      </c>
      <c r="L1400" s="3" t="n">
        <f aca="false">IF(COUNTIFS($B$2:B1400,B1400,$C$2:C1400,C1400,$I$2:I1400,I1400)=1,1,0)</f>
        <v>0</v>
      </c>
      <c r="M1400" s="3" t="n">
        <f aca="false">IF(K1400&gt;=Parametri!$B$1,1,0)</f>
        <v>1</v>
      </c>
      <c r="N1400" s="3" t="n">
        <f aca="false">L1400*M1400</f>
        <v>0</v>
      </c>
    </row>
    <row r="1401" customFormat="false" ht="15" hidden="false" customHeight="false" outlineLevel="0" collapsed="false">
      <c r="A1401" s="0" t="s">
        <v>2376</v>
      </c>
      <c r="B1401" s="0" t="s">
        <v>31</v>
      </c>
      <c r="C1401" s="0" t="s">
        <v>2377</v>
      </c>
      <c r="D1401" s="0" t="s">
        <v>63</v>
      </c>
      <c r="E1401" s="2" t="n">
        <v>45523</v>
      </c>
      <c r="F1401" s="3" t="s">
        <v>20</v>
      </c>
      <c r="G1401" s="3" t="s">
        <v>28</v>
      </c>
      <c r="H1401" s="3" t="s">
        <v>22</v>
      </c>
      <c r="I1401" s="3" t="n">
        <f aca="false">YEAR(E1401)</f>
        <v>2024</v>
      </c>
      <c r="J1401" s="3" t="n">
        <f aca="false">MONTH(E1401)</f>
        <v>8</v>
      </c>
      <c r="K1401" s="3" t="n">
        <f aca="false">COUNTIFS($B$2:$B$4077,B1401,$C$2:$C$4077,C1401,$I$2:$I$4077,I1401)</f>
        <v>2</v>
      </c>
      <c r="L1401" s="3" t="n">
        <f aca="false">IF(COUNTIFS($B$2:B1401,B1401,$C$2:C1401,C1401,$I$2:I1401,I1401)=1,1,0)</f>
        <v>1</v>
      </c>
      <c r="M1401" s="3" t="n">
        <f aca="false">IF(K1401&gt;=Parametri!$B$1,1,0)</f>
        <v>1</v>
      </c>
      <c r="N1401" s="3" t="n">
        <f aca="false">L1401*M1401</f>
        <v>1</v>
      </c>
    </row>
    <row r="1402" customFormat="false" ht="15" hidden="false" customHeight="false" outlineLevel="0" collapsed="false">
      <c r="A1402" s="0" t="s">
        <v>2378</v>
      </c>
      <c r="B1402" s="0" t="s">
        <v>31</v>
      </c>
      <c r="C1402" s="0" t="s">
        <v>1062</v>
      </c>
      <c r="D1402" s="0" t="s">
        <v>26</v>
      </c>
      <c r="E1402" s="2" t="n">
        <v>45973</v>
      </c>
      <c r="F1402" s="3" t="s">
        <v>27</v>
      </c>
      <c r="G1402" s="3" t="s">
        <v>43</v>
      </c>
      <c r="H1402" s="3" t="s">
        <v>22</v>
      </c>
      <c r="I1402" s="3" t="n">
        <f aca="false">YEAR(E1402)</f>
        <v>2025</v>
      </c>
      <c r="J1402" s="3" t="n">
        <f aca="false">MONTH(E1402)</f>
        <v>11</v>
      </c>
      <c r="K1402" s="3" t="n">
        <f aca="false">COUNTIFS($B$2:$B$4077,B1402,$C$2:$C$4077,C1402,$I$2:$I$4077,I1402)</f>
        <v>2</v>
      </c>
      <c r="L1402" s="3" t="n">
        <f aca="false">IF(COUNTIFS($B$2:B1402,B1402,$C$2:C1402,C1402,$I$2:I1402,I1402)=1,1,0)</f>
        <v>0</v>
      </c>
      <c r="M1402" s="3" t="n">
        <f aca="false">IF(K1402&gt;=Parametri!$B$1,1,0)</f>
        <v>1</v>
      </c>
      <c r="N1402" s="3" t="n">
        <f aca="false">L1402*M1402</f>
        <v>0</v>
      </c>
    </row>
    <row r="1403" customFormat="false" ht="15" hidden="false" customHeight="false" outlineLevel="0" collapsed="false">
      <c r="A1403" s="0" t="s">
        <v>2379</v>
      </c>
      <c r="B1403" s="0" t="s">
        <v>41</v>
      </c>
      <c r="C1403" s="0" t="s">
        <v>1715</v>
      </c>
      <c r="D1403" s="0" t="s">
        <v>33</v>
      </c>
      <c r="E1403" s="2" t="n">
        <v>45669</v>
      </c>
      <c r="F1403" s="3" t="s">
        <v>27</v>
      </c>
      <c r="G1403" s="3" t="s">
        <v>43</v>
      </c>
      <c r="H1403" s="3" t="s">
        <v>48</v>
      </c>
      <c r="I1403" s="3" t="n">
        <f aca="false">YEAR(E1403)</f>
        <v>2025</v>
      </c>
      <c r="J1403" s="3" t="n">
        <f aca="false">MONTH(E1403)</f>
        <v>1</v>
      </c>
      <c r="K1403" s="3" t="n">
        <f aca="false">COUNTIFS($B$2:$B$4077,B1403,$C$2:$C$4077,C1403,$I$2:$I$4077,I1403)</f>
        <v>2</v>
      </c>
      <c r="L1403" s="3" t="n">
        <f aca="false">IF(COUNTIFS($B$2:B1403,B1403,$C$2:C1403,C1403,$I$2:I1403,I1403)=1,1,0)</f>
        <v>1</v>
      </c>
      <c r="M1403" s="3" t="n">
        <f aca="false">IF(K1403&gt;=Parametri!$B$1,1,0)</f>
        <v>1</v>
      </c>
      <c r="N1403" s="3" t="n">
        <f aca="false">L1403*M1403</f>
        <v>1</v>
      </c>
    </row>
    <row r="1404" customFormat="false" ht="15" hidden="false" customHeight="false" outlineLevel="0" collapsed="false">
      <c r="A1404" s="0" t="s">
        <v>2380</v>
      </c>
      <c r="B1404" s="0" t="s">
        <v>17</v>
      </c>
      <c r="C1404" s="0" t="s">
        <v>844</v>
      </c>
      <c r="D1404" s="0" t="s">
        <v>77</v>
      </c>
      <c r="E1404" s="2" t="n">
        <v>46067</v>
      </c>
      <c r="F1404" s="3" t="s">
        <v>34</v>
      </c>
      <c r="G1404" s="3" t="s">
        <v>39</v>
      </c>
      <c r="H1404" s="3" t="s">
        <v>48</v>
      </c>
      <c r="I1404" s="3" t="n">
        <f aca="false">YEAR(E1404)</f>
        <v>2026</v>
      </c>
      <c r="J1404" s="3" t="n">
        <f aca="false">MONTH(E1404)</f>
        <v>2</v>
      </c>
      <c r="K1404" s="3" t="n">
        <f aca="false">COUNTIFS($B$2:$B$4077,B1404,$C$2:$C$4077,C1404,$I$2:$I$4077,I1404)</f>
        <v>1</v>
      </c>
      <c r="L1404" s="3" t="n">
        <f aca="false">IF(COUNTIFS($B$2:B1404,B1404,$C$2:C1404,C1404,$I$2:I1404,I1404)=1,1,0)</f>
        <v>1</v>
      </c>
      <c r="M1404" s="3" t="n">
        <f aca="false">IF(K1404&gt;=Parametri!$B$1,1,0)</f>
        <v>0</v>
      </c>
      <c r="N1404" s="3" t="n">
        <f aca="false">L1404*M1404</f>
        <v>0</v>
      </c>
    </row>
    <row r="1405" customFormat="false" ht="15" hidden="false" customHeight="false" outlineLevel="0" collapsed="false">
      <c r="A1405" s="0" t="s">
        <v>2381</v>
      </c>
      <c r="B1405" s="0" t="s">
        <v>31</v>
      </c>
      <c r="C1405" s="0" t="s">
        <v>1486</v>
      </c>
      <c r="D1405" s="0" t="s">
        <v>33</v>
      </c>
      <c r="E1405" s="2" t="n">
        <v>45577</v>
      </c>
      <c r="F1405" s="3" t="s">
        <v>27</v>
      </c>
      <c r="G1405" s="3" t="s">
        <v>55</v>
      </c>
      <c r="H1405" s="3" t="s">
        <v>48</v>
      </c>
      <c r="I1405" s="3" t="n">
        <f aca="false">YEAR(E1405)</f>
        <v>2024</v>
      </c>
      <c r="J1405" s="3" t="n">
        <f aca="false">MONTH(E1405)</f>
        <v>10</v>
      </c>
      <c r="K1405" s="3" t="n">
        <f aca="false">COUNTIFS($B$2:$B$4077,B1405,$C$2:$C$4077,C1405,$I$2:$I$4077,I1405)</f>
        <v>3</v>
      </c>
      <c r="L1405" s="3" t="n">
        <f aca="false">IF(COUNTIFS($B$2:B1405,B1405,$C$2:C1405,C1405,$I$2:I1405,I1405)=1,1,0)</f>
        <v>1</v>
      </c>
      <c r="M1405" s="3" t="n">
        <f aca="false">IF(K1405&gt;=Parametri!$B$1,1,0)</f>
        <v>1</v>
      </c>
      <c r="N1405" s="3" t="n">
        <f aca="false">L1405*M1405</f>
        <v>1</v>
      </c>
    </row>
    <row r="1406" customFormat="false" ht="15" hidden="false" customHeight="false" outlineLevel="0" collapsed="false">
      <c r="A1406" s="0" t="s">
        <v>2382</v>
      </c>
      <c r="B1406" s="0" t="s">
        <v>57</v>
      </c>
      <c r="C1406" s="0" t="s">
        <v>2383</v>
      </c>
      <c r="D1406" s="0" t="s">
        <v>19</v>
      </c>
      <c r="E1406" s="2" t="n">
        <v>46001</v>
      </c>
      <c r="F1406" s="3" t="s">
        <v>27</v>
      </c>
      <c r="G1406" s="3" t="s">
        <v>39</v>
      </c>
      <c r="H1406" s="3" t="s">
        <v>29</v>
      </c>
      <c r="I1406" s="3" t="n">
        <f aca="false">YEAR(E1406)</f>
        <v>2025</v>
      </c>
      <c r="J1406" s="3" t="n">
        <f aca="false">MONTH(E1406)</f>
        <v>12</v>
      </c>
      <c r="K1406" s="3" t="n">
        <f aca="false">COUNTIFS($B$2:$B$4077,B1406,$C$2:$C$4077,C1406,$I$2:$I$4077,I1406)</f>
        <v>1</v>
      </c>
      <c r="L1406" s="3" t="n">
        <f aca="false">IF(COUNTIFS($B$2:B1406,B1406,$C$2:C1406,C1406,$I$2:I1406,I1406)=1,1,0)</f>
        <v>1</v>
      </c>
      <c r="M1406" s="3" t="n">
        <f aca="false">IF(K1406&gt;=Parametri!$B$1,1,0)</f>
        <v>0</v>
      </c>
      <c r="N1406" s="3" t="n">
        <f aca="false">L1406*M1406</f>
        <v>0</v>
      </c>
    </row>
    <row r="1407" customFormat="false" ht="15" hidden="false" customHeight="false" outlineLevel="0" collapsed="false">
      <c r="A1407" s="0" t="s">
        <v>2384</v>
      </c>
      <c r="B1407" s="0" t="s">
        <v>124</v>
      </c>
      <c r="C1407" s="0" t="s">
        <v>1279</v>
      </c>
      <c r="D1407" s="0" t="s">
        <v>54</v>
      </c>
      <c r="E1407" s="2" t="n">
        <v>45913</v>
      </c>
      <c r="F1407" s="3" t="s">
        <v>20</v>
      </c>
      <c r="G1407" s="3" t="s">
        <v>89</v>
      </c>
      <c r="H1407" s="3" t="s">
        <v>44</v>
      </c>
      <c r="I1407" s="3" t="n">
        <f aca="false">YEAR(E1407)</f>
        <v>2025</v>
      </c>
      <c r="J1407" s="3" t="n">
        <f aca="false">MONTH(E1407)</f>
        <v>9</v>
      </c>
      <c r="K1407" s="3" t="n">
        <f aca="false">COUNTIFS($B$2:$B$4077,B1407,$C$2:$C$4077,C1407,$I$2:$I$4077,I1407)</f>
        <v>8</v>
      </c>
      <c r="L1407" s="3" t="n">
        <f aca="false">IF(COUNTIFS($B$2:B1407,B1407,$C$2:C1407,C1407,$I$2:I1407,I1407)=1,1,0)</f>
        <v>0</v>
      </c>
      <c r="M1407" s="3" t="n">
        <f aca="false">IF(K1407&gt;=Parametri!$B$1,1,0)</f>
        <v>1</v>
      </c>
      <c r="N1407" s="3" t="n">
        <f aca="false">L1407*M1407</f>
        <v>0</v>
      </c>
    </row>
    <row r="1408" customFormat="false" ht="15" hidden="false" customHeight="false" outlineLevel="0" collapsed="false">
      <c r="A1408" s="0" t="s">
        <v>2385</v>
      </c>
      <c r="B1408" s="0" t="s">
        <v>24</v>
      </c>
      <c r="C1408" s="0" t="s">
        <v>679</v>
      </c>
      <c r="D1408" s="0" t="s">
        <v>19</v>
      </c>
      <c r="E1408" s="2" t="n">
        <v>46033</v>
      </c>
      <c r="F1408" s="3" t="s">
        <v>20</v>
      </c>
      <c r="G1408" s="3" t="s">
        <v>55</v>
      </c>
      <c r="H1408" s="3" t="s">
        <v>48</v>
      </c>
      <c r="I1408" s="3" t="n">
        <f aca="false">YEAR(E1408)</f>
        <v>2026</v>
      </c>
      <c r="J1408" s="3" t="n">
        <f aca="false">MONTH(E1408)</f>
        <v>1</v>
      </c>
      <c r="K1408" s="3" t="n">
        <f aca="false">COUNTIFS($B$2:$B$4077,B1408,$C$2:$C$4077,C1408,$I$2:$I$4077,I1408)</f>
        <v>1</v>
      </c>
      <c r="L1408" s="3" t="n">
        <f aca="false">IF(COUNTIFS($B$2:B1408,B1408,$C$2:C1408,C1408,$I$2:I1408,I1408)=1,1,0)</f>
        <v>1</v>
      </c>
      <c r="M1408" s="3" t="n">
        <f aca="false">IF(K1408&gt;=Parametri!$B$1,1,0)</f>
        <v>0</v>
      </c>
      <c r="N1408" s="3" t="n">
        <f aca="false">L1408*M1408</f>
        <v>0</v>
      </c>
    </row>
    <row r="1409" customFormat="false" ht="15" hidden="false" customHeight="false" outlineLevel="0" collapsed="false">
      <c r="A1409" s="0" t="s">
        <v>2386</v>
      </c>
      <c r="B1409" s="0" t="s">
        <v>41</v>
      </c>
      <c r="C1409" s="0" t="s">
        <v>1569</v>
      </c>
      <c r="D1409" s="0" t="s">
        <v>33</v>
      </c>
      <c r="E1409" s="2" t="n">
        <v>45795</v>
      </c>
      <c r="F1409" s="3" t="s">
        <v>20</v>
      </c>
      <c r="G1409" s="3" t="s">
        <v>35</v>
      </c>
      <c r="H1409" s="3" t="s">
        <v>48</v>
      </c>
      <c r="I1409" s="3" t="n">
        <f aca="false">YEAR(E1409)</f>
        <v>2025</v>
      </c>
      <c r="J1409" s="3" t="n">
        <f aca="false">MONTH(E1409)</f>
        <v>5</v>
      </c>
      <c r="K1409" s="3" t="n">
        <f aca="false">COUNTIFS($B$2:$B$4077,B1409,$C$2:$C$4077,C1409,$I$2:$I$4077,I1409)</f>
        <v>1</v>
      </c>
      <c r="L1409" s="3" t="n">
        <f aca="false">IF(COUNTIFS($B$2:B1409,B1409,$C$2:C1409,C1409,$I$2:I1409,I1409)=1,1,0)</f>
        <v>1</v>
      </c>
      <c r="M1409" s="3" t="n">
        <f aca="false">IF(K1409&gt;=Parametri!$B$1,1,0)</f>
        <v>0</v>
      </c>
      <c r="N1409" s="3" t="n">
        <f aca="false">L1409*M1409</f>
        <v>0</v>
      </c>
    </row>
    <row r="1410" customFormat="false" ht="15" hidden="false" customHeight="false" outlineLevel="0" collapsed="false">
      <c r="A1410" s="0" t="s">
        <v>2387</v>
      </c>
      <c r="B1410" s="0" t="s">
        <v>57</v>
      </c>
      <c r="C1410" s="0" t="s">
        <v>425</v>
      </c>
      <c r="D1410" s="0" t="s">
        <v>77</v>
      </c>
      <c r="E1410" s="2" t="n">
        <v>45391</v>
      </c>
      <c r="F1410" s="3" t="s">
        <v>20</v>
      </c>
      <c r="G1410" s="3" t="s">
        <v>72</v>
      </c>
      <c r="H1410" s="3" t="s">
        <v>48</v>
      </c>
      <c r="I1410" s="3" t="n">
        <f aca="false">YEAR(E1410)</f>
        <v>2024</v>
      </c>
      <c r="J1410" s="3" t="n">
        <f aca="false">MONTH(E1410)</f>
        <v>4</v>
      </c>
      <c r="K1410" s="3" t="n">
        <f aca="false">COUNTIFS($B$2:$B$4077,B1410,$C$2:$C$4077,C1410,$I$2:$I$4077,I1410)</f>
        <v>3</v>
      </c>
      <c r="L1410" s="3" t="n">
        <f aca="false">IF(COUNTIFS($B$2:B1410,B1410,$C$2:C1410,C1410,$I$2:I1410,I1410)=1,1,0)</f>
        <v>0</v>
      </c>
      <c r="M1410" s="3" t="n">
        <f aca="false">IF(K1410&gt;=Parametri!$B$1,1,0)</f>
        <v>1</v>
      </c>
      <c r="N1410" s="3" t="n">
        <f aca="false">L1410*M1410</f>
        <v>0</v>
      </c>
    </row>
    <row r="1411" customFormat="false" ht="15" hidden="false" customHeight="false" outlineLevel="0" collapsed="false">
      <c r="A1411" s="0" t="s">
        <v>2388</v>
      </c>
      <c r="B1411" s="0" t="s">
        <v>79</v>
      </c>
      <c r="C1411" s="0" t="s">
        <v>116</v>
      </c>
      <c r="D1411" s="0" t="s">
        <v>66</v>
      </c>
      <c r="E1411" s="2" t="n">
        <v>45302</v>
      </c>
      <c r="F1411" s="3" t="s">
        <v>20</v>
      </c>
      <c r="G1411" s="3" t="s">
        <v>21</v>
      </c>
      <c r="H1411" s="3" t="s">
        <v>48</v>
      </c>
      <c r="I1411" s="3" t="n">
        <f aca="false">YEAR(E1411)</f>
        <v>2024</v>
      </c>
      <c r="J1411" s="3" t="n">
        <f aca="false">MONTH(E1411)</f>
        <v>1</v>
      </c>
      <c r="K1411" s="3" t="n">
        <f aca="false">COUNTIFS($B$2:$B$4077,B1411,$C$2:$C$4077,C1411,$I$2:$I$4077,I1411)</f>
        <v>6</v>
      </c>
      <c r="L1411" s="3" t="n">
        <f aca="false">IF(COUNTIFS($B$2:B1411,B1411,$C$2:C1411,C1411,$I$2:I1411,I1411)=1,1,0)</f>
        <v>0</v>
      </c>
      <c r="M1411" s="3" t="n">
        <f aca="false">IF(K1411&gt;=Parametri!$B$1,1,0)</f>
        <v>1</v>
      </c>
      <c r="N1411" s="3" t="n">
        <f aca="false">L1411*M1411</f>
        <v>0</v>
      </c>
    </row>
    <row r="1412" customFormat="false" ht="15" hidden="false" customHeight="false" outlineLevel="0" collapsed="false">
      <c r="A1412" s="0" t="s">
        <v>2389</v>
      </c>
      <c r="B1412" s="0" t="s">
        <v>46</v>
      </c>
      <c r="C1412" s="0" t="s">
        <v>2390</v>
      </c>
      <c r="D1412" s="0" t="s">
        <v>66</v>
      </c>
      <c r="E1412" s="2" t="n">
        <v>45547</v>
      </c>
      <c r="F1412" s="3" t="s">
        <v>20</v>
      </c>
      <c r="G1412" s="3" t="s">
        <v>35</v>
      </c>
      <c r="H1412" s="3" t="s">
        <v>48</v>
      </c>
      <c r="I1412" s="3" t="n">
        <f aca="false">YEAR(E1412)</f>
        <v>2024</v>
      </c>
      <c r="J1412" s="3" t="n">
        <f aca="false">MONTH(E1412)</f>
        <v>9</v>
      </c>
      <c r="K1412" s="3" t="n">
        <f aca="false">COUNTIFS($B$2:$B$4077,B1412,$C$2:$C$4077,C1412,$I$2:$I$4077,I1412)</f>
        <v>1</v>
      </c>
      <c r="L1412" s="3" t="n">
        <f aca="false">IF(COUNTIFS($B$2:B1412,B1412,$C$2:C1412,C1412,$I$2:I1412,I1412)=1,1,0)</f>
        <v>1</v>
      </c>
      <c r="M1412" s="3" t="n">
        <f aca="false">IF(K1412&gt;=Parametri!$B$1,1,0)</f>
        <v>0</v>
      </c>
      <c r="N1412" s="3" t="n">
        <f aca="false">L1412*M1412</f>
        <v>0</v>
      </c>
    </row>
    <row r="1413" customFormat="false" ht="15" hidden="false" customHeight="false" outlineLevel="0" collapsed="false">
      <c r="A1413" s="0" t="s">
        <v>2391</v>
      </c>
      <c r="B1413" s="0" t="s">
        <v>17</v>
      </c>
      <c r="C1413" s="0" t="s">
        <v>1940</v>
      </c>
      <c r="D1413" s="0" t="s">
        <v>38</v>
      </c>
      <c r="E1413" s="2" t="n">
        <v>46146</v>
      </c>
      <c r="F1413" s="3" t="s">
        <v>34</v>
      </c>
      <c r="G1413" s="3" t="s">
        <v>28</v>
      </c>
      <c r="H1413" s="3" t="s">
        <v>48</v>
      </c>
      <c r="I1413" s="3" t="n">
        <f aca="false">YEAR(E1413)</f>
        <v>2026</v>
      </c>
      <c r="J1413" s="3" t="n">
        <f aca="false">MONTH(E1413)</f>
        <v>5</v>
      </c>
      <c r="K1413" s="3" t="n">
        <f aca="false">COUNTIFS($B$2:$B$4077,B1413,$C$2:$C$4077,C1413,$I$2:$I$4077,I1413)</f>
        <v>1</v>
      </c>
      <c r="L1413" s="3" t="n">
        <f aca="false">IF(COUNTIFS($B$2:B1413,B1413,$C$2:C1413,C1413,$I$2:I1413,I1413)=1,1,0)</f>
        <v>1</v>
      </c>
      <c r="M1413" s="3" t="n">
        <f aca="false">IF(K1413&gt;=Parametri!$B$1,1,0)</f>
        <v>0</v>
      </c>
      <c r="N1413" s="3" t="n">
        <f aca="false">L1413*M1413</f>
        <v>0</v>
      </c>
    </row>
    <row r="1414" customFormat="false" ht="15" hidden="false" customHeight="false" outlineLevel="0" collapsed="false">
      <c r="A1414" s="0" t="s">
        <v>2392</v>
      </c>
      <c r="B1414" s="0" t="s">
        <v>41</v>
      </c>
      <c r="C1414" s="0" t="s">
        <v>2393</v>
      </c>
      <c r="D1414" s="0" t="s">
        <v>63</v>
      </c>
      <c r="E1414" s="2" t="n">
        <v>45478</v>
      </c>
      <c r="F1414" s="3" t="s">
        <v>20</v>
      </c>
      <c r="G1414" s="3" t="s">
        <v>28</v>
      </c>
      <c r="H1414" s="3" t="s">
        <v>29</v>
      </c>
      <c r="I1414" s="3" t="n">
        <f aca="false">YEAR(E1414)</f>
        <v>2024</v>
      </c>
      <c r="J1414" s="3" t="n">
        <f aca="false">MONTH(E1414)</f>
        <v>7</v>
      </c>
      <c r="K1414" s="3" t="n">
        <f aca="false">COUNTIFS($B$2:$B$4077,B1414,$C$2:$C$4077,C1414,$I$2:$I$4077,I1414)</f>
        <v>1</v>
      </c>
      <c r="L1414" s="3" t="n">
        <f aca="false">IF(COUNTIFS($B$2:B1414,B1414,$C$2:C1414,C1414,$I$2:I1414,I1414)=1,1,0)</f>
        <v>1</v>
      </c>
      <c r="M1414" s="3" t="n">
        <f aca="false">IF(K1414&gt;=Parametri!$B$1,1,0)</f>
        <v>0</v>
      </c>
      <c r="N1414" s="3" t="n">
        <f aca="false">L1414*M1414</f>
        <v>0</v>
      </c>
    </row>
    <row r="1415" customFormat="false" ht="15" hidden="false" customHeight="false" outlineLevel="0" collapsed="false">
      <c r="A1415" s="0" t="s">
        <v>2394</v>
      </c>
      <c r="B1415" s="0" t="s">
        <v>31</v>
      </c>
      <c r="C1415" s="0" t="s">
        <v>1806</v>
      </c>
      <c r="D1415" s="0" t="s">
        <v>19</v>
      </c>
      <c r="E1415" s="2" t="n">
        <v>45569</v>
      </c>
      <c r="F1415" s="3" t="s">
        <v>20</v>
      </c>
      <c r="G1415" s="3" t="s">
        <v>104</v>
      </c>
      <c r="H1415" s="3" t="s">
        <v>104</v>
      </c>
      <c r="I1415" s="3" t="n">
        <f aca="false">YEAR(E1415)</f>
        <v>2024</v>
      </c>
      <c r="J1415" s="3" t="n">
        <f aca="false">MONTH(E1415)</f>
        <v>10</v>
      </c>
      <c r="K1415" s="3" t="n">
        <f aca="false">COUNTIFS($B$2:$B$4077,B1415,$C$2:$C$4077,C1415,$I$2:$I$4077,I1415)</f>
        <v>2</v>
      </c>
      <c r="L1415" s="3" t="n">
        <f aca="false">IF(COUNTIFS($B$2:B1415,B1415,$C$2:C1415,C1415,$I$2:I1415,I1415)=1,1,0)</f>
        <v>0</v>
      </c>
      <c r="M1415" s="3" t="n">
        <f aca="false">IF(K1415&gt;=Parametri!$B$1,1,0)</f>
        <v>1</v>
      </c>
      <c r="N1415" s="3" t="n">
        <f aca="false">L1415*M1415</f>
        <v>0</v>
      </c>
    </row>
    <row r="1416" customFormat="false" ht="15" hidden="false" customHeight="false" outlineLevel="0" collapsed="false">
      <c r="A1416" s="0" t="s">
        <v>2395</v>
      </c>
      <c r="B1416" s="0" t="s">
        <v>50</v>
      </c>
      <c r="C1416" s="0" t="s">
        <v>2396</v>
      </c>
      <c r="D1416" s="0" t="s">
        <v>38</v>
      </c>
      <c r="E1416" s="2" t="n">
        <v>46145</v>
      </c>
      <c r="F1416" s="3" t="s">
        <v>20</v>
      </c>
      <c r="G1416" s="3" t="s">
        <v>72</v>
      </c>
      <c r="H1416" s="3" t="s">
        <v>29</v>
      </c>
      <c r="I1416" s="3" t="n">
        <f aca="false">YEAR(E1416)</f>
        <v>2026</v>
      </c>
      <c r="J1416" s="3" t="n">
        <f aca="false">MONTH(E1416)</f>
        <v>5</v>
      </c>
      <c r="K1416" s="3" t="n">
        <f aca="false">COUNTIFS($B$2:$B$4077,B1416,$C$2:$C$4077,C1416,$I$2:$I$4077,I1416)</f>
        <v>1</v>
      </c>
      <c r="L1416" s="3" t="n">
        <f aca="false">IF(COUNTIFS($B$2:B1416,B1416,$C$2:C1416,C1416,$I$2:I1416,I1416)=1,1,0)</f>
        <v>1</v>
      </c>
      <c r="M1416" s="3" t="n">
        <f aca="false">IF(K1416&gt;=Parametri!$B$1,1,0)</f>
        <v>0</v>
      </c>
      <c r="N1416" s="3" t="n">
        <f aca="false">L1416*M1416</f>
        <v>0</v>
      </c>
    </row>
    <row r="1417" customFormat="false" ht="15" hidden="false" customHeight="false" outlineLevel="0" collapsed="false">
      <c r="A1417" s="0" t="s">
        <v>2397</v>
      </c>
      <c r="B1417" s="0" t="s">
        <v>17</v>
      </c>
      <c r="C1417" s="0" t="s">
        <v>2148</v>
      </c>
      <c r="D1417" s="0" t="s">
        <v>26</v>
      </c>
      <c r="E1417" s="2" t="n">
        <v>46200</v>
      </c>
      <c r="F1417" s="3" t="s">
        <v>27</v>
      </c>
      <c r="G1417" s="3" t="s">
        <v>43</v>
      </c>
      <c r="H1417" s="3" t="s">
        <v>29</v>
      </c>
      <c r="I1417" s="3" t="n">
        <f aca="false">YEAR(E1417)</f>
        <v>2026</v>
      </c>
      <c r="J1417" s="3" t="n">
        <f aca="false">MONTH(E1417)</f>
        <v>6</v>
      </c>
      <c r="K1417" s="3" t="n">
        <f aca="false">COUNTIFS($B$2:$B$4077,B1417,$C$2:$C$4077,C1417,$I$2:$I$4077,I1417)</f>
        <v>1</v>
      </c>
      <c r="L1417" s="3" t="n">
        <f aca="false">IF(COUNTIFS($B$2:B1417,B1417,$C$2:C1417,C1417,$I$2:I1417,I1417)=1,1,0)</f>
        <v>1</v>
      </c>
      <c r="M1417" s="3" t="n">
        <f aca="false">IF(K1417&gt;=Parametri!$B$1,1,0)</f>
        <v>0</v>
      </c>
      <c r="N1417" s="3" t="n">
        <f aca="false">L1417*M1417</f>
        <v>0</v>
      </c>
    </row>
    <row r="1418" customFormat="false" ht="15" hidden="false" customHeight="false" outlineLevel="0" collapsed="false">
      <c r="A1418" s="0" t="s">
        <v>2398</v>
      </c>
      <c r="B1418" s="0" t="s">
        <v>17</v>
      </c>
      <c r="C1418" s="0" t="s">
        <v>95</v>
      </c>
      <c r="D1418" s="0" t="s">
        <v>19</v>
      </c>
      <c r="E1418" s="2" t="n">
        <v>45419</v>
      </c>
      <c r="F1418" s="3" t="s">
        <v>20</v>
      </c>
      <c r="G1418" s="3" t="s">
        <v>35</v>
      </c>
      <c r="H1418" s="3" t="s">
        <v>44</v>
      </c>
      <c r="I1418" s="3" t="n">
        <f aca="false">YEAR(E1418)</f>
        <v>2024</v>
      </c>
      <c r="J1418" s="3" t="n">
        <f aca="false">MONTH(E1418)</f>
        <v>5</v>
      </c>
      <c r="K1418" s="3" t="n">
        <f aca="false">COUNTIFS($B$2:$B$4077,B1418,$C$2:$C$4077,C1418,$I$2:$I$4077,I1418)</f>
        <v>1</v>
      </c>
      <c r="L1418" s="3" t="n">
        <f aca="false">IF(COUNTIFS($B$2:B1418,B1418,$C$2:C1418,C1418,$I$2:I1418,I1418)=1,1,0)</f>
        <v>1</v>
      </c>
      <c r="M1418" s="3" t="n">
        <f aca="false">IF(K1418&gt;=Parametri!$B$1,1,0)</f>
        <v>0</v>
      </c>
      <c r="N1418" s="3" t="n">
        <f aca="false">L1418*M1418</f>
        <v>0</v>
      </c>
    </row>
    <row r="1419" customFormat="false" ht="15" hidden="false" customHeight="false" outlineLevel="0" collapsed="false">
      <c r="A1419" s="0" t="s">
        <v>2399</v>
      </c>
      <c r="B1419" s="0" t="s">
        <v>79</v>
      </c>
      <c r="C1419" s="0" t="s">
        <v>2400</v>
      </c>
      <c r="D1419" s="0" t="s">
        <v>63</v>
      </c>
      <c r="E1419" s="2" t="n">
        <v>46243</v>
      </c>
      <c r="F1419" s="3" t="s">
        <v>20</v>
      </c>
      <c r="G1419" s="3" t="s">
        <v>43</v>
      </c>
      <c r="H1419" s="3" t="s">
        <v>29</v>
      </c>
      <c r="I1419" s="3" t="n">
        <f aca="false">YEAR(E1419)</f>
        <v>2026</v>
      </c>
      <c r="J1419" s="3" t="n">
        <f aca="false">MONTH(E1419)</f>
        <v>8</v>
      </c>
      <c r="K1419" s="3" t="n">
        <f aca="false">COUNTIFS($B$2:$B$4077,B1419,$C$2:$C$4077,C1419,$I$2:$I$4077,I1419)</f>
        <v>1</v>
      </c>
      <c r="L1419" s="3" t="n">
        <f aca="false">IF(COUNTIFS($B$2:B1419,B1419,$C$2:C1419,C1419,$I$2:I1419,I1419)=1,1,0)</f>
        <v>1</v>
      </c>
      <c r="M1419" s="3" t="n">
        <f aca="false">IF(K1419&gt;=Parametri!$B$1,1,0)</f>
        <v>0</v>
      </c>
      <c r="N1419" s="3" t="n">
        <f aca="false">L1419*M1419</f>
        <v>0</v>
      </c>
    </row>
    <row r="1420" customFormat="false" ht="15" hidden="false" customHeight="false" outlineLevel="0" collapsed="false">
      <c r="A1420" s="0" t="s">
        <v>2401</v>
      </c>
      <c r="B1420" s="0" t="s">
        <v>124</v>
      </c>
      <c r="C1420" s="0" t="s">
        <v>2402</v>
      </c>
      <c r="D1420" s="0" t="s">
        <v>66</v>
      </c>
      <c r="E1420" s="2" t="n">
        <v>46054</v>
      </c>
      <c r="F1420" s="3" t="s">
        <v>20</v>
      </c>
      <c r="G1420" s="3" t="s">
        <v>72</v>
      </c>
      <c r="H1420" s="3" t="s">
        <v>48</v>
      </c>
      <c r="I1420" s="3" t="n">
        <f aca="false">YEAR(E1420)</f>
        <v>2026</v>
      </c>
      <c r="J1420" s="3" t="n">
        <f aca="false">MONTH(E1420)</f>
        <v>2</v>
      </c>
      <c r="K1420" s="3" t="n">
        <f aca="false">COUNTIFS($B$2:$B$4077,B1420,$C$2:$C$4077,C1420,$I$2:$I$4077,I1420)</f>
        <v>1</v>
      </c>
      <c r="L1420" s="3" t="n">
        <f aca="false">IF(COUNTIFS($B$2:B1420,B1420,$C$2:C1420,C1420,$I$2:I1420,I1420)=1,1,0)</f>
        <v>1</v>
      </c>
      <c r="M1420" s="3" t="n">
        <f aca="false">IF(K1420&gt;=Parametri!$B$1,1,0)</f>
        <v>0</v>
      </c>
      <c r="N1420" s="3" t="n">
        <f aca="false">L1420*M1420</f>
        <v>0</v>
      </c>
    </row>
    <row r="1421" customFormat="false" ht="15" hidden="false" customHeight="false" outlineLevel="0" collapsed="false">
      <c r="A1421" s="0" t="s">
        <v>2403</v>
      </c>
      <c r="B1421" s="0" t="s">
        <v>31</v>
      </c>
      <c r="C1421" s="0" t="s">
        <v>2404</v>
      </c>
      <c r="D1421" s="0" t="s">
        <v>54</v>
      </c>
      <c r="E1421" s="2" t="n">
        <v>45508</v>
      </c>
      <c r="F1421" s="3" t="s">
        <v>34</v>
      </c>
      <c r="G1421" s="3" t="s">
        <v>21</v>
      </c>
      <c r="H1421" s="3" t="s">
        <v>22</v>
      </c>
      <c r="I1421" s="3" t="n">
        <f aca="false">YEAR(E1421)</f>
        <v>2024</v>
      </c>
      <c r="J1421" s="3" t="n">
        <f aca="false">MONTH(E1421)</f>
        <v>8</v>
      </c>
      <c r="K1421" s="3" t="n">
        <f aca="false">COUNTIFS($B$2:$B$4077,B1421,$C$2:$C$4077,C1421,$I$2:$I$4077,I1421)</f>
        <v>3</v>
      </c>
      <c r="L1421" s="3" t="n">
        <f aca="false">IF(COUNTIFS($B$2:B1421,B1421,$C$2:C1421,C1421,$I$2:I1421,I1421)=1,1,0)</f>
        <v>1</v>
      </c>
      <c r="M1421" s="3" t="n">
        <f aca="false">IF(K1421&gt;=Parametri!$B$1,1,0)</f>
        <v>1</v>
      </c>
      <c r="N1421" s="3" t="n">
        <f aca="false">L1421*M1421</f>
        <v>1</v>
      </c>
    </row>
    <row r="1422" customFormat="false" ht="15" hidden="false" customHeight="false" outlineLevel="0" collapsed="false">
      <c r="A1422" s="0" t="s">
        <v>2405</v>
      </c>
      <c r="B1422" s="0" t="s">
        <v>17</v>
      </c>
      <c r="C1422" s="0" t="s">
        <v>231</v>
      </c>
      <c r="D1422" s="0" t="s">
        <v>77</v>
      </c>
      <c r="E1422" s="2" t="n">
        <v>45991</v>
      </c>
      <c r="F1422" s="3" t="s">
        <v>20</v>
      </c>
      <c r="G1422" s="3" t="s">
        <v>55</v>
      </c>
      <c r="H1422" s="3" t="s">
        <v>29</v>
      </c>
      <c r="I1422" s="3" t="n">
        <f aca="false">YEAR(E1422)</f>
        <v>2025</v>
      </c>
      <c r="J1422" s="3" t="n">
        <f aca="false">MONTH(E1422)</f>
        <v>11</v>
      </c>
      <c r="K1422" s="3" t="n">
        <f aca="false">COUNTIFS($B$2:$B$4077,B1422,$C$2:$C$4077,C1422,$I$2:$I$4077,I1422)</f>
        <v>6</v>
      </c>
      <c r="L1422" s="3" t="n">
        <f aca="false">IF(COUNTIFS($B$2:B1422,B1422,$C$2:C1422,C1422,$I$2:I1422,I1422)=1,1,0)</f>
        <v>0</v>
      </c>
      <c r="M1422" s="3" t="n">
        <f aca="false">IF(K1422&gt;=Parametri!$B$1,1,0)</f>
        <v>1</v>
      </c>
      <c r="N1422" s="3" t="n">
        <f aca="false">L1422*M1422</f>
        <v>0</v>
      </c>
    </row>
    <row r="1423" customFormat="false" ht="15" hidden="false" customHeight="false" outlineLevel="0" collapsed="false">
      <c r="A1423" s="0" t="s">
        <v>2406</v>
      </c>
      <c r="B1423" s="0" t="s">
        <v>68</v>
      </c>
      <c r="C1423" s="0" t="s">
        <v>732</v>
      </c>
      <c r="D1423" s="0" t="s">
        <v>26</v>
      </c>
      <c r="E1423" s="2" t="n">
        <v>45598</v>
      </c>
      <c r="F1423" s="3" t="s">
        <v>20</v>
      </c>
      <c r="G1423" s="3" t="s">
        <v>55</v>
      </c>
      <c r="H1423" s="3" t="s">
        <v>22</v>
      </c>
      <c r="I1423" s="3" t="n">
        <f aca="false">YEAR(E1423)</f>
        <v>2024</v>
      </c>
      <c r="J1423" s="3" t="n">
        <f aca="false">MONTH(E1423)</f>
        <v>11</v>
      </c>
      <c r="K1423" s="3" t="n">
        <f aca="false">COUNTIFS($B$2:$B$4077,B1423,$C$2:$C$4077,C1423,$I$2:$I$4077,I1423)</f>
        <v>2</v>
      </c>
      <c r="L1423" s="3" t="n">
        <f aca="false">IF(COUNTIFS($B$2:B1423,B1423,$C$2:C1423,C1423,$I$2:I1423,I1423)=1,1,0)</f>
        <v>0</v>
      </c>
      <c r="M1423" s="3" t="n">
        <f aca="false">IF(K1423&gt;=Parametri!$B$1,1,0)</f>
        <v>1</v>
      </c>
      <c r="N1423" s="3" t="n">
        <f aca="false">L1423*M1423</f>
        <v>0</v>
      </c>
    </row>
    <row r="1424" customFormat="false" ht="15" hidden="false" customHeight="false" outlineLevel="0" collapsed="false">
      <c r="A1424" s="0" t="s">
        <v>2407</v>
      </c>
      <c r="B1424" s="0" t="s">
        <v>24</v>
      </c>
      <c r="C1424" s="0" t="s">
        <v>2408</v>
      </c>
      <c r="D1424" s="0" t="s">
        <v>77</v>
      </c>
      <c r="E1424" s="2" t="n">
        <v>45341</v>
      </c>
      <c r="F1424" s="3" t="s">
        <v>34</v>
      </c>
      <c r="G1424" s="3" t="s">
        <v>43</v>
      </c>
      <c r="H1424" s="3" t="s">
        <v>22</v>
      </c>
      <c r="I1424" s="3" t="n">
        <f aca="false">YEAR(E1424)</f>
        <v>2024</v>
      </c>
      <c r="J1424" s="3" t="n">
        <f aca="false">MONTH(E1424)</f>
        <v>2</v>
      </c>
      <c r="K1424" s="3" t="n">
        <f aca="false">COUNTIFS($B$2:$B$4077,B1424,$C$2:$C$4077,C1424,$I$2:$I$4077,I1424)</f>
        <v>1</v>
      </c>
      <c r="L1424" s="3" t="n">
        <f aca="false">IF(COUNTIFS($B$2:B1424,B1424,$C$2:C1424,C1424,$I$2:I1424,I1424)=1,1,0)</f>
        <v>1</v>
      </c>
      <c r="M1424" s="3" t="n">
        <f aca="false">IF(K1424&gt;=Parametri!$B$1,1,0)</f>
        <v>0</v>
      </c>
      <c r="N1424" s="3" t="n">
        <f aca="false">L1424*M1424</f>
        <v>0</v>
      </c>
    </row>
    <row r="1425" customFormat="false" ht="15" hidden="false" customHeight="false" outlineLevel="0" collapsed="false">
      <c r="A1425" s="0" t="s">
        <v>2409</v>
      </c>
      <c r="B1425" s="0" t="s">
        <v>17</v>
      </c>
      <c r="C1425" s="0" t="s">
        <v>2410</v>
      </c>
      <c r="D1425" s="0" t="s">
        <v>38</v>
      </c>
      <c r="E1425" s="2" t="n">
        <v>46022</v>
      </c>
      <c r="F1425" s="3" t="s">
        <v>20</v>
      </c>
      <c r="G1425" s="3" t="s">
        <v>28</v>
      </c>
      <c r="H1425" s="3" t="s">
        <v>22</v>
      </c>
      <c r="I1425" s="3" t="n">
        <f aca="false">YEAR(E1425)</f>
        <v>2025</v>
      </c>
      <c r="J1425" s="3" t="n">
        <f aca="false">MONTH(E1425)</f>
        <v>12</v>
      </c>
      <c r="K1425" s="3" t="n">
        <f aca="false">COUNTIFS($B$2:$B$4077,B1425,$C$2:$C$4077,C1425,$I$2:$I$4077,I1425)</f>
        <v>1</v>
      </c>
      <c r="L1425" s="3" t="n">
        <f aca="false">IF(COUNTIFS($B$2:B1425,B1425,$C$2:C1425,C1425,$I$2:I1425,I1425)=1,1,0)</f>
        <v>1</v>
      </c>
      <c r="M1425" s="3" t="n">
        <f aca="false">IF(K1425&gt;=Parametri!$B$1,1,0)</f>
        <v>0</v>
      </c>
      <c r="N1425" s="3" t="n">
        <f aca="false">L1425*M1425</f>
        <v>0</v>
      </c>
    </row>
    <row r="1426" customFormat="false" ht="15" hidden="false" customHeight="false" outlineLevel="0" collapsed="false">
      <c r="A1426" s="0" t="s">
        <v>2411</v>
      </c>
      <c r="B1426" s="0" t="s">
        <v>17</v>
      </c>
      <c r="C1426" s="0" t="s">
        <v>399</v>
      </c>
      <c r="D1426" s="0" t="s">
        <v>26</v>
      </c>
      <c r="E1426" s="2" t="n">
        <v>45307</v>
      </c>
      <c r="F1426" s="3" t="s">
        <v>20</v>
      </c>
      <c r="G1426" s="3" t="s">
        <v>104</v>
      </c>
      <c r="H1426" s="3" t="s">
        <v>29</v>
      </c>
      <c r="I1426" s="3" t="n">
        <f aca="false">YEAR(E1426)</f>
        <v>2024</v>
      </c>
      <c r="J1426" s="3" t="n">
        <f aca="false">MONTH(E1426)</f>
        <v>1</v>
      </c>
      <c r="K1426" s="3" t="n">
        <f aca="false">COUNTIFS($B$2:$B$4077,B1426,$C$2:$C$4077,C1426,$I$2:$I$4077,I1426)</f>
        <v>3</v>
      </c>
      <c r="L1426" s="3" t="n">
        <f aca="false">IF(COUNTIFS($B$2:B1426,B1426,$C$2:C1426,C1426,$I$2:I1426,I1426)=1,1,0)</f>
        <v>0</v>
      </c>
      <c r="M1426" s="3" t="n">
        <f aca="false">IF(K1426&gt;=Parametri!$B$1,1,0)</f>
        <v>1</v>
      </c>
      <c r="N1426" s="3" t="n">
        <f aca="false">L1426*M1426</f>
        <v>0</v>
      </c>
    </row>
    <row r="1427" customFormat="false" ht="15" hidden="false" customHeight="false" outlineLevel="0" collapsed="false">
      <c r="A1427" s="0" t="s">
        <v>2412</v>
      </c>
      <c r="B1427" s="0" t="s">
        <v>17</v>
      </c>
      <c r="C1427" s="0" t="s">
        <v>897</v>
      </c>
      <c r="D1427" s="0" t="s">
        <v>19</v>
      </c>
      <c r="E1427" s="2" t="n">
        <v>45736</v>
      </c>
      <c r="F1427" s="3" t="s">
        <v>20</v>
      </c>
      <c r="G1427" s="3" t="s">
        <v>39</v>
      </c>
      <c r="H1427" s="3" t="s">
        <v>48</v>
      </c>
      <c r="I1427" s="3" t="n">
        <f aca="false">YEAR(E1427)</f>
        <v>2025</v>
      </c>
      <c r="J1427" s="3" t="n">
        <f aca="false">MONTH(E1427)</f>
        <v>3</v>
      </c>
      <c r="K1427" s="3" t="n">
        <f aca="false">COUNTIFS($B$2:$B$4077,B1427,$C$2:$C$4077,C1427,$I$2:$I$4077,I1427)</f>
        <v>1</v>
      </c>
      <c r="L1427" s="3" t="n">
        <f aca="false">IF(COUNTIFS($B$2:B1427,B1427,$C$2:C1427,C1427,$I$2:I1427,I1427)=1,1,0)</f>
        <v>1</v>
      </c>
      <c r="M1427" s="3" t="n">
        <f aca="false">IF(K1427&gt;=Parametri!$B$1,1,0)</f>
        <v>0</v>
      </c>
      <c r="N1427" s="3" t="n">
        <f aca="false">L1427*M1427</f>
        <v>0</v>
      </c>
    </row>
    <row r="1428" customFormat="false" ht="15" hidden="false" customHeight="false" outlineLevel="0" collapsed="false">
      <c r="A1428" s="0" t="s">
        <v>2413</v>
      </c>
      <c r="B1428" s="0" t="s">
        <v>46</v>
      </c>
      <c r="C1428" s="0" t="s">
        <v>2414</v>
      </c>
      <c r="D1428" s="0" t="s">
        <v>38</v>
      </c>
      <c r="E1428" s="2" t="n">
        <v>45889</v>
      </c>
      <c r="F1428" s="3" t="s">
        <v>34</v>
      </c>
      <c r="G1428" s="3" t="s">
        <v>39</v>
      </c>
      <c r="H1428" s="3" t="s">
        <v>29</v>
      </c>
      <c r="I1428" s="3" t="n">
        <f aca="false">YEAR(E1428)</f>
        <v>2025</v>
      </c>
      <c r="J1428" s="3" t="n">
        <f aca="false">MONTH(E1428)</f>
        <v>8</v>
      </c>
      <c r="K1428" s="3" t="n">
        <f aca="false">COUNTIFS($B$2:$B$4077,B1428,$C$2:$C$4077,C1428,$I$2:$I$4077,I1428)</f>
        <v>1</v>
      </c>
      <c r="L1428" s="3" t="n">
        <f aca="false">IF(COUNTIFS($B$2:B1428,B1428,$C$2:C1428,C1428,$I$2:I1428,I1428)=1,1,0)</f>
        <v>1</v>
      </c>
      <c r="M1428" s="3" t="n">
        <f aca="false">IF(K1428&gt;=Parametri!$B$1,1,0)</f>
        <v>0</v>
      </c>
      <c r="N1428" s="3" t="n">
        <f aca="false">L1428*M1428</f>
        <v>0</v>
      </c>
    </row>
    <row r="1429" customFormat="false" ht="15" hidden="false" customHeight="false" outlineLevel="0" collapsed="false">
      <c r="A1429" s="0" t="s">
        <v>2415</v>
      </c>
      <c r="B1429" s="0" t="s">
        <v>124</v>
      </c>
      <c r="C1429" s="0" t="s">
        <v>292</v>
      </c>
      <c r="D1429" s="0" t="s">
        <v>63</v>
      </c>
      <c r="E1429" s="2" t="n">
        <v>46124</v>
      </c>
      <c r="F1429" s="3" t="s">
        <v>27</v>
      </c>
      <c r="G1429" s="3" t="s">
        <v>72</v>
      </c>
      <c r="H1429" s="3" t="s">
        <v>29</v>
      </c>
      <c r="I1429" s="3" t="n">
        <f aca="false">YEAR(E1429)</f>
        <v>2026</v>
      </c>
      <c r="J1429" s="3" t="n">
        <f aca="false">MONTH(E1429)</f>
        <v>4</v>
      </c>
      <c r="K1429" s="3" t="n">
        <f aca="false">COUNTIFS($B$2:$B$4077,B1429,$C$2:$C$4077,C1429,$I$2:$I$4077,I1429)</f>
        <v>3</v>
      </c>
      <c r="L1429" s="3" t="n">
        <f aca="false">IF(COUNTIFS($B$2:B1429,B1429,$C$2:C1429,C1429,$I$2:I1429,I1429)=1,1,0)</f>
        <v>0</v>
      </c>
      <c r="M1429" s="3" t="n">
        <f aca="false">IF(K1429&gt;=Parametri!$B$1,1,0)</f>
        <v>1</v>
      </c>
      <c r="N1429" s="3" t="n">
        <f aca="false">L1429*M1429</f>
        <v>0</v>
      </c>
    </row>
    <row r="1430" customFormat="false" ht="15" hidden="false" customHeight="false" outlineLevel="0" collapsed="false">
      <c r="A1430" s="0" t="s">
        <v>2416</v>
      </c>
      <c r="B1430" s="0" t="s">
        <v>79</v>
      </c>
      <c r="C1430" s="0" t="s">
        <v>2417</v>
      </c>
      <c r="D1430" s="0" t="s">
        <v>19</v>
      </c>
      <c r="E1430" s="2" t="n">
        <v>45657</v>
      </c>
      <c r="F1430" s="3" t="s">
        <v>34</v>
      </c>
      <c r="G1430" s="3" t="s">
        <v>21</v>
      </c>
      <c r="H1430" s="3" t="s">
        <v>44</v>
      </c>
      <c r="I1430" s="3" t="n">
        <f aca="false">YEAR(E1430)</f>
        <v>2024</v>
      </c>
      <c r="J1430" s="3" t="n">
        <f aca="false">MONTH(E1430)</f>
        <v>12</v>
      </c>
      <c r="K1430" s="3" t="n">
        <f aca="false">COUNTIFS($B$2:$B$4077,B1430,$C$2:$C$4077,C1430,$I$2:$I$4077,I1430)</f>
        <v>1</v>
      </c>
      <c r="L1430" s="3" t="n">
        <f aca="false">IF(COUNTIFS($B$2:B1430,B1430,$C$2:C1430,C1430,$I$2:I1430,I1430)=1,1,0)</f>
        <v>1</v>
      </c>
      <c r="M1430" s="3" t="n">
        <f aca="false">IF(K1430&gt;=Parametri!$B$1,1,0)</f>
        <v>0</v>
      </c>
      <c r="N1430" s="3" t="n">
        <f aca="false">L1430*M1430</f>
        <v>0</v>
      </c>
    </row>
    <row r="1431" customFormat="false" ht="15" hidden="false" customHeight="false" outlineLevel="0" collapsed="false">
      <c r="A1431" s="0" t="s">
        <v>2418</v>
      </c>
      <c r="B1431" s="0" t="s">
        <v>17</v>
      </c>
      <c r="C1431" s="0" t="s">
        <v>2419</v>
      </c>
      <c r="D1431" s="0" t="s">
        <v>33</v>
      </c>
      <c r="E1431" s="2" t="n">
        <v>45642</v>
      </c>
      <c r="F1431" s="3" t="s">
        <v>27</v>
      </c>
      <c r="G1431" s="3" t="s">
        <v>39</v>
      </c>
      <c r="H1431" s="3" t="s">
        <v>22</v>
      </c>
      <c r="I1431" s="3" t="n">
        <f aca="false">YEAR(E1431)</f>
        <v>2024</v>
      </c>
      <c r="J1431" s="3" t="n">
        <f aca="false">MONTH(E1431)</f>
        <v>12</v>
      </c>
      <c r="K1431" s="3" t="n">
        <f aca="false">COUNTIFS($B$2:$B$4077,B1431,$C$2:$C$4077,C1431,$I$2:$I$4077,I1431)</f>
        <v>2</v>
      </c>
      <c r="L1431" s="3" t="n">
        <f aca="false">IF(COUNTIFS($B$2:B1431,B1431,$C$2:C1431,C1431,$I$2:I1431,I1431)=1,1,0)</f>
        <v>1</v>
      </c>
      <c r="M1431" s="3" t="n">
        <f aca="false">IF(K1431&gt;=Parametri!$B$1,1,0)</f>
        <v>1</v>
      </c>
      <c r="N1431" s="3" t="n">
        <f aca="false">L1431*M1431</f>
        <v>1</v>
      </c>
    </row>
    <row r="1432" customFormat="false" ht="15" hidden="false" customHeight="false" outlineLevel="0" collapsed="false">
      <c r="A1432" s="0" t="s">
        <v>2420</v>
      </c>
      <c r="B1432" s="0" t="s">
        <v>68</v>
      </c>
      <c r="C1432" s="0" t="s">
        <v>1188</v>
      </c>
      <c r="D1432" s="0" t="s">
        <v>26</v>
      </c>
      <c r="E1432" s="2" t="n">
        <v>45438</v>
      </c>
      <c r="F1432" s="3" t="s">
        <v>20</v>
      </c>
      <c r="G1432" s="3" t="s">
        <v>72</v>
      </c>
      <c r="H1432" s="3" t="s">
        <v>29</v>
      </c>
      <c r="I1432" s="3" t="n">
        <f aca="false">YEAR(E1432)</f>
        <v>2024</v>
      </c>
      <c r="J1432" s="3" t="n">
        <f aca="false">MONTH(E1432)</f>
        <v>5</v>
      </c>
      <c r="K1432" s="3" t="n">
        <f aca="false">COUNTIFS($B$2:$B$4077,B1432,$C$2:$C$4077,C1432,$I$2:$I$4077,I1432)</f>
        <v>1</v>
      </c>
      <c r="L1432" s="3" t="n">
        <f aca="false">IF(COUNTIFS($B$2:B1432,B1432,$C$2:C1432,C1432,$I$2:I1432,I1432)=1,1,0)</f>
        <v>1</v>
      </c>
      <c r="M1432" s="3" t="n">
        <f aca="false">IF(K1432&gt;=Parametri!$B$1,1,0)</f>
        <v>0</v>
      </c>
      <c r="N1432" s="3" t="n">
        <f aca="false">L1432*M1432</f>
        <v>0</v>
      </c>
    </row>
    <row r="1433" customFormat="false" ht="15" hidden="false" customHeight="false" outlineLevel="0" collapsed="false">
      <c r="A1433" s="0" t="s">
        <v>2421</v>
      </c>
      <c r="B1433" s="0" t="s">
        <v>79</v>
      </c>
      <c r="C1433" s="0" t="s">
        <v>606</v>
      </c>
      <c r="D1433" s="0" t="s">
        <v>54</v>
      </c>
      <c r="E1433" s="2" t="n">
        <v>46003</v>
      </c>
      <c r="F1433" s="3" t="s">
        <v>27</v>
      </c>
      <c r="G1433" s="3" t="s">
        <v>21</v>
      </c>
      <c r="H1433" s="3" t="s">
        <v>48</v>
      </c>
      <c r="I1433" s="3" t="n">
        <f aca="false">YEAR(E1433)</f>
        <v>2025</v>
      </c>
      <c r="J1433" s="3" t="n">
        <f aca="false">MONTH(E1433)</f>
        <v>12</v>
      </c>
      <c r="K1433" s="3" t="n">
        <f aca="false">COUNTIFS($B$2:$B$4077,B1433,$C$2:$C$4077,C1433,$I$2:$I$4077,I1433)</f>
        <v>2</v>
      </c>
      <c r="L1433" s="3" t="n">
        <f aca="false">IF(COUNTIFS($B$2:B1433,B1433,$C$2:C1433,C1433,$I$2:I1433,I1433)=1,1,0)</f>
        <v>0</v>
      </c>
      <c r="M1433" s="3" t="n">
        <f aca="false">IF(K1433&gt;=Parametri!$B$1,1,0)</f>
        <v>1</v>
      </c>
      <c r="N1433" s="3" t="n">
        <f aca="false">L1433*M1433</f>
        <v>0</v>
      </c>
    </row>
    <row r="1434" customFormat="false" ht="15" hidden="false" customHeight="false" outlineLevel="0" collapsed="false">
      <c r="A1434" s="0" t="s">
        <v>2422</v>
      </c>
      <c r="B1434" s="0" t="s">
        <v>31</v>
      </c>
      <c r="C1434" s="0" t="s">
        <v>279</v>
      </c>
      <c r="D1434" s="0" t="s">
        <v>54</v>
      </c>
      <c r="E1434" s="2" t="n">
        <v>45725</v>
      </c>
      <c r="F1434" s="3" t="s">
        <v>20</v>
      </c>
      <c r="G1434" s="3" t="s">
        <v>43</v>
      </c>
      <c r="H1434" s="3" t="s">
        <v>22</v>
      </c>
      <c r="I1434" s="3" t="n">
        <f aca="false">YEAR(E1434)</f>
        <v>2025</v>
      </c>
      <c r="J1434" s="3" t="n">
        <f aca="false">MONTH(E1434)</f>
        <v>3</v>
      </c>
      <c r="K1434" s="3" t="n">
        <f aca="false">COUNTIFS($B$2:$B$4077,B1434,$C$2:$C$4077,C1434,$I$2:$I$4077,I1434)</f>
        <v>2</v>
      </c>
      <c r="L1434" s="3" t="n">
        <f aca="false">IF(COUNTIFS($B$2:B1434,B1434,$C$2:C1434,C1434,$I$2:I1434,I1434)=1,1,0)</f>
        <v>1</v>
      </c>
      <c r="M1434" s="3" t="n">
        <f aca="false">IF(K1434&gt;=Parametri!$B$1,1,0)</f>
        <v>1</v>
      </c>
      <c r="N1434" s="3" t="n">
        <f aca="false">L1434*M1434</f>
        <v>1</v>
      </c>
    </row>
    <row r="1435" customFormat="false" ht="15" hidden="false" customHeight="false" outlineLevel="0" collapsed="false">
      <c r="A1435" s="0" t="s">
        <v>2423</v>
      </c>
      <c r="B1435" s="0" t="s">
        <v>24</v>
      </c>
      <c r="C1435" s="0" t="s">
        <v>669</v>
      </c>
      <c r="D1435" s="0" t="s">
        <v>38</v>
      </c>
      <c r="E1435" s="2" t="n">
        <v>45378</v>
      </c>
      <c r="F1435" s="3" t="s">
        <v>20</v>
      </c>
      <c r="G1435" s="3" t="s">
        <v>28</v>
      </c>
      <c r="H1435" s="3" t="s">
        <v>29</v>
      </c>
      <c r="I1435" s="3" t="n">
        <f aca="false">YEAR(E1435)</f>
        <v>2024</v>
      </c>
      <c r="J1435" s="3" t="n">
        <f aca="false">MONTH(E1435)</f>
        <v>3</v>
      </c>
      <c r="K1435" s="3" t="n">
        <f aca="false">COUNTIFS($B$2:$B$4077,B1435,$C$2:$C$4077,C1435,$I$2:$I$4077,I1435)</f>
        <v>4</v>
      </c>
      <c r="L1435" s="3" t="n">
        <f aca="false">IF(COUNTIFS($B$2:B1435,B1435,$C$2:C1435,C1435,$I$2:I1435,I1435)=1,1,0)</f>
        <v>0</v>
      </c>
      <c r="M1435" s="3" t="n">
        <f aca="false">IF(K1435&gt;=Parametri!$B$1,1,0)</f>
        <v>1</v>
      </c>
      <c r="N1435" s="3" t="n">
        <f aca="false">L1435*M1435</f>
        <v>0</v>
      </c>
    </row>
    <row r="1436" customFormat="false" ht="15" hidden="false" customHeight="false" outlineLevel="0" collapsed="false">
      <c r="A1436" s="0" t="s">
        <v>2424</v>
      </c>
      <c r="B1436" s="0" t="s">
        <v>31</v>
      </c>
      <c r="C1436" s="0" t="s">
        <v>214</v>
      </c>
      <c r="D1436" s="0" t="s">
        <v>54</v>
      </c>
      <c r="E1436" s="2" t="n">
        <v>46031</v>
      </c>
      <c r="F1436" s="3" t="s">
        <v>20</v>
      </c>
      <c r="G1436" s="3" t="s">
        <v>39</v>
      </c>
      <c r="H1436" s="3" t="s">
        <v>44</v>
      </c>
      <c r="I1436" s="3" t="n">
        <f aca="false">YEAR(E1436)</f>
        <v>2026</v>
      </c>
      <c r="J1436" s="3" t="n">
        <f aca="false">MONTH(E1436)</f>
        <v>1</v>
      </c>
      <c r="K1436" s="3" t="n">
        <f aca="false">COUNTIFS($B$2:$B$4077,B1436,$C$2:$C$4077,C1436,$I$2:$I$4077,I1436)</f>
        <v>2</v>
      </c>
      <c r="L1436" s="3" t="n">
        <f aca="false">IF(COUNTIFS($B$2:B1436,B1436,$C$2:C1436,C1436,$I$2:I1436,I1436)=1,1,0)</f>
        <v>1</v>
      </c>
      <c r="M1436" s="3" t="n">
        <f aca="false">IF(K1436&gt;=Parametri!$B$1,1,0)</f>
        <v>1</v>
      </c>
      <c r="N1436" s="3" t="n">
        <f aca="false">L1436*M1436</f>
        <v>1</v>
      </c>
    </row>
    <row r="1437" customFormat="false" ht="15" hidden="false" customHeight="false" outlineLevel="0" collapsed="false">
      <c r="A1437" s="0" t="s">
        <v>2425</v>
      </c>
      <c r="B1437" s="0" t="s">
        <v>31</v>
      </c>
      <c r="C1437" s="0" t="s">
        <v>2426</v>
      </c>
      <c r="D1437" s="0" t="s">
        <v>66</v>
      </c>
      <c r="E1437" s="2" t="n">
        <v>46063</v>
      </c>
      <c r="F1437" s="3" t="s">
        <v>20</v>
      </c>
      <c r="G1437" s="3" t="s">
        <v>39</v>
      </c>
      <c r="H1437" s="3" t="s">
        <v>48</v>
      </c>
      <c r="I1437" s="3" t="n">
        <f aca="false">YEAR(E1437)</f>
        <v>2026</v>
      </c>
      <c r="J1437" s="3" t="n">
        <f aca="false">MONTH(E1437)</f>
        <v>2</v>
      </c>
      <c r="K1437" s="3" t="n">
        <f aca="false">COUNTIFS($B$2:$B$4077,B1437,$C$2:$C$4077,C1437,$I$2:$I$4077,I1437)</f>
        <v>1</v>
      </c>
      <c r="L1437" s="3" t="n">
        <f aca="false">IF(COUNTIFS($B$2:B1437,B1437,$C$2:C1437,C1437,$I$2:I1437,I1437)=1,1,0)</f>
        <v>1</v>
      </c>
      <c r="M1437" s="3" t="n">
        <f aca="false">IF(K1437&gt;=Parametri!$B$1,1,0)</f>
        <v>0</v>
      </c>
      <c r="N1437" s="3" t="n">
        <f aca="false">L1437*M1437</f>
        <v>0</v>
      </c>
    </row>
    <row r="1438" customFormat="false" ht="15" hidden="false" customHeight="false" outlineLevel="0" collapsed="false">
      <c r="A1438" s="0" t="s">
        <v>2427</v>
      </c>
      <c r="B1438" s="0" t="s">
        <v>68</v>
      </c>
      <c r="C1438" s="0" t="s">
        <v>106</v>
      </c>
      <c r="D1438" s="0" t="s">
        <v>54</v>
      </c>
      <c r="E1438" s="2" t="n">
        <v>46127</v>
      </c>
      <c r="F1438" s="3" t="s">
        <v>20</v>
      </c>
      <c r="G1438" s="3" t="s">
        <v>43</v>
      </c>
      <c r="H1438" s="3" t="s">
        <v>29</v>
      </c>
      <c r="I1438" s="3" t="n">
        <f aca="false">YEAR(E1438)</f>
        <v>2026</v>
      </c>
      <c r="J1438" s="3" t="n">
        <f aca="false">MONTH(E1438)</f>
        <v>4</v>
      </c>
      <c r="K1438" s="3" t="n">
        <f aca="false">COUNTIFS($B$2:$B$4077,B1438,$C$2:$C$4077,C1438,$I$2:$I$4077,I1438)</f>
        <v>4</v>
      </c>
      <c r="L1438" s="3" t="n">
        <f aca="false">IF(COUNTIFS($B$2:B1438,B1438,$C$2:C1438,C1438,$I$2:I1438,I1438)=1,1,0)</f>
        <v>0</v>
      </c>
      <c r="M1438" s="3" t="n">
        <f aca="false">IF(K1438&gt;=Parametri!$B$1,1,0)</f>
        <v>1</v>
      </c>
      <c r="N1438" s="3" t="n">
        <f aca="false">L1438*M1438</f>
        <v>0</v>
      </c>
    </row>
    <row r="1439" customFormat="false" ht="15" hidden="false" customHeight="false" outlineLevel="0" collapsed="false">
      <c r="A1439" s="0" t="s">
        <v>2428</v>
      </c>
      <c r="B1439" s="0" t="s">
        <v>24</v>
      </c>
      <c r="C1439" s="0" t="s">
        <v>1205</v>
      </c>
      <c r="D1439" s="0" t="s">
        <v>63</v>
      </c>
      <c r="E1439" s="2" t="n">
        <v>46146</v>
      </c>
      <c r="F1439" s="3" t="s">
        <v>20</v>
      </c>
      <c r="G1439" s="3" t="s">
        <v>89</v>
      </c>
      <c r="H1439" s="3" t="s">
        <v>44</v>
      </c>
      <c r="I1439" s="3" t="n">
        <f aca="false">YEAR(E1439)</f>
        <v>2026</v>
      </c>
      <c r="J1439" s="3" t="n">
        <f aca="false">MONTH(E1439)</f>
        <v>5</v>
      </c>
      <c r="K1439" s="3" t="n">
        <f aca="false">COUNTIFS($B$2:$B$4077,B1439,$C$2:$C$4077,C1439,$I$2:$I$4077,I1439)</f>
        <v>2</v>
      </c>
      <c r="L1439" s="3" t="n">
        <f aca="false">IF(COUNTIFS($B$2:B1439,B1439,$C$2:C1439,C1439,$I$2:I1439,I1439)=1,1,0)</f>
        <v>0</v>
      </c>
      <c r="M1439" s="3" t="n">
        <f aca="false">IF(K1439&gt;=Parametri!$B$1,1,0)</f>
        <v>1</v>
      </c>
      <c r="N1439" s="3" t="n">
        <f aca="false">L1439*M1439</f>
        <v>0</v>
      </c>
    </row>
    <row r="1440" customFormat="false" ht="15" hidden="false" customHeight="false" outlineLevel="0" collapsed="false">
      <c r="A1440" s="0" t="s">
        <v>2429</v>
      </c>
      <c r="B1440" s="0" t="s">
        <v>24</v>
      </c>
      <c r="C1440" s="0" t="s">
        <v>1093</v>
      </c>
      <c r="D1440" s="0" t="s">
        <v>26</v>
      </c>
      <c r="E1440" s="2" t="n">
        <v>46206</v>
      </c>
      <c r="F1440" s="3" t="s">
        <v>20</v>
      </c>
      <c r="G1440" s="3" t="s">
        <v>89</v>
      </c>
      <c r="H1440" s="3" t="s">
        <v>22</v>
      </c>
      <c r="I1440" s="3" t="n">
        <f aca="false">YEAR(E1440)</f>
        <v>2026</v>
      </c>
      <c r="J1440" s="3" t="n">
        <f aca="false">MONTH(E1440)</f>
        <v>7</v>
      </c>
      <c r="K1440" s="3" t="n">
        <f aca="false">COUNTIFS($B$2:$B$4077,B1440,$C$2:$C$4077,C1440,$I$2:$I$4077,I1440)</f>
        <v>2</v>
      </c>
      <c r="L1440" s="3" t="n">
        <f aca="false">IF(COUNTIFS($B$2:B1440,B1440,$C$2:C1440,C1440,$I$2:I1440,I1440)=1,1,0)</f>
        <v>1</v>
      </c>
      <c r="M1440" s="3" t="n">
        <f aca="false">IF(K1440&gt;=Parametri!$B$1,1,0)</f>
        <v>1</v>
      </c>
      <c r="N1440" s="3" t="n">
        <f aca="false">L1440*M1440</f>
        <v>1</v>
      </c>
    </row>
    <row r="1441" customFormat="false" ht="15" hidden="false" customHeight="false" outlineLevel="0" collapsed="false">
      <c r="A1441" s="0" t="s">
        <v>2430</v>
      </c>
      <c r="B1441" s="0" t="s">
        <v>68</v>
      </c>
      <c r="C1441" s="0" t="s">
        <v>1457</v>
      </c>
      <c r="D1441" s="0" t="s">
        <v>66</v>
      </c>
      <c r="E1441" s="2" t="n">
        <v>45360</v>
      </c>
      <c r="F1441" s="3" t="s">
        <v>20</v>
      </c>
      <c r="G1441" s="3" t="s">
        <v>43</v>
      </c>
      <c r="H1441" s="3" t="s">
        <v>29</v>
      </c>
      <c r="I1441" s="3" t="n">
        <f aca="false">YEAR(E1441)</f>
        <v>2024</v>
      </c>
      <c r="J1441" s="3" t="n">
        <f aca="false">MONTH(E1441)</f>
        <v>3</v>
      </c>
      <c r="K1441" s="3" t="n">
        <f aca="false">COUNTIFS($B$2:$B$4077,B1441,$C$2:$C$4077,C1441,$I$2:$I$4077,I1441)</f>
        <v>6</v>
      </c>
      <c r="L1441" s="3" t="n">
        <f aca="false">IF(COUNTIFS($B$2:B1441,B1441,$C$2:C1441,C1441,$I$2:I1441,I1441)=1,1,0)</f>
        <v>0</v>
      </c>
      <c r="M1441" s="3" t="n">
        <f aca="false">IF(K1441&gt;=Parametri!$B$1,1,0)</f>
        <v>1</v>
      </c>
      <c r="N1441" s="3" t="n">
        <f aca="false">L1441*M1441</f>
        <v>0</v>
      </c>
    </row>
    <row r="1442" customFormat="false" ht="15" hidden="false" customHeight="false" outlineLevel="0" collapsed="false">
      <c r="A1442" s="0" t="s">
        <v>2431</v>
      </c>
      <c r="B1442" s="0" t="s">
        <v>68</v>
      </c>
      <c r="C1442" s="0" t="s">
        <v>2432</v>
      </c>
      <c r="D1442" s="0" t="s">
        <v>33</v>
      </c>
      <c r="E1442" s="2" t="n">
        <v>45767</v>
      </c>
      <c r="F1442" s="3" t="s">
        <v>20</v>
      </c>
      <c r="G1442" s="3" t="s">
        <v>55</v>
      </c>
      <c r="H1442" s="3" t="s">
        <v>48</v>
      </c>
      <c r="I1442" s="3" t="n">
        <f aca="false">YEAR(E1442)</f>
        <v>2025</v>
      </c>
      <c r="J1442" s="3" t="n">
        <f aca="false">MONTH(E1442)</f>
        <v>4</v>
      </c>
      <c r="K1442" s="3" t="n">
        <f aca="false">COUNTIFS($B$2:$B$4077,B1442,$C$2:$C$4077,C1442,$I$2:$I$4077,I1442)</f>
        <v>1</v>
      </c>
      <c r="L1442" s="3" t="n">
        <f aca="false">IF(COUNTIFS($B$2:B1442,B1442,$C$2:C1442,C1442,$I$2:I1442,I1442)=1,1,0)</f>
        <v>1</v>
      </c>
      <c r="M1442" s="3" t="n">
        <f aca="false">IF(K1442&gt;=Parametri!$B$1,1,0)</f>
        <v>0</v>
      </c>
      <c r="N1442" s="3" t="n">
        <f aca="false">L1442*M1442</f>
        <v>0</v>
      </c>
    </row>
    <row r="1443" customFormat="false" ht="15" hidden="false" customHeight="false" outlineLevel="0" collapsed="false">
      <c r="A1443" s="0" t="s">
        <v>2433</v>
      </c>
      <c r="B1443" s="0" t="s">
        <v>57</v>
      </c>
      <c r="C1443" s="0" t="s">
        <v>2434</v>
      </c>
      <c r="D1443" s="0" t="s">
        <v>54</v>
      </c>
      <c r="E1443" s="2" t="n">
        <v>45346</v>
      </c>
      <c r="F1443" s="3" t="s">
        <v>34</v>
      </c>
      <c r="G1443" s="3" t="s">
        <v>35</v>
      </c>
      <c r="H1443" s="3" t="s">
        <v>44</v>
      </c>
      <c r="I1443" s="3" t="n">
        <f aca="false">YEAR(E1443)</f>
        <v>2024</v>
      </c>
      <c r="J1443" s="3" t="n">
        <f aca="false">MONTH(E1443)</f>
        <v>2</v>
      </c>
      <c r="K1443" s="3" t="n">
        <f aca="false">COUNTIFS($B$2:$B$4077,B1443,$C$2:$C$4077,C1443,$I$2:$I$4077,I1443)</f>
        <v>2</v>
      </c>
      <c r="L1443" s="3" t="n">
        <f aca="false">IF(COUNTIFS($B$2:B1443,B1443,$C$2:C1443,C1443,$I$2:I1443,I1443)=1,1,0)</f>
        <v>1</v>
      </c>
      <c r="M1443" s="3" t="n">
        <f aca="false">IF(K1443&gt;=Parametri!$B$1,1,0)</f>
        <v>1</v>
      </c>
      <c r="N1443" s="3" t="n">
        <f aca="false">L1443*M1443</f>
        <v>1</v>
      </c>
    </row>
    <row r="1444" customFormat="false" ht="15" hidden="false" customHeight="false" outlineLevel="0" collapsed="false">
      <c r="A1444" s="0" t="s">
        <v>2435</v>
      </c>
      <c r="B1444" s="0" t="s">
        <v>31</v>
      </c>
      <c r="C1444" s="0" t="s">
        <v>2436</v>
      </c>
      <c r="D1444" s="0" t="s">
        <v>33</v>
      </c>
      <c r="E1444" s="2" t="n">
        <v>46256</v>
      </c>
      <c r="F1444" s="3" t="s">
        <v>20</v>
      </c>
      <c r="G1444" s="3" t="s">
        <v>39</v>
      </c>
      <c r="H1444" s="3" t="s">
        <v>44</v>
      </c>
      <c r="I1444" s="3" t="n">
        <f aca="false">YEAR(E1444)</f>
        <v>2026</v>
      </c>
      <c r="J1444" s="3" t="n">
        <f aca="false">MONTH(E1444)</f>
        <v>8</v>
      </c>
      <c r="K1444" s="3" t="n">
        <f aca="false">COUNTIFS($B$2:$B$4077,B1444,$C$2:$C$4077,C1444,$I$2:$I$4077,I1444)</f>
        <v>1</v>
      </c>
      <c r="L1444" s="3" t="n">
        <f aca="false">IF(COUNTIFS($B$2:B1444,B1444,$C$2:C1444,C1444,$I$2:I1444,I1444)=1,1,0)</f>
        <v>1</v>
      </c>
      <c r="M1444" s="3" t="n">
        <f aca="false">IF(K1444&gt;=Parametri!$B$1,1,0)</f>
        <v>0</v>
      </c>
      <c r="N1444" s="3" t="n">
        <f aca="false">L1444*M1444</f>
        <v>0</v>
      </c>
    </row>
    <row r="1445" customFormat="false" ht="15" hidden="false" customHeight="false" outlineLevel="0" collapsed="false">
      <c r="A1445" s="0" t="s">
        <v>2437</v>
      </c>
      <c r="B1445" s="0" t="s">
        <v>50</v>
      </c>
      <c r="C1445" s="0" t="s">
        <v>2438</v>
      </c>
      <c r="D1445" s="0" t="s">
        <v>63</v>
      </c>
      <c r="E1445" s="2" t="n">
        <v>45419</v>
      </c>
      <c r="F1445" s="3" t="s">
        <v>20</v>
      </c>
      <c r="G1445" s="3" t="s">
        <v>28</v>
      </c>
      <c r="H1445" s="3" t="s">
        <v>44</v>
      </c>
      <c r="I1445" s="3" t="n">
        <f aca="false">YEAR(E1445)</f>
        <v>2024</v>
      </c>
      <c r="J1445" s="3" t="n">
        <f aca="false">MONTH(E1445)</f>
        <v>5</v>
      </c>
      <c r="K1445" s="3" t="n">
        <f aca="false">COUNTIFS($B$2:$B$4077,B1445,$C$2:$C$4077,C1445,$I$2:$I$4077,I1445)</f>
        <v>2</v>
      </c>
      <c r="L1445" s="3" t="n">
        <f aca="false">IF(COUNTIFS($B$2:B1445,B1445,$C$2:C1445,C1445,$I$2:I1445,I1445)=1,1,0)</f>
        <v>1</v>
      </c>
      <c r="M1445" s="3" t="n">
        <f aca="false">IF(K1445&gt;=Parametri!$B$1,1,0)</f>
        <v>1</v>
      </c>
      <c r="N1445" s="3" t="n">
        <f aca="false">L1445*M1445</f>
        <v>1</v>
      </c>
    </row>
    <row r="1446" customFormat="false" ht="15" hidden="false" customHeight="false" outlineLevel="0" collapsed="false">
      <c r="A1446" s="0" t="s">
        <v>2439</v>
      </c>
      <c r="B1446" s="0" t="s">
        <v>79</v>
      </c>
      <c r="C1446" s="0" t="s">
        <v>744</v>
      </c>
      <c r="D1446" s="0" t="s">
        <v>33</v>
      </c>
      <c r="E1446" s="2" t="n">
        <v>45733</v>
      </c>
      <c r="F1446" s="3" t="s">
        <v>20</v>
      </c>
      <c r="G1446" s="3" t="s">
        <v>35</v>
      </c>
      <c r="H1446" s="3" t="s">
        <v>29</v>
      </c>
      <c r="I1446" s="3" t="n">
        <f aca="false">YEAR(E1446)</f>
        <v>2025</v>
      </c>
      <c r="J1446" s="3" t="n">
        <f aca="false">MONTH(E1446)</f>
        <v>3</v>
      </c>
      <c r="K1446" s="3" t="n">
        <f aca="false">COUNTIFS($B$2:$B$4077,B1446,$C$2:$C$4077,C1446,$I$2:$I$4077,I1446)</f>
        <v>2</v>
      </c>
      <c r="L1446" s="3" t="n">
        <f aca="false">IF(COUNTIFS($B$2:B1446,B1446,$C$2:C1446,C1446,$I$2:I1446,I1446)=1,1,0)</f>
        <v>1</v>
      </c>
      <c r="M1446" s="3" t="n">
        <f aca="false">IF(K1446&gt;=Parametri!$B$1,1,0)</f>
        <v>1</v>
      </c>
      <c r="N1446" s="3" t="n">
        <f aca="false">L1446*M1446</f>
        <v>1</v>
      </c>
    </row>
    <row r="1447" customFormat="false" ht="15" hidden="false" customHeight="false" outlineLevel="0" collapsed="false">
      <c r="A1447" s="0" t="s">
        <v>2440</v>
      </c>
      <c r="B1447" s="0" t="s">
        <v>31</v>
      </c>
      <c r="C1447" s="0" t="s">
        <v>2441</v>
      </c>
      <c r="D1447" s="0" t="s">
        <v>77</v>
      </c>
      <c r="E1447" s="2" t="n">
        <v>45835</v>
      </c>
      <c r="F1447" s="3" t="s">
        <v>34</v>
      </c>
      <c r="G1447" s="3" t="s">
        <v>39</v>
      </c>
      <c r="H1447" s="3" t="s">
        <v>29</v>
      </c>
      <c r="I1447" s="3" t="n">
        <f aca="false">YEAR(E1447)</f>
        <v>2025</v>
      </c>
      <c r="J1447" s="3" t="n">
        <f aca="false">MONTH(E1447)</f>
        <v>6</v>
      </c>
      <c r="K1447" s="3" t="n">
        <f aca="false">COUNTIFS($B$2:$B$4077,B1447,$C$2:$C$4077,C1447,$I$2:$I$4077,I1447)</f>
        <v>2</v>
      </c>
      <c r="L1447" s="3" t="n">
        <f aca="false">IF(COUNTIFS($B$2:B1447,B1447,$C$2:C1447,C1447,$I$2:I1447,I1447)=1,1,0)</f>
        <v>1</v>
      </c>
      <c r="M1447" s="3" t="n">
        <f aca="false">IF(K1447&gt;=Parametri!$B$1,1,0)</f>
        <v>1</v>
      </c>
      <c r="N1447" s="3" t="n">
        <f aca="false">L1447*M1447</f>
        <v>1</v>
      </c>
    </row>
    <row r="1448" customFormat="false" ht="15" hidden="false" customHeight="false" outlineLevel="0" collapsed="false">
      <c r="A1448" s="0" t="s">
        <v>2442</v>
      </c>
      <c r="B1448" s="0" t="s">
        <v>79</v>
      </c>
      <c r="C1448" s="0" t="s">
        <v>417</v>
      </c>
      <c r="D1448" s="0" t="s">
        <v>38</v>
      </c>
      <c r="E1448" s="2" t="n">
        <v>45462</v>
      </c>
      <c r="F1448" s="3" t="s">
        <v>27</v>
      </c>
      <c r="G1448" s="3" t="s">
        <v>89</v>
      </c>
      <c r="H1448" s="3" t="s">
        <v>48</v>
      </c>
      <c r="I1448" s="3" t="n">
        <f aca="false">YEAR(E1448)</f>
        <v>2024</v>
      </c>
      <c r="J1448" s="3" t="n">
        <f aca="false">MONTH(E1448)</f>
        <v>6</v>
      </c>
      <c r="K1448" s="3" t="n">
        <f aca="false">COUNTIFS($B$2:$B$4077,B1448,$C$2:$C$4077,C1448,$I$2:$I$4077,I1448)</f>
        <v>2</v>
      </c>
      <c r="L1448" s="3" t="n">
        <f aca="false">IF(COUNTIFS($B$2:B1448,B1448,$C$2:C1448,C1448,$I$2:I1448,I1448)=1,1,0)</f>
        <v>1</v>
      </c>
      <c r="M1448" s="3" t="n">
        <f aca="false">IF(K1448&gt;=Parametri!$B$1,1,0)</f>
        <v>1</v>
      </c>
      <c r="N1448" s="3" t="n">
        <f aca="false">L1448*M1448</f>
        <v>1</v>
      </c>
    </row>
    <row r="1449" customFormat="false" ht="15" hidden="false" customHeight="false" outlineLevel="0" collapsed="false">
      <c r="A1449" s="0" t="s">
        <v>2443</v>
      </c>
      <c r="B1449" s="0" t="s">
        <v>41</v>
      </c>
      <c r="C1449" s="0" t="s">
        <v>339</v>
      </c>
      <c r="D1449" s="0" t="s">
        <v>26</v>
      </c>
      <c r="E1449" s="2" t="n">
        <v>45427</v>
      </c>
      <c r="F1449" s="3" t="s">
        <v>34</v>
      </c>
      <c r="G1449" s="3" t="s">
        <v>89</v>
      </c>
      <c r="H1449" s="3" t="s">
        <v>48</v>
      </c>
      <c r="I1449" s="3" t="n">
        <f aca="false">YEAR(E1449)</f>
        <v>2024</v>
      </c>
      <c r="J1449" s="3" t="n">
        <f aca="false">MONTH(E1449)</f>
        <v>5</v>
      </c>
      <c r="K1449" s="3" t="n">
        <f aca="false">COUNTIFS($B$2:$B$4077,B1449,$C$2:$C$4077,C1449,$I$2:$I$4077,I1449)</f>
        <v>2</v>
      </c>
      <c r="L1449" s="3" t="n">
        <f aca="false">IF(COUNTIFS($B$2:B1449,B1449,$C$2:C1449,C1449,$I$2:I1449,I1449)=1,1,0)</f>
        <v>0</v>
      </c>
      <c r="M1449" s="3" t="n">
        <f aca="false">IF(K1449&gt;=Parametri!$B$1,1,0)</f>
        <v>1</v>
      </c>
      <c r="N1449" s="3" t="n">
        <f aca="false">L1449*M1449</f>
        <v>0</v>
      </c>
    </row>
    <row r="1450" customFormat="false" ht="15" hidden="false" customHeight="false" outlineLevel="0" collapsed="false">
      <c r="A1450" s="0" t="s">
        <v>2444</v>
      </c>
      <c r="B1450" s="0" t="s">
        <v>17</v>
      </c>
      <c r="C1450" s="0" t="s">
        <v>2445</v>
      </c>
      <c r="D1450" s="0" t="s">
        <v>26</v>
      </c>
      <c r="E1450" s="2" t="n">
        <v>46231</v>
      </c>
      <c r="F1450" s="3" t="s">
        <v>20</v>
      </c>
      <c r="G1450" s="3" t="s">
        <v>39</v>
      </c>
      <c r="H1450" s="3" t="s">
        <v>48</v>
      </c>
      <c r="I1450" s="3" t="n">
        <f aca="false">YEAR(E1450)</f>
        <v>2026</v>
      </c>
      <c r="J1450" s="3" t="n">
        <f aca="false">MONTH(E1450)</f>
        <v>7</v>
      </c>
      <c r="K1450" s="3" t="n">
        <f aca="false">COUNTIFS($B$2:$B$4077,B1450,$C$2:$C$4077,C1450,$I$2:$I$4077,I1450)</f>
        <v>1</v>
      </c>
      <c r="L1450" s="3" t="n">
        <f aca="false">IF(COUNTIFS($B$2:B1450,B1450,$C$2:C1450,C1450,$I$2:I1450,I1450)=1,1,0)</f>
        <v>1</v>
      </c>
      <c r="M1450" s="3" t="n">
        <f aca="false">IF(K1450&gt;=Parametri!$B$1,1,0)</f>
        <v>0</v>
      </c>
      <c r="N1450" s="3" t="n">
        <f aca="false">L1450*M1450</f>
        <v>0</v>
      </c>
    </row>
    <row r="1451" customFormat="false" ht="15" hidden="false" customHeight="false" outlineLevel="0" collapsed="false">
      <c r="A1451" s="0" t="s">
        <v>2446</v>
      </c>
      <c r="B1451" s="0" t="s">
        <v>68</v>
      </c>
      <c r="C1451" s="0" t="s">
        <v>2447</v>
      </c>
      <c r="D1451" s="0" t="s">
        <v>19</v>
      </c>
      <c r="E1451" s="2" t="n">
        <v>46242</v>
      </c>
      <c r="F1451" s="3" t="s">
        <v>20</v>
      </c>
      <c r="G1451" s="3" t="s">
        <v>35</v>
      </c>
      <c r="H1451" s="3" t="s">
        <v>22</v>
      </c>
      <c r="I1451" s="3" t="n">
        <f aca="false">YEAR(E1451)</f>
        <v>2026</v>
      </c>
      <c r="J1451" s="3" t="n">
        <f aca="false">MONTH(E1451)</f>
        <v>8</v>
      </c>
      <c r="K1451" s="3" t="n">
        <f aca="false">COUNTIFS($B$2:$B$4077,B1451,$C$2:$C$4077,C1451,$I$2:$I$4077,I1451)</f>
        <v>1</v>
      </c>
      <c r="L1451" s="3" t="n">
        <f aca="false">IF(COUNTIFS($B$2:B1451,B1451,$C$2:C1451,C1451,$I$2:I1451,I1451)=1,1,0)</f>
        <v>1</v>
      </c>
      <c r="M1451" s="3" t="n">
        <f aca="false">IF(K1451&gt;=Parametri!$B$1,1,0)</f>
        <v>0</v>
      </c>
      <c r="N1451" s="3" t="n">
        <f aca="false">L1451*M1451</f>
        <v>0</v>
      </c>
    </row>
    <row r="1452" customFormat="false" ht="15" hidden="false" customHeight="false" outlineLevel="0" collapsed="false">
      <c r="A1452" s="0" t="s">
        <v>2448</v>
      </c>
      <c r="B1452" s="0" t="s">
        <v>31</v>
      </c>
      <c r="C1452" s="0" t="s">
        <v>108</v>
      </c>
      <c r="D1452" s="0" t="s">
        <v>38</v>
      </c>
      <c r="E1452" s="2" t="n">
        <v>46204</v>
      </c>
      <c r="F1452" s="3" t="s">
        <v>20</v>
      </c>
      <c r="G1452" s="3" t="s">
        <v>21</v>
      </c>
      <c r="H1452" s="3" t="s">
        <v>48</v>
      </c>
      <c r="I1452" s="3" t="n">
        <f aca="false">YEAR(E1452)</f>
        <v>2026</v>
      </c>
      <c r="J1452" s="3" t="n">
        <f aca="false">MONTH(E1452)</f>
        <v>7</v>
      </c>
      <c r="K1452" s="3" t="n">
        <f aca="false">COUNTIFS($B$2:$B$4077,B1452,$C$2:$C$4077,C1452,$I$2:$I$4077,I1452)</f>
        <v>1</v>
      </c>
      <c r="L1452" s="3" t="n">
        <f aca="false">IF(COUNTIFS($B$2:B1452,B1452,$C$2:C1452,C1452,$I$2:I1452,I1452)=1,1,0)</f>
        <v>1</v>
      </c>
      <c r="M1452" s="3" t="n">
        <f aca="false">IF(K1452&gt;=Parametri!$B$1,1,0)</f>
        <v>0</v>
      </c>
      <c r="N1452" s="3" t="n">
        <f aca="false">L1452*M1452</f>
        <v>0</v>
      </c>
    </row>
    <row r="1453" customFormat="false" ht="15" hidden="false" customHeight="false" outlineLevel="0" collapsed="false">
      <c r="A1453" s="0" t="s">
        <v>2449</v>
      </c>
      <c r="B1453" s="0" t="s">
        <v>50</v>
      </c>
      <c r="C1453" s="0" t="s">
        <v>1558</v>
      </c>
      <c r="D1453" s="0" t="s">
        <v>26</v>
      </c>
      <c r="E1453" s="2" t="n">
        <v>45729</v>
      </c>
      <c r="F1453" s="3" t="s">
        <v>20</v>
      </c>
      <c r="G1453" s="3" t="s">
        <v>72</v>
      </c>
      <c r="H1453" s="3" t="s">
        <v>29</v>
      </c>
      <c r="I1453" s="3" t="n">
        <f aca="false">YEAR(E1453)</f>
        <v>2025</v>
      </c>
      <c r="J1453" s="3" t="n">
        <f aca="false">MONTH(E1453)</f>
        <v>3</v>
      </c>
      <c r="K1453" s="3" t="n">
        <f aca="false">COUNTIFS($B$2:$B$4077,B1453,$C$2:$C$4077,C1453,$I$2:$I$4077,I1453)</f>
        <v>2</v>
      </c>
      <c r="L1453" s="3" t="n">
        <f aca="false">IF(COUNTIFS($B$2:B1453,B1453,$C$2:C1453,C1453,$I$2:I1453,I1453)=1,1,0)</f>
        <v>0</v>
      </c>
      <c r="M1453" s="3" t="n">
        <f aca="false">IF(K1453&gt;=Parametri!$B$1,1,0)</f>
        <v>1</v>
      </c>
      <c r="N1453" s="3" t="n">
        <f aca="false">L1453*M1453</f>
        <v>0</v>
      </c>
    </row>
    <row r="1454" customFormat="false" ht="15" hidden="false" customHeight="false" outlineLevel="0" collapsed="false">
      <c r="A1454" s="0" t="s">
        <v>2450</v>
      </c>
      <c r="B1454" s="0" t="s">
        <v>17</v>
      </c>
      <c r="C1454" s="0" t="s">
        <v>2451</v>
      </c>
      <c r="D1454" s="0" t="s">
        <v>38</v>
      </c>
      <c r="E1454" s="2" t="n">
        <v>45675</v>
      </c>
      <c r="F1454" s="3" t="s">
        <v>34</v>
      </c>
      <c r="G1454" s="3" t="s">
        <v>35</v>
      </c>
      <c r="H1454" s="3" t="s">
        <v>29</v>
      </c>
      <c r="I1454" s="3" t="n">
        <f aca="false">YEAR(E1454)</f>
        <v>2025</v>
      </c>
      <c r="J1454" s="3" t="n">
        <f aca="false">MONTH(E1454)</f>
        <v>1</v>
      </c>
      <c r="K1454" s="3" t="n">
        <f aca="false">COUNTIFS($B$2:$B$4077,B1454,$C$2:$C$4077,C1454,$I$2:$I$4077,I1454)</f>
        <v>1</v>
      </c>
      <c r="L1454" s="3" t="n">
        <f aca="false">IF(COUNTIFS($B$2:B1454,B1454,$C$2:C1454,C1454,$I$2:I1454,I1454)=1,1,0)</f>
        <v>1</v>
      </c>
      <c r="M1454" s="3" t="n">
        <f aca="false">IF(K1454&gt;=Parametri!$B$1,1,0)</f>
        <v>0</v>
      </c>
      <c r="N1454" s="3" t="n">
        <f aca="false">L1454*M1454</f>
        <v>0</v>
      </c>
    </row>
    <row r="1455" customFormat="false" ht="15" hidden="false" customHeight="false" outlineLevel="0" collapsed="false">
      <c r="A1455" s="0" t="s">
        <v>2452</v>
      </c>
      <c r="B1455" s="0" t="s">
        <v>31</v>
      </c>
      <c r="C1455" s="0" t="s">
        <v>1098</v>
      </c>
      <c r="D1455" s="0" t="s">
        <v>19</v>
      </c>
      <c r="E1455" s="2" t="n">
        <v>45953</v>
      </c>
      <c r="F1455" s="3" t="s">
        <v>27</v>
      </c>
      <c r="G1455" s="3" t="s">
        <v>43</v>
      </c>
      <c r="H1455" s="3" t="s">
        <v>29</v>
      </c>
      <c r="I1455" s="3" t="n">
        <f aca="false">YEAR(E1455)</f>
        <v>2025</v>
      </c>
      <c r="J1455" s="3" t="n">
        <f aca="false">MONTH(E1455)</f>
        <v>10</v>
      </c>
      <c r="K1455" s="3" t="n">
        <f aca="false">COUNTIFS($B$2:$B$4077,B1455,$C$2:$C$4077,C1455,$I$2:$I$4077,I1455)</f>
        <v>2</v>
      </c>
      <c r="L1455" s="3" t="n">
        <f aca="false">IF(COUNTIFS($B$2:B1455,B1455,$C$2:C1455,C1455,$I$2:I1455,I1455)=1,1,0)</f>
        <v>1</v>
      </c>
      <c r="M1455" s="3" t="n">
        <f aca="false">IF(K1455&gt;=Parametri!$B$1,1,0)</f>
        <v>1</v>
      </c>
      <c r="N1455" s="3" t="n">
        <f aca="false">L1455*M1455</f>
        <v>1</v>
      </c>
    </row>
    <row r="1456" customFormat="false" ht="15" hidden="false" customHeight="false" outlineLevel="0" collapsed="false">
      <c r="A1456" s="0" t="s">
        <v>2453</v>
      </c>
      <c r="B1456" s="0" t="s">
        <v>50</v>
      </c>
      <c r="C1456" s="0" t="s">
        <v>2454</v>
      </c>
      <c r="D1456" s="0" t="s">
        <v>77</v>
      </c>
      <c r="E1456" s="2" t="n">
        <v>45929</v>
      </c>
      <c r="F1456" s="3" t="s">
        <v>34</v>
      </c>
      <c r="G1456" s="3" t="s">
        <v>55</v>
      </c>
      <c r="H1456" s="3" t="s">
        <v>29</v>
      </c>
      <c r="I1456" s="3" t="n">
        <f aca="false">YEAR(E1456)</f>
        <v>2025</v>
      </c>
      <c r="J1456" s="3" t="n">
        <f aca="false">MONTH(E1456)</f>
        <v>9</v>
      </c>
      <c r="K1456" s="3" t="n">
        <f aca="false">COUNTIFS($B$2:$B$4077,B1456,$C$2:$C$4077,C1456,$I$2:$I$4077,I1456)</f>
        <v>1</v>
      </c>
      <c r="L1456" s="3" t="n">
        <f aca="false">IF(COUNTIFS($B$2:B1456,B1456,$C$2:C1456,C1456,$I$2:I1456,I1456)=1,1,0)</f>
        <v>1</v>
      </c>
      <c r="M1456" s="3" t="n">
        <f aca="false">IF(K1456&gt;=Parametri!$B$1,1,0)</f>
        <v>0</v>
      </c>
      <c r="N1456" s="3" t="n">
        <f aca="false">L1456*M1456</f>
        <v>0</v>
      </c>
    </row>
    <row r="1457" customFormat="false" ht="15" hidden="false" customHeight="false" outlineLevel="0" collapsed="false">
      <c r="A1457" s="0" t="s">
        <v>2455</v>
      </c>
      <c r="B1457" s="0" t="s">
        <v>68</v>
      </c>
      <c r="C1457" s="0" t="s">
        <v>2456</v>
      </c>
      <c r="D1457" s="0" t="s">
        <v>54</v>
      </c>
      <c r="E1457" s="2" t="n">
        <v>46170</v>
      </c>
      <c r="F1457" s="3" t="s">
        <v>27</v>
      </c>
      <c r="G1457" s="3" t="s">
        <v>43</v>
      </c>
      <c r="H1457" s="3" t="s">
        <v>29</v>
      </c>
      <c r="I1457" s="3" t="n">
        <f aca="false">YEAR(E1457)</f>
        <v>2026</v>
      </c>
      <c r="J1457" s="3" t="n">
        <f aca="false">MONTH(E1457)</f>
        <v>5</v>
      </c>
      <c r="K1457" s="3" t="n">
        <f aca="false">COUNTIFS($B$2:$B$4077,B1457,$C$2:$C$4077,C1457,$I$2:$I$4077,I1457)</f>
        <v>1</v>
      </c>
      <c r="L1457" s="3" t="n">
        <f aca="false">IF(COUNTIFS($B$2:B1457,B1457,$C$2:C1457,C1457,$I$2:I1457,I1457)=1,1,0)</f>
        <v>1</v>
      </c>
      <c r="M1457" s="3" t="n">
        <f aca="false">IF(K1457&gt;=Parametri!$B$1,1,0)</f>
        <v>0</v>
      </c>
      <c r="N1457" s="3" t="n">
        <f aca="false">L1457*M1457</f>
        <v>0</v>
      </c>
    </row>
    <row r="1458" customFormat="false" ht="15" hidden="false" customHeight="false" outlineLevel="0" collapsed="false">
      <c r="A1458" s="0" t="s">
        <v>2457</v>
      </c>
      <c r="B1458" s="0" t="s">
        <v>68</v>
      </c>
      <c r="C1458" s="0" t="s">
        <v>2456</v>
      </c>
      <c r="D1458" s="0" t="s">
        <v>77</v>
      </c>
      <c r="E1458" s="2" t="n">
        <v>46012</v>
      </c>
      <c r="F1458" s="3" t="s">
        <v>34</v>
      </c>
      <c r="G1458" s="3" t="s">
        <v>21</v>
      </c>
      <c r="H1458" s="3" t="s">
        <v>29</v>
      </c>
      <c r="I1458" s="3" t="n">
        <f aca="false">YEAR(E1458)</f>
        <v>2025</v>
      </c>
      <c r="J1458" s="3" t="n">
        <f aca="false">MONTH(E1458)</f>
        <v>12</v>
      </c>
      <c r="K1458" s="3" t="n">
        <f aca="false">COUNTIFS($B$2:$B$4077,B1458,$C$2:$C$4077,C1458,$I$2:$I$4077,I1458)</f>
        <v>1</v>
      </c>
      <c r="L1458" s="3" t="n">
        <f aca="false">IF(COUNTIFS($B$2:B1458,B1458,$C$2:C1458,C1458,$I$2:I1458,I1458)=1,1,0)</f>
        <v>1</v>
      </c>
      <c r="M1458" s="3" t="n">
        <f aca="false">IF(K1458&gt;=Parametri!$B$1,1,0)</f>
        <v>0</v>
      </c>
      <c r="N1458" s="3" t="n">
        <f aca="false">L1458*M1458</f>
        <v>0</v>
      </c>
    </row>
    <row r="1459" customFormat="false" ht="15" hidden="false" customHeight="false" outlineLevel="0" collapsed="false">
      <c r="A1459" s="0" t="s">
        <v>2458</v>
      </c>
      <c r="B1459" s="0" t="s">
        <v>31</v>
      </c>
      <c r="C1459" s="0" t="s">
        <v>2459</v>
      </c>
      <c r="D1459" s="0" t="s">
        <v>63</v>
      </c>
      <c r="E1459" s="2" t="n">
        <v>45574</v>
      </c>
      <c r="F1459" s="3" t="s">
        <v>20</v>
      </c>
      <c r="G1459" s="3" t="s">
        <v>55</v>
      </c>
      <c r="H1459" s="3" t="s">
        <v>22</v>
      </c>
      <c r="I1459" s="3" t="n">
        <f aca="false">YEAR(E1459)</f>
        <v>2024</v>
      </c>
      <c r="J1459" s="3" t="n">
        <f aca="false">MONTH(E1459)</f>
        <v>10</v>
      </c>
      <c r="K1459" s="3" t="n">
        <f aca="false">COUNTIFS($B$2:$B$4077,B1459,$C$2:$C$4077,C1459,$I$2:$I$4077,I1459)</f>
        <v>1</v>
      </c>
      <c r="L1459" s="3" t="n">
        <f aca="false">IF(COUNTIFS($B$2:B1459,B1459,$C$2:C1459,C1459,$I$2:I1459,I1459)=1,1,0)</f>
        <v>1</v>
      </c>
      <c r="M1459" s="3" t="n">
        <f aca="false">IF(K1459&gt;=Parametri!$B$1,1,0)</f>
        <v>0</v>
      </c>
      <c r="N1459" s="3" t="n">
        <f aca="false">L1459*M1459</f>
        <v>0</v>
      </c>
    </row>
    <row r="1460" customFormat="false" ht="15" hidden="false" customHeight="false" outlineLevel="0" collapsed="false">
      <c r="A1460" s="0" t="s">
        <v>2460</v>
      </c>
      <c r="B1460" s="0" t="s">
        <v>24</v>
      </c>
      <c r="C1460" s="0" t="s">
        <v>82</v>
      </c>
      <c r="D1460" s="0" t="s">
        <v>26</v>
      </c>
      <c r="E1460" s="2" t="n">
        <v>45592</v>
      </c>
      <c r="F1460" s="3" t="s">
        <v>34</v>
      </c>
      <c r="G1460" s="3" t="s">
        <v>55</v>
      </c>
      <c r="H1460" s="3" t="s">
        <v>48</v>
      </c>
      <c r="I1460" s="3" t="n">
        <f aca="false">YEAR(E1460)</f>
        <v>2024</v>
      </c>
      <c r="J1460" s="3" t="n">
        <f aca="false">MONTH(E1460)</f>
        <v>10</v>
      </c>
      <c r="K1460" s="3" t="n">
        <f aca="false">COUNTIFS($B$2:$B$4077,B1460,$C$2:$C$4077,C1460,$I$2:$I$4077,I1460)</f>
        <v>6</v>
      </c>
      <c r="L1460" s="3" t="n">
        <f aca="false">IF(COUNTIFS($B$2:B1460,B1460,$C$2:C1460,C1460,$I$2:I1460,I1460)=1,1,0)</f>
        <v>0</v>
      </c>
      <c r="M1460" s="3" t="n">
        <f aca="false">IF(K1460&gt;=Parametri!$B$1,1,0)</f>
        <v>1</v>
      </c>
      <c r="N1460" s="3" t="n">
        <f aca="false">L1460*M1460</f>
        <v>0</v>
      </c>
    </row>
    <row r="1461" customFormat="false" ht="15" hidden="false" customHeight="false" outlineLevel="0" collapsed="false">
      <c r="A1461" s="0" t="s">
        <v>2461</v>
      </c>
      <c r="B1461" s="0" t="s">
        <v>41</v>
      </c>
      <c r="C1461" s="0" t="s">
        <v>1536</v>
      </c>
      <c r="D1461" s="0" t="s">
        <v>19</v>
      </c>
      <c r="E1461" s="2" t="n">
        <v>45951</v>
      </c>
      <c r="F1461" s="3" t="s">
        <v>27</v>
      </c>
      <c r="G1461" s="3" t="s">
        <v>104</v>
      </c>
      <c r="H1461" s="3" t="s">
        <v>104</v>
      </c>
      <c r="I1461" s="3" t="n">
        <f aca="false">YEAR(E1461)</f>
        <v>2025</v>
      </c>
      <c r="J1461" s="3" t="n">
        <f aca="false">MONTH(E1461)</f>
        <v>10</v>
      </c>
      <c r="K1461" s="3" t="n">
        <f aca="false">COUNTIFS($B$2:$B$4077,B1461,$C$2:$C$4077,C1461,$I$2:$I$4077,I1461)</f>
        <v>2</v>
      </c>
      <c r="L1461" s="3" t="n">
        <f aca="false">IF(COUNTIFS($B$2:B1461,B1461,$C$2:C1461,C1461,$I$2:I1461,I1461)=1,1,0)</f>
        <v>0</v>
      </c>
      <c r="M1461" s="3" t="n">
        <f aca="false">IF(K1461&gt;=Parametri!$B$1,1,0)</f>
        <v>1</v>
      </c>
      <c r="N1461" s="3" t="n">
        <f aca="false">L1461*M1461</f>
        <v>0</v>
      </c>
    </row>
    <row r="1462" customFormat="false" ht="15" hidden="false" customHeight="false" outlineLevel="0" collapsed="false">
      <c r="A1462" s="0" t="s">
        <v>2462</v>
      </c>
      <c r="B1462" s="0" t="s">
        <v>31</v>
      </c>
      <c r="C1462" s="0" t="s">
        <v>1602</v>
      </c>
      <c r="D1462" s="0" t="s">
        <v>19</v>
      </c>
      <c r="E1462" s="2" t="n">
        <v>45666</v>
      </c>
      <c r="F1462" s="3" t="s">
        <v>20</v>
      </c>
      <c r="G1462" s="3" t="s">
        <v>43</v>
      </c>
      <c r="H1462" s="3" t="s">
        <v>29</v>
      </c>
      <c r="I1462" s="3" t="n">
        <f aca="false">YEAR(E1462)</f>
        <v>2025</v>
      </c>
      <c r="J1462" s="3" t="n">
        <f aca="false">MONTH(E1462)</f>
        <v>1</v>
      </c>
      <c r="K1462" s="3" t="n">
        <f aca="false">COUNTIFS($B$2:$B$4077,B1462,$C$2:$C$4077,C1462,$I$2:$I$4077,I1462)</f>
        <v>1</v>
      </c>
      <c r="L1462" s="3" t="n">
        <f aca="false">IF(COUNTIFS($B$2:B1462,B1462,$C$2:C1462,C1462,$I$2:I1462,I1462)=1,1,0)</f>
        <v>1</v>
      </c>
      <c r="M1462" s="3" t="n">
        <f aca="false">IF(K1462&gt;=Parametri!$B$1,1,0)</f>
        <v>0</v>
      </c>
      <c r="N1462" s="3" t="n">
        <f aca="false">L1462*M1462</f>
        <v>0</v>
      </c>
    </row>
    <row r="1463" customFormat="false" ht="15" hidden="false" customHeight="false" outlineLevel="0" collapsed="false">
      <c r="A1463" s="0" t="s">
        <v>2463</v>
      </c>
      <c r="B1463" s="0" t="s">
        <v>124</v>
      </c>
      <c r="C1463" s="0" t="s">
        <v>2317</v>
      </c>
      <c r="D1463" s="0" t="s">
        <v>54</v>
      </c>
      <c r="E1463" s="2" t="n">
        <v>45771</v>
      </c>
      <c r="F1463" s="3" t="s">
        <v>34</v>
      </c>
      <c r="G1463" s="3" t="s">
        <v>72</v>
      </c>
      <c r="H1463" s="3" t="s">
        <v>44</v>
      </c>
      <c r="I1463" s="3" t="n">
        <f aca="false">YEAR(E1463)</f>
        <v>2025</v>
      </c>
      <c r="J1463" s="3" t="n">
        <f aca="false">MONTH(E1463)</f>
        <v>4</v>
      </c>
      <c r="K1463" s="3" t="n">
        <f aca="false">COUNTIFS($B$2:$B$4077,B1463,$C$2:$C$4077,C1463,$I$2:$I$4077,I1463)</f>
        <v>2</v>
      </c>
      <c r="L1463" s="3" t="n">
        <f aca="false">IF(COUNTIFS($B$2:B1463,B1463,$C$2:C1463,C1463,$I$2:I1463,I1463)=1,1,0)</f>
        <v>0</v>
      </c>
      <c r="M1463" s="3" t="n">
        <f aca="false">IF(K1463&gt;=Parametri!$B$1,1,0)</f>
        <v>1</v>
      </c>
      <c r="N1463" s="3" t="n">
        <f aca="false">L1463*M1463</f>
        <v>0</v>
      </c>
    </row>
    <row r="1464" customFormat="false" ht="15" hidden="false" customHeight="false" outlineLevel="0" collapsed="false">
      <c r="A1464" s="0" t="s">
        <v>2464</v>
      </c>
      <c r="B1464" s="0" t="s">
        <v>41</v>
      </c>
      <c r="C1464" s="0" t="s">
        <v>2465</v>
      </c>
      <c r="D1464" s="0" t="s">
        <v>63</v>
      </c>
      <c r="E1464" s="2" t="n">
        <v>46074</v>
      </c>
      <c r="F1464" s="3" t="s">
        <v>20</v>
      </c>
      <c r="G1464" s="3" t="s">
        <v>43</v>
      </c>
      <c r="H1464" s="3" t="s">
        <v>48</v>
      </c>
      <c r="I1464" s="3" t="n">
        <f aca="false">YEAR(E1464)</f>
        <v>2026</v>
      </c>
      <c r="J1464" s="3" t="n">
        <f aca="false">MONTH(E1464)</f>
        <v>2</v>
      </c>
      <c r="K1464" s="3" t="n">
        <f aca="false">COUNTIFS($B$2:$B$4077,B1464,$C$2:$C$4077,C1464,$I$2:$I$4077,I1464)</f>
        <v>1</v>
      </c>
      <c r="L1464" s="3" t="n">
        <f aca="false">IF(COUNTIFS($B$2:B1464,B1464,$C$2:C1464,C1464,$I$2:I1464,I1464)=1,1,0)</f>
        <v>1</v>
      </c>
      <c r="M1464" s="3" t="n">
        <f aca="false">IF(K1464&gt;=Parametri!$B$1,1,0)</f>
        <v>0</v>
      </c>
      <c r="N1464" s="3" t="n">
        <f aca="false">L1464*M1464</f>
        <v>0</v>
      </c>
    </row>
    <row r="1465" customFormat="false" ht="15" hidden="false" customHeight="false" outlineLevel="0" collapsed="false">
      <c r="A1465" s="0" t="s">
        <v>2466</v>
      </c>
      <c r="B1465" s="0" t="s">
        <v>124</v>
      </c>
      <c r="C1465" s="0" t="s">
        <v>2467</v>
      </c>
      <c r="D1465" s="0" t="s">
        <v>77</v>
      </c>
      <c r="E1465" s="2" t="n">
        <v>45773</v>
      </c>
      <c r="F1465" s="3" t="s">
        <v>34</v>
      </c>
      <c r="G1465" s="3" t="s">
        <v>55</v>
      </c>
      <c r="H1465" s="3" t="s">
        <v>29</v>
      </c>
      <c r="I1465" s="3" t="n">
        <f aca="false">YEAR(E1465)</f>
        <v>2025</v>
      </c>
      <c r="J1465" s="3" t="n">
        <f aca="false">MONTH(E1465)</f>
        <v>4</v>
      </c>
      <c r="K1465" s="3" t="n">
        <f aca="false">COUNTIFS($B$2:$B$4077,B1465,$C$2:$C$4077,C1465,$I$2:$I$4077,I1465)</f>
        <v>1</v>
      </c>
      <c r="L1465" s="3" t="n">
        <f aca="false">IF(COUNTIFS($B$2:B1465,B1465,$C$2:C1465,C1465,$I$2:I1465,I1465)=1,1,0)</f>
        <v>1</v>
      </c>
      <c r="M1465" s="3" t="n">
        <f aca="false">IF(K1465&gt;=Parametri!$B$1,1,0)</f>
        <v>0</v>
      </c>
      <c r="N1465" s="3" t="n">
        <f aca="false">L1465*M1465</f>
        <v>0</v>
      </c>
    </row>
    <row r="1466" customFormat="false" ht="15" hidden="false" customHeight="false" outlineLevel="0" collapsed="false">
      <c r="A1466" s="0" t="s">
        <v>2468</v>
      </c>
      <c r="B1466" s="0" t="s">
        <v>57</v>
      </c>
      <c r="C1466" s="0" t="s">
        <v>442</v>
      </c>
      <c r="D1466" s="0" t="s">
        <v>33</v>
      </c>
      <c r="E1466" s="2" t="n">
        <v>45889</v>
      </c>
      <c r="F1466" s="3" t="s">
        <v>20</v>
      </c>
      <c r="G1466" s="3" t="s">
        <v>21</v>
      </c>
      <c r="H1466" s="3" t="s">
        <v>22</v>
      </c>
      <c r="I1466" s="3" t="n">
        <f aca="false">YEAR(E1466)</f>
        <v>2025</v>
      </c>
      <c r="J1466" s="3" t="n">
        <f aca="false">MONTH(E1466)</f>
        <v>8</v>
      </c>
      <c r="K1466" s="3" t="n">
        <f aca="false">COUNTIFS($B$2:$B$4077,B1466,$C$2:$C$4077,C1466,$I$2:$I$4077,I1466)</f>
        <v>3</v>
      </c>
      <c r="L1466" s="3" t="n">
        <f aca="false">IF(COUNTIFS($B$2:B1466,B1466,$C$2:C1466,C1466,$I$2:I1466,I1466)=1,1,0)</f>
        <v>1</v>
      </c>
      <c r="M1466" s="3" t="n">
        <f aca="false">IF(K1466&gt;=Parametri!$B$1,1,0)</f>
        <v>1</v>
      </c>
      <c r="N1466" s="3" t="n">
        <f aca="false">L1466*M1466</f>
        <v>1</v>
      </c>
    </row>
    <row r="1467" customFormat="false" ht="15" hidden="false" customHeight="false" outlineLevel="0" collapsed="false">
      <c r="A1467" s="0" t="s">
        <v>2469</v>
      </c>
      <c r="B1467" s="0" t="s">
        <v>24</v>
      </c>
      <c r="C1467" s="0" t="s">
        <v>2470</v>
      </c>
      <c r="D1467" s="0" t="s">
        <v>54</v>
      </c>
      <c r="E1467" s="2" t="n">
        <v>45544</v>
      </c>
      <c r="F1467" s="3" t="s">
        <v>20</v>
      </c>
      <c r="G1467" s="3" t="s">
        <v>21</v>
      </c>
      <c r="H1467" s="3" t="s">
        <v>48</v>
      </c>
      <c r="I1467" s="3" t="n">
        <f aca="false">YEAR(E1467)</f>
        <v>2024</v>
      </c>
      <c r="J1467" s="3" t="n">
        <f aca="false">MONTH(E1467)</f>
        <v>9</v>
      </c>
      <c r="K1467" s="3" t="n">
        <f aca="false">COUNTIFS($B$2:$B$4077,B1467,$C$2:$C$4077,C1467,$I$2:$I$4077,I1467)</f>
        <v>2</v>
      </c>
      <c r="L1467" s="3" t="n">
        <f aca="false">IF(COUNTIFS($B$2:B1467,B1467,$C$2:C1467,C1467,$I$2:I1467,I1467)=1,1,0)</f>
        <v>1</v>
      </c>
      <c r="M1467" s="3" t="n">
        <f aca="false">IF(K1467&gt;=Parametri!$B$1,1,0)</f>
        <v>1</v>
      </c>
      <c r="N1467" s="3" t="n">
        <f aca="false">L1467*M1467</f>
        <v>1</v>
      </c>
    </row>
    <row r="1468" customFormat="false" ht="15" hidden="false" customHeight="false" outlineLevel="0" collapsed="false">
      <c r="A1468" s="0" t="s">
        <v>2471</v>
      </c>
      <c r="B1468" s="0" t="s">
        <v>46</v>
      </c>
      <c r="C1468" s="0" t="s">
        <v>1228</v>
      </c>
      <c r="D1468" s="0" t="s">
        <v>38</v>
      </c>
      <c r="E1468" s="2" t="n">
        <v>45456</v>
      </c>
      <c r="F1468" s="3" t="s">
        <v>20</v>
      </c>
      <c r="G1468" s="3" t="s">
        <v>72</v>
      </c>
      <c r="H1468" s="3" t="s">
        <v>48</v>
      </c>
      <c r="I1468" s="3" t="n">
        <f aca="false">YEAR(E1468)</f>
        <v>2024</v>
      </c>
      <c r="J1468" s="3" t="n">
        <f aca="false">MONTH(E1468)</f>
        <v>6</v>
      </c>
      <c r="K1468" s="3" t="n">
        <f aca="false">COUNTIFS($B$2:$B$4077,B1468,$C$2:$C$4077,C1468,$I$2:$I$4077,I1468)</f>
        <v>5</v>
      </c>
      <c r="L1468" s="3" t="n">
        <f aca="false">IF(COUNTIFS($B$2:B1468,B1468,$C$2:C1468,C1468,$I$2:I1468,I1468)=1,1,0)</f>
        <v>0</v>
      </c>
      <c r="M1468" s="3" t="n">
        <f aca="false">IF(K1468&gt;=Parametri!$B$1,1,0)</f>
        <v>1</v>
      </c>
      <c r="N1468" s="3" t="n">
        <f aca="false">L1468*M1468</f>
        <v>0</v>
      </c>
    </row>
    <row r="1469" customFormat="false" ht="15" hidden="false" customHeight="false" outlineLevel="0" collapsed="false">
      <c r="A1469" s="0" t="s">
        <v>2472</v>
      </c>
      <c r="B1469" s="0" t="s">
        <v>17</v>
      </c>
      <c r="C1469" s="0" t="s">
        <v>60</v>
      </c>
      <c r="D1469" s="0" t="s">
        <v>38</v>
      </c>
      <c r="E1469" s="2" t="n">
        <v>45627</v>
      </c>
      <c r="F1469" s="3" t="s">
        <v>20</v>
      </c>
      <c r="G1469" s="3" t="s">
        <v>43</v>
      </c>
      <c r="H1469" s="3" t="s">
        <v>22</v>
      </c>
      <c r="I1469" s="3" t="n">
        <f aca="false">YEAR(E1469)</f>
        <v>2024</v>
      </c>
      <c r="J1469" s="3" t="n">
        <f aca="false">MONTH(E1469)</f>
        <v>12</v>
      </c>
      <c r="K1469" s="3" t="n">
        <f aca="false">COUNTIFS($B$2:$B$4077,B1469,$C$2:$C$4077,C1469,$I$2:$I$4077,I1469)</f>
        <v>4</v>
      </c>
      <c r="L1469" s="3" t="n">
        <f aca="false">IF(COUNTIFS($B$2:B1469,B1469,$C$2:C1469,C1469,$I$2:I1469,I1469)=1,1,0)</f>
        <v>0</v>
      </c>
      <c r="M1469" s="3" t="n">
        <f aca="false">IF(K1469&gt;=Parametri!$B$1,1,0)</f>
        <v>1</v>
      </c>
      <c r="N1469" s="3" t="n">
        <f aca="false">L1469*M1469</f>
        <v>0</v>
      </c>
    </row>
    <row r="1470" customFormat="false" ht="15" hidden="false" customHeight="false" outlineLevel="0" collapsed="false">
      <c r="A1470" s="0" t="s">
        <v>2473</v>
      </c>
      <c r="B1470" s="0" t="s">
        <v>68</v>
      </c>
      <c r="C1470" s="0" t="s">
        <v>2474</v>
      </c>
      <c r="D1470" s="0" t="s">
        <v>38</v>
      </c>
      <c r="E1470" s="2" t="n">
        <v>45324</v>
      </c>
      <c r="F1470" s="3" t="s">
        <v>20</v>
      </c>
      <c r="G1470" s="3" t="s">
        <v>89</v>
      </c>
      <c r="H1470" s="3" t="s">
        <v>44</v>
      </c>
      <c r="I1470" s="3" t="n">
        <f aca="false">YEAR(E1470)</f>
        <v>2024</v>
      </c>
      <c r="J1470" s="3" t="n">
        <f aca="false">MONTH(E1470)</f>
        <v>2</v>
      </c>
      <c r="K1470" s="3" t="n">
        <f aca="false">COUNTIFS($B$2:$B$4077,B1470,$C$2:$C$4077,C1470,$I$2:$I$4077,I1470)</f>
        <v>1</v>
      </c>
      <c r="L1470" s="3" t="n">
        <f aca="false">IF(COUNTIFS($B$2:B1470,B1470,$C$2:C1470,C1470,$I$2:I1470,I1470)=1,1,0)</f>
        <v>1</v>
      </c>
      <c r="M1470" s="3" t="n">
        <f aca="false">IF(K1470&gt;=Parametri!$B$1,1,0)</f>
        <v>0</v>
      </c>
      <c r="N1470" s="3" t="n">
        <f aca="false">L1470*M1470</f>
        <v>0</v>
      </c>
    </row>
    <row r="1471" customFormat="false" ht="15" hidden="false" customHeight="false" outlineLevel="0" collapsed="false">
      <c r="A1471" s="0" t="s">
        <v>2475</v>
      </c>
      <c r="B1471" s="0" t="s">
        <v>46</v>
      </c>
      <c r="C1471" s="0" t="s">
        <v>2476</v>
      </c>
      <c r="D1471" s="0" t="s">
        <v>33</v>
      </c>
      <c r="E1471" s="2" t="n">
        <v>45581</v>
      </c>
      <c r="F1471" s="3" t="s">
        <v>27</v>
      </c>
      <c r="G1471" s="3" t="s">
        <v>89</v>
      </c>
      <c r="H1471" s="3" t="s">
        <v>29</v>
      </c>
      <c r="I1471" s="3" t="n">
        <f aca="false">YEAR(E1471)</f>
        <v>2024</v>
      </c>
      <c r="J1471" s="3" t="n">
        <f aca="false">MONTH(E1471)</f>
        <v>10</v>
      </c>
      <c r="K1471" s="3" t="n">
        <f aca="false">COUNTIFS($B$2:$B$4077,B1471,$C$2:$C$4077,C1471,$I$2:$I$4077,I1471)</f>
        <v>1</v>
      </c>
      <c r="L1471" s="3" t="n">
        <f aca="false">IF(COUNTIFS($B$2:B1471,B1471,$C$2:C1471,C1471,$I$2:I1471,I1471)=1,1,0)</f>
        <v>1</v>
      </c>
      <c r="M1471" s="3" t="n">
        <f aca="false">IF(K1471&gt;=Parametri!$B$1,1,0)</f>
        <v>0</v>
      </c>
      <c r="N1471" s="3" t="n">
        <f aca="false">L1471*M1471</f>
        <v>0</v>
      </c>
    </row>
    <row r="1472" customFormat="false" ht="15" hidden="false" customHeight="false" outlineLevel="0" collapsed="false">
      <c r="A1472" s="0" t="s">
        <v>2477</v>
      </c>
      <c r="B1472" s="0" t="s">
        <v>17</v>
      </c>
      <c r="C1472" s="0" t="s">
        <v>2478</v>
      </c>
      <c r="D1472" s="0" t="s">
        <v>26</v>
      </c>
      <c r="E1472" s="2" t="n">
        <v>45567</v>
      </c>
      <c r="F1472" s="3" t="s">
        <v>27</v>
      </c>
      <c r="G1472" s="3" t="s">
        <v>21</v>
      </c>
      <c r="H1472" s="3" t="s">
        <v>29</v>
      </c>
      <c r="I1472" s="3" t="n">
        <f aca="false">YEAR(E1472)</f>
        <v>2024</v>
      </c>
      <c r="J1472" s="3" t="n">
        <f aca="false">MONTH(E1472)</f>
        <v>10</v>
      </c>
      <c r="K1472" s="3" t="n">
        <f aca="false">COUNTIFS($B$2:$B$4077,B1472,$C$2:$C$4077,C1472,$I$2:$I$4077,I1472)</f>
        <v>3</v>
      </c>
      <c r="L1472" s="3" t="n">
        <f aca="false">IF(COUNTIFS($B$2:B1472,B1472,$C$2:C1472,C1472,$I$2:I1472,I1472)=1,1,0)</f>
        <v>1</v>
      </c>
      <c r="M1472" s="3" t="n">
        <f aca="false">IF(K1472&gt;=Parametri!$B$1,1,0)</f>
        <v>1</v>
      </c>
      <c r="N1472" s="3" t="n">
        <f aca="false">L1472*M1472</f>
        <v>1</v>
      </c>
    </row>
    <row r="1473" customFormat="false" ht="15" hidden="false" customHeight="false" outlineLevel="0" collapsed="false">
      <c r="A1473" s="0" t="s">
        <v>2479</v>
      </c>
      <c r="B1473" s="0" t="s">
        <v>124</v>
      </c>
      <c r="C1473" s="0" t="s">
        <v>1346</v>
      </c>
      <c r="D1473" s="0" t="s">
        <v>77</v>
      </c>
      <c r="E1473" s="2" t="n">
        <v>45389</v>
      </c>
      <c r="F1473" s="3" t="s">
        <v>20</v>
      </c>
      <c r="G1473" s="3" t="s">
        <v>89</v>
      </c>
      <c r="H1473" s="3" t="s">
        <v>44</v>
      </c>
      <c r="I1473" s="3" t="n">
        <f aca="false">YEAR(E1473)</f>
        <v>2024</v>
      </c>
      <c r="J1473" s="3" t="n">
        <f aca="false">MONTH(E1473)</f>
        <v>4</v>
      </c>
      <c r="K1473" s="3" t="n">
        <f aca="false">COUNTIFS($B$2:$B$4077,B1473,$C$2:$C$4077,C1473,$I$2:$I$4077,I1473)</f>
        <v>1</v>
      </c>
      <c r="L1473" s="3" t="n">
        <f aca="false">IF(COUNTIFS($B$2:B1473,B1473,$C$2:C1473,C1473,$I$2:I1473,I1473)=1,1,0)</f>
        <v>1</v>
      </c>
      <c r="M1473" s="3" t="n">
        <f aca="false">IF(K1473&gt;=Parametri!$B$1,1,0)</f>
        <v>0</v>
      </c>
      <c r="N1473" s="3" t="n">
        <f aca="false">L1473*M1473</f>
        <v>0</v>
      </c>
    </row>
    <row r="1474" customFormat="false" ht="15" hidden="false" customHeight="false" outlineLevel="0" collapsed="false">
      <c r="A1474" s="0" t="s">
        <v>2480</v>
      </c>
      <c r="B1474" s="0" t="s">
        <v>46</v>
      </c>
      <c r="C1474" s="0" t="s">
        <v>2244</v>
      </c>
      <c r="D1474" s="0" t="s">
        <v>63</v>
      </c>
      <c r="E1474" s="2" t="n">
        <v>46174</v>
      </c>
      <c r="F1474" s="3" t="s">
        <v>20</v>
      </c>
      <c r="G1474" s="3" t="s">
        <v>28</v>
      </c>
      <c r="H1474" s="3" t="s">
        <v>29</v>
      </c>
      <c r="I1474" s="3" t="n">
        <f aca="false">YEAR(E1474)</f>
        <v>2026</v>
      </c>
      <c r="J1474" s="3" t="n">
        <f aca="false">MONTH(E1474)</f>
        <v>6</v>
      </c>
      <c r="K1474" s="3" t="n">
        <f aca="false">COUNTIFS($B$2:$B$4077,B1474,$C$2:$C$4077,C1474,$I$2:$I$4077,I1474)</f>
        <v>2</v>
      </c>
      <c r="L1474" s="3" t="n">
        <f aca="false">IF(COUNTIFS($B$2:B1474,B1474,$C$2:C1474,C1474,$I$2:I1474,I1474)=1,1,0)</f>
        <v>1</v>
      </c>
      <c r="M1474" s="3" t="n">
        <f aca="false">IF(K1474&gt;=Parametri!$B$1,1,0)</f>
        <v>1</v>
      </c>
      <c r="N1474" s="3" t="n">
        <f aca="false">L1474*M1474</f>
        <v>1</v>
      </c>
    </row>
    <row r="1475" customFormat="false" ht="15" hidden="false" customHeight="false" outlineLevel="0" collapsed="false">
      <c r="A1475" s="0" t="s">
        <v>2481</v>
      </c>
      <c r="B1475" s="0" t="s">
        <v>31</v>
      </c>
      <c r="C1475" s="0" t="s">
        <v>1804</v>
      </c>
      <c r="D1475" s="0" t="s">
        <v>38</v>
      </c>
      <c r="E1475" s="2" t="n">
        <v>45527</v>
      </c>
      <c r="F1475" s="3" t="s">
        <v>20</v>
      </c>
      <c r="G1475" s="3" t="s">
        <v>39</v>
      </c>
      <c r="H1475" s="3" t="s">
        <v>22</v>
      </c>
      <c r="I1475" s="3" t="n">
        <f aca="false">YEAR(E1475)</f>
        <v>2024</v>
      </c>
      <c r="J1475" s="3" t="n">
        <f aca="false">MONTH(E1475)</f>
        <v>8</v>
      </c>
      <c r="K1475" s="3" t="n">
        <f aca="false">COUNTIFS($B$2:$B$4077,B1475,$C$2:$C$4077,C1475,$I$2:$I$4077,I1475)</f>
        <v>1</v>
      </c>
      <c r="L1475" s="3" t="n">
        <f aca="false">IF(COUNTIFS($B$2:B1475,B1475,$C$2:C1475,C1475,$I$2:I1475,I1475)=1,1,0)</f>
        <v>1</v>
      </c>
      <c r="M1475" s="3" t="n">
        <f aca="false">IF(K1475&gt;=Parametri!$B$1,1,0)</f>
        <v>0</v>
      </c>
      <c r="N1475" s="3" t="n">
        <f aca="false">L1475*M1475</f>
        <v>0</v>
      </c>
    </row>
    <row r="1476" customFormat="false" ht="15" hidden="false" customHeight="false" outlineLevel="0" collapsed="false">
      <c r="A1476" s="0" t="s">
        <v>2482</v>
      </c>
      <c r="B1476" s="0" t="s">
        <v>50</v>
      </c>
      <c r="C1476" s="0" t="s">
        <v>2483</v>
      </c>
      <c r="D1476" s="0" t="s">
        <v>38</v>
      </c>
      <c r="E1476" s="2" t="n">
        <v>45949</v>
      </c>
      <c r="F1476" s="3" t="s">
        <v>34</v>
      </c>
      <c r="G1476" s="3" t="s">
        <v>43</v>
      </c>
      <c r="H1476" s="3" t="s">
        <v>22</v>
      </c>
      <c r="I1476" s="3" t="n">
        <f aca="false">YEAR(E1476)</f>
        <v>2025</v>
      </c>
      <c r="J1476" s="3" t="n">
        <f aca="false">MONTH(E1476)</f>
        <v>10</v>
      </c>
      <c r="K1476" s="3" t="n">
        <f aca="false">COUNTIFS($B$2:$B$4077,B1476,$C$2:$C$4077,C1476,$I$2:$I$4077,I1476)</f>
        <v>1</v>
      </c>
      <c r="L1476" s="3" t="n">
        <f aca="false">IF(COUNTIFS($B$2:B1476,B1476,$C$2:C1476,C1476,$I$2:I1476,I1476)=1,1,0)</f>
        <v>1</v>
      </c>
      <c r="M1476" s="3" t="n">
        <f aca="false">IF(K1476&gt;=Parametri!$B$1,1,0)</f>
        <v>0</v>
      </c>
      <c r="N1476" s="3" t="n">
        <f aca="false">L1476*M1476</f>
        <v>0</v>
      </c>
    </row>
    <row r="1477" customFormat="false" ht="15" hidden="false" customHeight="false" outlineLevel="0" collapsed="false">
      <c r="A1477" s="0" t="s">
        <v>2484</v>
      </c>
      <c r="B1477" s="0" t="s">
        <v>17</v>
      </c>
      <c r="C1477" s="0" t="s">
        <v>552</v>
      </c>
      <c r="D1477" s="0" t="s">
        <v>26</v>
      </c>
      <c r="E1477" s="2" t="n">
        <v>45716</v>
      </c>
      <c r="F1477" s="3" t="s">
        <v>20</v>
      </c>
      <c r="G1477" s="3" t="s">
        <v>55</v>
      </c>
      <c r="H1477" s="3" t="s">
        <v>44</v>
      </c>
      <c r="I1477" s="3" t="n">
        <f aca="false">YEAR(E1477)</f>
        <v>2025</v>
      </c>
      <c r="J1477" s="3" t="n">
        <f aca="false">MONTH(E1477)</f>
        <v>2</v>
      </c>
      <c r="K1477" s="3" t="n">
        <f aca="false">COUNTIFS($B$2:$B$4077,B1477,$C$2:$C$4077,C1477,$I$2:$I$4077,I1477)</f>
        <v>3</v>
      </c>
      <c r="L1477" s="3" t="n">
        <f aca="false">IF(COUNTIFS($B$2:B1477,B1477,$C$2:C1477,C1477,$I$2:I1477,I1477)=1,1,0)</f>
        <v>0</v>
      </c>
      <c r="M1477" s="3" t="n">
        <f aca="false">IF(K1477&gt;=Parametri!$B$1,1,0)</f>
        <v>1</v>
      </c>
      <c r="N1477" s="3" t="n">
        <f aca="false">L1477*M1477</f>
        <v>0</v>
      </c>
    </row>
    <row r="1478" customFormat="false" ht="15" hidden="false" customHeight="false" outlineLevel="0" collapsed="false">
      <c r="A1478" s="0" t="s">
        <v>2485</v>
      </c>
      <c r="B1478" s="0" t="s">
        <v>46</v>
      </c>
      <c r="C1478" s="0" t="s">
        <v>2486</v>
      </c>
      <c r="D1478" s="0" t="s">
        <v>19</v>
      </c>
      <c r="E1478" s="2" t="n">
        <v>45775</v>
      </c>
      <c r="F1478" s="3" t="s">
        <v>20</v>
      </c>
      <c r="G1478" s="3" t="s">
        <v>28</v>
      </c>
      <c r="H1478" s="3" t="s">
        <v>48</v>
      </c>
      <c r="I1478" s="3" t="n">
        <f aca="false">YEAR(E1478)</f>
        <v>2025</v>
      </c>
      <c r="J1478" s="3" t="n">
        <f aca="false">MONTH(E1478)</f>
        <v>4</v>
      </c>
      <c r="K1478" s="3" t="n">
        <f aca="false">COUNTIFS($B$2:$B$4077,B1478,$C$2:$C$4077,C1478,$I$2:$I$4077,I1478)</f>
        <v>1</v>
      </c>
      <c r="L1478" s="3" t="n">
        <f aca="false">IF(COUNTIFS($B$2:B1478,B1478,$C$2:C1478,C1478,$I$2:I1478,I1478)=1,1,0)</f>
        <v>1</v>
      </c>
      <c r="M1478" s="3" t="n">
        <f aca="false">IF(K1478&gt;=Parametri!$B$1,1,0)</f>
        <v>0</v>
      </c>
      <c r="N1478" s="3" t="n">
        <f aca="false">L1478*M1478</f>
        <v>0</v>
      </c>
    </row>
    <row r="1479" customFormat="false" ht="15" hidden="false" customHeight="false" outlineLevel="0" collapsed="false">
      <c r="A1479" s="0" t="s">
        <v>2487</v>
      </c>
      <c r="B1479" s="0" t="s">
        <v>24</v>
      </c>
      <c r="C1479" s="0" t="s">
        <v>2488</v>
      </c>
      <c r="D1479" s="0" t="s">
        <v>54</v>
      </c>
      <c r="E1479" s="2" t="n">
        <v>46014</v>
      </c>
      <c r="F1479" s="3" t="s">
        <v>20</v>
      </c>
      <c r="G1479" s="3" t="s">
        <v>72</v>
      </c>
      <c r="H1479" s="3" t="s">
        <v>29</v>
      </c>
      <c r="I1479" s="3" t="n">
        <f aca="false">YEAR(E1479)</f>
        <v>2025</v>
      </c>
      <c r="J1479" s="3" t="n">
        <f aca="false">MONTH(E1479)</f>
        <v>12</v>
      </c>
      <c r="K1479" s="3" t="n">
        <f aca="false">COUNTIFS($B$2:$B$4077,B1479,$C$2:$C$4077,C1479,$I$2:$I$4077,I1479)</f>
        <v>2</v>
      </c>
      <c r="L1479" s="3" t="n">
        <f aca="false">IF(COUNTIFS($B$2:B1479,B1479,$C$2:C1479,C1479,$I$2:I1479,I1479)=1,1,0)</f>
        <v>1</v>
      </c>
      <c r="M1479" s="3" t="n">
        <f aca="false">IF(K1479&gt;=Parametri!$B$1,1,0)</f>
        <v>1</v>
      </c>
      <c r="N1479" s="3" t="n">
        <f aca="false">L1479*M1479</f>
        <v>1</v>
      </c>
    </row>
    <row r="1480" customFormat="false" ht="15" hidden="false" customHeight="false" outlineLevel="0" collapsed="false">
      <c r="A1480" s="0" t="s">
        <v>2489</v>
      </c>
      <c r="B1480" s="0" t="s">
        <v>50</v>
      </c>
      <c r="C1480" s="0" t="s">
        <v>2490</v>
      </c>
      <c r="D1480" s="0" t="s">
        <v>63</v>
      </c>
      <c r="E1480" s="2" t="n">
        <v>46204</v>
      </c>
      <c r="F1480" s="3" t="s">
        <v>20</v>
      </c>
      <c r="G1480" s="3" t="s">
        <v>28</v>
      </c>
      <c r="H1480" s="3" t="s">
        <v>29</v>
      </c>
      <c r="I1480" s="3" t="n">
        <f aca="false">YEAR(E1480)</f>
        <v>2026</v>
      </c>
      <c r="J1480" s="3" t="n">
        <f aca="false">MONTH(E1480)</f>
        <v>7</v>
      </c>
      <c r="K1480" s="3" t="n">
        <f aca="false">COUNTIFS($B$2:$B$4077,B1480,$C$2:$C$4077,C1480,$I$2:$I$4077,I1480)</f>
        <v>1</v>
      </c>
      <c r="L1480" s="3" t="n">
        <f aca="false">IF(COUNTIFS($B$2:B1480,B1480,$C$2:C1480,C1480,$I$2:I1480,I1480)=1,1,0)</f>
        <v>1</v>
      </c>
      <c r="M1480" s="3" t="n">
        <f aca="false">IF(K1480&gt;=Parametri!$B$1,1,0)</f>
        <v>0</v>
      </c>
      <c r="N1480" s="3" t="n">
        <f aca="false">L1480*M1480</f>
        <v>0</v>
      </c>
    </row>
    <row r="1481" customFormat="false" ht="15" hidden="false" customHeight="false" outlineLevel="0" collapsed="false">
      <c r="A1481" s="0" t="s">
        <v>2491</v>
      </c>
      <c r="B1481" s="0" t="s">
        <v>124</v>
      </c>
      <c r="C1481" s="0" t="s">
        <v>2492</v>
      </c>
      <c r="D1481" s="0" t="s">
        <v>33</v>
      </c>
      <c r="E1481" s="2" t="n">
        <v>45481</v>
      </c>
      <c r="F1481" s="3" t="s">
        <v>20</v>
      </c>
      <c r="G1481" s="3" t="s">
        <v>21</v>
      </c>
      <c r="H1481" s="3" t="s">
        <v>48</v>
      </c>
      <c r="I1481" s="3" t="n">
        <f aca="false">YEAR(E1481)</f>
        <v>2024</v>
      </c>
      <c r="J1481" s="3" t="n">
        <f aca="false">MONTH(E1481)</f>
        <v>7</v>
      </c>
      <c r="K1481" s="3" t="n">
        <f aca="false">COUNTIFS($B$2:$B$4077,B1481,$C$2:$C$4077,C1481,$I$2:$I$4077,I1481)</f>
        <v>1</v>
      </c>
      <c r="L1481" s="3" t="n">
        <f aca="false">IF(COUNTIFS($B$2:B1481,B1481,$C$2:C1481,C1481,$I$2:I1481,I1481)=1,1,0)</f>
        <v>1</v>
      </c>
      <c r="M1481" s="3" t="n">
        <f aca="false">IF(K1481&gt;=Parametri!$B$1,1,0)</f>
        <v>0</v>
      </c>
      <c r="N1481" s="3" t="n">
        <f aca="false">L1481*M1481</f>
        <v>0</v>
      </c>
    </row>
    <row r="1482" customFormat="false" ht="15" hidden="false" customHeight="false" outlineLevel="0" collapsed="false">
      <c r="A1482" s="0" t="s">
        <v>2493</v>
      </c>
      <c r="B1482" s="0" t="s">
        <v>41</v>
      </c>
      <c r="C1482" s="0" t="s">
        <v>2494</v>
      </c>
      <c r="D1482" s="0" t="s">
        <v>33</v>
      </c>
      <c r="E1482" s="2" t="n">
        <v>45898</v>
      </c>
      <c r="F1482" s="3" t="s">
        <v>27</v>
      </c>
      <c r="G1482" s="3" t="s">
        <v>21</v>
      </c>
      <c r="H1482" s="3" t="s">
        <v>29</v>
      </c>
      <c r="I1482" s="3" t="n">
        <f aca="false">YEAR(E1482)</f>
        <v>2025</v>
      </c>
      <c r="J1482" s="3" t="n">
        <f aca="false">MONTH(E1482)</f>
        <v>8</v>
      </c>
      <c r="K1482" s="3" t="n">
        <f aca="false">COUNTIFS($B$2:$B$4077,B1482,$C$2:$C$4077,C1482,$I$2:$I$4077,I1482)</f>
        <v>1</v>
      </c>
      <c r="L1482" s="3" t="n">
        <f aca="false">IF(COUNTIFS($B$2:B1482,B1482,$C$2:C1482,C1482,$I$2:I1482,I1482)=1,1,0)</f>
        <v>1</v>
      </c>
      <c r="M1482" s="3" t="n">
        <f aca="false">IF(K1482&gt;=Parametri!$B$1,1,0)</f>
        <v>0</v>
      </c>
      <c r="N1482" s="3" t="n">
        <f aca="false">L1482*M1482</f>
        <v>0</v>
      </c>
    </row>
    <row r="1483" customFormat="false" ht="15" hidden="false" customHeight="false" outlineLevel="0" collapsed="false">
      <c r="A1483" s="0" t="s">
        <v>2495</v>
      </c>
      <c r="B1483" s="0" t="s">
        <v>17</v>
      </c>
      <c r="C1483" s="0" t="s">
        <v>1690</v>
      </c>
      <c r="D1483" s="0" t="s">
        <v>19</v>
      </c>
      <c r="E1483" s="2" t="n">
        <v>45890</v>
      </c>
      <c r="F1483" s="3" t="s">
        <v>34</v>
      </c>
      <c r="G1483" s="3" t="s">
        <v>104</v>
      </c>
      <c r="H1483" s="3" t="s">
        <v>44</v>
      </c>
      <c r="I1483" s="3" t="n">
        <f aca="false">YEAR(E1483)</f>
        <v>2025</v>
      </c>
      <c r="J1483" s="3" t="n">
        <f aca="false">MONTH(E1483)</f>
        <v>8</v>
      </c>
      <c r="K1483" s="3" t="n">
        <f aca="false">COUNTIFS($B$2:$B$4077,B1483,$C$2:$C$4077,C1483,$I$2:$I$4077,I1483)</f>
        <v>3</v>
      </c>
      <c r="L1483" s="3" t="n">
        <f aca="false">IF(COUNTIFS($B$2:B1483,B1483,$C$2:C1483,C1483,$I$2:I1483,I1483)=1,1,0)</f>
        <v>0</v>
      </c>
      <c r="M1483" s="3" t="n">
        <f aca="false">IF(K1483&gt;=Parametri!$B$1,1,0)</f>
        <v>1</v>
      </c>
      <c r="N1483" s="3" t="n">
        <f aca="false">L1483*M1483</f>
        <v>0</v>
      </c>
    </row>
    <row r="1484" customFormat="false" ht="15" hidden="false" customHeight="false" outlineLevel="0" collapsed="false">
      <c r="A1484" s="0" t="s">
        <v>2496</v>
      </c>
      <c r="B1484" s="0" t="s">
        <v>68</v>
      </c>
      <c r="C1484" s="0" t="s">
        <v>2497</v>
      </c>
      <c r="D1484" s="0" t="s">
        <v>63</v>
      </c>
      <c r="E1484" s="2" t="n">
        <v>46239</v>
      </c>
      <c r="F1484" s="3" t="s">
        <v>20</v>
      </c>
      <c r="G1484" s="3" t="s">
        <v>21</v>
      </c>
      <c r="H1484" s="3" t="s">
        <v>29</v>
      </c>
      <c r="I1484" s="3" t="n">
        <f aca="false">YEAR(E1484)</f>
        <v>2026</v>
      </c>
      <c r="J1484" s="3" t="n">
        <f aca="false">MONTH(E1484)</f>
        <v>8</v>
      </c>
      <c r="K1484" s="3" t="n">
        <f aca="false">COUNTIFS($B$2:$B$4077,B1484,$C$2:$C$4077,C1484,$I$2:$I$4077,I1484)</f>
        <v>1</v>
      </c>
      <c r="L1484" s="3" t="n">
        <f aca="false">IF(COUNTIFS($B$2:B1484,B1484,$C$2:C1484,C1484,$I$2:I1484,I1484)=1,1,0)</f>
        <v>1</v>
      </c>
      <c r="M1484" s="3" t="n">
        <f aca="false">IF(K1484&gt;=Parametri!$B$1,1,0)</f>
        <v>0</v>
      </c>
      <c r="N1484" s="3" t="n">
        <f aca="false">L1484*M1484</f>
        <v>0</v>
      </c>
    </row>
    <row r="1485" customFormat="false" ht="15" hidden="false" customHeight="false" outlineLevel="0" collapsed="false">
      <c r="A1485" s="0" t="s">
        <v>2498</v>
      </c>
      <c r="B1485" s="0" t="s">
        <v>24</v>
      </c>
      <c r="C1485" s="0" t="s">
        <v>1610</v>
      </c>
      <c r="D1485" s="0" t="s">
        <v>66</v>
      </c>
      <c r="E1485" s="2" t="n">
        <v>45787</v>
      </c>
      <c r="F1485" s="3" t="s">
        <v>20</v>
      </c>
      <c r="G1485" s="3" t="s">
        <v>55</v>
      </c>
      <c r="H1485" s="3" t="s">
        <v>48</v>
      </c>
      <c r="I1485" s="3" t="n">
        <f aca="false">YEAR(E1485)</f>
        <v>2025</v>
      </c>
      <c r="J1485" s="3" t="n">
        <f aca="false">MONTH(E1485)</f>
        <v>5</v>
      </c>
      <c r="K1485" s="3" t="n">
        <f aca="false">COUNTIFS($B$2:$B$4077,B1485,$C$2:$C$4077,C1485,$I$2:$I$4077,I1485)</f>
        <v>2</v>
      </c>
      <c r="L1485" s="3" t="n">
        <f aca="false">IF(COUNTIFS($B$2:B1485,B1485,$C$2:C1485,C1485,$I$2:I1485,I1485)=1,1,0)</f>
        <v>1</v>
      </c>
      <c r="M1485" s="3" t="n">
        <f aca="false">IF(K1485&gt;=Parametri!$B$1,1,0)</f>
        <v>1</v>
      </c>
      <c r="N1485" s="3" t="n">
        <f aca="false">L1485*M1485</f>
        <v>1</v>
      </c>
    </row>
    <row r="1486" customFormat="false" ht="15" hidden="false" customHeight="false" outlineLevel="0" collapsed="false">
      <c r="A1486" s="0" t="s">
        <v>2499</v>
      </c>
      <c r="B1486" s="0" t="s">
        <v>24</v>
      </c>
      <c r="C1486" s="0" t="s">
        <v>2500</v>
      </c>
      <c r="D1486" s="0" t="s">
        <v>54</v>
      </c>
      <c r="E1486" s="2" t="n">
        <v>45576</v>
      </c>
      <c r="F1486" s="3" t="s">
        <v>34</v>
      </c>
      <c r="G1486" s="3" t="s">
        <v>72</v>
      </c>
      <c r="H1486" s="3" t="s">
        <v>22</v>
      </c>
      <c r="I1486" s="3" t="n">
        <f aca="false">YEAR(E1486)</f>
        <v>2024</v>
      </c>
      <c r="J1486" s="3" t="n">
        <f aca="false">MONTH(E1486)</f>
        <v>10</v>
      </c>
      <c r="K1486" s="3" t="n">
        <f aca="false">COUNTIFS($B$2:$B$4077,B1486,$C$2:$C$4077,C1486,$I$2:$I$4077,I1486)</f>
        <v>2</v>
      </c>
      <c r="L1486" s="3" t="n">
        <f aca="false">IF(COUNTIFS($B$2:B1486,B1486,$C$2:C1486,C1486,$I$2:I1486,I1486)=1,1,0)</f>
        <v>1</v>
      </c>
      <c r="M1486" s="3" t="n">
        <f aca="false">IF(K1486&gt;=Parametri!$B$1,1,0)</f>
        <v>1</v>
      </c>
      <c r="N1486" s="3" t="n">
        <f aca="false">L1486*M1486</f>
        <v>1</v>
      </c>
    </row>
    <row r="1487" customFormat="false" ht="15" hidden="false" customHeight="false" outlineLevel="0" collapsed="false">
      <c r="A1487" s="0" t="s">
        <v>2501</v>
      </c>
      <c r="B1487" s="0" t="s">
        <v>46</v>
      </c>
      <c r="C1487" s="0" t="s">
        <v>2502</v>
      </c>
      <c r="D1487" s="0" t="s">
        <v>77</v>
      </c>
      <c r="E1487" s="2" t="n">
        <v>46118</v>
      </c>
      <c r="F1487" s="3" t="s">
        <v>20</v>
      </c>
      <c r="G1487" s="3" t="s">
        <v>72</v>
      </c>
      <c r="H1487" s="3" t="s">
        <v>48</v>
      </c>
      <c r="I1487" s="3" t="n">
        <f aca="false">YEAR(E1487)</f>
        <v>2026</v>
      </c>
      <c r="J1487" s="3" t="n">
        <f aca="false">MONTH(E1487)</f>
        <v>4</v>
      </c>
      <c r="K1487" s="3" t="n">
        <f aca="false">COUNTIFS($B$2:$B$4077,B1487,$C$2:$C$4077,C1487,$I$2:$I$4077,I1487)</f>
        <v>2</v>
      </c>
      <c r="L1487" s="3" t="n">
        <f aca="false">IF(COUNTIFS($B$2:B1487,B1487,$C$2:C1487,C1487,$I$2:I1487,I1487)=1,1,0)</f>
        <v>1</v>
      </c>
      <c r="M1487" s="3" t="n">
        <f aca="false">IF(K1487&gt;=Parametri!$B$1,1,0)</f>
        <v>1</v>
      </c>
      <c r="N1487" s="3" t="n">
        <f aca="false">L1487*M1487</f>
        <v>1</v>
      </c>
    </row>
    <row r="1488" customFormat="false" ht="15" hidden="false" customHeight="false" outlineLevel="0" collapsed="false">
      <c r="A1488" s="0" t="s">
        <v>2503</v>
      </c>
      <c r="B1488" s="0" t="s">
        <v>57</v>
      </c>
      <c r="C1488" s="0" t="s">
        <v>2504</v>
      </c>
      <c r="D1488" s="0" t="s">
        <v>19</v>
      </c>
      <c r="E1488" s="2" t="n">
        <v>45757</v>
      </c>
      <c r="F1488" s="3" t="s">
        <v>20</v>
      </c>
      <c r="G1488" s="3" t="s">
        <v>35</v>
      </c>
      <c r="H1488" s="3" t="s">
        <v>48</v>
      </c>
      <c r="I1488" s="3" t="n">
        <f aca="false">YEAR(E1488)</f>
        <v>2025</v>
      </c>
      <c r="J1488" s="3" t="n">
        <f aca="false">MONTH(E1488)</f>
        <v>4</v>
      </c>
      <c r="K1488" s="3" t="n">
        <f aca="false">COUNTIFS($B$2:$B$4077,B1488,$C$2:$C$4077,C1488,$I$2:$I$4077,I1488)</f>
        <v>1</v>
      </c>
      <c r="L1488" s="3" t="n">
        <f aca="false">IF(COUNTIFS($B$2:B1488,B1488,$C$2:C1488,C1488,$I$2:I1488,I1488)=1,1,0)</f>
        <v>1</v>
      </c>
      <c r="M1488" s="3" t="n">
        <f aca="false">IF(K1488&gt;=Parametri!$B$1,1,0)</f>
        <v>0</v>
      </c>
      <c r="N1488" s="3" t="n">
        <f aca="false">L1488*M1488</f>
        <v>0</v>
      </c>
    </row>
    <row r="1489" customFormat="false" ht="15" hidden="false" customHeight="false" outlineLevel="0" collapsed="false">
      <c r="A1489" s="0" t="s">
        <v>2505</v>
      </c>
      <c r="B1489" s="0" t="s">
        <v>124</v>
      </c>
      <c r="C1489" s="0" t="s">
        <v>758</v>
      </c>
      <c r="D1489" s="0" t="s">
        <v>26</v>
      </c>
      <c r="E1489" s="2" t="n">
        <v>45546</v>
      </c>
      <c r="F1489" s="3" t="s">
        <v>20</v>
      </c>
      <c r="G1489" s="3" t="s">
        <v>28</v>
      </c>
      <c r="H1489" s="3" t="s">
        <v>29</v>
      </c>
      <c r="I1489" s="3" t="n">
        <f aca="false">YEAR(E1489)</f>
        <v>2024</v>
      </c>
      <c r="J1489" s="3" t="n">
        <f aca="false">MONTH(E1489)</f>
        <v>9</v>
      </c>
      <c r="K1489" s="3" t="n">
        <f aca="false">COUNTIFS($B$2:$B$4077,B1489,$C$2:$C$4077,C1489,$I$2:$I$4077,I1489)</f>
        <v>1</v>
      </c>
      <c r="L1489" s="3" t="n">
        <f aca="false">IF(COUNTIFS($B$2:B1489,B1489,$C$2:C1489,C1489,$I$2:I1489,I1489)=1,1,0)</f>
        <v>1</v>
      </c>
      <c r="M1489" s="3" t="n">
        <f aca="false">IF(K1489&gt;=Parametri!$B$1,1,0)</f>
        <v>0</v>
      </c>
      <c r="N1489" s="3" t="n">
        <f aca="false">L1489*M1489</f>
        <v>0</v>
      </c>
    </row>
    <row r="1490" customFormat="false" ht="15" hidden="false" customHeight="false" outlineLevel="0" collapsed="false">
      <c r="A1490" s="0" t="s">
        <v>2506</v>
      </c>
      <c r="B1490" s="0" t="s">
        <v>24</v>
      </c>
      <c r="C1490" s="0" t="s">
        <v>2507</v>
      </c>
      <c r="D1490" s="0" t="s">
        <v>77</v>
      </c>
      <c r="E1490" s="2" t="n">
        <v>45597</v>
      </c>
      <c r="F1490" s="3" t="s">
        <v>20</v>
      </c>
      <c r="G1490" s="3" t="s">
        <v>55</v>
      </c>
      <c r="H1490" s="3" t="s">
        <v>48</v>
      </c>
      <c r="I1490" s="3" t="n">
        <f aca="false">YEAR(E1490)</f>
        <v>2024</v>
      </c>
      <c r="J1490" s="3" t="n">
        <f aca="false">MONTH(E1490)</f>
        <v>11</v>
      </c>
      <c r="K1490" s="3" t="n">
        <f aca="false">COUNTIFS($B$2:$B$4077,B1490,$C$2:$C$4077,C1490,$I$2:$I$4077,I1490)</f>
        <v>2</v>
      </c>
      <c r="L1490" s="3" t="n">
        <f aca="false">IF(COUNTIFS($B$2:B1490,B1490,$C$2:C1490,C1490,$I$2:I1490,I1490)=1,1,0)</f>
        <v>1</v>
      </c>
      <c r="M1490" s="3" t="n">
        <f aca="false">IF(K1490&gt;=Parametri!$B$1,1,0)</f>
        <v>1</v>
      </c>
      <c r="N1490" s="3" t="n">
        <f aca="false">L1490*M1490</f>
        <v>1</v>
      </c>
    </row>
    <row r="1491" customFormat="false" ht="15" hidden="false" customHeight="false" outlineLevel="0" collapsed="false">
      <c r="A1491" s="0" t="s">
        <v>2508</v>
      </c>
      <c r="B1491" s="0" t="s">
        <v>124</v>
      </c>
      <c r="C1491" s="0" t="s">
        <v>2509</v>
      </c>
      <c r="D1491" s="0" t="s">
        <v>38</v>
      </c>
      <c r="E1491" s="2" t="n">
        <v>46122</v>
      </c>
      <c r="F1491" s="3" t="s">
        <v>20</v>
      </c>
      <c r="G1491" s="3" t="s">
        <v>55</v>
      </c>
      <c r="H1491" s="3" t="s">
        <v>44</v>
      </c>
      <c r="I1491" s="3" t="n">
        <f aca="false">YEAR(E1491)</f>
        <v>2026</v>
      </c>
      <c r="J1491" s="3" t="n">
        <f aca="false">MONTH(E1491)</f>
        <v>4</v>
      </c>
      <c r="K1491" s="3" t="n">
        <f aca="false">COUNTIFS($B$2:$B$4077,B1491,$C$2:$C$4077,C1491,$I$2:$I$4077,I1491)</f>
        <v>1</v>
      </c>
      <c r="L1491" s="3" t="n">
        <f aca="false">IF(COUNTIFS($B$2:B1491,B1491,$C$2:C1491,C1491,$I$2:I1491,I1491)=1,1,0)</f>
        <v>1</v>
      </c>
      <c r="M1491" s="3" t="n">
        <f aca="false">IF(K1491&gt;=Parametri!$B$1,1,0)</f>
        <v>0</v>
      </c>
      <c r="N1491" s="3" t="n">
        <f aca="false">L1491*M1491</f>
        <v>0</v>
      </c>
    </row>
    <row r="1492" customFormat="false" ht="15" hidden="false" customHeight="false" outlineLevel="0" collapsed="false">
      <c r="A1492" s="0" t="s">
        <v>2510</v>
      </c>
      <c r="B1492" s="0" t="s">
        <v>124</v>
      </c>
      <c r="C1492" s="0" t="s">
        <v>2511</v>
      </c>
      <c r="D1492" s="0" t="s">
        <v>77</v>
      </c>
      <c r="E1492" s="2" t="n">
        <v>45634</v>
      </c>
      <c r="F1492" s="3" t="s">
        <v>20</v>
      </c>
      <c r="G1492" s="3" t="s">
        <v>89</v>
      </c>
      <c r="H1492" s="3" t="s">
        <v>44</v>
      </c>
      <c r="I1492" s="3" t="n">
        <f aca="false">YEAR(E1492)</f>
        <v>2024</v>
      </c>
      <c r="J1492" s="3" t="n">
        <f aca="false">MONTH(E1492)</f>
        <v>12</v>
      </c>
      <c r="K1492" s="3" t="n">
        <f aca="false">COUNTIFS($B$2:$B$4077,B1492,$C$2:$C$4077,C1492,$I$2:$I$4077,I1492)</f>
        <v>1</v>
      </c>
      <c r="L1492" s="3" t="n">
        <f aca="false">IF(COUNTIFS($B$2:B1492,B1492,$C$2:C1492,C1492,$I$2:I1492,I1492)=1,1,0)</f>
        <v>1</v>
      </c>
      <c r="M1492" s="3" t="n">
        <f aca="false">IF(K1492&gt;=Parametri!$B$1,1,0)</f>
        <v>0</v>
      </c>
      <c r="N1492" s="3" t="n">
        <f aca="false">L1492*M1492</f>
        <v>0</v>
      </c>
    </row>
    <row r="1493" customFormat="false" ht="15" hidden="false" customHeight="false" outlineLevel="0" collapsed="false">
      <c r="A1493" s="0" t="s">
        <v>2512</v>
      </c>
      <c r="B1493" s="0" t="s">
        <v>41</v>
      </c>
      <c r="C1493" s="0" t="s">
        <v>2513</v>
      </c>
      <c r="D1493" s="0" t="s">
        <v>26</v>
      </c>
      <c r="E1493" s="2" t="n">
        <v>45845</v>
      </c>
      <c r="F1493" s="3" t="s">
        <v>104</v>
      </c>
      <c r="G1493" s="3" t="s">
        <v>104</v>
      </c>
      <c r="H1493" s="3" t="s">
        <v>104</v>
      </c>
      <c r="I1493" s="3" t="n">
        <f aca="false">YEAR(E1493)</f>
        <v>2025</v>
      </c>
      <c r="J1493" s="3" t="n">
        <f aca="false">MONTH(E1493)</f>
        <v>7</v>
      </c>
      <c r="K1493" s="3" t="n">
        <f aca="false">COUNTIFS($B$2:$B$4077,B1493,$C$2:$C$4077,C1493,$I$2:$I$4077,I1493)</f>
        <v>1</v>
      </c>
      <c r="L1493" s="3" t="n">
        <f aca="false">IF(COUNTIFS($B$2:B1493,B1493,$C$2:C1493,C1493,$I$2:I1493,I1493)=1,1,0)</f>
        <v>1</v>
      </c>
      <c r="M1493" s="3" t="n">
        <f aca="false">IF(K1493&gt;=Parametri!$B$1,1,0)</f>
        <v>0</v>
      </c>
      <c r="N1493" s="3" t="n">
        <f aca="false">L1493*M1493</f>
        <v>0</v>
      </c>
    </row>
    <row r="1494" customFormat="false" ht="15" hidden="false" customHeight="false" outlineLevel="0" collapsed="false">
      <c r="A1494" s="0" t="s">
        <v>2514</v>
      </c>
      <c r="B1494" s="0" t="s">
        <v>46</v>
      </c>
      <c r="C1494" s="0" t="s">
        <v>2515</v>
      </c>
      <c r="D1494" s="0" t="s">
        <v>19</v>
      </c>
      <c r="E1494" s="2" t="n">
        <v>46142</v>
      </c>
      <c r="F1494" s="3" t="s">
        <v>20</v>
      </c>
      <c r="G1494" s="3" t="s">
        <v>72</v>
      </c>
      <c r="H1494" s="3" t="s">
        <v>22</v>
      </c>
      <c r="I1494" s="3" t="n">
        <f aca="false">YEAR(E1494)</f>
        <v>2026</v>
      </c>
      <c r="J1494" s="3" t="n">
        <f aca="false">MONTH(E1494)</f>
        <v>4</v>
      </c>
      <c r="K1494" s="3" t="n">
        <f aca="false">COUNTIFS($B$2:$B$4077,B1494,$C$2:$C$4077,C1494,$I$2:$I$4077,I1494)</f>
        <v>1</v>
      </c>
      <c r="L1494" s="3" t="n">
        <f aca="false">IF(COUNTIFS($B$2:B1494,B1494,$C$2:C1494,C1494,$I$2:I1494,I1494)=1,1,0)</f>
        <v>1</v>
      </c>
      <c r="M1494" s="3" t="n">
        <f aca="false">IF(K1494&gt;=Parametri!$B$1,1,0)</f>
        <v>0</v>
      </c>
      <c r="N1494" s="3" t="n">
        <f aca="false">L1494*M1494</f>
        <v>0</v>
      </c>
    </row>
    <row r="1495" customFormat="false" ht="15" hidden="false" customHeight="false" outlineLevel="0" collapsed="false">
      <c r="A1495" s="0" t="s">
        <v>2516</v>
      </c>
      <c r="B1495" s="0" t="s">
        <v>24</v>
      </c>
      <c r="C1495" s="0" t="s">
        <v>2517</v>
      </c>
      <c r="D1495" s="0" t="s">
        <v>19</v>
      </c>
      <c r="E1495" s="2" t="n">
        <v>45405</v>
      </c>
      <c r="F1495" s="3" t="s">
        <v>27</v>
      </c>
      <c r="G1495" s="3" t="s">
        <v>21</v>
      </c>
      <c r="H1495" s="3" t="s">
        <v>44</v>
      </c>
      <c r="I1495" s="3" t="n">
        <f aca="false">YEAR(E1495)</f>
        <v>2024</v>
      </c>
      <c r="J1495" s="3" t="n">
        <f aca="false">MONTH(E1495)</f>
        <v>4</v>
      </c>
      <c r="K1495" s="3" t="n">
        <f aca="false">COUNTIFS($B$2:$B$4077,B1495,$C$2:$C$4077,C1495,$I$2:$I$4077,I1495)</f>
        <v>2</v>
      </c>
      <c r="L1495" s="3" t="n">
        <f aca="false">IF(COUNTIFS($B$2:B1495,B1495,$C$2:C1495,C1495,$I$2:I1495,I1495)=1,1,0)</f>
        <v>1</v>
      </c>
      <c r="M1495" s="3" t="n">
        <f aca="false">IF(K1495&gt;=Parametri!$B$1,1,0)</f>
        <v>1</v>
      </c>
      <c r="N1495" s="3" t="n">
        <f aca="false">L1495*M1495</f>
        <v>1</v>
      </c>
    </row>
    <row r="1496" customFormat="false" ht="15" hidden="false" customHeight="false" outlineLevel="0" collapsed="false">
      <c r="A1496" s="0" t="s">
        <v>2518</v>
      </c>
      <c r="B1496" s="0" t="s">
        <v>24</v>
      </c>
      <c r="C1496" s="0" t="s">
        <v>1148</v>
      </c>
      <c r="D1496" s="0" t="s">
        <v>26</v>
      </c>
      <c r="E1496" s="2" t="n">
        <v>46079</v>
      </c>
      <c r="F1496" s="3" t="s">
        <v>20</v>
      </c>
      <c r="G1496" s="3" t="s">
        <v>43</v>
      </c>
      <c r="H1496" s="3" t="s">
        <v>44</v>
      </c>
      <c r="I1496" s="3" t="n">
        <f aca="false">YEAR(E1496)</f>
        <v>2026</v>
      </c>
      <c r="J1496" s="3" t="n">
        <f aca="false">MONTH(E1496)</f>
        <v>2</v>
      </c>
      <c r="K1496" s="3" t="n">
        <f aca="false">COUNTIFS($B$2:$B$4077,B1496,$C$2:$C$4077,C1496,$I$2:$I$4077,I1496)</f>
        <v>4</v>
      </c>
      <c r="L1496" s="3" t="n">
        <f aca="false">IF(COUNTIFS($B$2:B1496,B1496,$C$2:C1496,C1496,$I$2:I1496,I1496)=1,1,0)</f>
        <v>0</v>
      </c>
      <c r="M1496" s="3" t="n">
        <f aca="false">IF(K1496&gt;=Parametri!$B$1,1,0)</f>
        <v>1</v>
      </c>
      <c r="N1496" s="3" t="n">
        <f aca="false">L1496*M1496</f>
        <v>0</v>
      </c>
    </row>
    <row r="1497" customFormat="false" ht="15" hidden="false" customHeight="false" outlineLevel="0" collapsed="false">
      <c r="A1497" s="0" t="s">
        <v>2519</v>
      </c>
      <c r="B1497" s="0" t="s">
        <v>79</v>
      </c>
      <c r="C1497" s="0" t="s">
        <v>327</v>
      </c>
      <c r="D1497" s="0" t="s">
        <v>38</v>
      </c>
      <c r="E1497" s="2" t="n">
        <v>46049</v>
      </c>
      <c r="F1497" s="3" t="s">
        <v>20</v>
      </c>
      <c r="G1497" s="3" t="s">
        <v>28</v>
      </c>
      <c r="H1497" s="3" t="s">
        <v>44</v>
      </c>
      <c r="I1497" s="3" t="n">
        <f aca="false">YEAR(E1497)</f>
        <v>2026</v>
      </c>
      <c r="J1497" s="3" t="n">
        <f aca="false">MONTH(E1497)</f>
        <v>1</v>
      </c>
      <c r="K1497" s="3" t="n">
        <f aca="false">COUNTIFS($B$2:$B$4077,B1497,$C$2:$C$4077,C1497,$I$2:$I$4077,I1497)</f>
        <v>2</v>
      </c>
      <c r="L1497" s="3" t="n">
        <f aca="false">IF(COUNTIFS($B$2:B1497,B1497,$C$2:C1497,C1497,$I$2:I1497,I1497)=1,1,0)</f>
        <v>1</v>
      </c>
      <c r="M1497" s="3" t="n">
        <f aca="false">IF(K1497&gt;=Parametri!$B$1,1,0)</f>
        <v>1</v>
      </c>
      <c r="N1497" s="3" t="n">
        <f aca="false">L1497*M1497</f>
        <v>1</v>
      </c>
    </row>
    <row r="1498" customFormat="false" ht="15" hidden="false" customHeight="false" outlineLevel="0" collapsed="false">
      <c r="A1498" s="0" t="s">
        <v>2520</v>
      </c>
      <c r="B1498" s="0" t="s">
        <v>31</v>
      </c>
      <c r="C1498" s="0" t="s">
        <v>108</v>
      </c>
      <c r="D1498" s="0" t="s">
        <v>66</v>
      </c>
      <c r="E1498" s="2" t="n">
        <v>45981</v>
      </c>
      <c r="F1498" s="3" t="s">
        <v>34</v>
      </c>
      <c r="G1498" s="3" t="s">
        <v>28</v>
      </c>
      <c r="H1498" s="3" t="s">
        <v>29</v>
      </c>
      <c r="I1498" s="3" t="n">
        <f aca="false">YEAR(E1498)</f>
        <v>2025</v>
      </c>
      <c r="J1498" s="3" t="n">
        <f aca="false">MONTH(E1498)</f>
        <v>11</v>
      </c>
      <c r="K1498" s="3" t="n">
        <f aca="false">COUNTIFS($B$2:$B$4077,B1498,$C$2:$C$4077,C1498,$I$2:$I$4077,I1498)</f>
        <v>5</v>
      </c>
      <c r="L1498" s="3" t="n">
        <f aca="false">IF(COUNTIFS($B$2:B1498,B1498,$C$2:C1498,C1498,$I$2:I1498,I1498)=1,1,0)</f>
        <v>0</v>
      </c>
      <c r="M1498" s="3" t="n">
        <f aca="false">IF(K1498&gt;=Parametri!$B$1,1,0)</f>
        <v>1</v>
      </c>
      <c r="N1498" s="3" t="n">
        <f aca="false">L1498*M1498</f>
        <v>0</v>
      </c>
    </row>
    <row r="1499" customFormat="false" ht="15" hidden="false" customHeight="false" outlineLevel="0" collapsed="false">
      <c r="A1499" s="0" t="s">
        <v>2521</v>
      </c>
      <c r="B1499" s="0" t="s">
        <v>31</v>
      </c>
      <c r="C1499" s="0" t="s">
        <v>157</v>
      </c>
      <c r="D1499" s="0" t="s">
        <v>63</v>
      </c>
      <c r="E1499" s="2" t="n">
        <v>46069</v>
      </c>
      <c r="F1499" s="3" t="s">
        <v>20</v>
      </c>
      <c r="G1499" s="3" t="s">
        <v>21</v>
      </c>
      <c r="H1499" s="3" t="s">
        <v>48</v>
      </c>
      <c r="I1499" s="3" t="n">
        <f aca="false">YEAR(E1499)</f>
        <v>2026</v>
      </c>
      <c r="J1499" s="3" t="n">
        <f aca="false">MONTH(E1499)</f>
        <v>2</v>
      </c>
      <c r="K1499" s="3" t="n">
        <f aca="false">COUNTIFS($B$2:$B$4077,B1499,$C$2:$C$4077,C1499,$I$2:$I$4077,I1499)</f>
        <v>1</v>
      </c>
      <c r="L1499" s="3" t="n">
        <f aca="false">IF(COUNTIFS($B$2:B1499,B1499,$C$2:C1499,C1499,$I$2:I1499,I1499)=1,1,0)</f>
        <v>1</v>
      </c>
      <c r="M1499" s="3" t="n">
        <f aca="false">IF(K1499&gt;=Parametri!$B$1,1,0)</f>
        <v>0</v>
      </c>
      <c r="N1499" s="3" t="n">
        <f aca="false">L1499*M1499</f>
        <v>0</v>
      </c>
    </row>
    <row r="1500" customFormat="false" ht="15" hidden="false" customHeight="false" outlineLevel="0" collapsed="false">
      <c r="A1500" s="0" t="s">
        <v>2522</v>
      </c>
      <c r="B1500" s="0" t="s">
        <v>79</v>
      </c>
      <c r="C1500" s="0" t="s">
        <v>2523</v>
      </c>
      <c r="D1500" s="0" t="s">
        <v>38</v>
      </c>
      <c r="E1500" s="2" t="n">
        <v>46230</v>
      </c>
      <c r="F1500" s="3" t="s">
        <v>34</v>
      </c>
      <c r="G1500" s="3" t="s">
        <v>28</v>
      </c>
      <c r="H1500" s="3" t="s">
        <v>22</v>
      </c>
      <c r="I1500" s="3" t="n">
        <f aca="false">YEAR(E1500)</f>
        <v>2026</v>
      </c>
      <c r="J1500" s="3" t="n">
        <f aca="false">MONTH(E1500)</f>
        <v>7</v>
      </c>
      <c r="K1500" s="3" t="n">
        <f aca="false">COUNTIFS($B$2:$B$4077,B1500,$C$2:$C$4077,C1500,$I$2:$I$4077,I1500)</f>
        <v>1</v>
      </c>
      <c r="L1500" s="3" t="n">
        <f aca="false">IF(COUNTIFS($B$2:B1500,B1500,$C$2:C1500,C1500,$I$2:I1500,I1500)=1,1,0)</f>
        <v>1</v>
      </c>
      <c r="M1500" s="3" t="n">
        <f aca="false">IF(K1500&gt;=Parametri!$B$1,1,0)</f>
        <v>0</v>
      </c>
      <c r="N1500" s="3" t="n">
        <f aca="false">L1500*M1500</f>
        <v>0</v>
      </c>
    </row>
    <row r="1501" customFormat="false" ht="15" hidden="false" customHeight="false" outlineLevel="0" collapsed="false">
      <c r="A1501" s="0" t="s">
        <v>2524</v>
      </c>
      <c r="B1501" s="0" t="s">
        <v>46</v>
      </c>
      <c r="C1501" s="0" t="s">
        <v>2525</v>
      </c>
      <c r="D1501" s="0" t="s">
        <v>77</v>
      </c>
      <c r="E1501" s="2" t="n">
        <v>45354</v>
      </c>
      <c r="F1501" s="3" t="s">
        <v>20</v>
      </c>
      <c r="G1501" s="3" t="s">
        <v>28</v>
      </c>
      <c r="H1501" s="3" t="s">
        <v>22</v>
      </c>
      <c r="I1501" s="3" t="n">
        <f aca="false">YEAR(E1501)</f>
        <v>2024</v>
      </c>
      <c r="J1501" s="3" t="n">
        <f aca="false">MONTH(E1501)</f>
        <v>3</v>
      </c>
      <c r="K1501" s="3" t="n">
        <f aca="false">COUNTIFS($B$2:$B$4077,B1501,$C$2:$C$4077,C1501,$I$2:$I$4077,I1501)</f>
        <v>1</v>
      </c>
      <c r="L1501" s="3" t="n">
        <f aca="false">IF(COUNTIFS($B$2:B1501,B1501,$C$2:C1501,C1501,$I$2:I1501,I1501)=1,1,0)</f>
        <v>1</v>
      </c>
      <c r="M1501" s="3" t="n">
        <f aca="false">IF(K1501&gt;=Parametri!$B$1,1,0)</f>
        <v>0</v>
      </c>
      <c r="N1501" s="3" t="n">
        <f aca="false">L1501*M1501</f>
        <v>0</v>
      </c>
    </row>
    <row r="1502" customFormat="false" ht="15" hidden="false" customHeight="false" outlineLevel="0" collapsed="false">
      <c r="A1502" s="0" t="s">
        <v>2526</v>
      </c>
      <c r="B1502" s="0" t="s">
        <v>31</v>
      </c>
      <c r="C1502" s="0" t="s">
        <v>2527</v>
      </c>
      <c r="D1502" s="0" t="s">
        <v>77</v>
      </c>
      <c r="E1502" s="2" t="n">
        <v>45963</v>
      </c>
      <c r="F1502" s="3" t="s">
        <v>20</v>
      </c>
      <c r="G1502" s="3" t="s">
        <v>72</v>
      </c>
      <c r="H1502" s="3" t="s">
        <v>48</v>
      </c>
      <c r="I1502" s="3" t="n">
        <f aca="false">YEAR(E1502)</f>
        <v>2025</v>
      </c>
      <c r="J1502" s="3" t="n">
        <f aca="false">MONTH(E1502)</f>
        <v>11</v>
      </c>
      <c r="K1502" s="3" t="n">
        <f aca="false">COUNTIFS($B$2:$B$4077,B1502,$C$2:$C$4077,C1502,$I$2:$I$4077,I1502)</f>
        <v>1</v>
      </c>
      <c r="L1502" s="3" t="n">
        <f aca="false">IF(COUNTIFS($B$2:B1502,B1502,$C$2:C1502,C1502,$I$2:I1502,I1502)=1,1,0)</f>
        <v>1</v>
      </c>
      <c r="M1502" s="3" t="n">
        <f aca="false">IF(K1502&gt;=Parametri!$B$1,1,0)</f>
        <v>0</v>
      </c>
      <c r="N1502" s="3" t="n">
        <f aca="false">L1502*M1502</f>
        <v>0</v>
      </c>
    </row>
    <row r="1503" customFormat="false" ht="15" hidden="false" customHeight="false" outlineLevel="0" collapsed="false">
      <c r="A1503" s="0" t="s">
        <v>2528</v>
      </c>
      <c r="B1503" s="0" t="s">
        <v>41</v>
      </c>
      <c r="C1503" s="0" t="s">
        <v>2119</v>
      </c>
      <c r="D1503" s="0" t="s">
        <v>33</v>
      </c>
      <c r="E1503" s="2" t="n">
        <v>45592</v>
      </c>
      <c r="F1503" s="3" t="s">
        <v>27</v>
      </c>
      <c r="G1503" s="3" t="s">
        <v>89</v>
      </c>
      <c r="H1503" s="3" t="s">
        <v>29</v>
      </c>
      <c r="I1503" s="3" t="n">
        <f aca="false">YEAR(E1503)</f>
        <v>2024</v>
      </c>
      <c r="J1503" s="3" t="n">
        <f aca="false">MONTH(E1503)</f>
        <v>10</v>
      </c>
      <c r="K1503" s="3" t="n">
        <f aca="false">COUNTIFS($B$2:$B$4077,B1503,$C$2:$C$4077,C1503,$I$2:$I$4077,I1503)</f>
        <v>2</v>
      </c>
      <c r="L1503" s="3" t="n">
        <f aca="false">IF(COUNTIFS($B$2:B1503,B1503,$C$2:C1503,C1503,$I$2:I1503,I1503)=1,1,0)</f>
        <v>0</v>
      </c>
      <c r="M1503" s="3" t="n">
        <f aca="false">IF(K1503&gt;=Parametri!$B$1,1,0)</f>
        <v>1</v>
      </c>
      <c r="N1503" s="3" t="n">
        <f aca="false">L1503*M1503</f>
        <v>0</v>
      </c>
    </row>
    <row r="1504" customFormat="false" ht="15" hidden="false" customHeight="false" outlineLevel="0" collapsed="false">
      <c r="A1504" s="0" t="s">
        <v>2529</v>
      </c>
      <c r="B1504" s="0" t="s">
        <v>68</v>
      </c>
      <c r="C1504" s="0" t="s">
        <v>730</v>
      </c>
      <c r="D1504" s="0" t="s">
        <v>19</v>
      </c>
      <c r="E1504" s="2" t="n">
        <v>45427</v>
      </c>
      <c r="F1504" s="3" t="s">
        <v>27</v>
      </c>
      <c r="G1504" s="3" t="s">
        <v>43</v>
      </c>
      <c r="H1504" s="3" t="s">
        <v>29</v>
      </c>
      <c r="I1504" s="3" t="n">
        <f aca="false">YEAR(E1504)</f>
        <v>2024</v>
      </c>
      <c r="J1504" s="3" t="n">
        <f aca="false">MONTH(E1504)</f>
        <v>5</v>
      </c>
      <c r="K1504" s="3" t="n">
        <f aca="false">COUNTIFS($B$2:$B$4077,B1504,$C$2:$C$4077,C1504,$I$2:$I$4077,I1504)</f>
        <v>5</v>
      </c>
      <c r="L1504" s="3" t="n">
        <f aca="false">IF(COUNTIFS($B$2:B1504,B1504,$C$2:C1504,C1504,$I$2:I1504,I1504)=1,1,0)</f>
        <v>0</v>
      </c>
      <c r="M1504" s="3" t="n">
        <f aca="false">IF(K1504&gt;=Parametri!$B$1,1,0)</f>
        <v>1</v>
      </c>
      <c r="N1504" s="3" t="n">
        <f aca="false">L1504*M1504</f>
        <v>0</v>
      </c>
    </row>
    <row r="1505" customFormat="false" ht="15" hidden="false" customHeight="false" outlineLevel="0" collapsed="false">
      <c r="A1505" s="0" t="s">
        <v>2530</v>
      </c>
      <c r="B1505" s="0" t="s">
        <v>46</v>
      </c>
      <c r="C1505" s="0" t="s">
        <v>2531</v>
      </c>
      <c r="D1505" s="0" t="s">
        <v>63</v>
      </c>
      <c r="E1505" s="2" t="n">
        <v>45948</v>
      </c>
      <c r="F1505" s="3" t="s">
        <v>20</v>
      </c>
      <c r="G1505" s="3" t="s">
        <v>21</v>
      </c>
      <c r="H1505" s="3" t="s">
        <v>22</v>
      </c>
      <c r="I1505" s="3" t="n">
        <f aca="false">YEAR(E1505)</f>
        <v>2025</v>
      </c>
      <c r="J1505" s="3" t="n">
        <f aca="false">MONTH(E1505)</f>
        <v>10</v>
      </c>
      <c r="K1505" s="3" t="n">
        <f aca="false">COUNTIFS($B$2:$B$4077,B1505,$C$2:$C$4077,C1505,$I$2:$I$4077,I1505)</f>
        <v>1</v>
      </c>
      <c r="L1505" s="3" t="n">
        <f aca="false">IF(COUNTIFS($B$2:B1505,B1505,$C$2:C1505,C1505,$I$2:I1505,I1505)=1,1,0)</f>
        <v>1</v>
      </c>
      <c r="M1505" s="3" t="n">
        <f aca="false">IF(K1505&gt;=Parametri!$B$1,1,0)</f>
        <v>0</v>
      </c>
      <c r="N1505" s="3" t="n">
        <f aca="false">L1505*M1505</f>
        <v>0</v>
      </c>
    </row>
    <row r="1506" customFormat="false" ht="15" hidden="false" customHeight="false" outlineLevel="0" collapsed="false">
      <c r="A1506" s="0" t="s">
        <v>2532</v>
      </c>
      <c r="B1506" s="0" t="s">
        <v>57</v>
      </c>
      <c r="C1506" s="0" t="s">
        <v>246</v>
      </c>
      <c r="D1506" s="0" t="s">
        <v>19</v>
      </c>
      <c r="E1506" s="2" t="n">
        <v>46087</v>
      </c>
      <c r="F1506" s="3" t="s">
        <v>20</v>
      </c>
      <c r="G1506" s="3" t="s">
        <v>43</v>
      </c>
      <c r="H1506" s="3" t="s">
        <v>29</v>
      </c>
      <c r="I1506" s="3" t="n">
        <f aca="false">YEAR(E1506)</f>
        <v>2026</v>
      </c>
      <c r="J1506" s="3" t="n">
        <f aca="false">MONTH(E1506)</f>
        <v>3</v>
      </c>
      <c r="K1506" s="3" t="n">
        <f aca="false">COUNTIFS($B$2:$B$4077,B1506,$C$2:$C$4077,C1506,$I$2:$I$4077,I1506)</f>
        <v>2</v>
      </c>
      <c r="L1506" s="3" t="n">
        <f aca="false">IF(COUNTIFS($B$2:B1506,B1506,$C$2:C1506,C1506,$I$2:I1506,I1506)=1,1,0)</f>
        <v>1</v>
      </c>
      <c r="M1506" s="3" t="n">
        <f aca="false">IF(K1506&gt;=Parametri!$B$1,1,0)</f>
        <v>1</v>
      </c>
      <c r="N1506" s="3" t="n">
        <f aca="false">L1506*M1506</f>
        <v>1</v>
      </c>
    </row>
    <row r="1507" customFormat="false" ht="15" hidden="false" customHeight="false" outlineLevel="0" collapsed="false">
      <c r="A1507" s="0" t="s">
        <v>2533</v>
      </c>
      <c r="B1507" s="0" t="s">
        <v>46</v>
      </c>
      <c r="C1507" s="0" t="s">
        <v>1512</v>
      </c>
      <c r="D1507" s="0" t="s">
        <v>63</v>
      </c>
      <c r="E1507" s="2" t="n">
        <v>45901</v>
      </c>
      <c r="F1507" s="3" t="s">
        <v>20</v>
      </c>
      <c r="G1507" s="3" t="s">
        <v>39</v>
      </c>
      <c r="H1507" s="3" t="s">
        <v>22</v>
      </c>
      <c r="I1507" s="3" t="n">
        <f aca="false">YEAR(E1507)</f>
        <v>2025</v>
      </c>
      <c r="J1507" s="3" t="n">
        <f aca="false">MONTH(E1507)</f>
        <v>9</v>
      </c>
      <c r="K1507" s="3" t="n">
        <f aca="false">COUNTIFS($B$2:$B$4077,B1507,$C$2:$C$4077,C1507,$I$2:$I$4077,I1507)</f>
        <v>3</v>
      </c>
      <c r="L1507" s="3" t="n">
        <f aca="false">IF(COUNTIFS($B$2:B1507,B1507,$C$2:C1507,C1507,$I$2:I1507,I1507)=1,1,0)</f>
        <v>0</v>
      </c>
      <c r="M1507" s="3" t="n">
        <f aca="false">IF(K1507&gt;=Parametri!$B$1,1,0)</f>
        <v>1</v>
      </c>
      <c r="N1507" s="3" t="n">
        <f aca="false">L1507*M1507</f>
        <v>0</v>
      </c>
    </row>
    <row r="1508" customFormat="false" ht="15" hidden="false" customHeight="false" outlineLevel="0" collapsed="false">
      <c r="A1508" s="0" t="s">
        <v>2534</v>
      </c>
      <c r="B1508" s="0" t="s">
        <v>31</v>
      </c>
      <c r="C1508" s="0" t="s">
        <v>2535</v>
      </c>
      <c r="D1508" s="0" t="s">
        <v>19</v>
      </c>
      <c r="E1508" s="2" t="n">
        <v>45464</v>
      </c>
      <c r="F1508" s="3" t="s">
        <v>20</v>
      </c>
      <c r="G1508" s="3" t="s">
        <v>39</v>
      </c>
      <c r="H1508" s="3" t="s">
        <v>44</v>
      </c>
      <c r="I1508" s="3" t="n">
        <f aca="false">YEAR(E1508)</f>
        <v>2024</v>
      </c>
      <c r="J1508" s="3" t="n">
        <f aca="false">MONTH(E1508)</f>
        <v>6</v>
      </c>
      <c r="K1508" s="3" t="n">
        <f aca="false">COUNTIFS($B$2:$B$4077,B1508,$C$2:$C$4077,C1508,$I$2:$I$4077,I1508)</f>
        <v>1</v>
      </c>
      <c r="L1508" s="3" t="n">
        <f aca="false">IF(COUNTIFS($B$2:B1508,B1508,$C$2:C1508,C1508,$I$2:I1508,I1508)=1,1,0)</f>
        <v>1</v>
      </c>
      <c r="M1508" s="3" t="n">
        <f aca="false">IF(K1508&gt;=Parametri!$B$1,1,0)</f>
        <v>0</v>
      </c>
      <c r="N1508" s="3" t="n">
        <f aca="false">L1508*M1508</f>
        <v>0</v>
      </c>
    </row>
    <row r="1509" customFormat="false" ht="15" hidden="false" customHeight="false" outlineLevel="0" collapsed="false">
      <c r="A1509" s="0" t="s">
        <v>2536</v>
      </c>
      <c r="B1509" s="0" t="s">
        <v>31</v>
      </c>
      <c r="C1509" s="0" t="s">
        <v>2537</v>
      </c>
      <c r="D1509" s="0" t="s">
        <v>26</v>
      </c>
      <c r="E1509" s="2" t="n">
        <v>46195</v>
      </c>
      <c r="F1509" s="3" t="s">
        <v>20</v>
      </c>
      <c r="G1509" s="3" t="s">
        <v>21</v>
      </c>
      <c r="H1509" s="3" t="s">
        <v>48</v>
      </c>
      <c r="I1509" s="3" t="n">
        <f aca="false">YEAR(E1509)</f>
        <v>2026</v>
      </c>
      <c r="J1509" s="3" t="n">
        <f aca="false">MONTH(E1509)</f>
        <v>6</v>
      </c>
      <c r="K1509" s="3" t="n">
        <f aca="false">COUNTIFS($B$2:$B$4077,B1509,$C$2:$C$4077,C1509,$I$2:$I$4077,I1509)</f>
        <v>1</v>
      </c>
      <c r="L1509" s="3" t="n">
        <f aca="false">IF(COUNTIFS($B$2:B1509,B1509,$C$2:C1509,C1509,$I$2:I1509,I1509)=1,1,0)</f>
        <v>1</v>
      </c>
      <c r="M1509" s="3" t="n">
        <f aca="false">IF(K1509&gt;=Parametri!$B$1,1,0)</f>
        <v>0</v>
      </c>
      <c r="N1509" s="3" t="n">
        <f aca="false">L1509*M1509</f>
        <v>0</v>
      </c>
    </row>
    <row r="1510" customFormat="false" ht="15" hidden="false" customHeight="false" outlineLevel="0" collapsed="false">
      <c r="A1510" s="0" t="s">
        <v>2538</v>
      </c>
      <c r="B1510" s="0" t="s">
        <v>79</v>
      </c>
      <c r="C1510" s="0" t="s">
        <v>2539</v>
      </c>
      <c r="D1510" s="0" t="s">
        <v>54</v>
      </c>
      <c r="E1510" s="2" t="n">
        <v>46115</v>
      </c>
      <c r="F1510" s="3" t="s">
        <v>20</v>
      </c>
      <c r="G1510" s="3" t="s">
        <v>55</v>
      </c>
      <c r="H1510" s="3" t="s">
        <v>29</v>
      </c>
      <c r="I1510" s="3" t="n">
        <f aca="false">YEAR(E1510)</f>
        <v>2026</v>
      </c>
      <c r="J1510" s="3" t="n">
        <f aca="false">MONTH(E1510)</f>
        <v>4</v>
      </c>
      <c r="K1510" s="3" t="n">
        <f aca="false">COUNTIFS($B$2:$B$4077,B1510,$C$2:$C$4077,C1510,$I$2:$I$4077,I1510)</f>
        <v>1</v>
      </c>
      <c r="L1510" s="3" t="n">
        <f aca="false">IF(COUNTIFS($B$2:B1510,B1510,$C$2:C1510,C1510,$I$2:I1510,I1510)=1,1,0)</f>
        <v>1</v>
      </c>
      <c r="M1510" s="3" t="n">
        <f aca="false">IF(K1510&gt;=Parametri!$B$1,1,0)</f>
        <v>0</v>
      </c>
      <c r="N1510" s="3" t="n">
        <f aca="false">L1510*M1510</f>
        <v>0</v>
      </c>
    </row>
    <row r="1511" customFormat="false" ht="15" hidden="false" customHeight="false" outlineLevel="0" collapsed="false">
      <c r="A1511" s="0" t="s">
        <v>2540</v>
      </c>
      <c r="B1511" s="0" t="s">
        <v>68</v>
      </c>
      <c r="C1511" s="0" t="s">
        <v>2541</v>
      </c>
      <c r="D1511" s="0" t="s">
        <v>33</v>
      </c>
      <c r="E1511" s="2" t="n">
        <v>45531</v>
      </c>
      <c r="F1511" s="3" t="s">
        <v>34</v>
      </c>
      <c r="G1511" s="3" t="s">
        <v>28</v>
      </c>
      <c r="H1511" s="3" t="s">
        <v>48</v>
      </c>
      <c r="I1511" s="3" t="n">
        <f aca="false">YEAR(E1511)</f>
        <v>2024</v>
      </c>
      <c r="J1511" s="3" t="n">
        <f aca="false">MONTH(E1511)</f>
        <v>8</v>
      </c>
      <c r="K1511" s="3" t="n">
        <f aca="false">COUNTIFS($B$2:$B$4077,B1511,$C$2:$C$4077,C1511,$I$2:$I$4077,I1511)</f>
        <v>1</v>
      </c>
      <c r="L1511" s="3" t="n">
        <f aca="false">IF(COUNTIFS($B$2:B1511,B1511,$C$2:C1511,C1511,$I$2:I1511,I1511)=1,1,0)</f>
        <v>1</v>
      </c>
      <c r="M1511" s="3" t="n">
        <f aca="false">IF(K1511&gt;=Parametri!$B$1,1,0)</f>
        <v>0</v>
      </c>
      <c r="N1511" s="3" t="n">
        <f aca="false">L1511*M1511</f>
        <v>0</v>
      </c>
    </row>
    <row r="1512" customFormat="false" ht="15" hidden="false" customHeight="false" outlineLevel="0" collapsed="false">
      <c r="A1512" s="0" t="s">
        <v>2542</v>
      </c>
      <c r="B1512" s="0" t="s">
        <v>50</v>
      </c>
      <c r="C1512" s="0" t="s">
        <v>2543</v>
      </c>
      <c r="D1512" s="0" t="s">
        <v>19</v>
      </c>
      <c r="E1512" s="2" t="n">
        <v>45846</v>
      </c>
      <c r="F1512" s="3" t="s">
        <v>20</v>
      </c>
      <c r="G1512" s="3" t="s">
        <v>104</v>
      </c>
      <c r="H1512" s="3" t="s">
        <v>44</v>
      </c>
      <c r="I1512" s="3" t="n">
        <f aca="false">YEAR(E1512)</f>
        <v>2025</v>
      </c>
      <c r="J1512" s="3" t="n">
        <f aca="false">MONTH(E1512)</f>
        <v>7</v>
      </c>
      <c r="K1512" s="3" t="n">
        <f aca="false">COUNTIFS($B$2:$B$4077,B1512,$C$2:$C$4077,C1512,$I$2:$I$4077,I1512)</f>
        <v>1</v>
      </c>
      <c r="L1512" s="3" t="n">
        <f aca="false">IF(COUNTIFS($B$2:B1512,B1512,$C$2:C1512,C1512,$I$2:I1512,I1512)=1,1,0)</f>
        <v>1</v>
      </c>
      <c r="M1512" s="3" t="n">
        <f aca="false">IF(K1512&gt;=Parametri!$B$1,1,0)</f>
        <v>0</v>
      </c>
      <c r="N1512" s="3" t="n">
        <f aca="false">L1512*M1512</f>
        <v>0</v>
      </c>
    </row>
    <row r="1513" customFormat="false" ht="15" hidden="false" customHeight="false" outlineLevel="0" collapsed="false">
      <c r="A1513" s="0" t="s">
        <v>2544</v>
      </c>
      <c r="B1513" s="0" t="s">
        <v>79</v>
      </c>
      <c r="C1513" s="0" t="s">
        <v>883</v>
      </c>
      <c r="D1513" s="0" t="s">
        <v>33</v>
      </c>
      <c r="E1513" s="2" t="n">
        <v>46133</v>
      </c>
      <c r="F1513" s="3" t="s">
        <v>20</v>
      </c>
      <c r="G1513" s="3" t="s">
        <v>89</v>
      </c>
      <c r="H1513" s="3" t="s">
        <v>48</v>
      </c>
      <c r="I1513" s="3" t="n">
        <f aca="false">YEAR(E1513)</f>
        <v>2026</v>
      </c>
      <c r="J1513" s="3" t="n">
        <f aca="false">MONTH(E1513)</f>
        <v>4</v>
      </c>
      <c r="K1513" s="3" t="n">
        <f aca="false">COUNTIFS($B$2:$B$4077,B1513,$C$2:$C$4077,C1513,$I$2:$I$4077,I1513)</f>
        <v>2</v>
      </c>
      <c r="L1513" s="3" t="n">
        <f aca="false">IF(COUNTIFS($B$2:B1513,B1513,$C$2:C1513,C1513,$I$2:I1513,I1513)=1,1,0)</f>
        <v>1</v>
      </c>
      <c r="M1513" s="3" t="n">
        <f aca="false">IF(K1513&gt;=Parametri!$B$1,1,0)</f>
        <v>1</v>
      </c>
      <c r="N1513" s="3" t="n">
        <f aca="false">L1513*M1513</f>
        <v>1</v>
      </c>
    </row>
    <row r="1514" customFormat="false" ht="15" hidden="false" customHeight="false" outlineLevel="0" collapsed="false">
      <c r="A1514" s="0" t="s">
        <v>2545</v>
      </c>
      <c r="B1514" s="0" t="s">
        <v>46</v>
      </c>
      <c r="C1514" s="0" t="s">
        <v>2546</v>
      </c>
      <c r="D1514" s="0" t="s">
        <v>77</v>
      </c>
      <c r="E1514" s="2" t="n">
        <v>45503</v>
      </c>
      <c r="F1514" s="3" t="s">
        <v>20</v>
      </c>
      <c r="G1514" s="3" t="s">
        <v>89</v>
      </c>
      <c r="H1514" s="3" t="s">
        <v>48</v>
      </c>
      <c r="I1514" s="3" t="n">
        <f aca="false">YEAR(E1514)</f>
        <v>2024</v>
      </c>
      <c r="J1514" s="3" t="n">
        <f aca="false">MONTH(E1514)</f>
        <v>7</v>
      </c>
      <c r="K1514" s="3" t="n">
        <f aca="false">COUNTIFS($B$2:$B$4077,B1514,$C$2:$C$4077,C1514,$I$2:$I$4077,I1514)</f>
        <v>1</v>
      </c>
      <c r="L1514" s="3" t="n">
        <f aca="false">IF(COUNTIFS($B$2:B1514,B1514,$C$2:C1514,C1514,$I$2:I1514,I1514)=1,1,0)</f>
        <v>1</v>
      </c>
      <c r="M1514" s="3" t="n">
        <f aca="false">IF(K1514&gt;=Parametri!$B$1,1,0)</f>
        <v>0</v>
      </c>
      <c r="N1514" s="3" t="n">
        <f aca="false">L1514*M1514</f>
        <v>0</v>
      </c>
    </row>
    <row r="1515" customFormat="false" ht="15" hidden="false" customHeight="false" outlineLevel="0" collapsed="false">
      <c r="A1515" s="0" t="s">
        <v>2547</v>
      </c>
      <c r="B1515" s="0" t="s">
        <v>50</v>
      </c>
      <c r="C1515" s="0" t="s">
        <v>2548</v>
      </c>
      <c r="D1515" s="0" t="s">
        <v>26</v>
      </c>
      <c r="E1515" s="2" t="n">
        <v>45515</v>
      </c>
      <c r="F1515" s="3" t="s">
        <v>34</v>
      </c>
      <c r="G1515" s="3" t="s">
        <v>21</v>
      </c>
      <c r="H1515" s="3" t="s">
        <v>22</v>
      </c>
      <c r="I1515" s="3" t="n">
        <f aca="false">YEAR(E1515)</f>
        <v>2024</v>
      </c>
      <c r="J1515" s="3" t="n">
        <f aca="false">MONTH(E1515)</f>
        <v>8</v>
      </c>
      <c r="K1515" s="3" t="n">
        <f aca="false">COUNTIFS($B$2:$B$4077,B1515,$C$2:$C$4077,C1515,$I$2:$I$4077,I1515)</f>
        <v>1</v>
      </c>
      <c r="L1515" s="3" t="n">
        <f aca="false">IF(COUNTIFS($B$2:B1515,B1515,$C$2:C1515,C1515,$I$2:I1515,I1515)=1,1,0)</f>
        <v>1</v>
      </c>
      <c r="M1515" s="3" t="n">
        <f aca="false">IF(K1515&gt;=Parametri!$B$1,1,0)</f>
        <v>0</v>
      </c>
      <c r="N1515" s="3" t="n">
        <f aca="false">L1515*M1515</f>
        <v>0</v>
      </c>
    </row>
    <row r="1516" customFormat="false" ht="15" hidden="false" customHeight="false" outlineLevel="0" collapsed="false">
      <c r="A1516" s="0" t="s">
        <v>2549</v>
      </c>
      <c r="B1516" s="0" t="s">
        <v>24</v>
      </c>
      <c r="C1516" s="0" t="s">
        <v>1449</v>
      </c>
      <c r="D1516" s="0" t="s">
        <v>66</v>
      </c>
      <c r="E1516" s="2" t="n">
        <v>45631</v>
      </c>
      <c r="F1516" s="3" t="s">
        <v>20</v>
      </c>
      <c r="G1516" s="3" t="s">
        <v>43</v>
      </c>
      <c r="H1516" s="3" t="s">
        <v>48</v>
      </c>
      <c r="I1516" s="3" t="n">
        <f aca="false">YEAR(E1516)</f>
        <v>2024</v>
      </c>
      <c r="J1516" s="3" t="n">
        <f aca="false">MONTH(E1516)</f>
        <v>12</v>
      </c>
      <c r="K1516" s="3" t="n">
        <f aca="false">COUNTIFS($B$2:$B$4077,B1516,$C$2:$C$4077,C1516,$I$2:$I$4077,I1516)</f>
        <v>2</v>
      </c>
      <c r="L1516" s="3" t="n">
        <f aca="false">IF(COUNTIFS($B$2:B1516,B1516,$C$2:C1516,C1516,$I$2:I1516,I1516)=1,1,0)</f>
        <v>1</v>
      </c>
      <c r="M1516" s="3" t="n">
        <f aca="false">IF(K1516&gt;=Parametri!$B$1,1,0)</f>
        <v>1</v>
      </c>
      <c r="N1516" s="3" t="n">
        <f aca="false">L1516*M1516</f>
        <v>1</v>
      </c>
    </row>
    <row r="1517" customFormat="false" ht="15" hidden="false" customHeight="false" outlineLevel="0" collapsed="false">
      <c r="A1517" s="0" t="s">
        <v>2550</v>
      </c>
      <c r="B1517" s="0" t="s">
        <v>57</v>
      </c>
      <c r="C1517" s="0" t="s">
        <v>1531</v>
      </c>
      <c r="D1517" s="0" t="s">
        <v>38</v>
      </c>
      <c r="E1517" s="2" t="n">
        <v>45975</v>
      </c>
      <c r="F1517" s="3" t="s">
        <v>27</v>
      </c>
      <c r="G1517" s="3" t="s">
        <v>55</v>
      </c>
      <c r="H1517" s="3" t="s">
        <v>48</v>
      </c>
      <c r="I1517" s="3" t="n">
        <f aca="false">YEAR(E1517)</f>
        <v>2025</v>
      </c>
      <c r="J1517" s="3" t="n">
        <f aca="false">MONTH(E1517)</f>
        <v>11</v>
      </c>
      <c r="K1517" s="3" t="n">
        <f aca="false">COUNTIFS($B$2:$B$4077,B1517,$C$2:$C$4077,C1517,$I$2:$I$4077,I1517)</f>
        <v>7</v>
      </c>
      <c r="L1517" s="3" t="n">
        <f aca="false">IF(COUNTIFS($B$2:B1517,B1517,$C$2:C1517,C1517,$I$2:I1517,I1517)=1,1,0)</f>
        <v>0</v>
      </c>
      <c r="M1517" s="3" t="n">
        <f aca="false">IF(K1517&gt;=Parametri!$B$1,1,0)</f>
        <v>1</v>
      </c>
      <c r="N1517" s="3" t="n">
        <f aca="false">L1517*M1517</f>
        <v>0</v>
      </c>
    </row>
    <row r="1518" customFormat="false" ht="15" hidden="false" customHeight="false" outlineLevel="0" collapsed="false">
      <c r="A1518" s="0" t="s">
        <v>2551</v>
      </c>
      <c r="B1518" s="0" t="s">
        <v>50</v>
      </c>
      <c r="C1518" s="0" t="s">
        <v>1142</v>
      </c>
      <c r="D1518" s="0" t="s">
        <v>19</v>
      </c>
      <c r="E1518" s="2" t="n">
        <v>45956</v>
      </c>
      <c r="F1518" s="3" t="s">
        <v>20</v>
      </c>
      <c r="G1518" s="3" t="s">
        <v>21</v>
      </c>
      <c r="H1518" s="3" t="s">
        <v>44</v>
      </c>
      <c r="I1518" s="3" t="n">
        <f aca="false">YEAR(E1518)</f>
        <v>2025</v>
      </c>
      <c r="J1518" s="3" t="n">
        <f aca="false">MONTH(E1518)</f>
        <v>10</v>
      </c>
      <c r="K1518" s="3" t="n">
        <f aca="false">COUNTIFS($B$2:$B$4077,B1518,$C$2:$C$4077,C1518,$I$2:$I$4077,I1518)</f>
        <v>2</v>
      </c>
      <c r="L1518" s="3" t="n">
        <f aca="false">IF(COUNTIFS($B$2:B1518,B1518,$C$2:C1518,C1518,$I$2:I1518,I1518)=1,1,0)</f>
        <v>0</v>
      </c>
      <c r="M1518" s="3" t="n">
        <f aca="false">IF(K1518&gt;=Parametri!$B$1,1,0)</f>
        <v>1</v>
      </c>
      <c r="N1518" s="3" t="n">
        <f aca="false">L1518*M1518</f>
        <v>0</v>
      </c>
    </row>
    <row r="1519" customFormat="false" ht="15" hidden="false" customHeight="false" outlineLevel="0" collapsed="false">
      <c r="A1519" s="0" t="s">
        <v>2552</v>
      </c>
      <c r="B1519" s="0" t="s">
        <v>50</v>
      </c>
      <c r="C1519" s="0" t="s">
        <v>2553</v>
      </c>
      <c r="D1519" s="0" t="s">
        <v>63</v>
      </c>
      <c r="E1519" s="2" t="n">
        <v>45697</v>
      </c>
      <c r="F1519" s="3" t="s">
        <v>20</v>
      </c>
      <c r="G1519" s="3" t="s">
        <v>89</v>
      </c>
      <c r="H1519" s="3" t="s">
        <v>22</v>
      </c>
      <c r="I1519" s="3" t="n">
        <f aca="false">YEAR(E1519)</f>
        <v>2025</v>
      </c>
      <c r="J1519" s="3" t="n">
        <f aca="false">MONTH(E1519)</f>
        <v>2</v>
      </c>
      <c r="K1519" s="3" t="n">
        <f aca="false">COUNTIFS($B$2:$B$4077,B1519,$C$2:$C$4077,C1519,$I$2:$I$4077,I1519)</f>
        <v>1</v>
      </c>
      <c r="L1519" s="3" t="n">
        <f aca="false">IF(COUNTIFS($B$2:B1519,B1519,$C$2:C1519,C1519,$I$2:I1519,I1519)=1,1,0)</f>
        <v>1</v>
      </c>
      <c r="M1519" s="3" t="n">
        <f aca="false">IF(K1519&gt;=Parametri!$B$1,1,0)</f>
        <v>0</v>
      </c>
      <c r="N1519" s="3" t="n">
        <f aca="false">L1519*M1519</f>
        <v>0</v>
      </c>
    </row>
    <row r="1520" customFormat="false" ht="15" hidden="false" customHeight="false" outlineLevel="0" collapsed="false">
      <c r="A1520" s="0" t="s">
        <v>2554</v>
      </c>
      <c r="B1520" s="0" t="s">
        <v>31</v>
      </c>
      <c r="C1520" s="0" t="s">
        <v>889</v>
      </c>
      <c r="D1520" s="0" t="s">
        <v>19</v>
      </c>
      <c r="E1520" s="2" t="n">
        <v>45816</v>
      </c>
      <c r="F1520" s="3" t="s">
        <v>20</v>
      </c>
      <c r="G1520" s="3" t="s">
        <v>35</v>
      </c>
      <c r="H1520" s="3" t="s">
        <v>22</v>
      </c>
      <c r="I1520" s="3" t="n">
        <f aca="false">YEAR(E1520)</f>
        <v>2025</v>
      </c>
      <c r="J1520" s="3" t="n">
        <f aca="false">MONTH(E1520)</f>
        <v>6</v>
      </c>
      <c r="K1520" s="3" t="n">
        <f aca="false">COUNTIFS($B$2:$B$4077,B1520,$C$2:$C$4077,C1520,$I$2:$I$4077,I1520)</f>
        <v>2</v>
      </c>
      <c r="L1520" s="3" t="n">
        <f aca="false">IF(COUNTIFS($B$2:B1520,B1520,$C$2:C1520,C1520,$I$2:I1520,I1520)=1,1,0)</f>
        <v>0</v>
      </c>
      <c r="M1520" s="3" t="n">
        <f aca="false">IF(K1520&gt;=Parametri!$B$1,1,0)</f>
        <v>1</v>
      </c>
      <c r="N1520" s="3" t="n">
        <f aca="false">L1520*M1520</f>
        <v>0</v>
      </c>
    </row>
    <row r="1521" customFormat="false" ht="15" hidden="false" customHeight="false" outlineLevel="0" collapsed="false">
      <c r="A1521" s="0" t="s">
        <v>2555</v>
      </c>
      <c r="B1521" s="0" t="s">
        <v>17</v>
      </c>
      <c r="C1521" s="0" t="s">
        <v>1914</v>
      </c>
      <c r="D1521" s="0" t="s">
        <v>66</v>
      </c>
      <c r="E1521" s="2" t="n">
        <v>45588</v>
      </c>
      <c r="F1521" s="3" t="s">
        <v>34</v>
      </c>
      <c r="G1521" s="3" t="s">
        <v>21</v>
      </c>
      <c r="H1521" s="3" t="s">
        <v>29</v>
      </c>
      <c r="I1521" s="3" t="n">
        <f aca="false">YEAR(E1521)</f>
        <v>2024</v>
      </c>
      <c r="J1521" s="3" t="n">
        <f aca="false">MONTH(E1521)</f>
        <v>10</v>
      </c>
      <c r="K1521" s="3" t="n">
        <f aca="false">COUNTIFS($B$2:$B$4077,B1521,$C$2:$C$4077,C1521,$I$2:$I$4077,I1521)</f>
        <v>1</v>
      </c>
      <c r="L1521" s="3" t="n">
        <f aca="false">IF(COUNTIFS($B$2:B1521,B1521,$C$2:C1521,C1521,$I$2:I1521,I1521)=1,1,0)</f>
        <v>1</v>
      </c>
      <c r="M1521" s="3" t="n">
        <f aca="false">IF(K1521&gt;=Parametri!$B$1,1,0)</f>
        <v>0</v>
      </c>
      <c r="N1521" s="3" t="n">
        <f aca="false">L1521*M1521</f>
        <v>0</v>
      </c>
    </row>
    <row r="1522" customFormat="false" ht="15" hidden="false" customHeight="false" outlineLevel="0" collapsed="false">
      <c r="A1522" s="0" t="s">
        <v>2556</v>
      </c>
      <c r="B1522" s="0" t="s">
        <v>17</v>
      </c>
      <c r="C1522" s="0" t="s">
        <v>18</v>
      </c>
      <c r="D1522" s="0" t="s">
        <v>66</v>
      </c>
      <c r="E1522" s="2" t="n">
        <v>45797</v>
      </c>
      <c r="F1522" s="3" t="s">
        <v>20</v>
      </c>
      <c r="G1522" s="3" t="s">
        <v>89</v>
      </c>
      <c r="H1522" s="3" t="s">
        <v>29</v>
      </c>
      <c r="I1522" s="3" t="n">
        <f aca="false">YEAR(E1522)</f>
        <v>2025</v>
      </c>
      <c r="J1522" s="3" t="n">
        <f aca="false">MONTH(E1522)</f>
        <v>5</v>
      </c>
      <c r="K1522" s="3" t="n">
        <f aca="false">COUNTIFS($B$2:$B$4077,B1522,$C$2:$C$4077,C1522,$I$2:$I$4077,I1522)</f>
        <v>1</v>
      </c>
      <c r="L1522" s="3" t="n">
        <f aca="false">IF(COUNTIFS($B$2:B1522,B1522,$C$2:C1522,C1522,$I$2:I1522,I1522)=1,1,0)</f>
        <v>1</v>
      </c>
      <c r="M1522" s="3" t="n">
        <f aca="false">IF(K1522&gt;=Parametri!$B$1,1,0)</f>
        <v>0</v>
      </c>
      <c r="N1522" s="3" t="n">
        <f aca="false">L1522*M1522</f>
        <v>0</v>
      </c>
    </row>
    <row r="1523" customFormat="false" ht="15" hidden="false" customHeight="false" outlineLevel="0" collapsed="false">
      <c r="A1523" s="0" t="s">
        <v>2557</v>
      </c>
      <c r="B1523" s="0" t="s">
        <v>68</v>
      </c>
      <c r="C1523" s="0" t="s">
        <v>2558</v>
      </c>
      <c r="D1523" s="0" t="s">
        <v>54</v>
      </c>
      <c r="E1523" s="2" t="n">
        <v>45932</v>
      </c>
      <c r="F1523" s="3" t="s">
        <v>34</v>
      </c>
      <c r="G1523" s="3" t="s">
        <v>35</v>
      </c>
      <c r="H1523" s="3" t="s">
        <v>22</v>
      </c>
      <c r="I1523" s="3" t="n">
        <f aca="false">YEAR(E1523)</f>
        <v>2025</v>
      </c>
      <c r="J1523" s="3" t="n">
        <f aca="false">MONTH(E1523)</f>
        <v>10</v>
      </c>
      <c r="K1523" s="3" t="n">
        <f aca="false">COUNTIFS($B$2:$B$4077,B1523,$C$2:$C$4077,C1523,$I$2:$I$4077,I1523)</f>
        <v>1</v>
      </c>
      <c r="L1523" s="3" t="n">
        <f aca="false">IF(COUNTIFS($B$2:B1523,B1523,$C$2:C1523,C1523,$I$2:I1523,I1523)=1,1,0)</f>
        <v>1</v>
      </c>
      <c r="M1523" s="3" t="n">
        <f aca="false">IF(K1523&gt;=Parametri!$B$1,1,0)</f>
        <v>0</v>
      </c>
      <c r="N1523" s="3" t="n">
        <f aca="false">L1523*M1523</f>
        <v>0</v>
      </c>
    </row>
    <row r="1524" customFormat="false" ht="15" hidden="false" customHeight="false" outlineLevel="0" collapsed="false">
      <c r="A1524" s="0" t="s">
        <v>2559</v>
      </c>
      <c r="B1524" s="0" t="s">
        <v>17</v>
      </c>
      <c r="C1524" s="0" t="s">
        <v>2560</v>
      </c>
      <c r="D1524" s="0" t="s">
        <v>54</v>
      </c>
      <c r="E1524" s="2" t="n">
        <v>45512</v>
      </c>
      <c r="F1524" s="3" t="s">
        <v>20</v>
      </c>
      <c r="G1524" s="3" t="s">
        <v>55</v>
      </c>
      <c r="H1524" s="3" t="s">
        <v>48</v>
      </c>
      <c r="I1524" s="3" t="n">
        <f aca="false">YEAR(E1524)</f>
        <v>2024</v>
      </c>
      <c r="J1524" s="3" t="n">
        <f aca="false">MONTH(E1524)</f>
        <v>8</v>
      </c>
      <c r="K1524" s="3" t="n">
        <f aca="false">COUNTIFS($B$2:$B$4077,B1524,$C$2:$C$4077,C1524,$I$2:$I$4077,I1524)</f>
        <v>2</v>
      </c>
      <c r="L1524" s="3" t="n">
        <f aca="false">IF(COUNTIFS($B$2:B1524,B1524,$C$2:C1524,C1524,$I$2:I1524,I1524)=1,1,0)</f>
        <v>1</v>
      </c>
      <c r="M1524" s="3" t="n">
        <f aca="false">IF(K1524&gt;=Parametri!$B$1,1,0)</f>
        <v>1</v>
      </c>
      <c r="N1524" s="3" t="n">
        <f aca="false">L1524*M1524</f>
        <v>1</v>
      </c>
    </row>
    <row r="1525" customFormat="false" ht="15" hidden="false" customHeight="false" outlineLevel="0" collapsed="false">
      <c r="A1525" s="0" t="s">
        <v>2561</v>
      </c>
      <c r="B1525" s="0" t="s">
        <v>17</v>
      </c>
      <c r="C1525" s="0" t="s">
        <v>671</v>
      </c>
      <c r="D1525" s="0" t="s">
        <v>77</v>
      </c>
      <c r="E1525" s="2" t="n">
        <v>45506</v>
      </c>
      <c r="F1525" s="3" t="s">
        <v>20</v>
      </c>
      <c r="G1525" s="3" t="s">
        <v>39</v>
      </c>
      <c r="H1525" s="3" t="s">
        <v>29</v>
      </c>
      <c r="I1525" s="3" t="n">
        <f aca="false">YEAR(E1525)</f>
        <v>2024</v>
      </c>
      <c r="J1525" s="3" t="n">
        <f aca="false">MONTH(E1525)</f>
        <v>8</v>
      </c>
      <c r="K1525" s="3" t="n">
        <f aca="false">COUNTIFS($B$2:$B$4077,B1525,$C$2:$C$4077,C1525,$I$2:$I$4077,I1525)</f>
        <v>4</v>
      </c>
      <c r="L1525" s="3" t="n">
        <f aca="false">IF(COUNTIFS($B$2:B1525,B1525,$C$2:C1525,C1525,$I$2:I1525,I1525)=1,1,0)</f>
        <v>0</v>
      </c>
      <c r="M1525" s="3" t="n">
        <f aca="false">IF(K1525&gt;=Parametri!$B$1,1,0)</f>
        <v>1</v>
      </c>
      <c r="N1525" s="3" t="n">
        <f aca="false">L1525*M1525</f>
        <v>0</v>
      </c>
    </row>
    <row r="1526" customFormat="false" ht="15" hidden="false" customHeight="false" outlineLevel="0" collapsed="false">
      <c r="A1526" s="0" t="s">
        <v>2562</v>
      </c>
      <c r="B1526" s="0" t="s">
        <v>24</v>
      </c>
      <c r="C1526" s="0" t="s">
        <v>1533</v>
      </c>
      <c r="D1526" s="0" t="s">
        <v>26</v>
      </c>
      <c r="E1526" s="2" t="n">
        <v>45610</v>
      </c>
      <c r="F1526" s="3" t="s">
        <v>34</v>
      </c>
      <c r="G1526" s="3" t="s">
        <v>72</v>
      </c>
      <c r="H1526" s="3" t="s">
        <v>48</v>
      </c>
      <c r="I1526" s="3" t="n">
        <f aca="false">YEAR(E1526)</f>
        <v>2024</v>
      </c>
      <c r="J1526" s="3" t="n">
        <f aca="false">MONTH(E1526)</f>
        <v>11</v>
      </c>
      <c r="K1526" s="3" t="n">
        <f aca="false">COUNTIFS($B$2:$B$4077,B1526,$C$2:$C$4077,C1526,$I$2:$I$4077,I1526)</f>
        <v>1</v>
      </c>
      <c r="L1526" s="3" t="n">
        <f aca="false">IF(COUNTIFS($B$2:B1526,B1526,$C$2:C1526,C1526,$I$2:I1526,I1526)=1,1,0)</f>
        <v>1</v>
      </c>
      <c r="M1526" s="3" t="n">
        <f aca="false">IF(K1526&gt;=Parametri!$B$1,1,0)</f>
        <v>0</v>
      </c>
      <c r="N1526" s="3" t="n">
        <f aca="false">L1526*M1526</f>
        <v>0</v>
      </c>
    </row>
    <row r="1527" customFormat="false" ht="15" hidden="false" customHeight="false" outlineLevel="0" collapsed="false">
      <c r="A1527" s="0" t="s">
        <v>2563</v>
      </c>
      <c r="B1527" s="0" t="s">
        <v>46</v>
      </c>
      <c r="C1527" s="0" t="s">
        <v>772</v>
      </c>
      <c r="D1527" s="0" t="s">
        <v>38</v>
      </c>
      <c r="E1527" s="2" t="n">
        <v>45973</v>
      </c>
      <c r="F1527" s="3" t="s">
        <v>27</v>
      </c>
      <c r="G1527" s="3" t="s">
        <v>21</v>
      </c>
      <c r="H1527" s="3" t="s">
        <v>29</v>
      </c>
      <c r="I1527" s="3" t="n">
        <f aca="false">YEAR(E1527)</f>
        <v>2025</v>
      </c>
      <c r="J1527" s="3" t="n">
        <f aca="false">MONTH(E1527)</f>
        <v>11</v>
      </c>
      <c r="K1527" s="3" t="n">
        <f aca="false">COUNTIFS($B$2:$B$4077,B1527,$C$2:$C$4077,C1527,$I$2:$I$4077,I1527)</f>
        <v>2</v>
      </c>
      <c r="L1527" s="3" t="n">
        <f aca="false">IF(COUNTIFS($B$2:B1527,B1527,$C$2:C1527,C1527,$I$2:I1527,I1527)=1,1,0)</f>
        <v>0</v>
      </c>
      <c r="M1527" s="3" t="n">
        <f aca="false">IF(K1527&gt;=Parametri!$B$1,1,0)</f>
        <v>1</v>
      </c>
      <c r="N1527" s="3" t="n">
        <f aca="false">L1527*M1527</f>
        <v>0</v>
      </c>
    </row>
    <row r="1528" customFormat="false" ht="15" hidden="false" customHeight="false" outlineLevel="0" collapsed="false">
      <c r="A1528" s="0" t="s">
        <v>2564</v>
      </c>
      <c r="B1528" s="0" t="s">
        <v>31</v>
      </c>
      <c r="C1528" s="0" t="s">
        <v>2121</v>
      </c>
      <c r="D1528" s="0" t="s">
        <v>38</v>
      </c>
      <c r="E1528" s="2" t="n">
        <v>46199</v>
      </c>
      <c r="F1528" s="3" t="s">
        <v>34</v>
      </c>
      <c r="G1528" s="3" t="s">
        <v>28</v>
      </c>
      <c r="H1528" s="3" t="s">
        <v>48</v>
      </c>
      <c r="I1528" s="3" t="n">
        <f aca="false">YEAR(E1528)</f>
        <v>2026</v>
      </c>
      <c r="J1528" s="3" t="n">
        <f aca="false">MONTH(E1528)</f>
        <v>6</v>
      </c>
      <c r="K1528" s="3" t="n">
        <f aca="false">COUNTIFS($B$2:$B$4077,B1528,$C$2:$C$4077,C1528,$I$2:$I$4077,I1528)</f>
        <v>2</v>
      </c>
      <c r="L1528" s="3" t="n">
        <f aca="false">IF(COUNTIFS($B$2:B1528,B1528,$C$2:C1528,C1528,$I$2:I1528,I1528)=1,1,0)</f>
        <v>1</v>
      </c>
      <c r="M1528" s="3" t="n">
        <f aca="false">IF(K1528&gt;=Parametri!$B$1,1,0)</f>
        <v>1</v>
      </c>
      <c r="N1528" s="3" t="n">
        <f aca="false">L1528*M1528</f>
        <v>1</v>
      </c>
    </row>
    <row r="1529" customFormat="false" ht="15" hidden="false" customHeight="false" outlineLevel="0" collapsed="false">
      <c r="A1529" s="0" t="s">
        <v>2565</v>
      </c>
      <c r="B1529" s="0" t="s">
        <v>24</v>
      </c>
      <c r="C1529" s="0" t="s">
        <v>131</v>
      </c>
      <c r="D1529" s="0" t="s">
        <v>38</v>
      </c>
      <c r="E1529" s="2" t="n">
        <v>46044</v>
      </c>
      <c r="F1529" s="3" t="s">
        <v>34</v>
      </c>
      <c r="G1529" s="3" t="s">
        <v>89</v>
      </c>
      <c r="H1529" s="3" t="s">
        <v>48</v>
      </c>
      <c r="I1529" s="3" t="n">
        <f aca="false">YEAR(E1529)</f>
        <v>2026</v>
      </c>
      <c r="J1529" s="3" t="n">
        <f aca="false">MONTH(E1529)</f>
        <v>1</v>
      </c>
      <c r="K1529" s="3" t="n">
        <f aca="false">COUNTIFS($B$2:$B$4077,B1529,$C$2:$C$4077,C1529,$I$2:$I$4077,I1529)</f>
        <v>4</v>
      </c>
      <c r="L1529" s="3" t="n">
        <f aca="false">IF(COUNTIFS($B$2:B1529,B1529,$C$2:C1529,C1529,$I$2:I1529,I1529)=1,1,0)</f>
        <v>0</v>
      </c>
      <c r="M1529" s="3" t="n">
        <f aca="false">IF(K1529&gt;=Parametri!$B$1,1,0)</f>
        <v>1</v>
      </c>
      <c r="N1529" s="3" t="n">
        <f aca="false">L1529*M1529</f>
        <v>0</v>
      </c>
    </row>
    <row r="1530" customFormat="false" ht="15" hidden="false" customHeight="false" outlineLevel="0" collapsed="false">
      <c r="A1530" s="0" t="s">
        <v>2566</v>
      </c>
      <c r="B1530" s="0" t="s">
        <v>17</v>
      </c>
      <c r="C1530" s="0" t="s">
        <v>2567</v>
      </c>
      <c r="D1530" s="0" t="s">
        <v>26</v>
      </c>
      <c r="E1530" s="2" t="n">
        <v>45694</v>
      </c>
      <c r="F1530" s="3" t="s">
        <v>20</v>
      </c>
      <c r="G1530" s="3" t="s">
        <v>39</v>
      </c>
      <c r="H1530" s="3" t="s">
        <v>48</v>
      </c>
      <c r="I1530" s="3" t="n">
        <f aca="false">YEAR(E1530)</f>
        <v>2025</v>
      </c>
      <c r="J1530" s="3" t="n">
        <f aca="false">MONTH(E1530)</f>
        <v>2</v>
      </c>
      <c r="K1530" s="3" t="n">
        <f aca="false">COUNTIFS($B$2:$B$4077,B1530,$C$2:$C$4077,C1530,$I$2:$I$4077,I1530)</f>
        <v>3</v>
      </c>
      <c r="L1530" s="3" t="n">
        <f aca="false">IF(COUNTIFS($B$2:B1530,B1530,$C$2:C1530,C1530,$I$2:I1530,I1530)=1,1,0)</f>
        <v>1</v>
      </c>
      <c r="M1530" s="3" t="n">
        <f aca="false">IF(K1530&gt;=Parametri!$B$1,1,0)</f>
        <v>1</v>
      </c>
      <c r="N1530" s="3" t="n">
        <f aca="false">L1530*M1530</f>
        <v>1</v>
      </c>
    </row>
    <row r="1531" customFormat="false" ht="15" hidden="false" customHeight="false" outlineLevel="0" collapsed="false">
      <c r="A1531" s="0" t="s">
        <v>2568</v>
      </c>
      <c r="B1531" s="0" t="s">
        <v>31</v>
      </c>
      <c r="C1531" s="0" t="s">
        <v>248</v>
      </c>
      <c r="D1531" s="0" t="s">
        <v>63</v>
      </c>
      <c r="E1531" s="2" t="n">
        <v>45843</v>
      </c>
      <c r="F1531" s="3" t="s">
        <v>34</v>
      </c>
      <c r="G1531" s="3" t="s">
        <v>28</v>
      </c>
      <c r="H1531" s="3" t="s">
        <v>22</v>
      </c>
      <c r="I1531" s="3" t="n">
        <f aca="false">YEAR(E1531)</f>
        <v>2025</v>
      </c>
      <c r="J1531" s="3" t="n">
        <f aca="false">MONTH(E1531)</f>
        <v>7</v>
      </c>
      <c r="K1531" s="3" t="n">
        <f aca="false">COUNTIFS($B$2:$B$4077,B1531,$C$2:$C$4077,C1531,$I$2:$I$4077,I1531)</f>
        <v>1</v>
      </c>
      <c r="L1531" s="3" t="n">
        <f aca="false">IF(COUNTIFS($B$2:B1531,B1531,$C$2:C1531,C1531,$I$2:I1531,I1531)=1,1,0)</f>
        <v>1</v>
      </c>
      <c r="M1531" s="3" t="n">
        <f aca="false">IF(K1531&gt;=Parametri!$B$1,1,0)</f>
        <v>0</v>
      </c>
      <c r="N1531" s="3" t="n">
        <f aca="false">L1531*M1531</f>
        <v>0</v>
      </c>
    </row>
    <row r="1532" customFormat="false" ht="15" hidden="false" customHeight="false" outlineLevel="0" collapsed="false">
      <c r="A1532" s="0" t="s">
        <v>2569</v>
      </c>
      <c r="B1532" s="0" t="s">
        <v>79</v>
      </c>
      <c r="C1532" s="0" t="s">
        <v>1366</v>
      </c>
      <c r="D1532" s="0" t="s">
        <v>19</v>
      </c>
      <c r="E1532" s="2" t="n">
        <v>45844</v>
      </c>
      <c r="F1532" s="3" t="s">
        <v>34</v>
      </c>
      <c r="G1532" s="3" t="s">
        <v>35</v>
      </c>
      <c r="H1532" s="3" t="s">
        <v>48</v>
      </c>
      <c r="I1532" s="3" t="n">
        <f aca="false">YEAR(E1532)</f>
        <v>2025</v>
      </c>
      <c r="J1532" s="3" t="n">
        <f aca="false">MONTH(E1532)</f>
        <v>7</v>
      </c>
      <c r="K1532" s="3" t="n">
        <f aca="false">COUNTIFS($B$2:$B$4077,B1532,$C$2:$C$4077,C1532,$I$2:$I$4077,I1532)</f>
        <v>5</v>
      </c>
      <c r="L1532" s="3" t="n">
        <f aca="false">IF(COUNTIFS($B$2:B1532,B1532,$C$2:C1532,C1532,$I$2:I1532,I1532)=1,1,0)</f>
        <v>0</v>
      </c>
      <c r="M1532" s="3" t="n">
        <f aca="false">IF(K1532&gt;=Parametri!$B$1,1,0)</f>
        <v>1</v>
      </c>
      <c r="N1532" s="3" t="n">
        <f aca="false">L1532*M1532</f>
        <v>0</v>
      </c>
    </row>
    <row r="1533" customFormat="false" ht="15" hidden="false" customHeight="false" outlineLevel="0" collapsed="false">
      <c r="A1533" s="0" t="s">
        <v>2570</v>
      </c>
      <c r="B1533" s="0" t="s">
        <v>79</v>
      </c>
      <c r="C1533" s="0" t="s">
        <v>846</v>
      </c>
      <c r="D1533" s="0" t="s">
        <v>26</v>
      </c>
      <c r="E1533" s="2" t="n">
        <v>46248</v>
      </c>
      <c r="F1533" s="3" t="s">
        <v>20</v>
      </c>
      <c r="G1533" s="3" t="s">
        <v>43</v>
      </c>
      <c r="H1533" s="3" t="s">
        <v>29</v>
      </c>
      <c r="I1533" s="3" t="n">
        <f aca="false">YEAR(E1533)</f>
        <v>2026</v>
      </c>
      <c r="J1533" s="3" t="n">
        <f aca="false">MONTH(E1533)</f>
        <v>8</v>
      </c>
      <c r="K1533" s="3" t="n">
        <f aca="false">COUNTIFS($B$2:$B$4077,B1533,$C$2:$C$4077,C1533,$I$2:$I$4077,I1533)</f>
        <v>3</v>
      </c>
      <c r="L1533" s="3" t="n">
        <f aca="false">IF(COUNTIFS($B$2:B1533,B1533,$C$2:C1533,C1533,$I$2:I1533,I1533)=1,1,0)</f>
        <v>1</v>
      </c>
      <c r="M1533" s="3" t="n">
        <f aca="false">IF(K1533&gt;=Parametri!$B$1,1,0)</f>
        <v>1</v>
      </c>
      <c r="N1533" s="3" t="n">
        <f aca="false">L1533*M1533</f>
        <v>1</v>
      </c>
    </row>
    <row r="1534" customFormat="false" ht="15" hidden="false" customHeight="false" outlineLevel="0" collapsed="false">
      <c r="A1534" s="0" t="s">
        <v>2571</v>
      </c>
      <c r="B1534" s="0" t="s">
        <v>24</v>
      </c>
      <c r="C1534" s="0" t="s">
        <v>2572</v>
      </c>
      <c r="D1534" s="0" t="s">
        <v>77</v>
      </c>
      <c r="E1534" s="2" t="n">
        <v>45963</v>
      </c>
      <c r="F1534" s="3" t="s">
        <v>27</v>
      </c>
      <c r="G1534" s="3" t="s">
        <v>39</v>
      </c>
      <c r="H1534" s="3" t="s">
        <v>29</v>
      </c>
      <c r="I1534" s="3" t="n">
        <f aca="false">YEAR(E1534)</f>
        <v>2025</v>
      </c>
      <c r="J1534" s="3" t="n">
        <f aca="false">MONTH(E1534)</f>
        <v>11</v>
      </c>
      <c r="K1534" s="3" t="n">
        <f aca="false">COUNTIFS($B$2:$B$4077,B1534,$C$2:$C$4077,C1534,$I$2:$I$4077,I1534)</f>
        <v>2</v>
      </c>
      <c r="L1534" s="3" t="n">
        <f aca="false">IF(COUNTIFS($B$2:B1534,B1534,$C$2:C1534,C1534,$I$2:I1534,I1534)=1,1,0)</f>
        <v>1</v>
      </c>
      <c r="M1534" s="3" t="n">
        <f aca="false">IF(K1534&gt;=Parametri!$B$1,1,0)</f>
        <v>1</v>
      </c>
      <c r="N1534" s="3" t="n">
        <f aca="false">L1534*M1534</f>
        <v>1</v>
      </c>
    </row>
    <row r="1535" customFormat="false" ht="15" hidden="false" customHeight="false" outlineLevel="0" collapsed="false">
      <c r="A1535" s="0" t="s">
        <v>2573</v>
      </c>
      <c r="B1535" s="0" t="s">
        <v>17</v>
      </c>
      <c r="C1535" s="0" t="s">
        <v>2574</v>
      </c>
      <c r="D1535" s="0" t="s">
        <v>33</v>
      </c>
      <c r="E1535" s="2" t="n">
        <v>45347</v>
      </c>
      <c r="F1535" s="3" t="s">
        <v>104</v>
      </c>
      <c r="G1535" s="3" t="s">
        <v>104</v>
      </c>
      <c r="H1535" s="3" t="s">
        <v>104</v>
      </c>
      <c r="I1535" s="3" t="n">
        <f aca="false">YEAR(E1535)</f>
        <v>2024</v>
      </c>
      <c r="J1535" s="3" t="n">
        <f aca="false">MONTH(E1535)</f>
        <v>2</v>
      </c>
      <c r="K1535" s="3" t="n">
        <f aca="false">COUNTIFS($B$2:$B$4077,B1535,$C$2:$C$4077,C1535,$I$2:$I$4077,I1535)</f>
        <v>2</v>
      </c>
      <c r="L1535" s="3" t="n">
        <f aca="false">IF(COUNTIFS($B$2:B1535,B1535,$C$2:C1535,C1535,$I$2:I1535,I1535)=1,1,0)</f>
        <v>1</v>
      </c>
      <c r="M1535" s="3" t="n">
        <f aca="false">IF(K1535&gt;=Parametri!$B$1,1,0)</f>
        <v>1</v>
      </c>
      <c r="N1535" s="3" t="n">
        <f aca="false">L1535*M1535</f>
        <v>1</v>
      </c>
    </row>
    <row r="1536" customFormat="false" ht="15" hidden="false" customHeight="false" outlineLevel="0" collapsed="false">
      <c r="A1536" s="0" t="s">
        <v>2575</v>
      </c>
      <c r="B1536" s="0" t="s">
        <v>17</v>
      </c>
      <c r="C1536" s="0" t="s">
        <v>1633</v>
      </c>
      <c r="D1536" s="0" t="s">
        <v>77</v>
      </c>
      <c r="E1536" s="2" t="n">
        <v>45767</v>
      </c>
      <c r="F1536" s="3" t="s">
        <v>20</v>
      </c>
      <c r="G1536" s="3" t="s">
        <v>21</v>
      </c>
      <c r="H1536" s="3" t="s">
        <v>29</v>
      </c>
      <c r="I1536" s="3" t="n">
        <f aca="false">YEAR(E1536)</f>
        <v>2025</v>
      </c>
      <c r="J1536" s="3" t="n">
        <f aca="false">MONTH(E1536)</f>
        <v>4</v>
      </c>
      <c r="K1536" s="3" t="n">
        <f aca="false">COUNTIFS($B$2:$B$4077,B1536,$C$2:$C$4077,C1536,$I$2:$I$4077,I1536)</f>
        <v>3</v>
      </c>
      <c r="L1536" s="3" t="n">
        <f aca="false">IF(COUNTIFS($B$2:B1536,B1536,$C$2:C1536,C1536,$I$2:I1536,I1536)=1,1,0)</f>
        <v>0</v>
      </c>
      <c r="M1536" s="3" t="n">
        <f aca="false">IF(K1536&gt;=Parametri!$B$1,1,0)</f>
        <v>1</v>
      </c>
      <c r="N1536" s="3" t="n">
        <f aca="false">L1536*M1536</f>
        <v>0</v>
      </c>
    </row>
    <row r="1537" customFormat="false" ht="15" hidden="false" customHeight="false" outlineLevel="0" collapsed="false">
      <c r="A1537" s="0" t="s">
        <v>2576</v>
      </c>
      <c r="B1537" s="0" t="s">
        <v>41</v>
      </c>
      <c r="C1537" s="0" t="s">
        <v>2577</v>
      </c>
      <c r="D1537" s="0" t="s">
        <v>26</v>
      </c>
      <c r="E1537" s="2" t="n">
        <v>45752</v>
      </c>
      <c r="F1537" s="3" t="s">
        <v>27</v>
      </c>
      <c r="G1537" s="3" t="s">
        <v>21</v>
      </c>
      <c r="H1537" s="3" t="s">
        <v>48</v>
      </c>
      <c r="I1537" s="3" t="n">
        <f aca="false">YEAR(E1537)</f>
        <v>2025</v>
      </c>
      <c r="J1537" s="3" t="n">
        <f aca="false">MONTH(E1537)</f>
        <v>4</v>
      </c>
      <c r="K1537" s="3" t="n">
        <f aca="false">COUNTIFS($B$2:$B$4077,B1537,$C$2:$C$4077,C1537,$I$2:$I$4077,I1537)</f>
        <v>1</v>
      </c>
      <c r="L1537" s="3" t="n">
        <f aca="false">IF(COUNTIFS($B$2:B1537,B1537,$C$2:C1537,C1537,$I$2:I1537,I1537)=1,1,0)</f>
        <v>1</v>
      </c>
      <c r="M1537" s="3" t="n">
        <f aca="false">IF(K1537&gt;=Parametri!$B$1,1,0)</f>
        <v>0</v>
      </c>
      <c r="N1537" s="3" t="n">
        <f aca="false">L1537*M1537</f>
        <v>0</v>
      </c>
    </row>
    <row r="1538" customFormat="false" ht="15" hidden="false" customHeight="false" outlineLevel="0" collapsed="false">
      <c r="A1538" s="0" t="s">
        <v>2578</v>
      </c>
      <c r="B1538" s="0" t="s">
        <v>31</v>
      </c>
      <c r="C1538" s="0" t="s">
        <v>2121</v>
      </c>
      <c r="D1538" s="0" t="s">
        <v>33</v>
      </c>
      <c r="E1538" s="2" t="n">
        <v>46122</v>
      </c>
      <c r="F1538" s="3" t="s">
        <v>20</v>
      </c>
      <c r="G1538" s="3" t="s">
        <v>28</v>
      </c>
      <c r="H1538" s="3" t="s">
        <v>44</v>
      </c>
      <c r="I1538" s="3" t="n">
        <f aca="false">YEAR(E1538)</f>
        <v>2026</v>
      </c>
      <c r="J1538" s="3" t="n">
        <f aca="false">MONTH(E1538)</f>
        <v>4</v>
      </c>
      <c r="K1538" s="3" t="n">
        <f aca="false">COUNTIFS($B$2:$B$4077,B1538,$C$2:$C$4077,C1538,$I$2:$I$4077,I1538)</f>
        <v>2</v>
      </c>
      <c r="L1538" s="3" t="n">
        <f aca="false">IF(COUNTIFS($B$2:B1538,B1538,$C$2:C1538,C1538,$I$2:I1538,I1538)=1,1,0)</f>
        <v>0</v>
      </c>
      <c r="M1538" s="3" t="n">
        <f aca="false">IF(K1538&gt;=Parametri!$B$1,1,0)</f>
        <v>1</v>
      </c>
      <c r="N1538" s="3" t="n">
        <f aca="false">L1538*M1538</f>
        <v>0</v>
      </c>
    </row>
    <row r="1539" customFormat="false" ht="15" hidden="false" customHeight="false" outlineLevel="0" collapsed="false">
      <c r="A1539" s="0" t="s">
        <v>2579</v>
      </c>
      <c r="B1539" s="0" t="s">
        <v>24</v>
      </c>
      <c r="C1539" s="0" t="s">
        <v>2055</v>
      </c>
      <c r="D1539" s="0" t="s">
        <v>63</v>
      </c>
      <c r="E1539" s="2" t="n">
        <v>46095</v>
      </c>
      <c r="F1539" s="3" t="s">
        <v>20</v>
      </c>
      <c r="G1539" s="3" t="s">
        <v>21</v>
      </c>
      <c r="H1539" s="3" t="s">
        <v>22</v>
      </c>
      <c r="I1539" s="3" t="n">
        <f aca="false">YEAR(E1539)</f>
        <v>2026</v>
      </c>
      <c r="J1539" s="3" t="n">
        <f aca="false">MONTH(E1539)</f>
        <v>3</v>
      </c>
      <c r="K1539" s="3" t="n">
        <f aca="false">COUNTIFS($B$2:$B$4077,B1539,$C$2:$C$4077,C1539,$I$2:$I$4077,I1539)</f>
        <v>1</v>
      </c>
      <c r="L1539" s="3" t="n">
        <f aca="false">IF(COUNTIFS($B$2:B1539,B1539,$C$2:C1539,C1539,$I$2:I1539,I1539)=1,1,0)</f>
        <v>1</v>
      </c>
      <c r="M1539" s="3" t="n">
        <f aca="false">IF(K1539&gt;=Parametri!$B$1,1,0)</f>
        <v>0</v>
      </c>
      <c r="N1539" s="3" t="n">
        <f aca="false">L1539*M1539</f>
        <v>0</v>
      </c>
    </row>
    <row r="1540" customFormat="false" ht="15" hidden="false" customHeight="false" outlineLevel="0" collapsed="false">
      <c r="A1540" s="0" t="s">
        <v>2580</v>
      </c>
      <c r="B1540" s="0" t="s">
        <v>31</v>
      </c>
      <c r="C1540" s="0" t="s">
        <v>2581</v>
      </c>
      <c r="D1540" s="0" t="s">
        <v>66</v>
      </c>
      <c r="E1540" s="2" t="n">
        <v>46083</v>
      </c>
      <c r="F1540" s="3" t="s">
        <v>27</v>
      </c>
      <c r="G1540" s="3" t="s">
        <v>28</v>
      </c>
      <c r="H1540" s="3" t="s">
        <v>29</v>
      </c>
      <c r="I1540" s="3" t="n">
        <f aca="false">YEAR(E1540)</f>
        <v>2026</v>
      </c>
      <c r="J1540" s="3" t="n">
        <f aca="false">MONTH(E1540)</f>
        <v>3</v>
      </c>
      <c r="K1540" s="3" t="n">
        <f aca="false">COUNTIFS($B$2:$B$4077,B1540,$C$2:$C$4077,C1540,$I$2:$I$4077,I1540)</f>
        <v>1</v>
      </c>
      <c r="L1540" s="3" t="n">
        <f aca="false">IF(COUNTIFS($B$2:B1540,B1540,$C$2:C1540,C1540,$I$2:I1540,I1540)=1,1,0)</f>
        <v>1</v>
      </c>
      <c r="M1540" s="3" t="n">
        <f aca="false">IF(K1540&gt;=Parametri!$B$1,1,0)</f>
        <v>0</v>
      </c>
      <c r="N1540" s="3" t="n">
        <f aca="false">L1540*M1540</f>
        <v>0</v>
      </c>
    </row>
    <row r="1541" customFormat="false" ht="15" hidden="false" customHeight="false" outlineLevel="0" collapsed="false">
      <c r="A1541" s="0" t="s">
        <v>2582</v>
      </c>
      <c r="B1541" s="0" t="s">
        <v>31</v>
      </c>
      <c r="C1541" s="0" t="s">
        <v>2583</v>
      </c>
      <c r="D1541" s="0" t="s">
        <v>63</v>
      </c>
      <c r="E1541" s="2" t="n">
        <v>45989</v>
      </c>
      <c r="F1541" s="3" t="s">
        <v>34</v>
      </c>
      <c r="G1541" s="3" t="s">
        <v>89</v>
      </c>
      <c r="H1541" s="3" t="s">
        <v>48</v>
      </c>
      <c r="I1541" s="3" t="n">
        <f aca="false">YEAR(E1541)</f>
        <v>2025</v>
      </c>
      <c r="J1541" s="3" t="n">
        <f aca="false">MONTH(E1541)</f>
        <v>11</v>
      </c>
      <c r="K1541" s="3" t="n">
        <f aca="false">COUNTIFS($B$2:$B$4077,B1541,$C$2:$C$4077,C1541,$I$2:$I$4077,I1541)</f>
        <v>2</v>
      </c>
      <c r="L1541" s="3" t="n">
        <f aca="false">IF(COUNTIFS($B$2:B1541,B1541,$C$2:C1541,C1541,$I$2:I1541,I1541)=1,1,0)</f>
        <v>1</v>
      </c>
      <c r="M1541" s="3" t="n">
        <f aca="false">IF(K1541&gt;=Parametri!$B$1,1,0)</f>
        <v>1</v>
      </c>
      <c r="N1541" s="3" t="n">
        <f aca="false">L1541*M1541</f>
        <v>1</v>
      </c>
    </row>
    <row r="1542" customFormat="false" ht="15" hidden="false" customHeight="false" outlineLevel="0" collapsed="false">
      <c r="A1542" s="0" t="s">
        <v>2584</v>
      </c>
      <c r="B1542" s="0" t="s">
        <v>124</v>
      </c>
      <c r="C1542" s="0" t="s">
        <v>1407</v>
      </c>
      <c r="D1542" s="0" t="s">
        <v>77</v>
      </c>
      <c r="E1542" s="2" t="n">
        <v>46084</v>
      </c>
      <c r="F1542" s="3" t="s">
        <v>20</v>
      </c>
      <c r="G1542" s="3" t="s">
        <v>28</v>
      </c>
      <c r="H1542" s="3" t="s">
        <v>22</v>
      </c>
      <c r="I1542" s="3" t="n">
        <f aca="false">YEAR(E1542)</f>
        <v>2026</v>
      </c>
      <c r="J1542" s="3" t="n">
        <f aca="false">MONTH(E1542)</f>
        <v>3</v>
      </c>
      <c r="K1542" s="3" t="n">
        <f aca="false">COUNTIFS($B$2:$B$4077,B1542,$C$2:$C$4077,C1542,$I$2:$I$4077,I1542)</f>
        <v>1</v>
      </c>
      <c r="L1542" s="3" t="n">
        <f aca="false">IF(COUNTIFS($B$2:B1542,B1542,$C$2:C1542,C1542,$I$2:I1542,I1542)=1,1,0)</f>
        <v>1</v>
      </c>
      <c r="M1542" s="3" t="n">
        <f aca="false">IF(K1542&gt;=Parametri!$B$1,1,0)</f>
        <v>0</v>
      </c>
      <c r="N1542" s="3" t="n">
        <f aca="false">L1542*M1542</f>
        <v>0</v>
      </c>
    </row>
    <row r="1543" customFormat="false" ht="15" hidden="false" customHeight="false" outlineLevel="0" collapsed="false">
      <c r="A1543" s="0" t="s">
        <v>2585</v>
      </c>
      <c r="B1543" s="0" t="s">
        <v>31</v>
      </c>
      <c r="C1543" s="0" t="s">
        <v>608</v>
      </c>
      <c r="D1543" s="0" t="s">
        <v>54</v>
      </c>
      <c r="E1543" s="2" t="n">
        <v>45602</v>
      </c>
      <c r="F1543" s="3" t="s">
        <v>34</v>
      </c>
      <c r="G1543" s="3" t="s">
        <v>21</v>
      </c>
      <c r="H1543" s="3" t="s">
        <v>22</v>
      </c>
      <c r="I1543" s="3" t="n">
        <f aca="false">YEAR(E1543)</f>
        <v>2024</v>
      </c>
      <c r="J1543" s="3" t="n">
        <f aca="false">MONTH(E1543)</f>
        <v>11</v>
      </c>
      <c r="K1543" s="3" t="n">
        <f aca="false">COUNTIFS($B$2:$B$4077,B1543,$C$2:$C$4077,C1543,$I$2:$I$4077,I1543)</f>
        <v>3</v>
      </c>
      <c r="L1543" s="3" t="n">
        <f aca="false">IF(COUNTIFS($B$2:B1543,B1543,$C$2:C1543,C1543,$I$2:I1543,I1543)=1,1,0)</f>
        <v>0</v>
      </c>
      <c r="M1543" s="3" t="n">
        <f aca="false">IF(K1543&gt;=Parametri!$B$1,1,0)</f>
        <v>1</v>
      </c>
      <c r="N1543" s="3" t="n">
        <f aca="false">L1543*M1543</f>
        <v>0</v>
      </c>
    </row>
    <row r="1544" customFormat="false" ht="15" hidden="false" customHeight="false" outlineLevel="0" collapsed="false">
      <c r="A1544" s="0" t="s">
        <v>2586</v>
      </c>
      <c r="B1544" s="0" t="s">
        <v>46</v>
      </c>
      <c r="C1544" s="0" t="s">
        <v>1117</v>
      </c>
      <c r="D1544" s="0" t="s">
        <v>66</v>
      </c>
      <c r="E1544" s="2" t="n">
        <v>45342</v>
      </c>
      <c r="F1544" s="3" t="s">
        <v>34</v>
      </c>
      <c r="G1544" s="3" t="s">
        <v>21</v>
      </c>
      <c r="H1544" s="3" t="s">
        <v>22</v>
      </c>
      <c r="I1544" s="3" t="n">
        <f aca="false">YEAR(E1544)</f>
        <v>2024</v>
      </c>
      <c r="J1544" s="3" t="n">
        <f aca="false">MONTH(E1544)</f>
        <v>2</v>
      </c>
      <c r="K1544" s="3" t="n">
        <f aca="false">COUNTIFS($B$2:$B$4077,B1544,$C$2:$C$4077,C1544,$I$2:$I$4077,I1544)</f>
        <v>1</v>
      </c>
      <c r="L1544" s="3" t="n">
        <f aca="false">IF(COUNTIFS($B$2:B1544,B1544,$C$2:C1544,C1544,$I$2:I1544,I1544)=1,1,0)</f>
        <v>1</v>
      </c>
      <c r="M1544" s="3" t="n">
        <f aca="false">IF(K1544&gt;=Parametri!$B$1,1,0)</f>
        <v>0</v>
      </c>
      <c r="N1544" s="3" t="n">
        <f aca="false">L1544*M1544</f>
        <v>0</v>
      </c>
    </row>
    <row r="1545" customFormat="false" ht="15" hidden="false" customHeight="false" outlineLevel="0" collapsed="false">
      <c r="A1545" s="0" t="s">
        <v>2587</v>
      </c>
      <c r="B1545" s="0" t="s">
        <v>57</v>
      </c>
      <c r="C1545" s="0" t="s">
        <v>465</v>
      </c>
      <c r="D1545" s="0" t="s">
        <v>63</v>
      </c>
      <c r="E1545" s="2" t="n">
        <v>46146</v>
      </c>
      <c r="F1545" s="3" t="s">
        <v>20</v>
      </c>
      <c r="G1545" s="3" t="s">
        <v>39</v>
      </c>
      <c r="H1545" s="3" t="s">
        <v>44</v>
      </c>
      <c r="I1545" s="3" t="n">
        <f aca="false">YEAR(E1545)</f>
        <v>2026</v>
      </c>
      <c r="J1545" s="3" t="n">
        <f aca="false">MONTH(E1545)</f>
        <v>5</v>
      </c>
      <c r="K1545" s="3" t="n">
        <f aca="false">COUNTIFS($B$2:$B$4077,B1545,$C$2:$C$4077,C1545,$I$2:$I$4077,I1545)</f>
        <v>2</v>
      </c>
      <c r="L1545" s="3" t="n">
        <f aca="false">IF(COUNTIFS($B$2:B1545,B1545,$C$2:C1545,C1545,$I$2:I1545,I1545)=1,1,0)</f>
        <v>1</v>
      </c>
      <c r="M1545" s="3" t="n">
        <f aca="false">IF(K1545&gt;=Parametri!$B$1,1,0)</f>
        <v>1</v>
      </c>
      <c r="N1545" s="3" t="n">
        <f aca="false">L1545*M1545</f>
        <v>1</v>
      </c>
    </row>
    <row r="1546" customFormat="false" ht="15" hidden="false" customHeight="false" outlineLevel="0" collapsed="false">
      <c r="A1546" s="0" t="s">
        <v>2588</v>
      </c>
      <c r="B1546" s="0" t="s">
        <v>79</v>
      </c>
      <c r="C1546" s="0" t="s">
        <v>471</v>
      </c>
      <c r="D1546" s="0" t="s">
        <v>19</v>
      </c>
      <c r="E1546" s="2" t="n">
        <v>46098</v>
      </c>
      <c r="F1546" s="3" t="s">
        <v>20</v>
      </c>
      <c r="G1546" s="3" t="s">
        <v>43</v>
      </c>
      <c r="H1546" s="3" t="s">
        <v>48</v>
      </c>
      <c r="I1546" s="3" t="n">
        <f aca="false">YEAR(E1546)</f>
        <v>2026</v>
      </c>
      <c r="J1546" s="3" t="n">
        <f aca="false">MONTH(E1546)</f>
        <v>3</v>
      </c>
      <c r="K1546" s="3" t="n">
        <f aca="false">COUNTIFS($B$2:$B$4077,B1546,$C$2:$C$4077,C1546,$I$2:$I$4077,I1546)</f>
        <v>4</v>
      </c>
      <c r="L1546" s="3" t="n">
        <f aca="false">IF(COUNTIFS($B$2:B1546,B1546,$C$2:C1546,C1546,$I$2:I1546,I1546)=1,1,0)</f>
        <v>0</v>
      </c>
      <c r="M1546" s="3" t="n">
        <f aca="false">IF(K1546&gt;=Parametri!$B$1,1,0)</f>
        <v>1</v>
      </c>
      <c r="N1546" s="3" t="n">
        <f aca="false">L1546*M1546</f>
        <v>0</v>
      </c>
    </row>
    <row r="1547" customFormat="false" ht="15" hidden="false" customHeight="false" outlineLevel="0" collapsed="false">
      <c r="A1547" s="0" t="s">
        <v>2589</v>
      </c>
      <c r="B1547" s="0" t="s">
        <v>17</v>
      </c>
      <c r="C1547" s="0" t="s">
        <v>469</v>
      </c>
      <c r="D1547" s="0" t="s">
        <v>33</v>
      </c>
      <c r="E1547" s="2" t="n">
        <v>45429</v>
      </c>
      <c r="F1547" s="3" t="s">
        <v>20</v>
      </c>
      <c r="G1547" s="3" t="s">
        <v>21</v>
      </c>
      <c r="H1547" s="3" t="s">
        <v>48</v>
      </c>
      <c r="I1547" s="3" t="n">
        <f aca="false">YEAR(E1547)</f>
        <v>2024</v>
      </c>
      <c r="J1547" s="3" t="n">
        <f aca="false">MONTH(E1547)</f>
        <v>5</v>
      </c>
      <c r="K1547" s="3" t="n">
        <f aca="false">COUNTIFS($B$2:$B$4077,B1547,$C$2:$C$4077,C1547,$I$2:$I$4077,I1547)</f>
        <v>2</v>
      </c>
      <c r="L1547" s="3" t="n">
        <f aca="false">IF(COUNTIFS($B$2:B1547,B1547,$C$2:C1547,C1547,$I$2:I1547,I1547)=1,1,0)</f>
        <v>0</v>
      </c>
      <c r="M1547" s="3" t="n">
        <f aca="false">IF(K1547&gt;=Parametri!$B$1,1,0)</f>
        <v>1</v>
      </c>
      <c r="N1547" s="3" t="n">
        <f aca="false">L1547*M1547</f>
        <v>0</v>
      </c>
    </row>
    <row r="1548" customFormat="false" ht="15" hidden="false" customHeight="false" outlineLevel="0" collapsed="false">
      <c r="A1548" s="0" t="s">
        <v>2590</v>
      </c>
      <c r="B1548" s="0" t="s">
        <v>68</v>
      </c>
      <c r="C1548" s="0" t="s">
        <v>1643</v>
      </c>
      <c r="D1548" s="0" t="s">
        <v>54</v>
      </c>
      <c r="E1548" s="2" t="n">
        <v>45517</v>
      </c>
      <c r="F1548" s="3" t="s">
        <v>27</v>
      </c>
      <c r="G1548" s="3" t="s">
        <v>21</v>
      </c>
      <c r="H1548" s="3" t="s">
        <v>29</v>
      </c>
      <c r="I1548" s="3" t="n">
        <f aca="false">YEAR(E1548)</f>
        <v>2024</v>
      </c>
      <c r="J1548" s="3" t="n">
        <f aca="false">MONTH(E1548)</f>
        <v>8</v>
      </c>
      <c r="K1548" s="3" t="n">
        <f aca="false">COUNTIFS($B$2:$B$4077,B1548,$C$2:$C$4077,C1548,$I$2:$I$4077,I1548)</f>
        <v>2</v>
      </c>
      <c r="L1548" s="3" t="n">
        <f aca="false">IF(COUNTIFS($B$2:B1548,B1548,$C$2:C1548,C1548,$I$2:I1548,I1548)=1,1,0)</f>
        <v>0</v>
      </c>
      <c r="M1548" s="3" t="n">
        <f aca="false">IF(K1548&gt;=Parametri!$B$1,1,0)</f>
        <v>1</v>
      </c>
      <c r="N1548" s="3" t="n">
        <f aca="false">L1548*M1548</f>
        <v>0</v>
      </c>
    </row>
    <row r="1549" customFormat="false" ht="15" hidden="false" customHeight="false" outlineLevel="0" collapsed="false">
      <c r="A1549" s="0" t="s">
        <v>2591</v>
      </c>
      <c r="B1549" s="0" t="s">
        <v>41</v>
      </c>
      <c r="C1549" s="0" t="s">
        <v>2592</v>
      </c>
      <c r="D1549" s="0" t="s">
        <v>63</v>
      </c>
      <c r="E1549" s="2" t="n">
        <v>46264</v>
      </c>
      <c r="F1549" s="3" t="s">
        <v>20</v>
      </c>
      <c r="G1549" s="3" t="s">
        <v>55</v>
      </c>
      <c r="H1549" s="3" t="s">
        <v>44</v>
      </c>
      <c r="I1549" s="3" t="n">
        <f aca="false">YEAR(E1549)</f>
        <v>2026</v>
      </c>
      <c r="J1549" s="3" t="n">
        <f aca="false">MONTH(E1549)</f>
        <v>8</v>
      </c>
      <c r="K1549" s="3" t="n">
        <f aca="false">COUNTIFS($B$2:$B$4077,B1549,$C$2:$C$4077,C1549,$I$2:$I$4077,I1549)</f>
        <v>1</v>
      </c>
      <c r="L1549" s="3" t="n">
        <f aca="false">IF(COUNTIFS($B$2:B1549,B1549,$C$2:C1549,C1549,$I$2:I1549,I1549)=1,1,0)</f>
        <v>1</v>
      </c>
      <c r="M1549" s="3" t="n">
        <f aca="false">IF(K1549&gt;=Parametri!$B$1,1,0)</f>
        <v>0</v>
      </c>
      <c r="N1549" s="3" t="n">
        <f aca="false">L1549*M1549</f>
        <v>0</v>
      </c>
    </row>
    <row r="1550" customFormat="false" ht="15" hidden="false" customHeight="false" outlineLevel="0" collapsed="false">
      <c r="A1550" s="0" t="s">
        <v>2593</v>
      </c>
      <c r="B1550" s="0" t="s">
        <v>57</v>
      </c>
      <c r="C1550" s="0" t="s">
        <v>704</v>
      </c>
      <c r="D1550" s="0" t="s">
        <v>38</v>
      </c>
      <c r="E1550" s="2" t="n">
        <v>45925</v>
      </c>
      <c r="F1550" s="3" t="s">
        <v>20</v>
      </c>
      <c r="G1550" s="3" t="s">
        <v>89</v>
      </c>
      <c r="H1550" s="3" t="s">
        <v>48</v>
      </c>
      <c r="I1550" s="3" t="n">
        <f aca="false">YEAR(E1550)</f>
        <v>2025</v>
      </c>
      <c r="J1550" s="3" t="n">
        <f aca="false">MONTH(E1550)</f>
        <v>9</v>
      </c>
      <c r="K1550" s="3" t="n">
        <f aca="false">COUNTIFS($B$2:$B$4077,B1550,$C$2:$C$4077,C1550,$I$2:$I$4077,I1550)</f>
        <v>1</v>
      </c>
      <c r="L1550" s="3" t="n">
        <f aca="false">IF(COUNTIFS($B$2:B1550,B1550,$C$2:C1550,C1550,$I$2:I1550,I1550)=1,1,0)</f>
        <v>1</v>
      </c>
      <c r="M1550" s="3" t="n">
        <f aca="false">IF(K1550&gt;=Parametri!$B$1,1,0)</f>
        <v>0</v>
      </c>
      <c r="N1550" s="3" t="n">
        <f aca="false">L1550*M1550</f>
        <v>0</v>
      </c>
    </row>
    <row r="1551" customFormat="false" ht="15" hidden="false" customHeight="false" outlineLevel="0" collapsed="false">
      <c r="A1551" s="0" t="s">
        <v>2594</v>
      </c>
      <c r="B1551" s="0" t="s">
        <v>31</v>
      </c>
      <c r="C1551" s="0" t="s">
        <v>2595</v>
      </c>
      <c r="D1551" s="0" t="s">
        <v>19</v>
      </c>
      <c r="E1551" s="2" t="n">
        <v>45729</v>
      </c>
      <c r="F1551" s="3" t="s">
        <v>34</v>
      </c>
      <c r="G1551" s="3" t="s">
        <v>39</v>
      </c>
      <c r="H1551" s="3" t="s">
        <v>48</v>
      </c>
      <c r="I1551" s="3" t="n">
        <f aca="false">YEAR(E1551)</f>
        <v>2025</v>
      </c>
      <c r="J1551" s="3" t="n">
        <f aca="false">MONTH(E1551)</f>
        <v>3</v>
      </c>
      <c r="K1551" s="3" t="n">
        <f aca="false">COUNTIFS($B$2:$B$4077,B1551,$C$2:$C$4077,C1551,$I$2:$I$4077,I1551)</f>
        <v>2</v>
      </c>
      <c r="L1551" s="3" t="n">
        <f aca="false">IF(COUNTIFS($B$2:B1551,B1551,$C$2:C1551,C1551,$I$2:I1551,I1551)=1,1,0)</f>
        <v>1</v>
      </c>
      <c r="M1551" s="3" t="n">
        <f aca="false">IF(K1551&gt;=Parametri!$B$1,1,0)</f>
        <v>1</v>
      </c>
      <c r="N1551" s="3" t="n">
        <f aca="false">L1551*M1551</f>
        <v>1</v>
      </c>
    </row>
    <row r="1552" customFormat="false" ht="15" hidden="false" customHeight="false" outlineLevel="0" collapsed="false">
      <c r="A1552" s="0" t="s">
        <v>2596</v>
      </c>
      <c r="B1552" s="0" t="s">
        <v>31</v>
      </c>
      <c r="C1552" s="0" t="s">
        <v>2597</v>
      </c>
      <c r="D1552" s="0" t="s">
        <v>26</v>
      </c>
      <c r="E1552" s="2" t="n">
        <v>46242</v>
      </c>
      <c r="F1552" s="3" t="s">
        <v>20</v>
      </c>
      <c r="G1552" s="3" t="s">
        <v>43</v>
      </c>
      <c r="H1552" s="3" t="s">
        <v>29</v>
      </c>
      <c r="I1552" s="3" t="n">
        <f aca="false">YEAR(E1552)</f>
        <v>2026</v>
      </c>
      <c r="J1552" s="3" t="n">
        <f aca="false">MONTH(E1552)</f>
        <v>8</v>
      </c>
      <c r="K1552" s="3" t="n">
        <f aca="false">COUNTIFS($B$2:$B$4077,B1552,$C$2:$C$4077,C1552,$I$2:$I$4077,I1552)</f>
        <v>1</v>
      </c>
      <c r="L1552" s="3" t="n">
        <f aca="false">IF(COUNTIFS($B$2:B1552,B1552,$C$2:C1552,C1552,$I$2:I1552,I1552)=1,1,0)</f>
        <v>1</v>
      </c>
      <c r="M1552" s="3" t="n">
        <f aca="false">IF(K1552&gt;=Parametri!$B$1,1,0)</f>
        <v>0</v>
      </c>
      <c r="N1552" s="3" t="n">
        <f aca="false">L1552*M1552</f>
        <v>0</v>
      </c>
    </row>
    <row r="1553" customFormat="false" ht="15" hidden="false" customHeight="false" outlineLevel="0" collapsed="false">
      <c r="A1553" s="0" t="s">
        <v>2598</v>
      </c>
      <c r="B1553" s="0" t="s">
        <v>17</v>
      </c>
      <c r="C1553" s="0" t="s">
        <v>95</v>
      </c>
      <c r="D1553" s="0" t="s">
        <v>19</v>
      </c>
      <c r="E1553" s="2" t="n">
        <v>45819</v>
      </c>
      <c r="F1553" s="3" t="s">
        <v>20</v>
      </c>
      <c r="G1553" s="3" t="s">
        <v>39</v>
      </c>
      <c r="H1553" s="3" t="s">
        <v>48</v>
      </c>
      <c r="I1553" s="3" t="n">
        <f aca="false">YEAR(E1553)</f>
        <v>2025</v>
      </c>
      <c r="J1553" s="3" t="n">
        <f aca="false">MONTH(E1553)</f>
        <v>6</v>
      </c>
      <c r="K1553" s="3" t="n">
        <f aca="false">COUNTIFS($B$2:$B$4077,B1553,$C$2:$C$4077,C1553,$I$2:$I$4077,I1553)</f>
        <v>3</v>
      </c>
      <c r="L1553" s="3" t="n">
        <f aca="false">IF(COUNTIFS($B$2:B1553,B1553,$C$2:C1553,C1553,$I$2:I1553,I1553)=1,1,0)</f>
        <v>0</v>
      </c>
      <c r="M1553" s="3" t="n">
        <f aca="false">IF(K1553&gt;=Parametri!$B$1,1,0)</f>
        <v>1</v>
      </c>
      <c r="N1553" s="3" t="n">
        <f aca="false">L1553*M1553</f>
        <v>0</v>
      </c>
    </row>
    <row r="1554" customFormat="false" ht="15" hidden="false" customHeight="false" outlineLevel="0" collapsed="false">
      <c r="A1554" s="0" t="s">
        <v>2599</v>
      </c>
      <c r="B1554" s="0" t="s">
        <v>46</v>
      </c>
      <c r="C1554" s="0" t="s">
        <v>194</v>
      </c>
      <c r="D1554" s="0" t="s">
        <v>66</v>
      </c>
      <c r="E1554" s="2" t="n">
        <v>45460</v>
      </c>
      <c r="F1554" s="3" t="s">
        <v>20</v>
      </c>
      <c r="G1554" s="3" t="s">
        <v>43</v>
      </c>
      <c r="H1554" s="3" t="s">
        <v>22</v>
      </c>
      <c r="I1554" s="3" t="n">
        <f aca="false">YEAR(E1554)</f>
        <v>2024</v>
      </c>
      <c r="J1554" s="3" t="n">
        <f aca="false">MONTH(E1554)</f>
        <v>6</v>
      </c>
      <c r="K1554" s="3" t="n">
        <f aca="false">COUNTIFS($B$2:$B$4077,B1554,$C$2:$C$4077,C1554,$I$2:$I$4077,I1554)</f>
        <v>2</v>
      </c>
      <c r="L1554" s="3" t="n">
        <f aca="false">IF(COUNTIFS($B$2:B1554,B1554,$C$2:C1554,C1554,$I$2:I1554,I1554)=1,1,0)</f>
        <v>0</v>
      </c>
      <c r="M1554" s="3" t="n">
        <f aca="false">IF(K1554&gt;=Parametri!$B$1,1,0)</f>
        <v>1</v>
      </c>
      <c r="N1554" s="3" t="n">
        <f aca="false">L1554*M1554</f>
        <v>0</v>
      </c>
    </row>
    <row r="1555" customFormat="false" ht="15" hidden="false" customHeight="false" outlineLevel="0" collapsed="false">
      <c r="A1555" s="0" t="s">
        <v>2600</v>
      </c>
      <c r="B1555" s="0" t="s">
        <v>17</v>
      </c>
      <c r="C1555" s="0" t="s">
        <v>2601</v>
      </c>
      <c r="D1555" s="0" t="s">
        <v>26</v>
      </c>
      <c r="E1555" s="2" t="n">
        <v>46092</v>
      </c>
      <c r="F1555" s="3" t="s">
        <v>34</v>
      </c>
      <c r="G1555" s="3" t="s">
        <v>39</v>
      </c>
      <c r="H1555" s="3" t="s">
        <v>44</v>
      </c>
      <c r="I1555" s="3" t="n">
        <f aca="false">YEAR(E1555)</f>
        <v>2026</v>
      </c>
      <c r="J1555" s="3" t="n">
        <f aca="false">MONTH(E1555)</f>
        <v>3</v>
      </c>
      <c r="K1555" s="3" t="n">
        <f aca="false">COUNTIFS($B$2:$B$4077,B1555,$C$2:$C$4077,C1555,$I$2:$I$4077,I1555)</f>
        <v>1</v>
      </c>
      <c r="L1555" s="3" t="n">
        <f aca="false">IF(COUNTIFS($B$2:B1555,B1555,$C$2:C1555,C1555,$I$2:I1555,I1555)=1,1,0)</f>
        <v>1</v>
      </c>
      <c r="M1555" s="3" t="n">
        <f aca="false">IF(K1555&gt;=Parametri!$B$1,1,0)</f>
        <v>0</v>
      </c>
      <c r="N1555" s="3" t="n">
        <f aca="false">L1555*M1555</f>
        <v>0</v>
      </c>
    </row>
    <row r="1556" customFormat="false" ht="15" hidden="false" customHeight="false" outlineLevel="0" collapsed="false">
      <c r="A1556" s="0" t="s">
        <v>2602</v>
      </c>
      <c r="B1556" s="0" t="s">
        <v>46</v>
      </c>
      <c r="C1556" s="0" t="s">
        <v>2603</v>
      </c>
      <c r="D1556" s="0" t="s">
        <v>54</v>
      </c>
      <c r="E1556" s="2" t="n">
        <v>45680</v>
      </c>
      <c r="F1556" s="3" t="s">
        <v>20</v>
      </c>
      <c r="G1556" s="3" t="s">
        <v>39</v>
      </c>
      <c r="H1556" s="3" t="s">
        <v>48</v>
      </c>
      <c r="I1556" s="3" t="n">
        <f aca="false">YEAR(E1556)</f>
        <v>2025</v>
      </c>
      <c r="J1556" s="3" t="n">
        <f aca="false">MONTH(E1556)</f>
        <v>1</v>
      </c>
      <c r="K1556" s="3" t="n">
        <f aca="false">COUNTIFS($B$2:$B$4077,B1556,$C$2:$C$4077,C1556,$I$2:$I$4077,I1556)</f>
        <v>1</v>
      </c>
      <c r="L1556" s="3" t="n">
        <f aca="false">IF(COUNTIFS($B$2:B1556,B1556,$C$2:C1556,C1556,$I$2:I1556,I1556)=1,1,0)</f>
        <v>1</v>
      </c>
      <c r="M1556" s="3" t="n">
        <f aca="false">IF(K1556&gt;=Parametri!$B$1,1,0)</f>
        <v>0</v>
      </c>
      <c r="N1556" s="3" t="n">
        <f aca="false">L1556*M1556</f>
        <v>0</v>
      </c>
    </row>
    <row r="1557" customFormat="false" ht="15" hidden="false" customHeight="false" outlineLevel="0" collapsed="false">
      <c r="A1557" s="0" t="s">
        <v>2604</v>
      </c>
      <c r="B1557" s="0" t="s">
        <v>41</v>
      </c>
      <c r="C1557" s="0" t="s">
        <v>456</v>
      </c>
      <c r="D1557" s="0" t="s">
        <v>77</v>
      </c>
      <c r="E1557" s="2" t="n">
        <v>45759</v>
      </c>
      <c r="F1557" s="3" t="s">
        <v>27</v>
      </c>
      <c r="G1557" s="3" t="s">
        <v>39</v>
      </c>
      <c r="H1557" s="3" t="s">
        <v>22</v>
      </c>
      <c r="I1557" s="3" t="n">
        <f aca="false">YEAR(E1557)</f>
        <v>2025</v>
      </c>
      <c r="J1557" s="3" t="n">
        <f aca="false">MONTH(E1557)</f>
        <v>4</v>
      </c>
      <c r="K1557" s="3" t="n">
        <f aca="false">COUNTIFS($B$2:$B$4077,B1557,$C$2:$C$4077,C1557,$I$2:$I$4077,I1557)</f>
        <v>6</v>
      </c>
      <c r="L1557" s="3" t="n">
        <f aca="false">IF(COUNTIFS($B$2:B1557,B1557,$C$2:C1557,C1557,$I$2:I1557,I1557)=1,1,0)</f>
        <v>0</v>
      </c>
      <c r="M1557" s="3" t="n">
        <f aca="false">IF(K1557&gt;=Parametri!$B$1,1,0)</f>
        <v>1</v>
      </c>
      <c r="N1557" s="3" t="n">
        <f aca="false">L1557*M1557</f>
        <v>0</v>
      </c>
    </row>
    <row r="1558" customFormat="false" ht="15" hidden="false" customHeight="false" outlineLevel="0" collapsed="false">
      <c r="A1558" s="0" t="s">
        <v>2605</v>
      </c>
      <c r="B1558" s="0" t="s">
        <v>50</v>
      </c>
      <c r="C1558" s="0" t="s">
        <v>533</v>
      </c>
      <c r="D1558" s="0" t="s">
        <v>38</v>
      </c>
      <c r="E1558" s="2" t="n">
        <v>45957</v>
      </c>
      <c r="F1558" s="3" t="s">
        <v>20</v>
      </c>
      <c r="G1558" s="3" t="s">
        <v>39</v>
      </c>
      <c r="H1558" s="3" t="s">
        <v>29</v>
      </c>
      <c r="I1558" s="3" t="n">
        <f aca="false">YEAR(E1558)</f>
        <v>2025</v>
      </c>
      <c r="J1558" s="3" t="n">
        <f aca="false">MONTH(E1558)</f>
        <v>10</v>
      </c>
      <c r="K1558" s="3" t="n">
        <f aca="false">COUNTIFS($B$2:$B$4077,B1558,$C$2:$C$4077,C1558,$I$2:$I$4077,I1558)</f>
        <v>7</v>
      </c>
      <c r="L1558" s="3" t="n">
        <f aca="false">IF(COUNTIFS($B$2:B1558,B1558,$C$2:C1558,C1558,$I$2:I1558,I1558)=1,1,0)</f>
        <v>0</v>
      </c>
      <c r="M1558" s="3" t="n">
        <f aca="false">IF(K1558&gt;=Parametri!$B$1,1,0)</f>
        <v>1</v>
      </c>
      <c r="N1558" s="3" t="n">
        <f aca="false">L1558*M1558</f>
        <v>0</v>
      </c>
    </row>
    <row r="1559" customFormat="false" ht="15" hidden="false" customHeight="false" outlineLevel="0" collapsed="false">
      <c r="A1559" s="0" t="s">
        <v>2606</v>
      </c>
      <c r="B1559" s="0" t="s">
        <v>50</v>
      </c>
      <c r="C1559" s="0" t="s">
        <v>2607</v>
      </c>
      <c r="D1559" s="0" t="s">
        <v>26</v>
      </c>
      <c r="E1559" s="2" t="n">
        <v>45618</v>
      </c>
      <c r="F1559" s="3" t="s">
        <v>20</v>
      </c>
      <c r="G1559" s="3" t="s">
        <v>55</v>
      </c>
      <c r="H1559" s="3" t="s">
        <v>44</v>
      </c>
      <c r="I1559" s="3" t="n">
        <f aca="false">YEAR(E1559)</f>
        <v>2024</v>
      </c>
      <c r="J1559" s="3" t="n">
        <f aca="false">MONTH(E1559)</f>
        <v>11</v>
      </c>
      <c r="K1559" s="3" t="n">
        <f aca="false">COUNTIFS($B$2:$B$4077,B1559,$C$2:$C$4077,C1559,$I$2:$I$4077,I1559)</f>
        <v>1</v>
      </c>
      <c r="L1559" s="3" t="n">
        <f aca="false">IF(COUNTIFS($B$2:B1559,B1559,$C$2:C1559,C1559,$I$2:I1559,I1559)=1,1,0)</f>
        <v>1</v>
      </c>
      <c r="M1559" s="3" t="n">
        <f aca="false">IF(K1559&gt;=Parametri!$B$1,1,0)</f>
        <v>0</v>
      </c>
      <c r="N1559" s="3" t="n">
        <f aca="false">L1559*M1559</f>
        <v>0</v>
      </c>
    </row>
    <row r="1560" customFormat="false" ht="15" hidden="false" customHeight="false" outlineLevel="0" collapsed="false">
      <c r="A1560" s="0" t="s">
        <v>2608</v>
      </c>
      <c r="B1560" s="0" t="s">
        <v>46</v>
      </c>
      <c r="C1560" s="0" t="s">
        <v>2609</v>
      </c>
      <c r="D1560" s="0" t="s">
        <v>66</v>
      </c>
      <c r="E1560" s="2" t="n">
        <v>45325</v>
      </c>
      <c r="F1560" s="3" t="s">
        <v>27</v>
      </c>
      <c r="G1560" s="3" t="s">
        <v>39</v>
      </c>
      <c r="H1560" s="3" t="s">
        <v>44</v>
      </c>
      <c r="I1560" s="3" t="n">
        <f aca="false">YEAR(E1560)</f>
        <v>2024</v>
      </c>
      <c r="J1560" s="3" t="n">
        <f aca="false">MONTH(E1560)</f>
        <v>2</v>
      </c>
      <c r="K1560" s="3" t="n">
        <f aca="false">COUNTIFS($B$2:$B$4077,B1560,$C$2:$C$4077,C1560,$I$2:$I$4077,I1560)</f>
        <v>2</v>
      </c>
      <c r="L1560" s="3" t="n">
        <f aca="false">IF(COUNTIFS($B$2:B1560,B1560,$C$2:C1560,C1560,$I$2:I1560,I1560)=1,1,0)</f>
        <v>1</v>
      </c>
      <c r="M1560" s="3" t="n">
        <f aca="false">IF(K1560&gt;=Parametri!$B$1,1,0)</f>
        <v>1</v>
      </c>
      <c r="N1560" s="3" t="n">
        <f aca="false">L1560*M1560</f>
        <v>1</v>
      </c>
    </row>
    <row r="1561" customFormat="false" ht="15" hidden="false" customHeight="false" outlineLevel="0" collapsed="false">
      <c r="A1561" s="0" t="s">
        <v>2610</v>
      </c>
      <c r="B1561" s="0" t="s">
        <v>79</v>
      </c>
      <c r="C1561" s="0" t="s">
        <v>2611</v>
      </c>
      <c r="D1561" s="0" t="s">
        <v>26</v>
      </c>
      <c r="E1561" s="2" t="n">
        <v>46260</v>
      </c>
      <c r="F1561" s="3" t="s">
        <v>20</v>
      </c>
      <c r="G1561" s="3" t="s">
        <v>21</v>
      </c>
      <c r="H1561" s="3" t="s">
        <v>44</v>
      </c>
      <c r="I1561" s="3" t="n">
        <f aca="false">YEAR(E1561)</f>
        <v>2026</v>
      </c>
      <c r="J1561" s="3" t="n">
        <f aca="false">MONTH(E1561)</f>
        <v>8</v>
      </c>
      <c r="K1561" s="3" t="n">
        <f aca="false">COUNTIFS($B$2:$B$4077,B1561,$C$2:$C$4077,C1561,$I$2:$I$4077,I1561)</f>
        <v>2</v>
      </c>
      <c r="L1561" s="3" t="n">
        <f aca="false">IF(COUNTIFS($B$2:B1561,B1561,$C$2:C1561,C1561,$I$2:I1561,I1561)=1,1,0)</f>
        <v>1</v>
      </c>
      <c r="M1561" s="3" t="n">
        <f aca="false">IF(K1561&gt;=Parametri!$B$1,1,0)</f>
        <v>1</v>
      </c>
      <c r="N1561" s="3" t="n">
        <f aca="false">L1561*M1561</f>
        <v>1</v>
      </c>
    </row>
    <row r="1562" customFormat="false" ht="15" hidden="false" customHeight="false" outlineLevel="0" collapsed="false">
      <c r="A1562" s="0" t="s">
        <v>2612</v>
      </c>
      <c r="B1562" s="0" t="s">
        <v>31</v>
      </c>
      <c r="C1562" s="0" t="s">
        <v>2613</v>
      </c>
      <c r="D1562" s="0" t="s">
        <v>26</v>
      </c>
      <c r="E1562" s="2" t="n">
        <v>45827</v>
      </c>
      <c r="F1562" s="3" t="s">
        <v>20</v>
      </c>
      <c r="G1562" s="3" t="s">
        <v>21</v>
      </c>
      <c r="H1562" s="3" t="s">
        <v>48</v>
      </c>
      <c r="I1562" s="3" t="n">
        <f aca="false">YEAR(E1562)</f>
        <v>2025</v>
      </c>
      <c r="J1562" s="3" t="n">
        <f aca="false">MONTH(E1562)</f>
        <v>6</v>
      </c>
      <c r="K1562" s="3" t="n">
        <f aca="false">COUNTIFS($B$2:$B$4077,B1562,$C$2:$C$4077,C1562,$I$2:$I$4077,I1562)</f>
        <v>1</v>
      </c>
      <c r="L1562" s="3" t="n">
        <f aca="false">IF(COUNTIFS($B$2:B1562,B1562,$C$2:C1562,C1562,$I$2:I1562,I1562)=1,1,0)</f>
        <v>1</v>
      </c>
      <c r="M1562" s="3" t="n">
        <f aca="false">IF(K1562&gt;=Parametri!$B$1,1,0)</f>
        <v>0</v>
      </c>
      <c r="N1562" s="3" t="n">
        <f aca="false">L1562*M1562</f>
        <v>0</v>
      </c>
    </row>
    <row r="1563" customFormat="false" ht="15" hidden="false" customHeight="false" outlineLevel="0" collapsed="false">
      <c r="A1563" s="0" t="s">
        <v>2614</v>
      </c>
      <c r="B1563" s="0" t="s">
        <v>46</v>
      </c>
      <c r="C1563" s="0" t="s">
        <v>1883</v>
      </c>
      <c r="D1563" s="0" t="s">
        <v>38</v>
      </c>
      <c r="E1563" s="2" t="n">
        <v>45891</v>
      </c>
      <c r="F1563" s="3" t="s">
        <v>27</v>
      </c>
      <c r="G1563" s="3" t="s">
        <v>21</v>
      </c>
      <c r="H1563" s="3" t="s">
        <v>48</v>
      </c>
      <c r="I1563" s="3" t="n">
        <f aca="false">YEAR(E1563)</f>
        <v>2025</v>
      </c>
      <c r="J1563" s="3" t="n">
        <f aca="false">MONTH(E1563)</f>
        <v>8</v>
      </c>
      <c r="K1563" s="3" t="n">
        <f aca="false">COUNTIFS($B$2:$B$4077,B1563,$C$2:$C$4077,C1563,$I$2:$I$4077,I1563)</f>
        <v>6</v>
      </c>
      <c r="L1563" s="3" t="n">
        <f aca="false">IF(COUNTIFS($B$2:B1563,B1563,$C$2:C1563,C1563,$I$2:I1563,I1563)=1,1,0)</f>
        <v>1</v>
      </c>
      <c r="M1563" s="3" t="n">
        <f aca="false">IF(K1563&gt;=Parametri!$B$1,1,0)</f>
        <v>1</v>
      </c>
      <c r="N1563" s="3" t="n">
        <f aca="false">L1563*M1563</f>
        <v>1</v>
      </c>
    </row>
    <row r="1564" customFormat="false" ht="15" hidden="false" customHeight="false" outlineLevel="0" collapsed="false">
      <c r="A1564" s="0" t="s">
        <v>2615</v>
      </c>
      <c r="B1564" s="0" t="s">
        <v>79</v>
      </c>
      <c r="C1564" s="0" t="s">
        <v>497</v>
      </c>
      <c r="D1564" s="0" t="s">
        <v>54</v>
      </c>
      <c r="E1564" s="2" t="n">
        <v>45982</v>
      </c>
      <c r="F1564" s="3" t="s">
        <v>20</v>
      </c>
      <c r="G1564" s="3" t="s">
        <v>35</v>
      </c>
      <c r="H1564" s="3" t="s">
        <v>48</v>
      </c>
      <c r="I1564" s="3" t="n">
        <f aca="false">YEAR(E1564)</f>
        <v>2025</v>
      </c>
      <c r="J1564" s="3" t="n">
        <f aca="false">MONTH(E1564)</f>
        <v>11</v>
      </c>
      <c r="K1564" s="3" t="n">
        <f aca="false">COUNTIFS($B$2:$B$4077,B1564,$C$2:$C$4077,C1564,$I$2:$I$4077,I1564)</f>
        <v>3</v>
      </c>
      <c r="L1564" s="3" t="n">
        <f aca="false">IF(COUNTIFS($B$2:B1564,B1564,$C$2:C1564,C1564,$I$2:I1564,I1564)=1,1,0)</f>
        <v>0</v>
      </c>
      <c r="M1564" s="3" t="n">
        <f aca="false">IF(K1564&gt;=Parametri!$B$1,1,0)</f>
        <v>1</v>
      </c>
      <c r="N1564" s="3" t="n">
        <f aca="false">L1564*M1564</f>
        <v>0</v>
      </c>
    </row>
    <row r="1565" customFormat="false" ht="15" hidden="false" customHeight="false" outlineLevel="0" collapsed="false">
      <c r="A1565" s="0" t="s">
        <v>2616</v>
      </c>
      <c r="B1565" s="0" t="s">
        <v>41</v>
      </c>
      <c r="C1565" s="0" t="s">
        <v>2617</v>
      </c>
      <c r="D1565" s="0" t="s">
        <v>26</v>
      </c>
      <c r="E1565" s="2" t="n">
        <v>45962</v>
      </c>
      <c r="F1565" s="3" t="s">
        <v>34</v>
      </c>
      <c r="G1565" s="3" t="s">
        <v>28</v>
      </c>
      <c r="H1565" s="3" t="s">
        <v>44</v>
      </c>
      <c r="I1565" s="3" t="n">
        <f aca="false">YEAR(E1565)</f>
        <v>2025</v>
      </c>
      <c r="J1565" s="3" t="n">
        <f aca="false">MONTH(E1565)</f>
        <v>11</v>
      </c>
      <c r="K1565" s="3" t="n">
        <f aca="false">COUNTIFS($B$2:$B$4077,B1565,$C$2:$C$4077,C1565,$I$2:$I$4077,I1565)</f>
        <v>1</v>
      </c>
      <c r="L1565" s="3" t="n">
        <f aca="false">IF(COUNTIFS($B$2:B1565,B1565,$C$2:C1565,C1565,$I$2:I1565,I1565)=1,1,0)</f>
        <v>1</v>
      </c>
      <c r="M1565" s="3" t="n">
        <f aca="false">IF(K1565&gt;=Parametri!$B$1,1,0)</f>
        <v>0</v>
      </c>
      <c r="N1565" s="3" t="n">
        <f aca="false">L1565*M1565</f>
        <v>0</v>
      </c>
    </row>
    <row r="1566" customFormat="false" ht="15" hidden="false" customHeight="false" outlineLevel="0" collapsed="false">
      <c r="A1566" s="0" t="s">
        <v>2618</v>
      </c>
      <c r="B1566" s="0" t="s">
        <v>17</v>
      </c>
      <c r="C1566" s="0" t="s">
        <v>2265</v>
      </c>
      <c r="D1566" s="0" t="s">
        <v>66</v>
      </c>
      <c r="E1566" s="2" t="n">
        <v>45498</v>
      </c>
      <c r="F1566" s="3" t="s">
        <v>27</v>
      </c>
      <c r="G1566" s="3" t="s">
        <v>35</v>
      </c>
      <c r="H1566" s="3" t="s">
        <v>48</v>
      </c>
      <c r="I1566" s="3" t="n">
        <f aca="false">YEAR(E1566)</f>
        <v>2024</v>
      </c>
      <c r="J1566" s="3" t="n">
        <f aca="false">MONTH(E1566)</f>
        <v>7</v>
      </c>
      <c r="K1566" s="3" t="n">
        <f aca="false">COUNTIFS($B$2:$B$4077,B1566,$C$2:$C$4077,C1566,$I$2:$I$4077,I1566)</f>
        <v>2</v>
      </c>
      <c r="L1566" s="3" t="n">
        <f aca="false">IF(COUNTIFS($B$2:B1566,B1566,$C$2:C1566,C1566,$I$2:I1566,I1566)=1,1,0)</f>
        <v>1</v>
      </c>
      <c r="M1566" s="3" t="n">
        <f aca="false">IF(K1566&gt;=Parametri!$B$1,1,0)</f>
        <v>1</v>
      </c>
      <c r="N1566" s="3" t="n">
        <f aca="false">L1566*M1566</f>
        <v>1</v>
      </c>
    </row>
    <row r="1567" customFormat="false" ht="15" hidden="false" customHeight="false" outlineLevel="0" collapsed="false">
      <c r="A1567" s="0" t="s">
        <v>2619</v>
      </c>
      <c r="B1567" s="0" t="s">
        <v>31</v>
      </c>
      <c r="C1567" s="0" t="s">
        <v>2620</v>
      </c>
      <c r="D1567" s="0" t="s">
        <v>63</v>
      </c>
      <c r="E1567" s="2" t="n">
        <v>46217</v>
      </c>
      <c r="F1567" s="3" t="s">
        <v>20</v>
      </c>
      <c r="G1567" s="3" t="s">
        <v>39</v>
      </c>
      <c r="H1567" s="3" t="s">
        <v>48</v>
      </c>
      <c r="I1567" s="3" t="n">
        <f aca="false">YEAR(E1567)</f>
        <v>2026</v>
      </c>
      <c r="J1567" s="3" t="n">
        <f aca="false">MONTH(E1567)</f>
        <v>7</v>
      </c>
      <c r="K1567" s="3" t="n">
        <f aca="false">COUNTIFS($B$2:$B$4077,B1567,$C$2:$C$4077,C1567,$I$2:$I$4077,I1567)</f>
        <v>1</v>
      </c>
      <c r="L1567" s="3" t="n">
        <f aca="false">IF(COUNTIFS($B$2:B1567,B1567,$C$2:C1567,C1567,$I$2:I1567,I1567)=1,1,0)</f>
        <v>1</v>
      </c>
      <c r="M1567" s="3" t="n">
        <f aca="false">IF(K1567&gt;=Parametri!$B$1,1,0)</f>
        <v>0</v>
      </c>
      <c r="N1567" s="3" t="n">
        <f aca="false">L1567*M1567</f>
        <v>0</v>
      </c>
    </row>
    <row r="1568" customFormat="false" ht="15" hidden="false" customHeight="false" outlineLevel="0" collapsed="false">
      <c r="A1568" s="0" t="s">
        <v>2621</v>
      </c>
      <c r="B1568" s="0" t="s">
        <v>46</v>
      </c>
      <c r="C1568" s="0" t="s">
        <v>956</v>
      </c>
      <c r="D1568" s="0" t="s">
        <v>19</v>
      </c>
      <c r="E1568" s="2" t="n">
        <v>46076</v>
      </c>
      <c r="F1568" s="3" t="s">
        <v>20</v>
      </c>
      <c r="G1568" s="3" t="s">
        <v>55</v>
      </c>
      <c r="H1568" s="3" t="s">
        <v>22</v>
      </c>
      <c r="I1568" s="3" t="n">
        <f aca="false">YEAR(E1568)</f>
        <v>2026</v>
      </c>
      <c r="J1568" s="3" t="n">
        <f aca="false">MONTH(E1568)</f>
        <v>2</v>
      </c>
      <c r="K1568" s="3" t="n">
        <f aca="false">COUNTIFS($B$2:$B$4077,B1568,$C$2:$C$4077,C1568,$I$2:$I$4077,I1568)</f>
        <v>1</v>
      </c>
      <c r="L1568" s="3" t="n">
        <f aca="false">IF(COUNTIFS($B$2:B1568,B1568,$C$2:C1568,C1568,$I$2:I1568,I1568)=1,1,0)</f>
        <v>1</v>
      </c>
      <c r="M1568" s="3" t="n">
        <f aca="false">IF(K1568&gt;=Parametri!$B$1,1,0)</f>
        <v>0</v>
      </c>
      <c r="N1568" s="3" t="n">
        <f aca="false">L1568*M1568</f>
        <v>0</v>
      </c>
    </row>
    <row r="1569" customFormat="false" ht="15" hidden="false" customHeight="false" outlineLevel="0" collapsed="false">
      <c r="A1569" s="0" t="s">
        <v>2622</v>
      </c>
      <c r="B1569" s="0" t="s">
        <v>57</v>
      </c>
      <c r="C1569" s="0" t="s">
        <v>1970</v>
      </c>
      <c r="D1569" s="0" t="s">
        <v>77</v>
      </c>
      <c r="E1569" s="2" t="n">
        <v>45520</v>
      </c>
      <c r="F1569" s="3" t="s">
        <v>20</v>
      </c>
      <c r="G1569" s="3" t="s">
        <v>39</v>
      </c>
      <c r="H1569" s="3" t="s">
        <v>44</v>
      </c>
      <c r="I1569" s="3" t="n">
        <f aca="false">YEAR(E1569)</f>
        <v>2024</v>
      </c>
      <c r="J1569" s="3" t="n">
        <f aca="false">MONTH(E1569)</f>
        <v>8</v>
      </c>
      <c r="K1569" s="3" t="n">
        <f aca="false">COUNTIFS($B$2:$B$4077,B1569,$C$2:$C$4077,C1569,$I$2:$I$4077,I1569)</f>
        <v>2</v>
      </c>
      <c r="L1569" s="3" t="n">
        <f aca="false">IF(COUNTIFS($B$2:B1569,B1569,$C$2:C1569,C1569,$I$2:I1569,I1569)=1,1,0)</f>
        <v>1</v>
      </c>
      <c r="M1569" s="3" t="n">
        <f aca="false">IF(K1569&gt;=Parametri!$B$1,1,0)</f>
        <v>1</v>
      </c>
      <c r="N1569" s="3" t="n">
        <f aca="false">L1569*M1569</f>
        <v>1</v>
      </c>
    </row>
    <row r="1570" customFormat="false" ht="15" hidden="false" customHeight="false" outlineLevel="0" collapsed="false">
      <c r="A1570" s="0" t="s">
        <v>2623</v>
      </c>
      <c r="B1570" s="0" t="s">
        <v>46</v>
      </c>
      <c r="C1570" s="0" t="s">
        <v>65</v>
      </c>
      <c r="D1570" s="0" t="s">
        <v>66</v>
      </c>
      <c r="E1570" s="2" t="n">
        <v>45918</v>
      </c>
      <c r="F1570" s="3" t="s">
        <v>34</v>
      </c>
      <c r="G1570" s="3" t="s">
        <v>39</v>
      </c>
      <c r="H1570" s="3" t="s">
        <v>44</v>
      </c>
      <c r="I1570" s="3" t="n">
        <f aca="false">YEAR(E1570)</f>
        <v>2025</v>
      </c>
      <c r="J1570" s="3" t="n">
        <f aca="false">MONTH(E1570)</f>
        <v>9</v>
      </c>
      <c r="K1570" s="3" t="n">
        <f aca="false">COUNTIFS($B$2:$B$4077,B1570,$C$2:$C$4077,C1570,$I$2:$I$4077,I1570)</f>
        <v>2</v>
      </c>
      <c r="L1570" s="3" t="n">
        <f aca="false">IF(COUNTIFS($B$2:B1570,B1570,$C$2:C1570,C1570,$I$2:I1570,I1570)=1,1,0)</f>
        <v>1</v>
      </c>
      <c r="M1570" s="3" t="n">
        <f aca="false">IF(K1570&gt;=Parametri!$B$1,1,0)</f>
        <v>1</v>
      </c>
      <c r="N1570" s="3" t="n">
        <f aca="false">L1570*M1570</f>
        <v>1</v>
      </c>
    </row>
    <row r="1571" customFormat="false" ht="15" hidden="false" customHeight="false" outlineLevel="0" collapsed="false">
      <c r="A1571" s="0" t="s">
        <v>2624</v>
      </c>
      <c r="B1571" s="0" t="s">
        <v>57</v>
      </c>
      <c r="C1571" s="0" t="s">
        <v>2625</v>
      </c>
      <c r="D1571" s="0" t="s">
        <v>19</v>
      </c>
      <c r="E1571" s="2" t="n">
        <v>45723</v>
      </c>
      <c r="F1571" s="3" t="s">
        <v>34</v>
      </c>
      <c r="G1571" s="3" t="s">
        <v>28</v>
      </c>
      <c r="H1571" s="3" t="s">
        <v>29</v>
      </c>
      <c r="I1571" s="3" t="n">
        <f aca="false">YEAR(E1571)</f>
        <v>2025</v>
      </c>
      <c r="J1571" s="3" t="n">
        <f aca="false">MONTH(E1571)</f>
        <v>3</v>
      </c>
      <c r="K1571" s="3" t="n">
        <f aca="false">COUNTIFS($B$2:$B$4077,B1571,$C$2:$C$4077,C1571,$I$2:$I$4077,I1571)</f>
        <v>1</v>
      </c>
      <c r="L1571" s="3" t="n">
        <f aca="false">IF(COUNTIFS($B$2:B1571,B1571,$C$2:C1571,C1571,$I$2:I1571,I1571)=1,1,0)</f>
        <v>1</v>
      </c>
      <c r="M1571" s="3" t="n">
        <f aca="false">IF(K1571&gt;=Parametri!$B$1,1,0)</f>
        <v>0</v>
      </c>
      <c r="N1571" s="3" t="n">
        <f aca="false">L1571*M1571</f>
        <v>0</v>
      </c>
    </row>
    <row r="1572" customFormat="false" ht="15" hidden="false" customHeight="false" outlineLevel="0" collapsed="false">
      <c r="A1572" s="0" t="s">
        <v>2626</v>
      </c>
      <c r="B1572" s="0" t="s">
        <v>68</v>
      </c>
      <c r="C1572" s="0" t="s">
        <v>2145</v>
      </c>
      <c r="D1572" s="0" t="s">
        <v>38</v>
      </c>
      <c r="E1572" s="2" t="n">
        <v>45446</v>
      </c>
      <c r="F1572" s="3" t="s">
        <v>27</v>
      </c>
      <c r="G1572" s="3" t="s">
        <v>89</v>
      </c>
      <c r="H1572" s="3" t="s">
        <v>29</v>
      </c>
      <c r="I1572" s="3" t="n">
        <f aca="false">YEAR(E1572)</f>
        <v>2024</v>
      </c>
      <c r="J1572" s="3" t="n">
        <f aca="false">MONTH(E1572)</f>
        <v>6</v>
      </c>
      <c r="K1572" s="3" t="n">
        <f aca="false">COUNTIFS($B$2:$B$4077,B1572,$C$2:$C$4077,C1572,$I$2:$I$4077,I1572)</f>
        <v>2</v>
      </c>
      <c r="L1572" s="3" t="n">
        <f aca="false">IF(COUNTIFS($B$2:B1572,B1572,$C$2:C1572,C1572,$I$2:I1572,I1572)=1,1,0)</f>
        <v>1</v>
      </c>
      <c r="M1572" s="3" t="n">
        <f aca="false">IF(K1572&gt;=Parametri!$B$1,1,0)</f>
        <v>1</v>
      </c>
      <c r="N1572" s="3" t="n">
        <f aca="false">L1572*M1572</f>
        <v>1</v>
      </c>
    </row>
    <row r="1573" customFormat="false" ht="15" hidden="false" customHeight="false" outlineLevel="0" collapsed="false">
      <c r="A1573" s="0" t="s">
        <v>2627</v>
      </c>
      <c r="B1573" s="0" t="s">
        <v>31</v>
      </c>
      <c r="C1573" s="0" t="s">
        <v>539</v>
      </c>
      <c r="D1573" s="0" t="s">
        <v>33</v>
      </c>
      <c r="E1573" s="2" t="n">
        <v>45779</v>
      </c>
      <c r="F1573" s="3" t="s">
        <v>20</v>
      </c>
      <c r="G1573" s="3" t="s">
        <v>21</v>
      </c>
      <c r="H1573" s="3" t="s">
        <v>48</v>
      </c>
      <c r="I1573" s="3" t="n">
        <f aca="false">YEAR(E1573)</f>
        <v>2025</v>
      </c>
      <c r="J1573" s="3" t="n">
        <f aca="false">MONTH(E1573)</f>
        <v>5</v>
      </c>
      <c r="K1573" s="3" t="n">
        <f aca="false">COUNTIFS($B$2:$B$4077,B1573,$C$2:$C$4077,C1573,$I$2:$I$4077,I1573)</f>
        <v>3</v>
      </c>
      <c r="L1573" s="3" t="n">
        <f aca="false">IF(COUNTIFS($B$2:B1573,B1573,$C$2:C1573,C1573,$I$2:I1573,I1573)=1,1,0)</f>
        <v>0</v>
      </c>
      <c r="M1573" s="3" t="n">
        <f aca="false">IF(K1573&gt;=Parametri!$B$1,1,0)</f>
        <v>1</v>
      </c>
      <c r="N1573" s="3" t="n">
        <f aca="false">L1573*M1573</f>
        <v>0</v>
      </c>
    </row>
    <row r="1574" customFormat="false" ht="15" hidden="false" customHeight="false" outlineLevel="0" collapsed="false">
      <c r="A1574" s="0" t="s">
        <v>2628</v>
      </c>
      <c r="B1574" s="0" t="s">
        <v>31</v>
      </c>
      <c r="C1574" s="0" t="s">
        <v>2537</v>
      </c>
      <c r="D1574" s="0" t="s">
        <v>54</v>
      </c>
      <c r="E1574" s="2" t="n">
        <v>46021</v>
      </c>
      <c r="F1574" s="3" t="s">
        <v>20</v>
      </c>
      <c r="G1574" s="3" t="s">
        <v>43</v>
      </c>
      <c r="H1574" s="3" t="s">
        <v>22</v>
      </c>
      <c r="I1574" s="3" t="n">
        <f aca="false">YEAR(E1574)</f>
        <v>2025</v>
      </c>
      <c r="J1574" s="3" t="n">
        <f aca="false">MONTH(E1574)</f>
        <v>12</v>
      </c>
      <c r="K1574" s="3" t="n">
        <f aca="false">COUNTIFS($B$2:$B$4077,B1574,$C$2:$C$4077,C1574,$I$2:$I$4077,I1574)</f>
        <v>1</v>
      </c>
      <c r="L1574" s="3" t="n">
        <f aca="false">IF(COUNTIFS($B$2:B1574,B1574,$C$2:C1574,C1574,$I$2:I1574,I1574)=1,1,0)</f>
        <v>1</v>
      </c>
      <c r="M1574" s="3" t="n">
        <f aca="false">IF(K1574&gt;=Parametri!$B$1,1,0)</f>
        <v>0</v>
      </c>
      <c r="N1574" s="3" t="n">
        <f aca="false">L1574*M1574</f>
        <v>0</v>
      </c>
    </row>
    <row r="1575" customFormat="false" ht="15" hidden="false" customHeight="false" outlineLevel="0" collapsed="false">
      <c r="A1575" s="0" t="s">
        <v>2629</v>
      </c>
      <c r="B1575" s="0" t="s">
        <v>79</v>
      </c>
      <c r="C1575" s="0" t="s">
        <v>2630</v>
      </c>
      <c r="D1575" s="0" t="s">
        <v>38</v>
      </c>
      <c r="E1575" s="2" t="n">
        <v>45301</v>
      </c>
      <c r="F1575" s="3" t="s">
        <v>27</v>
      </c>
      <c r="G1575" s="3" t="s">
        <v>43</v>
      </c>
      <c r="H1575" s="3" t="s">
        <v>48</v>
      </c>
      <c r="I1575" s="3" t="n">
        <f aca="false">YEAR(E1575)</f>
        <v>2024</v>
      </c>
      <c r="J1575" s="3" t="n">
        <f aca="false">MONTH(E1575)</f>
        <v>1</v>
      </c>
      <c r="K1575" s="3" t="n">
        <f aca="false">COUNTIFS($B$2:$B$4077,B1575,$C$2:$C$4077,C1575,$I$2:$I$4077,I1575)</f>
        <v>1</v>
      </c>
      <c r="L1575" s="3" t="n">
        <f aca="false">IF(COUNTIFS($B$2:B1575,B1575,$C$2:C1575,C1575,$I$2:I1575,I1575)=1,1,0)</f>
        <v>1</v>
      </c>
      <c r="M1575" s="3" t="n">
        <f aca="false">IF(K1575&gt;=Parametri!$B$1,1,0)</f>
        <v>0</v>
      </c>
      <c r="N1575" s="3" t="n">
        <f aca="false">L1575*M1575</f>
        <v>0</v>
      </c>
    </row>
    <row r="1576" customFormat="false" ht="15" hidden="false" customHeight="false" outlineLevel="0" collapsed="false">
      <c r="A1576" s="0" t="s">
        <v>2631</v>
      </c>
      <c r="B1576" s="0" t="s">
        <v>50</v>
      </c>
      <c r="C1576" s="0" t="s">
        <v>2632</v>
      </c>
      <c r="D1576" s="0" t="s">
        <v>38</v>
      </c>
      <c r="E1576" s="2" t="n">
        <v>45411</v>
      </c>
      <c r="F1576" s="3" t="s">
        <v>20</v>
      </c>
      <c r="G1576" s="3" t="s">
        <v>72</v>
      </c>
      <c r="H1576" s="3" t="s">
        <v>44</v>
      </c>
      <c r="I1576" s="3" t="n">
        <f aca="false">YEAR(E1576)</f>
        <v>2024</v>
      </c>
      <c r="J1576" s="3" t="n">
        <f aca="false">MONTH(E1576)</f>
        <v>4</v>
      </c>
      <c r="K1576" s="3" t="n">
        <f aca="false">COUNTIFS($B$2:$B$4077,B1576,$C$2:$C$4077,C1576,$I$2:$I$4077,I1576)</f>
        <v>1</v>
      </c>
      <c r="L1576" s="3" t="n">
        <f aca="false">IF(COUNTIFS($B$2:B1576,B1576,$C$2:C1576,C1576,$I$2:I1576,I1576)=1,1,0)</f>
        <v>1</v>
      </c>
      <c r="M1576" s="3" t="n">
        <f aca="false">IF(K1576&gt;=Parametri!$B$1,1,0)</f>
        <v>0</v>
      </c>
      <c r="N1576" s="3" t="n">
        <f aca="false">L1576*M1576</f>
        <v>0</v>
      </c>
    </row>
    <row r="1577" customFormat="false" ht="15" hidden="false" customHeight="false" outlineLevel="0" collapsed="false">
      <c r="A1577" s="0" t="s">
        <v>2633</v>
      </c>
      <c r="B1577" s="0" t="s">
        <v>124</v>
      </c>
      <c r="C1577" s="0" t="s">
        <v>2634</v>
      </c>
      <c r="D1577" s="0" t="s">
        <v>77</v>
      </c>
      <c r="E1577" s="2" t="n">
        <v>45997</v>
      </c>
      <c r="F1577" s="3" t="s">
        <v>34</v>
      </c>
      <c r="G1577" s="3" t="s">
        <v>21</v>
      </c>
      <c r="H1577" s="3" t="s">
        <v>48</v>
      </c>
      <c r="I1577" s="3" t="n">
        <f aca="false">YEAR(E1577)</f>
        <v>2025</v>
      </c>
      <c r="J1577" s="3" t="n">
        <f aca="false">MONTH(E1577)</f>
        <v>12</v>
      </c>
      <c r="K1577" s="3" t="n">
        <f aca="false">COUNTIFS($B$2:$B$4077,B1577,$C$2:$C$4077,C1577,$I$2:$I$4077,I1577)</f>
        <v>1</v>
      </c>
      <c r="L1577" s="3" t="n">
        <f aca="false">IF(COUNTIFS($B$2:B1577,B1577,$C$2:C1577,C1577,$I$2:I1577,I1577)=1,1,0)</f>
        <v>1</v>
      </c>
      <c r="M1577" s="3" t="n">
        <f aca="false">IF(K1577&gt;=Parametri!$B$1,1,0)</f>
        <v>0</v>
      </c>
      <c r="N1577" s="3" t="n">
        <f aca="false">L1577*M1577</f>
        <v>0</v>
      </c>
    </row>
    <row r="1578" customFormat="false" ht="15" hidden="false" customHeight="false" outlineLevel="0" collapsed="false">
      <c r="A1578" s="0" t="s">
        <v>2635</v>
      </c>
      <c r="B1578" s="0" t="s">
        <v>31</v>
      </c>
      <c r="C1578" s="0" t="s">
        <v>214</v>
      </c>
      <c r="D1578" s="0" t="s">
        <v>26</v>
      </c>
      <c r="E1578" s="2" t="n">
        <v>46143</v>
      </c>
      <c r="F1578" s="3" t="s">
        <v>34</v>
      </c>
      <c r="G1578" s="3" t="s">
        <v>21</v>
      </c>
      <c r="H1578" s="3" t="s">
        <v>48</v>
      </c>
      <c r="I1578" s="3" t="n">
        <f aca="false">YEAR(E1578)</f>
        <v>2026</v>
      </c>
      <c r="J1578" s="3" t="n">
        <f aca="false">MONTH(E1578)</f>
        <v>5</v>
      </c>
      <c r="K1578" s="3" t="n">
        <f aca="false">COUNTIFS($B$2:$B$4077,B1578,$C$2:$C$4077,C1578,$I$2:$I$4077,I1578)</f>
        <v>2</v>
      </c>
      <c r="L1578" s="3" t="n">
        <f aca="false">IF(COUNTIFS($B$2:B1578,B1578,$C$2:C1578,C1578,$I$2:I1578,I1578)=1,1,0)</f>
        <v>0</v>
      </c>
      <c r="M1578" s="3" t="n">
        <f aca="false">IF(K1578&gt;=Parametri!$B$1,1,0)</f>
        <v>1</v>
      </c>
      <c r="N1578" s="3" t="n">
        <f aca="false">L1578*M1578</f>
        <v>0</v>
      </c>
    </row>
    <row r="1579" customFormat="false" ht="15" hidden="false" customHeight="false" outlineLevel="0" collapsed="false">
      <c r="A1579" s="0" t="s">
        <v>2636</v>
      </c>
      <c r="B1579" s="0" t="s">
        <v>79</v>
      </c>
      <c r="C1579" s="0" t="s">
        <v>2233</v>
      </c>
      <c r="D1579" s="0" t="s">
        <v>38</v>
      </c>
      <c r="E1579" s="2" t="n">
        <v>45713</v>
      </c>
      <c r="F1579" s="3" t="s">
        <v>20</v>
      </c>
      <c r="G1579" s="3" t="s">
        <v>72</v>
      </c>
      <c r="H1579" s="3" t="s">
        <v>29</v>
      </c>
      <c r="I1579" s="3" t="n">
        <f aca="false">YEAR(E1579)</f>
        <v>2025</v>
      </c>
      <c r="J1579" s="3" t="n">
        <f aca="false">MONTH(E1579)</f>
        <v>2</v>
      </c>
      <c r="K1579" s="3" t="n">
        <f aca="false">COUNTIFS($B$2:$B$4077,B1579,$C$2:$C$4077,C1579,$I$2:$I$4077,I1579)</f>
        <v>2</v>
      </c>
      <c r="L1579" s="3" t="n">
        <f aca="false">IF(COUNTIFS($B$2:B1579,B1579,$C$2:C1579,C1579,$I$2:I1579,I1579)=1,1,0)</f>
        <v>1</v>
      </c>
      <c r="M1579" s="3" t="n">
        <f aca="false">IF(K1579&gt;=Parametri!$B$1,1,0)</f>
        <v>1</v>
      </c>
      <c r="N1579" s="3" t="n">
        <f aca="false">L1579*M1579</f>
        <v>1</v>
      </c>
    </row>
    <row r="1580" customFormat="false" ht="15" hidden="false" customHeight="false" outlineLevel="0" collapsed="false">
      <c r="A1580" s="0" t="s">
        <v>2637</v>
      </c>
      <c r="B1580" s="0" t="s">
        <v>46</v>
      </c>
      <c r="C1580" s="0" t="s">
        <v>816</v>
      </c>
      <c r="D1580" s="0" t="s">
        <v>38</v>
      </c>
      <c r="E1580" s="2" t="n">
        <v>45502</v>
      </c>
      <c r="F1580" s="3" t="s">
        <v>20</v>
      </c>
      <c r="G1580" s="3" t="s">
        <v>72</v>
      </c>
      <c r="H1580" s="3" t="s">
        <v>22</v>
      </c>
      <c r="I1580" s="3" t="n">
        <f aca="false">YEAR(E1580)</f>
        <v>2024</v>
      </c>
      <c r="J1580" s="3" t="n">
        <f aca="false">MONTH(E1580)</f>
        <v>7</v>
      </c>
      <c r="K1580" s="3" t="n">
        <f aca="false">COUNTIFS($B$2:$B$4077,B1580,$C$2:$C$4077,C1580,$I$2:$I$4077,I1580)</f>
        <v>1</v>
      </c>
      <c r="L1580" s="3" t="n">
        <f aca="false">IF(COUNTIFS($B$2:B1580,B1580,$C$2:C1580,C1580,$I$2:I1580,I1580)=1,1,0)</f>
        <v>1</v>
      </c>
      <c r="M1580" s="3" t="n">
        <f aca="false">IF(K1580&gt;=Parametri!$B$1,1,0)</f>
        <v>0</v>
      </c>
      <c r="N1580" s="3" t="n">
        <f aca="false">L1580*M1580</f>
        <v>0</v>
      </c>
    </row>
    <row r="1581" customFormat="false" ht="15" hidden="false" customHeight="false" outlineLevel="0" collapsed="false">
      <c r="A1581" s="0" t="s">
        <v>2638</v>
      </c>
      <c r="B1581" s="0" t="s">
        <v>68</v>
      </c>
      <c r="C1581" s="0" t="s">
        <v>828</v>
      </c>
      <c r="D1581" s="0" t="s">
        <v>66</v>
      </c>
      <c r="E1581" s="2" t="n">
        <v>46182</v>
      </c>
      <c r="F1581" s="3" t="s">
        <v>27</v>
      </c>
      <c r="G1581" s="3" t="s">
        <v>28</v>
      </c>
      <c r="H1581" s="3" t="s">
        <v>22</v>
      </c>
      <c r="I1581" s="3" t="n">
        <f aca="false">YEAR(E1581)</f>
        <v>2026</v>
      </c>
      <c r="J1581" s="3" t="n">
        <f aca="false">MONTH(E1581)</f>
        <v>6</v>
      </c>
      <c r="K1581" s="3" t="n">
        <f aca="false">COUNTIFS($B$2:$B$4077,B1581,$C$2:$C$4077,C1581,$I$2:$I$4077,I1581)</f>
        <v>1</v>
      </c>
      <c r="L1581" s="3" t="n">
        <f aca="false">IF(COUNTIFS($B$2:B1581,B1581,$C$2:C1581,C1581,$I$2:I1581,I1581)=1,1,0)</f>
        <v>1</v>
      </c>
      <c r="M1581" s="3" t="n">
        <f aca="false">IF(K1581&gt;=Parametri!$B$1,1,0)</f>
        <v>0</v>
      </c>
      <c r="N1581" s="3" t="n">
        <f aca="false">L1581*M1581</f>
        <v>0</v>
      </c>
    </row>
    <row r="1582" customFormat="false" ht="15" hidden="false" customHeight="false" outlineLevel="0" collapsed="false">
      <c r="A1582" s="0" t="s">
        <v>2639</v>
      </c>
      <c r="B1582" s="0" t="s">
        <v>17</v>
      </c>
      <c r="C1582" s="0" t="s">
        <v>915</v>
      </c>
      <c r="D1582" s="0" t="s">
        <v>66</v>
      </c>
      <c r="E1582" s="2" t="n">
        <v>45977</v>
      </c>
      <c r="F1582" s="3" t="s">
        <v>27</v>
      </c>
      <c r="G1582" s="3" t="s">
        <v>43</v>
      </c>
      <c r="H1582" s="3" t="s">
        <v>44</v>
      </c>
      <c r="I1582" s="3" t="n">
        <f aca="false">YEAR(E1582)</f>
        <v>2025</v>
      </c>
      <c r="J1582" s="3" t="n">
        <f aca="false">MONTH(E1582)</f>
        <v>11</v>
      </c>
      <c r="K1582" s="3" t="n">
        <f aca="false">COUNTIFS($B$2:$B$4077,B1582,$C$2:$C$4077,C1582,$I$2:$I$4077,I1582)</f>
        <v>3</v>
      </c>
      <c r="L1582" s="3" t="n">
        <f aca="false">IF(COUNTIFS($B$2:B1582,B1582,$C$2:C1582,C1582,$I$2:I1582,I1582)=1,1,0)</f>
        <v>1</v>
      </c>
      <c r="M1582" s="3" t="n">
        <f aca="false">IF(K1582&gt;=Parametri!$B$1,1,0)</f>
        <v>1</v>
      </c>
      <c r="N1582" s="3" t="n">
        <f aca="false">L1582*M1582</f>
        <v>1</v>
      </c>
    </row>
    <row r="1583" customFormat="false" ht="15" hidden="false" customHeight="false" outlineLevel="0" collapsed="false">
      <c r="A1583" s="0" t="s">
        <v>2640</v>
      </c>
      <c r="B1583" s="0" t="s">
        <v>31</v>
      </c>
      <c r="C1583" s="0" t="s">
        <v>778</v>
      </c>
      <c r="D1583" s="0" t="s">
        <v>66</v>
      </c>
      <c r="E1583" s="2" t="n">
        <v>45750</v>
      </c>
      <c r="F1583" s="3" t="s">
        <v>20</v>
      </c>
      <c r="G1583" s="3" t="s">
        <v>72</v>
      </c>
      <c r="H1583" s="3" t="s">
        <v>48</v>
      </c>
      <c r="I1583" s="3" t="n">
        <f aca="false">YEAR(E1583)</f>
        <v>2025</v>
      </c>
      <c r="J1583" s="3" t="n">
        <f aca="false">MONTH(E1583)</f>
        <v>4</v>
      </c>
      <c r="K1583" s="3" t="n">
        <f aca="false">COUNTIFS($B$2:$B$4077,B1583,$C$2:$C$4077,C1583,$I$2:$I$4077,I1583)</f>
        <v>6</v>
      </c>
      <c r="L1583" s="3" t="n">
        <f aca="false">IF(COUNTIFS($B$2:B1583,B1583,$C$2:C1583,C1583,$I$2:I1583,I1583)=1,1,0)</f>
        <v>0</v>
      </c>
      <c r="M1583" s="3" t="n">
        <f aca="false">IF(K1583&gt;=Parametri!$B$1,1,0)</f>
        <v>1</v>
      </c>
      <c r="N1583" s="3" t="n">
        <f aca="false">L1583*M1583</f>
        <v>0</v>
      </c>
    </row>
    <row r="1584" customFormat="false" ht="15" hidden="false" customHeight="false" outlineLevel="0" collapsed="false">
      <c r="A1584" s="0" t="s">
        <v>2641</v>
      </c>
      <c r="B1584" s="0" t="s">
        <v>46</v>
      </c>
      <c r="C1584" s="0" t="s">
        <v>2642</v>
      </c>
      <c r="D1584" s="0" t="s">
        <v>77</v>
      </c>
      <c r="E1584" s="2" t="n">
        <v>45637</v>
      </c>
      <c r="F1584" s="3" t="s">
        <v>20</v>
      </c>
      <c r="G1584" s="3" t="s">
        <v>72</v>
      </c>
      <c r="H1584" s="3" t="s">
        <v>22</v>
      </c>
      <c r="I1584" s="3" t="n">
        <f aca="false">YEAR(E1584)</f>
        <v>2024</v>
      </c>
      <c r="J1584" s="3" t="n">
        <f aca="false">MONTH(E1584)</f>
        <v>12</v>
      </c>
      <c r="K1584" s="3" t="n">
        <f aca="false">COUNTIFS($B$2:$B$4077,B1584,$C$2:$C$4077,C1584,$I$2:$I$4077,I1584)</f>
        <v>1</v>
      </c>
      <c r="L1584" s="3" t="n">
        <f aca="false">IF(COUNTIFS($B$2:B1584,B1584,$C$2:C1584,C1584,$I$2:I1584,I1584)=1,1,0)</f>
        <v>1</v>
      </c>
      <c r="M1584" s="3" t="n">
        <f aca="false">IF(K1584&gt;=Parametri!$B$1,1,0)</f>
        <v>0</v>
      </c>
      <c r="N1584" s="3" t="n">
        <f aca="false">L1584*M1584</f>
        <v>0</v>
      </c>
    </row>
    <row r="1585" customFormat="false" ht="15" hidden="false" customHeight="false" outlineLevel="0" collapsed="false">
      <c r="A1585" s="0" t="s">
        <v>2643</v>
      </c>
      <c r="B1585" s="0" t="s">
        <v>68</v>
      </c>
      <c r="C1585" s="0" t="s">
        <v>2644</v>
      </c>
      <c r="D1585" s="0" t="s">
        <v>54</v>
      </c>
      <c r="E1585" s="2" t="n">
        <v>45298</v>
      </c>
      <c r="F1585" s="3" t="s">
        <v>20</v>
      </c>
      <c r="G1585" s="3" t="s">
        <v>28</v>
      </c>
      <c r="H1585" s="3" t="s">
        <v>44</v>
      </c>
      <c r="I1585" s="3" t="n">
        <f aca="false">YEAR(E1585)</f>
        <v>2024</v>
      </c>
      <c r="J1585" s="3" t="n">
        <f aca="false">MONTH(E1585)</f>
        <v>1</v>
      </c>
      <c r="K1585" s="3" t="n">
        <f aca="false">COUNTIFS($B$2:$B$4077,B1585,$C$2:$C$4077,C1585,$I$2:$I$4077,I1585)</f>
        <v>1</v>
      </c>
      <c r="L1585" s="3" t="n">
        <f aca="false">IF(COUNTIFS($B$2:B1585,B1585,$C$2:C1585,C1585,$I$2:I1585,I1585)=1,1,0)</f>
        <v>1</v>
      </c>
      <c r="M1585" s="3" t="n">
        <f aca="false">IF(K1585&gt;=Parametri!$B$1,1,0)</f>
        <v>0</v>
      </c>
      <c r="N1585" s="3" t="n">
        <f aca="false">L1585*M1585</f>
        <v>0</v>
      </c>
    </row>
    <row r="1586" customFormat="false" ht="15" hidden="false" customHeight="false" outlineLevel="0" collapsed="false">
      <c r="A1586" s="0" t="s">
        <v>2645</v>
      </c>
      <c r="B1586" s="0" t="s">
        <v>68</v>
      </c>
      <c r="C1586" s="0" t="s">
        <v>2646</v>
      </c>
      <c r="D1586" s="0" t="s">
        <v>66</v>
      </c>
      <c r="E1586" s="2" t="n">
        <v>45452</v>
      </c>
      <c r="F1586" s="3" t="s">
        <v>27</v>
      </c>
      <c r="G1586" s="3" t="s">
        <v>28</v>
      </c>
      <c r="H1586" s="3" t="s">
        <v>44</v>
      </c>
      <c r="I1586" s="3" t="n">
        <f aca="false">YEAR(E1586)</f>
        <v>2024</v>
      </c>
      <c r="J1586" s="3" t="n">
        <f aca="false">MONTH(E1586)</f>
        <v>6</v>
      </c>
      <c r="K1586" s="3" t="n">
        <f aca="false">COUNTIFS($B$2:$B$4077,B1586,$C$2:$C$4077,C1586,$I$2:$I$4077,I1586)</f>
        <v>1</v>
      </c>
      <c r="L1586" s="3" t="n">
        <f aca="false">IF(COUNTIFS($B$2:B1586,B1586,$C$2:C1586,C1586,$I$2:I1586,I1586)=1,1,0)</f>
        <v>1</v>
      </c>
      <c r="M1586" s="3" t="n">
        <f aca="false">IF(K1586&gt;=Parametri!$B$1,1,0)</f>
        <v>0</v>
      </c>
      <c r="N1586" s="3" t="n">
        <f aca="false">L1586*M1586</f>
        <v>0</v>
      </c>
    </row>
    <row r="1587" customFormat="false" ht="15" hidden="false" customHeight="false" outlineLevel="0" collapsed="false">
      <c r="A1587" s="0" t="s">
        <v>2647</v>
      </c>
      <c r="B1587" s="0" t="s">
        <v>68</v>
      </c>
      <c r="C1587" s="0" t="s">
        <v>1648</v>
      </c>
      <c r="D1587" s="0" t="s">
        <v>38</v>
      </c>
      <c r="E1587" s="2" t="n">
        <v>45743</v>
      </c>
      <c r="F1587" s="3" t="s">
        <v>20</v>
      </c>
      <c r="G1587" s="3" t="s">
        <v>21</v>
      </c>
      <c r="H1587" s="3" t="s">
        <v>44</v>
      </c>
      <c r="I1587" s="3" t="n">
        <f aca="false">YEAR(E1587)</f>
        <v>2025</v>
      </c>
      <c r="J1587" s="3" t="n">
        <f aca="false">MONTH(E1587)</f>
        <v>3</v>
      </c>
      <c r="K1587" s="3" t="n">
        <f aca="false">COUNTIFS($B$2:$B$4077,B1587,$C$2:$C$4077,C1587,$I$2:$I$4077,I1587)</f>
        <v>1</v>
      </c>
      <c r="L1587" s="3" t="n">
        <f aca="false">IF(COUNTIFS($B$2:B1587,B1587,$C$2:C1587,C1587,$I$2:I1587,I1587)=1,1,0)</f>
        <v>1</v>
      </c>
      <c r="M1587" s="3" t="n">
        <f aca="false">IF(K1587&gt;=Parametri!$B$1,1,0)</f>
        <v>0</v>
      </c>
      <c r="N1587" s="3" t="n">
        <f aca="false">L1587*M1587</f>
        <v>0</v>
      </c>
    </row>
    <row r="1588" customFormat="false" ht="15" hidden="false" customHeight="false" outlineLevel="0" collapsed="false">
      <c r="A1588" s="0" t="s">
        <v>2648</v>
      </c>
      <c r="B1588" s="0" t="s">
        <v>57</v>
      </c>
      <c r="C1588" s="0" t="s">
        <v>1338</v>
      </c>
      <c r="D1588" s="0" t="s">
        <v>38</v>
      </c>
      <c r="E1588" s="2" t="n">
        <v>45452</v>
      </c>
      <c r="F1588" s="3" t="s">
        <v>20</v>
      </c>
      <c r="G1588" s="3" t="s">
        <v>55</v>
      </c>
      <c r="H1588" s="3" t="s">
        <v>29</v>
      </c>
      <c r="I1588" s="3" t="n">
        <f aca="false">YEAR(E1588)</f>
        <v>2024</v>
      </c>
      <c r="J1588" s="3" t="n">
        <f aca="false">MONTH(E1588)</f>
        <v>6</v>
      </c>
      <c r="K1588" s="3" t="n">
        <f aca="false">COUNTIFS($B$2:$B$4077,B1588,$C$2:$C$4077,C1588,$I$2:$I$4077,I1588)</f>
        <v>2</v>
      </c>
      <c r="L1588" s="3" t="n">
        <f aca="false">IF(COUNTIFS($B$2:B1588,B1588,$C$2:C1588,C1588,$I$2:I1588,I1588)=1,1,0)</f>
        <v>0</v>
      </c>
      <c r="M1588" s="3" t="n">
        <f aca="false">IF(K1588&gt;=Parametri!$B$1,1,0)</f>
        <v>1</v>
      </c>
      <c r="N1588" s="3" t="n">
        <f aca="false">L1588*M1588</f>
        <v>0</v>
      </c>
    </row>
    <row r="1589" customFormat="false" ht="15" hidden="false" customHeight="false" outlineLevel="0" collapsed="false">
      <c r="A1589" s="0" t="s">
        <v>2649</v>
      </c>
      <c r="B1589" s="0" t="s">
        <v>124</v>
      </c>
      <c r="C1589" s="0" t="s">
        <v>1243</v>
      </c>
      <c r="D1589" s="0" t="s">
        <v>33</v>
      </c>
      <c r="E1589" s="2" t="n">
        <v>46024</v>
      </c>
      <c r="F1589" s="3" t="s">
        <v>34</v>
      </c>
      <c r="G1589" s="3" t="s">
        <v>43</v>
      </c>
      <c r="H1589" s="3" t="s">
        <v>48</v>
      </c>
      <c r="I1589" s="3" t="n">
        <f aca="false">YEAR(E1589)</f>
        <v>2026</v>
      </c>
      <c r="J1589" s="3" t="n">
        <f aca="false">MONTH(E1589)</f>
        <v>1</v>
      </c>
      <c r="K1589" s="3" t="n">
        <f aca="false">COUNTIFS($B$2:$B$4077,B1589,$C$2:$C$4077,C1589,$I$2:$I$4077,I1589)</f>
        <v>1</v>
      </c>
      <c r="L1589" s="3" t="n">
        <f aca="false">IF(COUNTIFS($B$2:B1589,B1589,$C$2:C1589,C1589,$I$2:I1589,I1589)=1,1,0)</f>
        <v>1</v>
      </c>
      <c r="M1589" s="3" t="n">
        <f aca="false">IF(K1589&gt;=Parametri!$B$1,1,0)</f>
        <v>0</v>
      </c>
      <c r="N1589" s="3" t="n">
        <f aca="false">L1589*M1589</f>
        <v>0</v>
      </c>
    </row>
    <row r="1590" customFormat="false" ht="15" hidden="false" customHeight="false" outlineLevel="0" collapsed="false">
      <c r="A1590" s="0" t="s">
        <v>2650</v>
      </c>
      <c r="B1590" s="0" t="s">
        <v>17</v>
      </c>
      <c r="C1590" s="0" t="s">
        <v>985</v>
      </c>
      <c r="D1590" s="0" t="s">
        <v>19</v>
      </c>
      <c r="E1590" s="2" t="n">
        <v>45640</v>
      </c>
      <c r="F1590" s="3" t="s">
        <v>20</v>
      </c>
      <c r="G1590" s="3" t="s">
        <v>39</v>
      </c>
      <c r="H1590" s="3" t="s">
        <v>44</v>
      </c>
      <c r="I1590" s="3" t="n">
        <f aca="false">YEAR(E1590)</f>
        <v>2024</v>
      </c>
      <c r="J1590" s="3" t="n">
        <f aca="false">MONTH(E1590)</f>
        <v>12</v>
      </c>
      <c r="K1590" s="3" t="n">
        <f aca="false">COUNTIFS($B$2:$B$4077,B1590,$C$2:$C$4077,C1590,$I$2:$I$4077,I1590)</f>
        <v>3</v>
      </c>
      <c r="L1590" s="3" t="n">
        <f aca="false">IF(COUNTIFS($B$2:B1590,B1590,$C$2:C1590,C1590,$I$2:I1590,I1590)=1,1,0)</f>
        <v>1</v>
      </c>
      <c r="M1590" s="3" t="n">
        <f aca="false">IF(K1590&gt;=Parametri!$B$1,1,0)</f>
        <v>1</v>
      </c>
      <c r="N1590" s="3" t="n">
        <f aca="false">L1590*M1590</f>
        <v>1</v>
      </c>
    </row>
    <row r="1591" customFormat="false" ht="15" hidden="false" customHeight="false" outlineLevel="0" collapsed="false">
      <c r="A1591" s="0" t="s">
        <v>2651</v>
      </c>
      <c r="B1591" s="0" t="s">
        <v>17</v>
      </c>
      <c r="C1591" s="0" t="s">
        <v>2652</v>
      </c>
      <c r="D1591" s="0" t="s">
        <v>63</v>
      </c>
      <c r="E1591" s="2" t="n">
        <v>45580</v>
      </c>
      <c r="F1591" s="3" t="s">
        <v>104</v>
      </c>
      <c r="G1591" s="3" t="s">
        <v>104</v>
      </c>
      <c r="H1591" s="3" t="s">
        <v>104</v>
      </c>
      <c r="I1591" s="3" t="n">
        <f aca="false">YEAR(E1591)</f>
        <v>2024</v>
      </c>
      <c r="J1591" s="3" t="n">
        <f aca="false">MONTH(E1591)</f>
        <v>10</v>
      </c>
      <c r="K1591" s="3" t="n">
        <f aca="false">COUNTIFS($B$2:$B$4077,B1591,$C$2:$C$4077,C1591,$I$2:$I$4077,I1591)</f>
        <v>1</v>
      </c>
      <c r="L1591" s="3" t="n">
        <f aca="false">IF(COUNTIFS($B$2:B1591,B1591,$C$2:C1591,C1591,$I$2:I1591,I1591)=1,1,0)</f>
        <v>1</v>
      </c>
      <c r="M1591" s="3" t="n">
        <f aca="false">IF(K1591&gt;=Parametri!$B$1,1,0)</f>
        <v>0</v>
      </c>
      <c r="N1591" s="3" t="n">
        <f aca="false">L1591*M1591</f>
        <v>0</v>
      </c>
    </row>
    <row r="1592" customFormat="false" ht="15" hidden="false" customHeight="false" outlineLevel="0" collapsed="false">
      <c r="A1592" s="0" t="s">
        <v>2653</v>
      </c>
      <c r="B1592" s="0" t="s">
        <v>68</v>
      </c>
      <c r="C1592" s="0" t="s">
        <v>1457</v>
      </c>
      <c r="D1592" s="0" t="s">
        <v>33</v>
      </c>
      <c r="E1592" s="2" t="n">
        <v>46137</v>
      </c>
      <c r="F1592" s="3" t="s">
        <v>27</v>
      </c>
      <c r="G1592" s="3" t="s">
        <v>28</v>
      </c>
      <c r="H1592" s="3" t="s">
        <v>22</v>
      </c>
      <c r="I1592" s="3" t="n">
        <f aca="false">YEAR(E1592)</f>
        <v>2026</v>
      </c>
      <c r="J1592" s="3" t="n">
        <f aca="false">MONTH(E1592)</f>
        <v>4</v>
      </c>
      <c r="K1592" s="3" t="n">
        <f aca="false">COUNTIFS($B$2:$B$4077,B1592,$C$2:$C$4077,C1592,$I$2:$I$4077,I1592)</f>
        <v>6</v>
      </c>
      <c r="L1592" s="3" t="n">
        <f aca="false">IF(COUNTIFS($B$2:B1592,B1592,$C$2:C1592,C1592,$I$2:I1592,I1592)=1,1,0)</f>
        <v>0</v>
      </c>
      <c r="M1592" s="3" t="n">
        <f aca="false">IF(K1592&gt;=Parametri!$B$1,1,0)</f>
        <v>1</v>
      </c>
      <c r="N1592" s="3" t="n">
        <f aca="false">L1592*M1592</f>
        <v>0</v>
      </c>
    </row>
    <row r="1593" customFormat="false" ht="15" hidden="false" customHeight="false" outlineLevel="0" collapsed="false">
      <c r="A1593" s="0" t="s">
        <v>2654</v>
      </c>
      <c r="B1593" s="0" t="s">
        <v>17</v>
      </c>
      <c r="C1593" s="0" t="s">
        <v>1921</v>
      </c>
      <c r="D1593" s="0" t="s">
        <v>66</v>
      </c>
      <c r="E1593" s="2" t="n">
        <v>45477</v>
      </c>
      <c r="F1593" s="3" t="s">
        <v>20</v>
      </c>
      <c r="G1593" s="3" t="s">
        <v>89</v>
      </c>
      <c r="H1593" s="3" t="s">
        <v>48</v>
      </c>
      <c r="I1593" s="3" t="n">
        <f aca="false">YEAR(E1593)</f>
        <v>2024</v>
      </c>
      <c r="J1593" s="3" t="n">
        <f aca="false">MONTH(E1593)</f>
        <v>7</v>
      </c>
      <c r="K1593" s="3" t="n">
        <f aca="false">COUNTIFS($B$2:$B$4077,B1593,$C$2:$C$4077,C1593,$I$2:$I$4077,I1593)</f>
        <v>1</v>
      </c>
      <c r="L1593" s="3" t="n">
        <f aca="false">IF(COUNTIFS($B$2:B1593,B1593,$C$2:C1593,C1593,$I$2:I1593,I1593)=1,1,0)</f>
        <v>1</v>
      </c>
      <c r="M1593" s="3" t="n">
        <f aca="false">IF(K1593&gt;=Parametri!$B$1,1,0)</f>
        <v>0</v>
      </c>
      <c r="N1593" s="3" t="n">
        <f aca="false">L1593*M1593</f>
        <v>0</v>
      </c>
    </row>
    <row r="1594" customFormat="false" ht="15" hidden="false" customHeight="false" outlineLevel="0" collapsed="false">
      <c r="A1594" s="0" t="s">
        <v>2655</v>
      </c>
      <c r="B1594" s="0" t="s">
        <v>50</v>
      </c>
      <c r="C1594" s="0" t="s">
        <v>819</v>
      </c>
      <c r="D1594" s="0" t="s">
        <v>77</v>
      </c>
      <c r="E1594" s="2" t="n">
        <v>45521</v>
      </c>
      <c r="F1594" s="3" t="s">
        <v>20</v>
      </c>
      <c r="G1594" s="3" t="s">
        <v>28</v>
      </c>
      <c r="H1594" s="3" t="s">
        <v>22</v>
      </c>
      <c r="I1594" s="3" t="n">
        <f aca="false">YEAR(E1594)</f>
        <v>2024</v>
      </c>
      <c r="J1594" s="3" t="n">
        <f aca="false">MONTH(E1594)</f>
        <v>8</v>
      </c>
      <c r="K1594" s="3" t="n">
        <f aca="false">COUNTIFS($B$2:$B$4077,B1594,$C$2:$C$4077,C1594,$I$2:$I$4077,I1594)</f>
        <v>5</v>
      </c>
      <c r="L1594" s="3" t="n">
        <f aca="false">IF(COUNTIFS($B$2:B1594,B1594,$C$2:C1594,C1594,$I$2:I1594,I1594)=1,1,0)</f>
        <v>0</v>
      </c>
      <c r="M1594" s="3" t="n">
        <f aca="false">IF(K1594&gt;=Parametri!$B$1,1,0)</f>
        <v>1</v>
      </c>
      <c r="N1594" s="3" t="n">
        <f aca="false">L1594*M1594</f>
        <v>0</v>
      </c>
    </row>
    <row r="1595" customFormat="false" ht="15" hidden="false" customHeight="false" outlineLevel="0" collapsed="false">
      <c r="A1595" s="0" t="s">
        <v>2656</v>
      </c>
      <c r="B1595" s="0" t="s">
        <v>24</v>
      </c>
      <c r="C1595" s="0" t="s">
        <v>2280</v>
      </c>
      <c r="D1595" s="0" t="s">
        <v>38</v>
      </c>
      <c r="E1595" s="2" t="n">
        <v>45594</v>
      </c>
      <c r="F1595" s="3" t="s">
        <v>34</v>
      </c>
      <c r="G1595" s="3" t="s">
        <v>35</v>
      </c>
      <c r="H1595" s="3" t="s">
        <v>44</v>
      </c>
      <c r="I1595" s="3" t="n">
        <f aca="false">YEAR(E1595)</f>
        <v>2024</v>
      </c>
      <c r="J1595" s="3" t="n">
        <f aca="false">MONTH(E1595)</f>
        <v>10</v>
      </c>
      <c r="K1595" s="3" t="n">
        <f aca="false">COUNTIFS($B$2:$B$4077,B1595,$C$2:$C$4077,C1595,$I$2:$I$4077,I1595)</f>
        <v>3</v>
      </c>
      <c r="L1595" s="3" t="n">
        <f aca="false">IF(COUNTIFS($B$2:B1595,B1595,$C$2:C1595,C1595,$I$2:I1595,I1595)=1,1,0)</f>
        <v>0</v>
      </c>
      <c r="M1595" s="3" t="n">
        <f aca="false">IF(K1595&gt;=Parametri!$B$1,1,0)</f>
        <v>1</v>
      </c>
      <c r="N1595" s="3" t="n">
        <f aca="false">L1595*M1595</f>
        <v>0</v>
      </c>
    </row>
    <row r="1596" customFormat="false" ht="15" hidden="false" customHeight="false" outlineLevel="0" collapsed="false">
      <c r="A1596" s="0" t="s">
        <v>2657</v>
      </c>
      <c r="B1596" s="0" t="s">
        <v>41</v>
      </c>
      <c r="C1596" s="0" t="s">
        <v>2658</v>
      </c>
      <c r="D1596" s="0" t="s">
        <v>54</v>
      </c>
      <c r="E1596" s="2" t="n">
        <v>45620</v>
      </c>
      <c r="F1596" s="3" t="s">
        <v>27</v>
      </c>
      <c r="G1596" s="3" t="s">
        <v>89</v>
      </c>
      <c r="H1596" s="3" t="s">
        <v>44</v>
      </c>
      <c r="I1596" s="3" t="n">
        <f aca="false">YEAR(E1596)</f>
        <v>2024</v>
      </c>
      <c r="J1596" s="3" t="n">
        <f aca="false">MONTH(E1596)</f>
        <v>11</v>
      </c>
      <c r="K1596" s="3" t="n">
        <f aca="false">COUNTIFS($B$2:$B$4077,B1596,$C$2:$C$4077,C1596,$I$2:$I$4077,I1596)</f>
        <v>1</v>
      </c>
      <c r="L1596" s="3" t="n">
        <f aca="false">IF(COUNTIFS($B$2:B1596,B1596,$C$2:C1596,C1596,$I$2:I1596,I1596)=1,1,0)</f>
        <v>1</v>
      </c>
      <c r="M1596" s="3" t="n">
        <f aca="false">IF(K1596&gt;=Parametri!$B$1,1,0)</f>
        <v>0</v>
      </c>
      <c r="N1596" s="3" t="n">
        <f aca="false">L1596*M1596</f>
        <v>0</v>
      </c>
    </row>
    <row r="1597" customFormat="false" ht="15" hidden="false" customHeight="false" outlineLevel="0" collapsed="false">
      <c r="A1597" s="0" t="s">
        <v>2659</v>
      </c>
      <c r="B1597" s="0" t="s">
        <v>17</v>
      </c>
      <c r="C1597" s="0" t="s">
        <v>2265</v>
      </c>
      <c r="D1597" s="0" t="s">
        <v>38</v>
      </c>
      <c r="E1597" s="2" t="n">
        <v>45618</v>
      </c>
      <c r="F1597" s="3" t="s">
        <v>20</v>
      </c>
      <c r="G1597" s="3" t="s">
        <v>43</v>
      </c>
      <c r="H1597" s="3" t="s">
        <v>48</v>
      </c>
      <c r="I1597" s="3" t="n">
        <f aca="false">YEAR(E1597)</f>
        <v>2024</v>
      </c>
      <c r="J1597" s="3" t="n">
        <f aca="false">MONTH(E1597)</f>
        <v>11</v>
      </c>
      <c r="K1597" s="3" t="n">
        <f aca="false">COUNTIFS($B$2:$B$4077,B1597,$C$2:$C$4077,C1597,$I$2:$I$4077,I1597)</f>
        <v>2</v>
      </c>
      <c r="L1597" s="3" t="n">
        <f aca="false">IF(COUNTIFS($B$2:B1597,B1597,$C$2:C1597,C1597,$I$2:I1597,I1597)=1,1,0)</f>
        <v>0</v>
      </c>
      <c r="M1597" s="3" t="n">
        <f aca="false">IF(K1597&gt;=Parametri!$B$1,1,0)</f>
        <v>1</v>
      </c>
      <c r="N1597" s="3" t="n">
        <f aca="false">L1597*M1597</f>
        <v>0</v>
      </c>
    </row>
    <row r="1598" customFormat="false" ht="15" hidden="false" customHeight="false" outlineLevel="0" collapsed="false">
      <c r="A1598" s="0" t="s">
        <v>2660</v>
      </c>
      <c r="B1598" s="0" t="s">
        <v>68</v>
      </c>
      <c r="C1598" s="0" t="s">
        <v>2661</v>
      </c>
      <c r="D1598" s="0" t="s">
        <v>77</v>
      </c>
      <c r="E1598" s="2" t="n">
        <v>45697</v>
      </c>
      <c r="F1598" s="3" t="s">
        <v>20</v>
      </c>
      <c r="G1598" s="3" t="s">
        <v>35</v>
      </c>
      <c r="H1598" s="3" t="s">
        <v>44</v>
      </c>
      <c r="I1598" s="3" t="n">
        <f aca="false">YEAR(E1598)</f>
        <v>2025</v>
      </c>
      <c r="J1598" s="3" t="n">
        <f aca="false">MONTH(E1598)</f>
        <v>2</v>
      </c>
      <c r="K1598" s="3" t="n">
        <f aca="false">COUNTIFS($B$2:$B$4077,B1598,$C$2:$C$4077,C1598,$I$2:$I$4077,I1598)</f>
        <v>1</v>
      </c>
      <c r="L1598" s="3" t="n">
        <f aca="false">IF(COUNTIFS($B$2:B1598,B1598,$C$2:C1598,C1598,$I$2:I1598,I1598)=1,1,0)</f>
        <v>1</v>
      </c>
      <c r="M1598" s="3" t="n">
        <f aca="false">IF(K1598&gt;=Parametri!$B$1,1,0)</f>
        <v>0</v>
      </c>
      <c r="N1598" s="3" t="n">
        <f aca="false">L1598*M1598</f>
        <v>0</v>
      </c>
    </row>
    <row r="1599" customFormat="false" ht="15" hidden="false" customHeight="false" outlineLevel="0" collapsed="false">
      <c r="A1599" s="0" t="s">
        <v>2662</v>
      </c>
      <c r="B1599" s="0" t="s">
        <v>17</v>
      </c>
      <c r="C1599" s="0" t="s">
        <v>364</v>
      </c>
      <c r="D1599" s="0" t="s">
        <v>54</v>
      </c>
      <c r="E1599" s="2" t="n">
        <v>45297</v>
      </c>
      <c r="F1599" s="3" t="s">
        <v>27</v>
      </c>
      <c r="G1599" s="3" t="s">
        <v>72</v>
      </c>
      <c r="H1599" s="3" t="s">
        <v>22</v>
      </c>
      <c r="I1599" s="3" t="n">
        <f aca="false">YEAR(E1599)</f>
        <v>2024</v>
      </c>
      <c r="J1599" s="3" t="n">
        <f aca="false">MONTH(E1599)</f>
        <v>1</v>
      </c>
      <c r="K1599" s="3" t="n">
        <f aca="false">COUNTIFS($B$2:$B$4077,B1599,$C$2:$C$4077,C1599,$I$2:$I$4077,I1599)</f>
        <v>2</v>
      </c>
      <c r="L1599" s="3" t="n">
        <f aca="false">IF(COUNTIFS($B$2:B1599,B1599,$C$2:C1599,C1599,$I$2:I1599,I1599)=1,1,0)</f>
        <v>1</v>
      </c>
      <c r="M1599" s="3" t="n">
        <f aca="false">IF(K1599&gt;=Parametri!$B$1,1,0)</f>
        <v>1</v>
      </c>
      <c r="N1599" s="3" t="n">
        <f aca="false">L1599*M1599</f>
        <v>1</v>
      </c>
    </row>
    <row r="1600" customFormat="false" ht="15" hidden="false" customHeight="false" outlineLevel="0" collapsed="false">
      <c r="A1600" s="0" t="s">
        <v>2663</v>
      </c>
      <c r="B1600" s="0" t="s">
        <v>57</v>
      </c>
      <c r="C1600" s="0" t="s">
        <v>2136</v>
      </c>
      <c r="D1600" s="0" t="s">
        <v>66</v>
      </c>
      <c r="E1600" s="2" t="n">
        <v>45478</v>
      </c>
      <c r="F1600" s="3" t="s">
        <v>20</v>
      </c>
      <c r="G1600" s="3" t="s">
        <v>28</v>
      </c>
      <c r="H1600" s="3" t="s">
        <v>48</v>
      </c>
      <c r="I1600" s="3" t="n">
        <f aca="false">YEAR(E1600)</f>
        <v>2024</v>
      </c>
      <c r="J1600" s="3" t="n">
        <f aca="false">MONTH(E1600)</f>
        <v>7</v>
      </c>
      <c r="K1600" s="3" t="n">
        <f aca="false">COUNTIFS($B$2:$B$4077,B1600,$C$2:$C$4077,C1600,$I$2:$I$4077,I1600)</f>
        <v>2</v>
      </c>
      <c r="L1600" s="3" t="n">
        <f aca="false">IF(COUNTIFS($B$2:B1600,B1600,$C$2:C1600,C1600,$I$2:I1600,I1600)=1,1,0)</f>
        <v>1</v>
      </c>
      <c r="M1600" s="3" t="n">
        <f aca="false">IF(K1600&gt;=Parametri!$B$1,1,0)</f>
        <v>1</v>
      </c>
      <c r="N1600" s="3" t="n">
        <f aca="false">L1600*M1600</f>
        <v>1</v>
      </c>
    </row>
    <row r="1601" customFormat="false" ht="15" hidden="false" customHeight="false" outlineLevel="0" collapsed="false">
      <c r="A1601" s="0" t="s">
        <v>2664</v>
      </c>
      <c r="B1601" s="0" t="s">
        <v>68</v>
      </c>
      <c r="C1601" s="0" t="s">
        <v>1260</v>
      </c>
      <c r="D1601" s="0" t="s">
        <v>26</v>
      </c>
      <c r="E1601" s="2" t="n">
        <v>45707</v>
      </c>
      <c r="F1601" s="3" t="s">
        <v>27</v>
      </c>
      <c r="G1601" s="3" t="s">
        <v>89</v>
      </c>
      <c r="H1601" s="3" t="s">
        <v>44</v>
      </c>
      <c r="I1601" s="3" t="n">
        <f aca="false">YEAR(E1601)</f>
        <v>2025</v>
      </c>
      <c r="J1601" s="3" t="n">
        <f aca="false">MONTH(E1601)</f>
        <v>2</v>
      </c>
      <c r="K1601" s="3" t="n">
        <f aca="false">COUNTIFS($B$2:$B$4077,B1601,$C$2:$C$4077,C1601,$I$2:$I$4077,I1601)</f>
        <v>3</v>
      </c>
      <c r="L1601" s="3" t="n">
        <f aca="false">IF(COUNTIFS($B$2:B1601,B1601,$C$2:C1601,C1601,$I$2:I1601,I1601)=1,1,0)</f>
        <v>0</v>
      </c>
      <c r="M1601" s="3" t="n">
        <f aca="false">IF(K1601&gt;=Parametri!$B$1,1,0)</f>
        <v>1</v>
      </c>
      <c r="N1601" s="3" t="n">
        <f aca="false">L1601*M1601</f>
        <v>0</v>
      </c>
    </row>
    <row r="1602" customFormat="false" ht="15" hidden="false" customHeight="false" outlineLevel="0" collapsed="false">
      <c r="A1602" s="0" t="s">
        <v>2665</v>
      </c>
      <c r="B1602" s="0" t="s">
        <v>41</v>
      </c>
      <c r="C1602" s="0" t="s">
        <v>1162</v>
      </c>
      <c r="D1602" s="0" t="s">
        <v>33</v>
      </c>
      <c r="E1602" s="2" t="n">
        <v>46095</v>
      </c>
      <c r="F1602" s="3" t="s">
        <v>27</v>
      </c>
      <c r="G1602" s="3" t="s">
        <v>35</v>
      </c>
      <c r="H1602" s="3" t="s">
        <v>44</v>
      </c>
      <c r="I1602" s="3" t="n">
        <f aca="false">YEAR(E1602)</f>
        <v>2026</v>
      </c>
      <c r="J1602" s="3" t="n">
        <f aca="false">MONTH(E1602)</f>
        <v>3</v>
      </c>
      <c r="K1602" s="3" t="n">
        <f aca="false">COUNTIFS($B$2:$B$4077,B1602,$C$2:$C$4077,C1602,$I$2:$I$4077,I1602)</f>
        <v>2</v>
      </c>
      <c r="L1602" s="3" t="n">
        <f aca="false">IF(COUNTIFS($B$2:B1602,B1602,$C$2:C1602,C1602,$I$2:I1602,I1602)=1,1,0)</f>
        <v>0</v>
      </c>
      <c r="M1602" s="3" t="n">
        <f aca="false">IF(K1602&gt;=Parametri!$B$1,1,0)</f>
        <v>1</v>
      </c>
      <c r="N1602" s="3" t="n">
        <f aca="false">L1602*M1602</f>
        <v>0</v>
      </c>
    </row>
    <row r="1603" customFormat="false" ht="15" hidden="false" customHeight="false" outlineLevel="0" collapsed="false">
      <c r="A1603" s="0" t="s">
        <v>2666</v>
      </c>
      <c r="B1603" s="0" t="s">
        <v>17</v>
      </c>
      <c r="C1603" s="0" t="s">
        <v>2667</v>
      </c>
      <c r="D1603" s="0" t="s">
        <v>54</v>
      </c>
      <c r="E1603" s="2" t="n">
        <v>45833</v>
      </c>
      <c r="F1603" s="3" t="s">
        <v>20</v>
      </c>
      <c r="G1603" s="3" t="s">
        <v>21</v>
      </c>
      <c r="H1603" s="3" t="s">
        <v>48</v>
      </c>
      <c r="I1603" s="3" t="n">
        <f aca="false">YEAR(E1603)</f>
        <v>2025</v>
      </c>
      <c r="J1603" s="3" t="n">
        <f aca="false">MONTH(E1603)</f>
        <v>6</v>
      </c>
      <c r="K1603" s="3" t="n">
        <f aca="false">COUNTIFS($B$2:$B$4077,B1603,$C$2:$C$4077,C1603,$I$2:$I$4077,I1603)</f>
        <v>2</v>
      </c>
      <c r="L1603" s="3" t="n">
        <f aca="false">IF(COUNTIFS($B$2:B1603,B1603,$C$2:C1603,C1603,$I$2:I1603,I1603)=1,1,0)</f>
        <v>1</v>
      </c>
      <c r="M1603" s="3" t="n">
        <f aca="false">IF(K1603&gt;=Parametri!$B$1,1,0)</f>
        <v>1</v>
      </c>
      <c r="N1603" s="3" t="n">
        <f aca="false">L1603*M1603</f>
        <v>1</v>
      </c>
    </row>
    <row r="1604" customFormat="false" ht="15" hidden="false" customHeight="false" outlineLevel="0" collapsed="false">
      <c r="A1604" s="0" t="s">
        <v>2668</v>
      </c>
      <c r="B1604" s="0" t="s">
        <v>79</v>
      </c>
      <c r="C1604" s="0" t="s">
        <v>1366</v>
      </c>
      <c r="D1604" s="0" t="s">
        <v>66</v>
      </c>
      <c r="E1604" s="2" t="n">
        <v>45911</v>
      </c>
      <c r="F1604" s="3" t="s">
        <v>20</v>
      </c>
      <c r="G1604" s="3" t="s">
        <v>39</v>
      </c>
      <c r="H1604" s="3" t="s">
        <v>22</v>
      </c>
      <c r="I1604" s="3" t="n">
        <f aca="false">YEAR(E1604)</f>
        <v>2025</v>
      </c>
      <c r="J1604" s="3" t="n">
        <f aca="false">MONTH(E1604)</f>
        <v>9</v>
      </c>
      <c r="K1604" s="3" t="n">
        <f aca="false">COUNTIFS($B$2:$B$4077,B1604,$C$2:$C$4077,C1604,$I$2:$I$4077,I1604)</f>
        <v>5</v>
      </c>
      <c r="L1604" s="3" t="n">
        <f aca="false">IF(COUNTIFS($B$2:B1604,B1604,$C$2:C1604,C1604,$I$2:I1604,I1604)=1,1,0)</f>
        <v>0</v>
      </c>
      <c r="M1604" s="3" t="n">
        <f aca="false">IF(K1604&gt;=Parametri!$B$1,1,0)</f>
        <v>1</v>
      </c>
      <c r="N1604" s="3" t="n">
        <f aca="false">L1604*M1604</f>
        <v>0</v>
      </c>
    </row>
    <row r="1605" customFormat="false" ht="15" hidden="false" customHeight="false" outlineLevel="0" collapsed="false">
      <c r="A1605" s="0" t="s">
        <v>2669</v>
      </c>
      <c r="B1605" s="0" t="s">
        <v>79</v>
      </c>
      <c r="C1605" s="0" t="s">
        <v>2197</v>
      </c>
      <c r="D1605" s="0" t="s">
        <v>19</v>
      </c>
      <c r="E1605" s="2" t="n">
        <v>46079</v>
      </c>
      <c r="F1605" s="3" t="s">
        <v>27</v>
      </c>
      <c r="G1605" s="3" t="s">
        <v>21</v>
      </c>
      <c r="H1605" s="3" t="s">
        <v>29</v>
      </c>
      <c r="I1605" s="3" t="n">
        <f aca="false">YEAR(E1605)</f>
        <v>2026</v>
      </c>
      <c r="J1605" s="3" t="n">
        <f aca="false">MONTH(E1605)</f>
        <v>2</v>
      </c>
      <c r="K1605" s="3" t="n">
        <f aca="false">COUNTIFS($B$2:$B$4077,B1605,$C$2:$C$4077,C1605,$I$2:$I$4077,I1605)</f>
        <v>2</v>
      </c>
      <c r="L1605" s="3" t="n">
        <f aca="false">IF(COUNTIFS($B$2:B1605,B1605,$C$2:C1605,C1605,$I$2:I1605,I1605)=1,1,0)</f>
        <v>0</v>
      </c>
      <c r="M1605" s="3" t="n">
        <f aca="false">IF(K1605&gt;=Parametri!$B$1,1,0)</f>
        <v>1</v>
      </c>
      <c r="N1605" s="3" t="n">
        <f aca="false">L1605*M1605</f>
        <v>0</v>
      </c>
    </row>
    <row r="1606" customFormat="false" ht="15" hidden="false" customHeight="false" outlineLevel="0" collapsed="false">
      <c r="A1606" s="0" t="s">
        <v>2670</v>
      </c>
      <c r="B1606" s="0" t="s">
        <v>17</v>
      </c>
      <c r="C1606" s="0" t="s">
        <v>1482</v>
      </c>
      <c r="D1606" s="0" t="s">
        <v>54</v>
      </c>
      <c r="E1606" s="2" t="n">
        <v>46207</v>
      </c>
      <c r="F1606" s="3" t="s">
        <v>20</v>
      </c>
      <c r="G1606" s="3" t="s">
        <v>21</v>
      </c>
      <c r="H1606" s="3" t="s">
        <v>29</v>
      </c>
      <c r="I1606" s="3" t="n">
        <f aca="false">YEAR(E1606)</f>
        <v>2026</v>
      </c>
      <c r="J1606" s="3" t="n">
        <f aca="false">MONTH(E1606)</f>
        <v>7</v>
      </c>
      <c r="K1606" s="3" t="n">
        <f aca="false">COUNTIFS($B$2:$B$4077,B1606,$C$2:$C$4077,C1606,$I$2:$I$4077,I1606)</f>
        <v>2</v>
      </c>
      <c r="L1606" s="3" t="n">
        <f aca="false">IF(COUNTIFS($B$2:B1606,B1606,$C$2:C1606,C1606,$I$2:I1606,I1606)=1,1,0)</f>
        <v>0</v>
      </c>
      <c r="M1606" s="3" t="n">
        <f aca="false">IF(K1606&gt;=Parametri!$B$1,1,0)</f>
        <v>1</v>
      </c>
      <c r="N1606" s="3" t="n">
        <f aca="false">L1606*M1606</f>
        <v>0</v>
      </c>
    </row>
    <row r="1607" customFormat="false" ht="15" hidden="false" customHeight="false" outlineLevel="0" collapsed="false">
      <c r="A1607" s="0" t="s">
        <v>2671</v>
      </c>
      <c r="B1607" s="0" t="s">
        <v>57</v>
      </c>
      <c r="C1607" s="0" t="s">
        <v>964</v>
      </c>
      <c r="D1607" s="0" t="s">
        <v>38</v>
      </c>
      <c r="E1607" s="2" t="n">
        <v>45583</v>
      </c>
      <c r="F1607" s="3" t="s">
        <v>20</v>
      </c>
      <c r="G1607" s="3" t="s">
        <v>55</v>
      </c>
      <c r="H1607" s="3" t="s">
        <v>22</v>
      </c>
      <c r="I1607" s="3" t="n">
        <f aca="false">YEAR(E1607)</f>
        <v>2024</v>
      </c>
      <c r="J1607" s="3" t="n">
        <f aca="false">MONTH(E1607)</f>
        <v>10</v>
      </c>
      <c r="K1607" s="3" t="n">
        <f aca="false">COUNTIFS($B$2:$B$4077,B1607,$C$2:$C$4077,C1607,$I$2:$I$4077,I1607)</f>
        <v>4</v>
      </c>
      <c r="L1607" s="3" t="n">
        <f aca="false">IF(COUNTIFS($B$2:B1607,B1607,$C$2:C1607,C1607,$I$2:I1607,I1607)=1,1,0)</f>
        <v>0</v>
      </c>
      <c r="M1607" s="3" t="n">
        <f aca="false">IF(K1607&gt;=Parametri!$B$1,1,0)</f>
        <v>1</v>
      </c>
      <c r="N1607" s="3" t="n">
        <f aca="false">L1607*M1607</f>
        <v>0</v>
      </c>
    </row>
    <row r="1608" customFormat="false" ht="15" hidden="false" customHeight="false" outlineLevel="0" collapsed="false">
      <c r="A1608" s="0" t="s">
        <v>2672</v>
      </c>
      <c r="B1608" s="0" t="s">
        <v>79</v>
      </c>
      <c r="C1608" s="0" t="s">
        <v>182</v>
      </c>
      <c r="D1608" s="0" t="s">
        <v>77</v>
      </c>
      <c r="E1608" s="2" t="n">
        <v>45779</v>
      </c>
      <c r="F1608" s="3" t="s">
        <v>20</v>
      </c>
      <c r="G1608" s="3" t="s">
        <v>55</v>
      </c>
      <c r="H1608" s="3" t="s">
        <v>48</v>
      </c>
      <c r="I1608" s="3" t="n">
        <f aca="false">YEAR(E1608)</f>
        <v>2025</v>
      </c>
      <c r="J1608" s="3" t="n">
        <f aca="false">MONTH(E1608)</f>
        <v>5</v>
      </c>
      <c r="K1608" s="3" t="n">
        <f aca="false">COUNTIFS($B$2:$B$4077,B1608,$C$2:$C$4077,C1608,$I$2:$I$4077,I1608)</f>
        <v>4</v>
      </c>
      <c r="L1608" s="3" t="n">
        <f aca="false">IF(COUNTIFS($B$2:B1608,B1608,$C$2:C1608,C1608,$I$2:I1608,I1608)=1,1,0)</f>
        <v>0</v>
      </c>
      <c r="M1608" s="3" t="n">
        <f aca="false">IF(K1608&gt;=Parametri!$B$1,1,0)</f>
        <v>1</v>
      </c>
      <c r="N1608" s="3" t="n">
        <f aca="false">L1608*M1608</f>
        <v>0</v>
      </c>
    </row>
    <row r="1609" customFormat="false" ht="15" hidden="false" customHeight="false" outlineLevel="0" collapsed="false">
      <c r="A1609" s="0" t="s">
        <v>2673</v>
      </c>
      <c r="B1609" s="0" t="s">
        <v>41</v>
      </c>
      <c r="C1609" s="0" t="s">
        <v>256</v>
      </c>
      <c r="D1609" s="0" t="s">
        <v>66</v>
      </c>
      <c r="E1609" s="2" t="n">
        <v>45978</v>
      </c>
      <c r="F1609" s="3" t="s">
        <v>27</v>
      </c>
      <c r="G1609" s="3" t="s">
        <v>28</v>
      </c>
      <c r="H1609" s="3" t="s">
        <v>44</v>
      </c>
      <c r="I1609" s="3" t="n">
        <f aca="false">YEAR(E1609)</f>
        <v>2025</v>
      </c>
      <c r="J1609" s="3" t="n">
        <f aca="false">MONTH(E1609)</f>
        <v>11</v>
      </c>
      <c r="K1609" s="3" t="n">
        <f aca="false">COUNTIFS($B$2:$B$4077,B1609,$C$2:$C$4077,C1609,$I$2:$I$4077,I1609)</f>
        <v>3</v>
      </c>
      <c r="L1609" s="3" t="n">
        <f aca="false">IF(COUNTIFS($B$2:B1609,B1609,$C$2:C1609,C1609,$I$2:I1609,I1609)=1,1,0)</f>
        <v>0</v>
      </c>
      <c r="M1609" s="3" t="n">
        <f aca="false">IF(K1609&gt;=Parametri!$B$1,1,0)</f>
        <v>1</v>
      </c>
      <c r="N1609" s="3" t="n">
        <f aca="false">L1609*M1609</f>
        <v>0</v>
      </c>
    </row>
    <row r="1610" customFormat="false" ht="15" hidden="false" customHeight="false" outlineLevel="0" collapsed="false">
      <c r="A1610" s="0" t="s">
        <v>2674</v>
      </c>
      <c r="B1610" s="0" t="s">
        <v>79</v>
      </c>
      <c r="C1610" s="0" t="s">
        <v>2675</v>
      </c>
      <c r="D1610" s="0" t="s">
        <v>63</v>
      </c>
      <c r="E1610" s="2" t="n">
        <v>45695</v>
      </c>
      <c r="F1610" s="3" t="s">
        <v>20</v>
      </c>
      <c r="G1610" s="3" t="s">
        <v>55</v>
      </c>
      <c r="H1610" s="3" t="s">
        <v>22</v>
      </c>
      <c r="I1610" s="3" t="n">
        <f aca="false">YEAR(E1610)</f>
        <v>2025</v>
      </c>
      <c r="J1610" s="3" t="n">
        <f aca="false">MONTH(E1610)</f>
        <v>2</v>
      </c>
      <c r="K1610" s="3" t="n">
        <f aca="false">COUNTIFS($B$2:$B$4077,B1610,$C$2:$C$4077,C1610,$I$2:$I$4077,I1610)</f>
        <v>1</v>
      </c>
      <c r="L1610" s="3" t="n">
        <f aca="false">IF(COUNTIFS($B$2:B1610,B1610,$C$2:C1610,C1610,$I$2:I1610,I1610)=1,1,0)</f>
        <v>1</v>
      </c>
      <c r="M1610" s="3" t="n">
        <f aca="false">IF(K1610&gt;=Parametri!$B$1,1,0)</f>
        <v>0</v>
      </c>
      <c r="N1610" s="3" t="n">
        <f aca="false">L1610*M1610</f>
        <v>0</v>
      </c>
    </row>
    <row r="1611" customFormat="false" ht="15" hidden="false" customHeight="false" outlineLevel="0" collapsed="false">
      <c r="A1611" s="0" t="s">
        <v>2676</v>
      </c>
      <c r="B1611" s="0" t="s">
        <v>124</v>
      </c>
      <c r="C1611" s="0" t="s">
        <v>2677</v>
      </c>
      <c r="D1611" s="0" t="s">
        <v>66</v>
      </c>
      <c r="E1611" s="2" t="n">
        <v>45326</v>
      </c>
      <c r="F1611" s="3" t="s">
        <v>20</v>
      </c>
      <c r="G1611" s="3" t="s">
        <v>28</v>
      </c>
      <c r="H1611" s="3" t="s">
        <v>22</v>
      </c>
      <c r="I1611" s="3" t="n">
        <f aca="false">YEAR(E1611)</f>
        <v>2024</v>
      </c>
      <c r="J1611" s="3" t="n">
        <f aca="false">MONTH(E1611)</f>
        <v>2</v>
      </c>
      <c r="K1611" s="3" t="n">
        <f aca="false">COUNTIFS($B$2:$B$4077,B1611,$C$2:$C$4077,C1611,$I$2:$I$4077,I1611)</f>
        <v>1</v>
      </c>
      <c r="L1611" s="3" t="n">
        <f aca="false">IF(COUNTIFS($B$2:B1611,B1611,$C$2:C1611,C1611,$I$2:I1611,I1611)=1,1,0)</f>
        <v>1</v>
      </c>
      <c r="M1611" s="3" t="n">
        <f aca="false">IF(K1611&gt;=Parametri!$B$1,1,0)</f>
        <v>0</v>
      </c>
      <c r="N1611" s="3" t="n">
        <f aca="false">L1611*M1611</f>
        <v>0</v>
      </c>
    </row>
    <row r="1612" customFormat="false" ht="15" hidden="false" customHeight="false" outlineLevel="0" collapsed="false">
      <c r="A1612" s="0" t="s">
        <v>2678</v>
      </c>
      <c r="B1612" s="0" t="s">
        <v>79</v>
      </c>
      <c r="C1612" s="0" t="s">
        <v>2679</v>
      </c>
      <c r="D1612" s="0" t="s">
        <v>66</v>
      </c>
      <c r="E1612" s="2" t="n">
        <v>45688</v>
      </c>
      <c r="F1612" s="3" t="s">
        <v>20</v>
      </c>
      <c r="G1612" s="3" t="s">
        <v>43</v>
      </c>
      <c r="H1612" s="3" t="s">
        <v>48</v>
      </c>
      <c r="I1612" s="3" t="n">
        <f aca="false">YEAR(E1612)</f>
        <v>2025</v>
      </c>
      <c r="J1612" s="3" t="n">
        <f aca="false">MONTH(E1612)</f>
        <v>1</v>
      </c>
      <c r="K1612" s="3" t="n">
        <f aca="false">COUNTIFS($B$2:$B$4077,B1612,$C$2:$C$4077,C1612,$I$2:$I$4077,I1612)</f>
        <v>2</v>
      </c>
      <c r="L1612" s="3" t="n">
        <f aca="false">IF(COUNTIFS($B$2:B1612,B1612,$C$2:C1612,C1612,$I$2:I1612,I1612)=1,1,0)</f>
        <v>1</v>
      </c>
      <c r="M1612" s="3" t="n">
        <f aca="false">IF(K1612&gt;=Parametri!$B$1,1,0)</f>
        <v>1</v>
      </c>
      <c r="N1612" s="3" t="n">
        <f aca="false">L1612*M1612</f>
        <v>1</v>
      </c>
    </row>
    <row r="1613" customFormat="false" ht="15" hidden="false" customHeight="false" outlineLevel="0" collapsed="false">
      <c r="A1613" s="0" t="s">
        <v>2680</v>
      </c>
      <c r="B1613" s="0" t="s">
        <v>24</v>
      </c>
      <c r="C1613" s="0" t="s">
        <v>2681</v>
      </c>
      <c r="D1613" s="0" t="s">
        <v>19</v>
      </c>
      <c r="E1613" s="2" t="n">
        <v>45504</v>
      </c>
      <c r="F1613" s="3" t="s">
        <v>20</v>
      </c>
      <c r="G1613" s="3" t="s">
        <v>21</v>
      </c>
      <c r="H1613" s="3" t="s">
        <v>48</v>
      </c>
      <c r="I1613" s="3" t="n">
        <f aca="false">YEAR(E1613)</f>
        <v>2024</v>
      </c>
      <c r="J1613" s="3" t="n">
        <f aca="false">MONTH(E1613)</f>
        <v>7</v>
      </c>
      <c r="K1613" s="3" t="n">
        <f aca="false">COUNTIFS($B$2:$B$4077,B1613,$C$2:$C$4077,C1613,$I$2:$I$4077,I1613)</f>
        <v>1</v>
      </c>
      <c r="L1613" s="3" t="n">
        <f aca="false">IF(COUNTIFS($B$2:B1613,B1613,$C$2:C1613,C1613,$I$2:I1613,I1613)=1,1,0)</f>
        <v>1</v>
      </c>
      <c r="M1613" s="3" t="n">
        <f aca="false">IF(K1613&gt;=Parametri!$B$1,1,0)</f>
        <v>0</v>
      </c>
      <c r="N1613" s="3" t="n">
        <f aca="false">L1613*M1613</f>
        <v>0</v>
      </c>
    </row>
    <row r="1614" customFormat="false" ht="15" hidden="false" customHeight="false" outlineLevel="0" collapsed="false">
      <c r="A1614" s="0" t="s">
        <v>2682</v>
      </c>
      <c r="B1614" s="0" t="s">
        <v>68</v>
      </c>
      <c r="C1614" s="0" t="s">
        <v>2683</v>
      </c>
      <c r="D1614" s="0" t="s">
        <v>66</v>
      </c>
      <c r="E1614" s="2" t="n">
        <v>45296</v>
      </c>
      <c r="F1614" s="3" t="s">
        <v>34</v>
      </c>
      <c r="G1614" s="3" t="s">
        <v>39</v>
      </c>
      <c r="H1614" s="3" t="s">
        <v>22</v>
      </c>
      <c r="I1614" s="3" t="n">
        <f aca="false">YEAR(E1614)</f>
        <v>2024</v>
      </c>
      <c r="J1614" s="3" t="n">
        <f aca="false">MONTH(E1614)</f>
        <v>1</v>
      </c>
      <c r="K1614" s="3" t="n">
        <f aca="false">COUNTIFS($B$2:$B$4077,B1614,$C$2:$C$4077,C1614,$I$2:$I$4077,I1614)</f>
        <v>2</v>
      </c>
      <c r="L1614" s="3" t="n">
        <f aca="false">IF(COUNTIFS($B$2:B1614,B1614,$C$2:C1614,C1614,$I$2:I1614,I1614)=1,1,0)</f>
        <v>1</v>
      </c>
      <c r="M1614" s="3" t="n">
        <f aca="false">IF(K1614&gt;=Parametri!$B$1,1,0)</f>
        <v>1</v>
      </c>
      <c r="N1614" s="3" t="n">
        <f aca="false">L1614*M1614</f>
        <v>1</v>
      </c>
    </row>
    <row r="1615" customFormat="false" ht="15" hidden="false" customHeight="false" outlineLevel="0" collapsed="false">
      <c r="A1615" s="0" t="s">
        <v>2684</v>
      </c>
      <c r="B1615" s="0" t="s">
        <v>68</v>
      </c>
      <c r="C1615" s="0" t="s">
        <v>2685</v>
      </c>
      <c r="D1615" s="0" t="s">
        <v>38</v>
      </c>
      <c r="E1615" s="2" t="n">
        <v>45774</v>
      </c>
      <c r="F1615" s="3" t="s">
        <v>20</v>
      </c>
      <c r="G1615" s="3" t="s">
        <v>104</v>
      </c>
      <c r="H1615" s="3" t="s">
        <v>104</v>
      </c>
      <c r="I1615" s="3" t="n">
        <f aca="false">YEAR(E1615)</f>
        <v>2025</v>
      </c>
      <c r="J1615" s="3" t="n">
        <f aca="false">MONTH(E1615)</f>
        <v>4</v>
      </c>
      <c r="K1615" s="3" t="n">
        <f aca="false">COUNTIFS($B$2:$B$4077,B1615,$C$2:$C$4077,C1615,$I$2:$I$4077,I1615)</f>
        <v>1</v>
      </c>
      <c r="L1615" s="3" t="n">
        <f aca="false">IF(COUNTIFS($B$2:B1615,B1615,$C$2:C1615,C1615,$I$2:I1615,I1615)=1,1,0)</f>
        <v>1</v>
      </c>
      <c r="M1615" s="3" t="n">
        <f aca="false">IF(K1615&gt;=Parametri!$B$1,1,0)</f>
        <v>0</v>
      </c>
      <c r="N1615" s="3" t="n">
        <f aca="false">L1615*M1615</f>
        <v>0</v>
      </c>
    </row>
    <row r="1616" customFormat="false" ht="15" hidden="false" customHeight="false" outlineLevel="0" collapsed="false">
      <c r="A1616" s="0" t="s">
        <v>2686</v>
      </c>
      <c r="B1616" s="0" t="s">
        <v>41</v>
      </c>
      <c r="C1616" s="0" t="s">
        <v>456</v>
      </c>
      <c r="D1616" s="0" t="s">
        <v>26</v>
      </c>
      <c r="E1616" s="2" t="n">
        <v>45807</v>
      </c>
      <c r="F1616" s="3" t="s">
        <v>20</v>
      </c>
      <c r="G1616" s="3" t="s">
        <v>55</v>
      </c>
      <c r="H1616" s="3" t="s">
        <v>29</v>
      </c>
      <c r="I1616" s="3" t="n">
        <f aca="false">YEAR(E1616)</f>
        <v>2025</v>
      </c>
      <c r="J1616" s="3" t="n">
        <f aca="false">MONTH(E1616)</f>
        <v>5</v>
      </c>
      <c r="K1616" s="3" t="n">
        <f aca="false">COUNTIFS($B$2:$B$4077,B1616,$C$2:$C$4077,C1616,$I$2:$I$4077,I1616)</f>
        <v>6</v>
      </c>
      <c r="L1616" s="3" t="n">
        <f aca="false">IF(COUNTIFS($B$2:B1616,B1616,$C$2:C1616,C1616,$I$2:I1616,I1616)=1,1,0)</f>
        <v>0</v>
      </c>
      <c r="M1616" s="3" t="n">
        <f aca="false">IF(K1616&gt;=Parametri!$B$1,1,0)</f>
        <v>1</v>
      </c>
      <c r="N1616" s="3" t="n">
        <f aca="false">L1616*M1616</f>
        <v>0</v>
      </c>
    </row>
    <row r="1617" customFormat="false" ht="15" hidden="false" customHeight="false" outlineLevel="0" collapsed="false">
      <c r="A1617" s="0" t="s">
        <v>2687</v>
      </c>
      <c r="B1617" s="0" t="s">
        <v>57</v>
      </c>
      <c r="C1617" s="0" t="s">
        <v>2688</v>
      </c>
      <c r="D1617" s="0" t="s">
        <v>33</v>
      </c>
      <c r="E1617" s="2" t="n">
        <v>45943</v>
      </c>
      <c r="F1617" s="3" t="s">
        <v>20</v>
      </c>
      <c r="G1617" s="3" t="s">
        <v>21</v>
      </c>
      <c r="H1617" s="3" t="s">
        <v>48</v>
      </c>
      <c r="I1617" s="3" t="n">
        <f aca="false">YEAR(E1617)</f>
        <v>2025</v>
      </c>
      <c r="J1617" s="3" t="n">
        <f aca="false">MONTH(E1617)</f>
        <v>10</v>
      </c>
      <c r="K1617" s="3" t="n">
        <f aca="false">COUNTIFS($B$2:$B$4077,B1617,$C$2:$C$4077,C1617,$I$2:$I$4077,I1617)</f>
        <v>3</v>
      </c>
      <c r="L1617" s="3" t="n">
        <f aca="false">IF(COUNTIFS($B$2:B1617,B1617,$C$2:C1617,C1617,$I$2:I1617,I1617)=1,1,0)</f>
        <v>1</v>
      </c>
      <c r="M1617" s="3" t="n">
        <f aca="false">IF(K1617&gt;=Parametri!$B$1,1,0)</f>
        <v>1</v>
      </c>
      <c r="N1617" s="3" t="n">
        <f aca="false">L1617*M1617</f>
        <v>1</v>
      </c>
    </row>
    <row r="1618" customFormat="false" ht="15" hidden="false" customHeight="false" outlineLevel="0" collapsed="false">
      <c r="A1618" s="0" t="s">
        <v>2689</v>
      </c>
      <c r="B1618" s="0" t="s">
        <v>50</v>
      </c>
      <c r="C1618" s="0" t="s">
        <v>2690</v>
      </c>
      <c r="D1618" s="0" t="s">
        <v>26</v>
      </c>
      <c r="E1618" s="2" t="n">
        <v>45990</v>
      </c>
      <c r="F1618" s="3" t="s">
        <v>20</v>
      </c>
      <c r="G1618" s="3" t="s">
        <v>39</v>
      </c>
      <c r="H1618" s="3" t="s">
        <v>22</v>
      </c>
      <c r="I1618" s="3" t="n">
        <f aca="false">YEAR(E1618)</f>
        <v>2025</v>
      </c>
      <c r="J1618" s="3" t="n">
        <f aca="false">MONTH(E1618)</f>
        <v>11</v>
      </c>
      <c r="K1618" s="3" t="n">
        <f aca="false">COUNTIFS($B$2:$B$4077,B1618,$C$2:$C$4077,C1618,$I$2:$I$4077,I1618)</f>
        <v>1</v>
      </c>
      <c r="L1618" s="3" t="n">
        <f aca="false">IF(COUNTIFS($B$2:B1618,B1618,$C$2:C1618,C1618,$I$2:I1618,I1618)=1,1,0)</f>
        <v>1</v>
      </c>
      <c r="M1618" s="3" t="n">
        <f aca="false">IF(K1618&gt;=Parametri!$B$1,1,0)</f>
        <v>0</v>
      </c>
      <c r="N1618" s="3" t="n">
        <f aca="false">L1618*M1618</f>
        <v>0</v>
      </c>
    </row>
    <row r="1619" customFormat="false" ht="15" hidden="false" customHeight="false" outlineLevel="0" collapsed="false">
      <c r="A1619" s="0" t="s">
        <v>2691</v>
      </c>
      <c r="B1619" s="0" t="s">
        <v>68</v>
      </c>
      <c r="C1619" s="0" t="s">
        <v>852</v>
      </c>
      <c r="D1619" s="0" t="s">
        <v>77</v>
      </c>
      <c r="E1619" s="2" t="n">
        <v>45900</v>
      </c>
      <c r="F1619" s="3" t="s">
        <v>34</v>
      </c>
      <c r="G1619" s="3" t="s">
        <v>43</v>
      </c>
      <c r="H1619" s="3" t="s">
        <v>44</v>
      </c>
      <c r="I1619" s="3" t="n">
        <f aca="false">YEAR(E1619)</f>
        <v>2025</v>
      </c>
      <c r="J1619" s="3" t="n">
        <f aca="false">MONTH(E1619)</f>
        <v>8</v>
      </c>
      <c r="K1619" s="3" t="n">
        <f aca="false">COUNTIFS($B$2:$B$4077,B1619,$C$2:$C$4077,C1619,$I$2:$I$4077,I1619)</f>
        <v>1</v>
      </c>
      <c r="L1619" s="3" t="n">
        <f aca="false">IF(COUNTIFS($B$2:B1619,B1619,$C$2:C1619,C1619,$I$2:I1619,I1619)=1,1,0)</f>
        <v>1</v>
      </c>
      <c r="M1619" s="3" t="n">
        <f aca="false">IF(K1619&gt;=Parametri!$B$1,1,0)</f>
        <v>0</v>
      </c>
      <c r="N1619" s="3" t="n">
        <f aca="false">L1619*M1619</f>
        <v>0</v>
      </c>
    </row>
    <row r="1620" customFormat="false" ht="15" hidden="false" customHeight="false" outlineLevel="0" collapsed="false">
      <c r="A1620" s="0" t="s">
        <v>2692</v>
      </c>
      <c r="B1620" s="0" t="s">
        <v>57</v>
      </c>
      <c r="C1620" s="0" t="s">
        <v>178</v>
      </c>
      <c r="D1620" s="0" t="s">
        <v>26</v>
      </c>
      <c r="E1620" s="2" t="n">
        <v>46090</v>
      </c>
      <c r="F1620" s="3" t="s">
        <v>27</v>
      </c>
      <c r="G1620" s="3" t="s">
        <v>55</v>
      </c>
      <c r="H1620" s="3" t="s">
        <v>22</v>
      </c>
      <c r="I1620" s="3" t="n">
        <f aca="false">YEAR(E1620)</f>
        <v>2026</v>
      </c>
      <c r="J1620" s="3" t="n">
        <f aca="false">MONTH(E1620)</f>
        <v>3</v>
      </c>
      <c r="K1620" s="3" t="n">
        <f aca="false">COUNTIFS($B$2:$B$4077,B1620,$C$2:$C$4077,C1620,$I$2:$I$4077,I1620)</f>
        <v>1</v>
      </c>
      <c r="L1620" s="3" t="n">
        <f aca="false">IF(COUNTIFS($B$2:B1620,B1620,$C$2:C1620,C1620,$I$2:I1620,I1620)=1,1,0)</f>
        <v>1</v>
      </c>
      <c r="M1620" s="3" t="n">
        <f aca="false">IF(K1620&gt;=Parametri!$B$1,1,0)</f>
        <v>0</v>
      </c>
      <c r="N1620" s="3" t="n">
        <f aca="false">L1620*M1620</f>
        <v>0</v>
      </c>
    </row>
    <row r="1621" customFormat="false" ht="15" hidden="false" customHeight="false" outlineLevel="0" collapsed="false">
      <c r="A1621" s="0" t="s">
        <v>2693</v>
      </c>
      <c r="B1621" s="0" t="s">
        <v>57</v>
      </c>
      <c r="C1621" s="0" t="s">
        <v>1531</v>
      </c>
      <c r="D1621" s="0" t="s">
        <v>63</v>
      </c>
      <c r="E1621" s="2" t="n">
        <v>46168</v>
      </c>
      <c r="F1621" s="3" t="s">
        <v>20</v>
      </c>
      <c r="G1621" s="3" t="s">
        <v>89</v>
      </c>
      <c r="H1621" s="3" t="s">
        <v>48</v>
      </c>
      <c r="I1621" s="3" t="n">
        <f aca="false">YEAR(E1621)</f>
        <v>2026</v>
      </c>
      <c r="J1621" s="3" t="n">
        <f aca="false">MONTH(E1621)</f>
        <v>5</v>
      </c>
      <c r="K1621" s="3" t="n">
        <f aca="false">COUNTIFS($B$2:$B$4077,B1621,$C$2:$C$4077,C1621,$I$2:$I$4077,I1621)</f>
        <v>4</v>
      </c>
      <c r="L1621" s="3" t="n">
        <f aca="false">IF(COUNTIFS($B$2:B1621,B1621,$C$2:C1621,C1621,$I$2:I1621,I1621)=1,1,0)</f>
        <v>0</v>
      </c>
      <c r="M1621" s="3" t="n">
        <f aca="false">IF(K1621&gt;=Parametri!$B$1,1,0)</f>
        <v>1</v>
      </c>
      <c r="N1621" s="3" t="n">
        <f aca="false">L1621*M1621</f>
        <v>0</v>
      </c>
    </row>
    <row r="1622" customFormat="false" ht="15" hidden="false" customHeight="false" outlineLevel="0" collapsed="false">
      <c r="A1622" s="0" t="s">
        <v>2694</v>
      </c>
      <c r="B1622" s="0" t="s">
        <v>31</v>
      </c>
      <c r="C1622" s="0" t="s">
        <v>712</v>
      </c>
      <c r="D1622" s="0" t="s">
        <v>19</v>
      </c>
      <c r="E1622" s="2" t="n">
        <v>46221</v>
      </c>
      <c r="F1622" s="3" t="s">
        <v>20</v>
      </c>
      <c r="G1622" s="3" t="s">
        <v>28</v>
      </c>
      <c r="H1622" s="3" t="s">
        <v>29</v>
      </c>
      <c r="I1622" s="3" t="n">
        <f aca="false">YEAR(E1622)</f>
        <v>2026</v>
      </c>
      <c r="J1622" s="3" t="n">
        <f aca="false">MONTH(E1622)</f>
        <v>7</v>
      </c>
      <c r="K1622" s="3" t="n">
        <f aca="false">COUNTIFS($B$2:$B$4077,B1622,$C$2:$C$4077,C1622,$I$2:$I$4077,I1622)</f>
        <v>2</v>
      </c>
      <c r="L1622" s="3" t="n">
        <f aca="false">IF(COUNTIFS($B$2:B1622,B1622,$C$2:C1622,C1622,$I$2:I1622,I1622)=1,1,0)</f>
        <v>1</v>
      </c>
      <c r="M1622" s="3" t="n">
        <f aca="false">IF(K1622&gt;=Parametri!$B$1,1,0)</f>
        <v>1</v>
      </c>
      <c r="N1622" s="3" t="n">
        <f aca="false">L1622*M1622</f>
        <v>1</v>
      </c>
    </row>
    <row r="1623" customFormat="false" ht="15" hidden="false" customHeight="false" outlineLevel="0" collapsed="false">
      <c r="A1623" s="0" t="s">
        <v>2695</v>
      </c>
      <c r="B1623" s="0" t="s">
        <v>50</v>
      </c>
      <c r="C1623" s="0" t="s">
        <v>2696</v>
      </c>
      <c r="D1623" s="0" t="s">
        <v>63</v>
      </c>
      <c r="E1623" s="2" t="n">
        <v>45530</v>
      </c>
      <c r="F1623" s="3" t="s">
        <v>20</v>
      </c>
      <c r="G1623" s="3" t="s">
        <v>39</v>
      </c>
      <c r="H1623" s="3" t="s">
        <v>22</v>
      </c>
      <c r="I1623" s="3" t="n">
        <f aca="false">YEAR(E1623)</f>
        <v>2024</v>
      </c>
      <c r="J1623" s="3" t="n">
        <f aca="false">MONTH(E1623)</f>
        <v>8</v>
      </c>
      <c r="K1623" s="3" t="n">
        <f aca="false">COUNTIFS($B$2:$B$4077,B1623,$C$2:$C$4077,C1623,$I$2:$I$4077,I1623)</f>
        <v>1</v>
      </c>
      <c r="L1623" s="3" t="n">
        <f aca="false">IF(COUNTIFS($B$2:B1623,B1623,$C$2:C1623,C1623,$I$2:I1623,I1623)=1,1,0)</f>
        <v>1</v>
      </c>
      <c r="M1623" s="3" t="n">
        <f aca="false">IF(K1623&gt;=Parametri!$B$1,1,0)</f>
        <v>0</v>
      </c>
      <c r="N1623" s="3" t="n">
        <f aca="false">L1623*M1623</f>
        <v>0</v>
      </c>
    </row>
    <row r="1624" customFormat="false" ht="15" hidden="false" customHeight="false" outlineLevel="0" collapsed="false">
      <c r="A1624" s="0" t="s">
        <v>2697</v>
      </c>
      <c r="B1624" s="0" t="s">
        <v>57</v>
      </c>
      <c r="C1624" s="0" t="s">
        <v>527</v>
      </c>
      <c r="D1624" s="0" t="s">
        <v>33</v>
      </c>
      <c r="E1624" s="2" t="n">
        <v>45320</v>
      </c>
      <c r="F1624" s="3" t="s">
        <v>27</v>
      </c>
      <c r="G1624" s="3" t="s">
        <v>39</v>
      </c>
      <c r="H1624" s="3" t="s">
        <v>44</v>
      </c>
      <c r="I1624" s="3" t="n">
        <f aca="false">YEAR(E1624)</f>
        <v>2024</v>
      </c>
      <c r="J1624" s="3" t="n">
        <f aca="false">MONTH(E1624)</f>
        <v>1</v>
      </c>
      <c r="K1624" s="3" t="n">
        <f aca="false">COUNTIFS($B$2:$B$4077,B1624,$C$2:$C$4077,C1624,$I$2:$I$4077,I1624)</f>
        <v>4</v>
      </c>
      <c r="L1624" s="3" t="n">
        <f aca="false">IF(COUNTIFS($B$2:B1624,B1624,$C$2:C1624,C1624,$I$2:I1624,I1624)=1,1,0)</f>
        <v>0</v>
      </c>
      <c r="M1624" s="3" t="n">
        <f aca="false">IF(K1624&gt;=Parametri!$B$1,1,0)</f>
        <v>1</v>
      </c>
      <c r="N1624" s="3" t="n">
        <f aca="false">L1624*M1624</f>
        <v>0</v>
      </c>
    </row>
    <row r="1625" customFormat="false" ht="15" hidden="false" customHeight="false" outlineLevel="0" collapsed="false">
      <c r="A1625" s="0" t="s">
        <v>2698</v>
      </c>
      <c r="B1625" s="0" t="s">
        <v>79</v>
      </c>
      <c r="C1625" s="0" t="s">
        <v>2699</v>
      </c>
      <c r="D1625" s="0" t="s">
        <v>63</v>
      </c>
      <c r="E1625" s="2" t="n">
        <v>46012</v>
      </c>
      <c r="F1625" s="3" t="s">
        <v>20</v>
      </c>
      <c r="G1625" s="3" t="s">
        <v>55</v>
      </c>
      <c r="H1625" s="3" t="s">
        <v>48</v>
      </c>
      <c r="I1625" s="3" t="n">
        <f aca="false">YEAR(E1625)</f>
        <v>2025</v>
      </c>
      <c r="J1625" s="3" t="n">
        <f aca="false">MONTH(E1625)</f>
        <v>12</v>
      </c>
      <c r="K1625" s="3" t="n">
        <f aca="false">COUNTIFS($B$2:$B$4077,B1625,$C$2:$C$4077,C1625,$I$2:$I$4077,I1625)</f>
        <v>1</v>
      </c>
      <c r="L1625" s="3" t="n">
        <f aca="false">IF(COUNTIFS($B$2:B1625,B1625,$C$2:C1625,C1625,$I$2:I1625,I1625)=1,1,0)</f>
        <v>1</v>
      </c>
      <c r="M1625" s="3" t="n">
        <f aca="false">IF(K1625&gt;=Parametri!$B$1,1,0)</f>
        <v>0</v>
      </c>
      <c r="N1625" s="3" t="n">
        <f aca="false">L1625*M1625</f>
        <v>0</v>
      </c>
    </row>
    <row r="1626" customFormat="false" ht="15" hidden="false" customHeight="false" outlineLevel="0" collapsed="false">
      <c r="A1626" s="0" t="s">
        <v>2700</v>
      </c>
      <c r="B1626" s="0" t="s">
        <v>17</v>
      </c>
      <c r="C1626" s="0" t="s">
        <v>2701</v>
      </c>
      <c r="D1626" s="0" t="s">
        <v>38</v>
      </c>
      <c r="E1626" s="2" t="n">
        <v>45524</v>
      </c>
      <c r="F1626" s="3" t="s">
        <v>20</v>
      </c>
      <c r="G1626" s="3" t="s">
        <v>35</v>
      </c>
      <c r="H1626" s="3" t="s">
        <v>48</v>
      </c>
      <c r="I1626" s="3" t="n">
        <f aca="false">YEAR(E1626)</f>
        <v>2024</v>
      </c>
      <c r="J1626" s="3" t="n">
        <f aca="false">MONTH(E1626)</f>
        <v>8</v>
      </c>
      <c r="K1626" s="3" t="n">
        <f aca="false">COUNTIFS($B$2:$B$4077,B1626,$C$2:$C$4077,C1626,$I$2:$I$4077,I1626)</f>
        <v>1</v>
      </c>
      <c r="L1626" s="3" t="n">
        <f aca="false">IF(COUNTIFS($B$2:B1626,B1626,$C$2:C1626,C1626,$I$2:I1626,I1626)=1,1,0)</f>
        <v>1</v>
      </c>
      <c r="M1626" s="3" t="n">
        <f aca="false">IF(K1626&gt;=Parametri!$B$1,1,0)</f>
        <v>0</v>
      </c>
      <c r="N1626" s="3" t="n">
        <f aca="false">L1626*M1626</f>
        <v>0</v>
      </c>
    </row>
    <row r="1627" customFormat="false" ht="15" hidden="false" customHeight="false" outlineLevel="0" collapsed="false">
      <c r="A1627" s="0" t="s">
        <v>2702</v>
      </c>
      <c r="B1627" s="0" t="s">
        <v>24</v>
      </c>
      <c r="C1627" s="0" t="s">
        <v>669</v>
      </c>
      <c r="D1627" s="0" t="s">
        <v>66</v>
      </c>
      <c r="E1627" s="2" t="n">
        <v>45794</v>
      </c>
      <c r="F1627" s="3" t="s">
        <v>20</v>
      </c>
      <c r="G1627" s="3" t="s">
        <v>72</v>
      </c>
      <c r="H1627" s="3" t="s">
        <v>29</v>
      </c>
      <c r="I1627" s="3" t="n">
        <f aca="false">YEAR(E1627)</f>
        <v>2025</v>
      </c>
      <c r="J1627" s="3" t="n">
        <f aca="false">MONTH(E1627)</f>
        <v>5</v>
      </c>
      <c r="K1627" s="3" t="n">
        <f aca="false">COUNTIFS($B$2:$B$4077,B1627,$C$2:$C$4077,C1627,$I$2:$I$4077,I1627)</f>
        <v>4</v>
      </c>
      <c r="L1627" s="3" t="n">
        <f aca="false">IF(COUNTIFS($B$2:B1627,B1627,$C$2:C1627,C1627,$I$2:I1627,I1627)=1,1,0)</f>
        <v>0</v>
      </c>
      <c r="M1627" s="3" t="n">
        <f aca="false">IF(K1627&gt;=Parametri!$B$1,1,0)</f>
        <v>1</v>
      </c>
      <c r="N1627" s="3" t="n">
        <f aca="false">L1627*M1627</f>
        <v>0</v>
      </c>
    </row>
    <row r="1628" customFormat="false" ht="15" hidden="false" customHeight="false" outlineLevel="0" collapsed="false">
      <c r="A1628" s="0" t="s">
        <v>2703</v>
      </c>
      <c r="B1628" s="0" t="s">
        <v>79</v>
      </c>
      <c r="C1628" s="0" t="s">
        <v>744</v>
      </c>
      <c r="D1628" s="0" t="s">
        <v>77</v>
      </c>
      <c r="E1628" s="2" t="n">
        <v>45875</v>
      </c>
      <c r="F1628" s="3" t="s">
        <v>27</v>
      </c>
      <c r="G1628" s="3" t="s">
        <v>21</v>
      </c>
      <c r="H1628" s="3" t="s">
        <v>22</v>
      </c>
      <c r="I1628" s="3" t="n">
        <f aca="false">YEAR(E1628)</f>
        <v>2025</v>
      </c>
      <c r="J1628" s="3" t="n">
        <f aca="false">MONTH(E1628)</f>
        <v>8</v>
      </c>
      <c r="K1628" s="3" t="n">
        <f aca="false">COUNTIFS($B$2:$B$4077,B1628,$C$2:$C$4077,C1628,$I$2:$I$4077,I1628)</f>
        <v>2</v>
      </c>
      <c r="L1628" s="3" t="n">
        <f aca="false">IF(COUNTIFS($B$2:B1628,B1628,$C$2:C1628,C1628,$I$2:I1628,I1628)=1,1,0)</f>
        <v>0</v>
      </c>
      <c r="M1628" s="3" t="n">
        <f aca="false">IF(K1628&gt;=Parametri!$B$1,1,0)</f>
        <v>1</v>
      </c>
      <c r="N1628" s="3" t="n">
        <f aca="false">L1628*M1628</f>
        <v>0</v>
      </c>
    </row>
    <row r="1629" customFormat="false" ht="15" hidden="false" customHeight="false" outlineLevel="0" collapsed="false">
      <c r="A1629" s="0" t="s">
        <v>2704</v>
      </c>
      <c r="B1629" s="0" t="s">
        <v>24</v>
      </c>
      <c r="C1629" s="0" t="s">
        <v>1610</v>
      </c>
      <c r="D1629" s="0" t="s">
        <v>66</v>
      </c>
      <c r="E1629" s="2" t="n">
        <v>45441</v>
      </c>
      <c r="F1629" s="3" t="s">
        <v>34</v>
      </c>
      <c r="G1629" s="3" t="s">
        <v>72</v>
      </c>
      <c r="H1629" s="3" t="s">
        <v>29</v>
      </c>
      <c r="I1629" s="3" t="n">
        <f aca="false">YEAR(E1629)</f>
        <v>2024</v>
      </c>
      <c r="J1629" s="3" t="n">
        <f aca="false">MONTH(E1629)</f>
        <v>5</v>
      </c>
      <c r="K1629" s="3" t="n">
        <f aca="false">COUNTIFS($B$2:$B$4077,B1629,$C$2:$C$4077,C1629,$I$2:$I$4077,I1629)</f>
        <v>2</v>
      </c>
      <c r="L1629" s="3" t="n">
        <f aca="false">IF(COUNTIFS($B$2:B1629,B1629,$C$2:C1629,C1629,$I$2:I1629,I1629)=1,1,0)</f>
        <v>0</v>
      </c>
      <c r="M1629" s="3" t="n">
        <f aca="false">IF(K1629&gt;=Parametri!$B$1,1,0)</f>
        <v>1</v>
      </c>
      <c r="N1629" s="3" t="n">
        <f aca="false">L1629*M1629</f>
        <v>0</v>
      </c>
    </row>
    <row r="1630" customFormat="false" ht="15" hidden="false" customHeight="false" outlineLevel="0" collapsed="false">
      <c r="A1630" s="0" t="s">
        <v>2705</v>
      </c>
      <c r="B1630" s="0" t="s">
        <v>79</v>
      </c>
      <c r="C1630" s="0" t="s">
        <v>86</v>
      </c>
      <c r="D1630" s="0" t="s">
        <v>26</v>
      </c>
      <c r="E1630" s="2" t="n">
        <v>45564</v>
      </c>
      <c r="F1630" s="3" t="s">
        <v>34</v>
      </c>
      <c r="G1630" s="3" t="s">
        <v>72</v>
      </c>
      <c r="H1630" s="3" t="s">
        <v>48</v>
      </c>
      <c r="I1630" s="3" t="n">
        <f aca="false">YEAR(E1630)</f>
        <v>2024</v>
      </c>
      <c r="J1630" s="3" t="n">
        <f aca="false">MONTH(E1630)</f>
        <v>9</v>
      </c>
      <c r="K1630" s="3" t="n">
        <f aca="false">COUNTIFS($B$2:$B$4077,B1630,$C$2:$C$4077,C1630,$I$2:$I$4077,I1630)</f>
        <v>3</v>
      </c>
      <c r="L1630" s="3" t="n">
        <f aca="false">IF(COUNTIFS($B$2:B1630,B1630,$C$2:C1630,C1630,$I$2:I1630,I1630)=1,1,0)</f>
        <v>0</v>
      </c>
      <c r="M1630" s="3" t="n">
        <f aca="false">IF(K1630&gt;=Parametri!$B$1,1,0)</f>
        <v>1</v>
      </c>
      <c r="N1630" s="3" t="n">
        <f aca="false">L1630*M1630</f>
        <v>0</v>
      </c>
    </row>
    <row r="1631" customFormat="false" ht="15" hidden="false" customHeight="false" outlineLevel="0" collapsed="false">
      <c r="A1631" s="0" t="s">
        <v>2706</v>
      </c>
      <c r="B1631" s="0" t="s">
        <v>46</v>
      </c>
      <c r="C1631" s="0" t="s">
        <v>2707</v>
      </c>
      <c r="D1631" s="0" t="s">
        <v>33</v>
      </c>
      <c r="E1631" s="2" t="n">
        <v>45338</v>
      </c>
      <c r="F1631" s="3" t="s">
        <v>20</v>
      </c>
      <c r="G1631" s="3" t="s">
        <v>89</v>
      </c>
      <c r="H1631" s="3" t="s">
        <v>44</v>
      </c>
      <c r="I1631" s="3" t="n">
        <f aca="false">YEAR(E1631)</f>
        <v>2024</v>
      </c>
      <c r="J1631" s="3" t="n">
        <f aca="false">MONTH(E1631)</f>
        <v>2</v>
      </c>
      <c r="K1631" s="3" t="n">
        <f aca="false">COUNTIFS($B$2:$B$4077,B1631,$C$2:$C$4077,C1631,$I$2:$I$4077,I1631)</f>
        <v>2</v>
      </c>
      <c r="L1631" s="3" t="n">
        <f aca="false">IF(COUNTIFS($B$2:B1631,B1631,$C$2:C1631,C1631,$I$2:I1631,I1631)=1,1,0)</f>
        <v>1</v>
      </c>
      <c r="M1631" s="3" t="n">
        <f aca="false">IF(K1631&gt;=Parametri!$B$1,1,0)</f>
        <v>1</v>
      </c>
      <c r="N1631" s="3" t="n">
        <f aca="false">L1631*M1631</f>
        <v>1</v>
      </c>
    </row>
    <row r="1632" customFormat="false" ht="15" hidden="false" customHeight="false" outlineLevel="0" collapsed="false">
      <c r="A1632" s="0" t="s">
        <v>2708</v>
      </c>
      <c r="B1632" s="0" t="s">
        <v>41</v>
      </c>
      <c r="C1632" s="0" t="s">
        <v>2709</v>
      </c>
      <c r="D1632" s="0" t="s">
        <v>33</v>
      </c>
      <c r="E1632" s="2" t="n">
        <v>46124</v>
      </c>
      <c r="F1632" s="3" t="s">
        <v>20</v>
      </c>
      <c r="G1632" s="3" t="s">
        <v>89</v>
      </c>
      <c r="H1632" s="3" t="s">
        <v>44</v>
      </c>
      <c r="I1632" s="3" t="n">
        <f aca="false">YEAR(E1632)</f>
        <v>2026</v>
      </c>
      <c r="J1632" s="3" t="n">
        <f aca="false">MONTH(E1632)</f>
        <v>4</v>
      </c>
      <c r="K1632" s="3" t="n">
        <f aca="false">COUNTIFS($B$2:$B$4077,B1632,$C$2:$C$4077,C1632,$I$2:$I$4077,I1632)</f>
        <v>1</v>
      </c>
      <c r="L1632" s="3" t="n">
        <f aca="false">IF(COUNTIFS($B$2:B1632,B1632,$C$2:C1632,C1632,$I$2:I1632,I1632)=1,1,0)</f>
        <v>1</v>
      </c>
      <c r="M1632" s="3" t="n">
        <f aca="false">IF(K1632&gt;=Parametri!$B$1,1,0)</f>
        <v>0</v>
      </c>
      <c r="N1632" s="3" t="n">
        <f aca="false">L1632*M1632</f>
        <v>0</v>
      </c>
    </row>
    <row r="1633" customFormat="false" ht="15" hidden="false" customHeight="false" outlineLevel="0" collapsed="false">
      <c r="A1633" s="0" t="s">
        <v>2710</v>
      </c>
      <c r="B1633" s="0" t="s">
        <v>24</v>
      </c>
      <c r="C1633" s="0" t="s">
        <v>127</v>
      </c>
      <c r="D1633" s="0" t="s">
        <v>19</v>
      </c>
      <c r="E1633" s="2" t="n">
        <v>45922</v>
      </c>
      <c r="F1633" s="3" t="s">
        <v>20</v>
      </c>
      <c r="G1633" s="3" t="s">
        <v>55</v>
      </c>
      <c r="H1633" s="3" t="s">
        <v>44</v>
      </c>
      <c r="I1633" s="3" t="n">
        <f aca="false">YEAR(E1633)</f>
        <v>2025</v>
      </c>
      <c r="J1633" s="3" t="n">
        <f aca="false">MONTH(E1633)</f>
        <v>9</v>
      </c>
      <c r="K1633" s="3" t="n">
        <f aca="false">COUNTIFS($B$2:$B$4077,B1633,$C$2:$C$4077,C1633,$I$2:$I$4077,I1633)</f>
        <v>1</v>
      </c>
      <c r="L1633" s="3" t="n">
        <f aca="false">IF(COUNTIFS($B$2:B1633,B1633,$C$2:C1633,C1633,$I$2:I1633,I1633)=1,1,0)</f>
        <v>1</v>
      </c>
      <c r="M1633" s="3" t="n">
        <f aca="false">IF(K1633&gt;=Parametri!$B$1,1,0)</f>
        <v>0</v>
      </c>
      <c r="N1633" s="3" t="n">
        <f aca="false">L1633*M1633</f>
        <v>0</v>
      </c>
    </row>
    <row r="1634" customFormat="false" ht="15" hidden="false" customHeight="false" outlineLevel="0" collapsed="false">
      <c r="A1634" s="0" t="s">
        <v>2711</v>
      </c>
      <c r="B1634" s="0" t="s">
        <v>31</v>
      </c>
      <c r="C1634" s="0" t="s">
        <v>778</v>
      </c>
      <c r="D1634" s="0" t="s">
        <v>77</v>
      </c>
      <c r="E1634" s="2" t="n">
        <v>46145</v>
      </c>
      <c r="F1634" s="3" t="s">
        <v>20</v>
      </c>
      <c r="G1634" s="3" t="s">
        <v>28</v>
      </c>
      <c r="H1634" s="3" t="s">
        <v>44</v>
      </c>
      <c r="I1634" s="3" t="n">
        <f aca="false">YEAR(E1634)</f>
        <v>2026</v>
      </c>
      <c r="J1634" s="3" t="n">
        <f aca="false">MONTH(E1634)</f>
        <v>5</v>
      </c>
      <c r="K1634" s="3" t="n">
        <f aca="false">COUNTIFS($B$2:$B$4077,B1634,$C$2:$C$4077,C1634,$I$2:$I$4077,I1634)</f>
        <v>2</v>
      </c>
      <c r="L1634" s="3" t="n">
        <f aca="false">IF(COUNTIFS($B$2:B1634,B1634,$C$2:C1634,C1634,$I$2:I1634,I1634)=1,1,0)</f>
        <v>0</v>
      </c>
      <c r="M1634" s="3" t="n">
        <f aca="false">IF(K1634&gt;=Parametri!$B$1,1,0)</f>
        <v>1</v>
      </c>
      <c r="N1634" s="3" t="n">
        <f aca="false">L1634*M1634</f>
        <v>0</v>
      </c>
    </row>
    <row r="1635" customFormat="false" ht="15" hidden="false" customHeight="false" outlineLevel="0" collapsed="false">
      <c r="A1635" s="0" t="s">
        <v>2712</v>
      </c>
      <c r="B1635" s="0" t="s">
        <v>57</v>
      </c>
      <c r="C1635" s="0" t="s">
        <v>2504</v>
      </c>
      <c r="D1635" s="0" t="s">
        <v>54</v>
      </c>
      <c r="E1635" s="2" t="n">
        <v>46086</v>
      </c>
      <c r="F1635" s="3" t="s">
        <v>20</v>
      </c>
      <c r="G1635" s="3" t="s">
        <v>43</v>
      </c>
      <c r="H1635" s="3" t="s">
        <v>22</v>
      </c>
      <c r="I1635" s="3" t="n">
        <f aca="false">YEAR(E1635)</f>
        <v>2026</v>
      </c>
      <c r="J1635" s="3" t="n">
        <f aca="false">MONTH(E1635)</f>
        <v>3</v>
      </c>
      <c r="K1635" s="3" t="n">
        <f aca="false">COUNTIFS($B$2:$B$4077,B1635,$C$2:$C$4077,C1635,$I$2:$I$4077,I1635)</f>
        <v>1</v>
      </c>
      <c r="L1635" s="3" t="n">
        <f aca="false">IF(COUNTIFS($B$2:B1635,B1635,$C$2:C1635,C1635,$I$2:I1635,I1635)=1,1,0)</f>
        <v>1</v>
      </c>
      <c r="M1635" s="3" t="n">
        <f aca="false">IF(K1635&gt;=Parametri!$B$1,1,0)</f>
        <v>0</v>
      </c>
      <c r="N1635" s="3" t="n">
        <f aca="false">L1635*M1635</f>
        <v>0</v>
      </c>
    </row>
    <row r="1636" customFormat="false" ht="15" hidden="false" customHeight="false" outlineLevel="0" collapsed="false">
      <c r="A1636" s="0" t="s">
        <v>2713</v>
      </c>
      <c r="B1636" s="0" t="s">
        <v>79</v>
      </c>
      <c r="C1636" s="0" t="s">
        <v>2714</v>
      </c>
      <c r="D1636" s="0" t="s">
        <v>33</v>
      </c>
      <c r="E1636" s="2" t="n">
        <v>45816</v>
      </c>
      <c r="F1636" s="3" t="s">
        <v>20</v>
      </c>
      <c r="G1636" s="3" t="s">
        <v>55</v>
      </c>
      <c r="H1636" s="3" t="s">
        <v>44</v>
      </c>
      <c r="I1636" s="3" t="n">
        <f aca="false">YEAR(E1636)</f>
        <v>2025</v>
      </c>
      <c r="J1636" s="3" t="n">
        <f aca="false">MONTH(E1636)</f>
        <v>6</v>
      </c>
      <c r="K1636" s="3" t="n">
        <f aca="false">COUNTIFS($B$2:$B$4077,B1636,$C$2:$C$4077,C1636,$I$2:$I$4077,I1636)</f>
        <v>2</v>
      </c>
      <c r="L1636" s="3" t="n">
        <f aca="false">IF(COUNTIFS($B$2:B1636,B1636,$C$2:C1636,C1636,$I$2:I1636,I1636)=1,1,0)</f>
        <v>1</v>
      </c>
      <c r="M1636" s="3" t="n">
        <f aca="false">IF(K1636&gt;=Parametri!$B$1,1,0)</f>
        <v>1</v>
      </c>
      <c r="N1636" s="3" t="n">
        <f aca="false">L1636*M1636</f>
        <v>1</v>
      </c>
    </row>
    <row r="1637" customFormat="false" ht="15" hidden="false" customHeight="false" outlineLevel="0" collapsed="false">
      <c r="A1637" s="0" t="s">
        <v>2715</v>
      </c>
      <c r="B1637" s="0" t="s">
        <v>79</v>
      </c>
      <c r="C1637" s="0" t="s">
        <v>585</v>
      </c>
      <c r="D1637" s="0" t="s">
        <v>26</v>
      </c>
      <c r="E1637" s="2" t="n">
        <v>45365</v>
      </c>
      <c r="F1637" s="3" t="s">
        <v>20</v>
      </c>
      <c r="G1637" s="3" t="s">
        <v>39</v>
      </c>
      <c r="H1637" s="3" t="s">
        <v>48</v>
      </c>
      <c r="I1637" s="3" t="n">
        <f aca="false">YEAR(E1637)</f>
        <v>2024</v>
      </c>
      <c r="J1637" s="3" t="n">
        <f aca="false">MONTH(E1637)</f>
        <v>3</v>
      </c>
      <c r="K1637" s="3" t="n">
        <f aca="false">COUNTIFS($B$2:$B$4077,B1637,$C$2:$C$4077,C1637,$I$2:$I$4077,I1637)</f>
        <v>3</v>
      </c>
      <c r="L1637" s="3" t="n">
        <f aca="false">IF(COUNTIFS($B$2:B1637,B1637,$C$2:C1637,C1637,$I$2:I1637,I1637)=1,1,0)</f>
        <v>0</v>
      </c>
      <c r="M1637" s="3" t="n">
        <f aca="false">IF(K1637&gt;=Parametri!$B$1,1,0)</f>
        <v>1</v>
      </c>
      <c r="N1637" s="3" t="n">
        <f aca="false">L1637*M1637</f>
        <v>0</v>
      </c>
    </row>
    <row r="1638" customFormat="false" ht="15" hidden="false" customHeight="false" outlineLevel="0" collapsed="false">
      <c r="A1638" s="0" t="s">
        <v>2716</v>
      </c>
      <c r="B1638" s="0" t="s">
        <v>68</v>
      </c>
      <c r="C1638" s="0" t="s">
        <v>2717</v>
      </c>
      <c r="D1638" s="0" t="s">
        <v>54</v>
      </c>
      <c r="E1638" s="2" t="n">
        <v>45794</v>
      </c>
      <c r="F1638" s="3" t="s">
        <v>20</v>
      </c>
      <c r="G1638" s="3" t="s">
        <v>21</v>
      </c>
      <c r="H1638" s="3" t="s">
        <v>48</v>
      </c>
      <c r="I1638" s="3" t="n">
        <f aca="false">YEAR(E1638)</f>
        <v>2025</v>
      </c>
      <c r="J1638" s="3" t="n">
        <f aca="false">MONTH(E1638)</f>
        <v>5</v>
      </c>
      <c r="K1638" s="3" t="n">
        <f aca="false">COUNTIFS($B$2:$B$4077,B1638,$C$2:$C$4077,C1638,$I$2:$I$4077,I1638)</f>
        <v>1</v>
      </c>
      <c r="L1638" s="3" t="n">
        <f aca="false">IF(COUNTIFS($B$2:B1638,B1638,$C$2:C1638,C1638,$I$2:I1638,I1638)=1,1,0)</f>
        <v>1</v>
      </c>
      <c r="M1638" s="3" t="n">
        <f aca="false">IF(K1638&gt;=Parametri!$B$1,1,0)</f>
        <v>0</v>
      </c>
      <c r="N1638" s="3" t="n">
        <f aca="false">L1638*M1638</f>
        <v>0</v>
      </c>
    </row>
    <row r="1639" customFormat="false" ht="15" hidden="false" customHeight="false" outlineLevel="0" collapsed="false">
      <c r="A1639" s="0" t="s">
        <v>2718</v>
      </c>
      <c r="B1639" s="0" t="s">
        <v>50</v>
      </c>
      <c r="C1639" s="0" t="s">
        <v>952</v>
      </c>
      <c r="D1639" s="0" t="s">
        <v>26</v>
      </c>
      <c r="E1639" s="2" t="n">
        <v>46122</v>
      </c>
      <c r="F1639" s="3" t="s">
        <v>27</v>
      </c>
      <c r="G1639" s="3" t="s">
        <v>28</v>
      </c>
      <c r="H1639" s="3" t="s">
        <v>48</v>
      </c>
      <c r="I1639" s="3" t="n">
        <f aca="false">YEAR(E1639)</f>
        <v>2026</v>
      </c>
      <c r="J1639" s="3" t="n">
        <f aca="false">MONTH(E1639)</f>
        <v>4</v>
      </c>
      <c r="K1639" s="3" t="n">
        <f aca="false">COUNTIFS($B$2:$B$4077,B1639,$C$2:$C$4077,C1639,$I$2:$I$4077,I1639)</f>
        <v>1</v>
      </c>
      <c r="L1639" s="3" t="n">
        <f aca="false">IF(COUNTIFS($B$2:B1639,B1639,$C$2:C1639,C1639,$I$2:I1639,I1639)=1,1,0)</f>
        <v>1</v>
      </c>
      <c r="M1639" s="3" t="n">
        <f aca="false">IF(K1639&gt;=Parametri!$B$1,1,0)</f>
        <v>0</v>
      </c>
      <c r="N1639" s="3" t="n">
        <f aca="false">L1639*M1639</f>
        <v>0</v>
      </c>
    </row>
    <row r="1640" customFormat="false" ht="15" hidden="false" customHeight="false" outlineLevel="0" collapsed="false">
      <c r="A1640" s="0" t="s">
        <v>2719</v>
      </c>
      <c r="B1640" s="0" t="s">
        <v>24</v>
      </c>
      <c r="C1640" s="0" t="s">
        <v>2720</v>
      </c>
      <c r="D1640" s="0" t="s">
        <v>66</v>
      </c>
      <c r="E1640" s="2" t="n">
        <v>46161</v>
      </c>
      <c r="F1640" s="3" t="s">
        <v>20</v>
      </c>
      <c r="G1640" s="3" t="s">
        <v>55</v>
      </c>
      <c r="H1640" s="3" t="s">
        <v>22</v>
      </c>
      <c r="I1640" s="3" t="n">
        <f aca="false">YEAR(E1640)</f>
        <v>2026</v>
      </c>
      <c r="J1640" s="3" t="n">
        <f aca="false">MONTH(E1640)</f>
        <v>5</v>
      </c>
      <c r="K1640" s="3" t="n">
        <f aca="false">COUNTIFS($B$2:$B$4077,B1640,$C$2:$C$4077,C1640,$I$2:$I$4077,I1640)</f>
        <v>1</v>
      </c>
      <c r="L1640" s="3" t="n">
        <f aca="false">IF(COUNTIFS($B$2:B1640,B1640,$C$2:C1640,C1640,$I$2:I1640,I1640)=1,1,0)</f>
        <v>1</v>
      </c>
      <c r="M1640" s="3" t="n">
        <f aca="false">IF(K1640&gt;=Parametri!$B$1,1,0)</f>
        <v>0</v>
      </c>
      <c r="N1640" s="3" t="n">
        <f aca="false">L1640*M1640</f>
        <v>0</v>
      </c>
    </row>
    <row r="1641" customFormat="false" ht="15" hidden="false" customHeight="false" outlineLevel="0" collapsed="false">
      <c r="A1641" s="0" t="s">
        <v>2721</v>
      </c>
      <c r="B1641" s="0" t="s">
        <v>68</v>
      </c>
      <c r="C1641" s="0" t="s">
        <v>1188</v>
      </c>
      <c r="D1641" s="0" t="s">
        <v>19</v>
      </c>
      <c r="E1641" s="2" t="n">
        <v>45823</v>
      </c>
      <c r="F1641" s="3" t="s">
        <v>34</v>
      </c>
      <c r="G1641" s="3" t="s">
        <v>72</v>
      </c>
      <c r="H1641" s="3" t="s">
        <v>29</v>
      </c>
      <c r="I1641" s="3" t="n">
        <f aca="false">YEAR(E1641)</f>
        <v>2025</v>
      </c>
      <c r="J1641" s="3" t="n">
        <f aca="false">MONTH(E1641)</f>
        <v>6</v>
      </c>
      <c r="K1641" s="3" t="n">
        <f aca="false">COUNTIFS($B$2:$B$4077,B1641,$C$2:$C$4077,C1641,$I$2:$I$4077,I1641)</f>
        <v>2</v>
      </c>
      <c r="L1641" s="3" t="n">
        <f aca="false">IF(COUNTIFS($B$2:B1641,B1641,$C$2:C1641,C1641,$I$2:I1641,I1641)=1,1,0)</f>
        <v>0</v>
      </c>
      <c r="M1641" s="3" t="n">
        <f aca="false">IF(K1641&gt;=Parametri!$B$1,1,0)</f>
        <v>1</v>
      </c>
      <c r="N1641" s="3" t="n">
        <f aca="false">L1641*M1641</f>
        <v>0</v>
      </c>
    </row>
    <row r="1642" customFormat="false" ht="15" hidden="false" customHeight="false" outlineLevel="0" collapsed="false">
      <c r="A1642" s="0" t="s">
        <v>2722</v>
      </c>
      <c r="B1642" s="0" t="s">
        <v>41</v>
      </c>
      <c r="C1642" s="0" t="s">
        <v>2028</v>
      </c>
      <c r="D1642" s="0" t="s">
        <v>77</v>
      </c>
      <c r="E1642" s="2" t="n">
        <v>45493</v>
      </c>
      <c r="F1642" s="3" t="s">
        <v>20</v>
      </c>
      <c r="G1642" s="3" t="s">
        <v>89</v>
      </c>
      <c r="H1642" s="3" t="s">
        <v>29</v>
      </c>
      <c r="I1642" s="3" t="n">
        <f aca="false">YEAR(E1642)</f>
        <v>2024</v>
      </c>
      <c r="J1642" s="3" t="n">
        <f aca="false">MONTH(E1642)</f>
        <v>7</v>
      </c>
      <c r="K1642" s="3" t="n">
        <f aca="false">COUNTIFS($B$2:$B$4077,B1642,$C$2:$C$4077,C1642,$I$2:$I$4077,I1642)</f>
        <v>1</v>
      </c>
      <c r="L1642" s="3" t="n">
        <f aca="false">IF(COUNTIFS($B$2:B1642,B1642,$C$2:C1642,C1642,$I$2:I1642,I1642)=1,1,0)</f>
        <v>1</v>
      </c>
      <c r="M1642" s="3" t="n">
        <f aca="false">IF(K1642&gt;=Parametri!$B$1,1,0)</f>
        <v>0</v>
      </c>
      <c r="N1642" s="3" t="n">
        <f aca="false">L1642*M1642</f>
        <v>0</v>
      </c>
    </row>
    <row r="1643" customFormat="false" ht="15" hidden="false" customHeight="false" outlineLevel="0" collapsed="false">
      <c r="A1643" s="0" t="s">
        <v>2723</v>
      </c>
      <c r="B1643" s="0" t="s">
        <v>50</v>
      </c>
      <c r="C1643" s="0" t="s">
        <v>2724</v>
      </c>
      <c r="D1643" s="0" t="s">
        <v>33</v>
      </c>
      <c r="E1643" s="2" t="n">
        <v>46124</v>
      </c>
      <c r="F1643" s="3" t="s">
        <v>27</v>
      </c>
      <c r="G1643" s="3" t="s">
        <v>21</v>
      </c>
      <c r="H1643" s="3" t="s">
        <v>22</v>
      </c>
      <c r="I1643" s="3" t="n">
        <f aca="false">YEAR(E1643)</f>
        <v>2026</v>
      </c>
      <c r="J1643" s="3" t="n">
        <f aca="false">MONTH(E1643)</f>
        <v>4</v>
      </c>
      <c r="K1643" s="3" t="n">
        <f aca="false">COUNTIFS($B$2:$B$4077,B1643,$C$2:$C$4077,C1643,$I$2:$I$4077,I1643)</f>
        <v>2</v>
      </c>
      <c r="L1643" s="3" t="n">
        <f aca="false">IF(COUNTIFS($B$2:B1643,B1643,$C$2:C1643,C1643,$I$2:I1643,I1643)=1,1,0)</f>
        <v>1</v>
      </c>
      <c r="M1643" s="3" t="n">
        <f aca="false">IF(K1643&gt;=Parametri!$B$1,1,0)</f>
        <v>1</v>
      </c>
      <c r="N1643" s="3" t="n">
        <f aca="false">L1643*M1643</f>
        <v>1</v>
      </c>
    </row>
    <row r="1644" customFormat="false" ht="15" hidden="false" customHeight="false" outlineLevel="0" collapsed="false">
      <c r="A1644" s="0" t="s">
        <v>2725</v>
      </c>
      <c r="B1644" s="0" t="s">
        <v>79</v>
      </c>
      <c r="C1644" s="0" t="s">
        <v>331</v>
      </c>
      <c r="D1644" s="0" t="s">
        <v>63</v>
      </c>
      <c r="E1644" s="2" t="n">
        <v>46095</v>
      </c>
      <c r="F1644" s="3" t="s">
        <v>27</v>
      </c>
      <c r="G1644" s="3" t="s">
        <v>55</v>
      </c>
      <c r="H1644" s="3" t="s">
        <v>48</v>
      </c>
      <c r="I1644" s="3" t="n">
        <f aca="false">YEAR(E1644)</f>
        <v>2026</v>
      </c>
      <c r="J1644" s="3" t="n">
        <f aca="false">MONTH(E1644)</f>
        <v>3</v>
      </c>
      <c r="K1644" s="3" t="n">
        <f aca="false">COUNTIFS($B$2:$B$4077,B1644,$C$2:$C$4077,C1644,$I$2:$I$4077,I1644)</f>
        <v>1</v>
      </c>
      <c r="L1644" s="3" t="n">
        <f aca="false">IF(COUNTIFS($B$2:B1644,B1644,$C$2:C1644,C1644,$I$2:I1644,I1644)=1,1,0)</f>
        <v>1</v>
      </c>
      <c r="M1644" s="3" t="n">
        <f aca="false">IF(K1644&gt;=Parametri!$B$1,1,0)</f>
        <v>0</v>
      </c>
      <c r="N1644" s="3" t="n">
        <f aca="false">L1644*M1644</f>
        <v>0</v>
      </c>
    </row>
    <row r="1645" customFormat="false" ht="15" hidden="false" customHeight="false" outlineLevel="0" collapsed="false">
      <c r="A1645" s="0" t="s">
        <v>2726</v>
      </c>
      <c r="B1645" s="0" t="s">
        <v>41</v>
      </c>
      <c r="C1645" s="0" t="s">
        <v>2709</v>
      </c>
      <c r="D1645" s="0" t="s">
        <v>54</v>
      </c>
      <c r="E1645" s="2" t="n">
        <v>45541</v>
      </c>
      <c r="F1645" s="3" t="s">
        <v>34</v>
      </c>
      <c r="G1645" s="3" t="s">
        <v>28</v>
      </c>
      <c r="H1645" s="3" t="s">
        <v>29</v>
      </c>
      <c r="I1645" s="3" t="n">
        <f aca="false">YEAR(E1645)</f>
        <v>2024</v>
      </c>
      <c r="J1645" s="3" t="n">
        <f aca="false">MONTH(E1645)</f>
        <v>9</v>
      </c>
      <c r="K1645" s="3" t="n">
        <f aca="false">COUNTIFS($B$2:$B$4077,B1645,$C$2:$C$4077,C1645,$I$2:$I$4077,I1645)</f>
        <v>1</v>
      </c>
      <c r="L1645" s="3" t="n">
        <f aca="false">IF(COUNTIFS($B$2:B1645,B1645,$C$2:C1645,C1645,$I$2:I1645,I1645)=1,1,0)</f>
        <v>1</v>
      </c>
      <c r="M1645" s="3" t="n">
        <f aca="false">IF(K1645&gt;=Parametri!$B$1,1,0)</f>
        <v>0</v>
      </c>
      <c r="N1645" s="3" t="n">
        <f aca="false">L1645*M1645</f>
        <v>0</v>
      </c>
    </row>
    <row r="1646" customFormat="false" ht="15" hidden="false" customHeight="false" outlineLevel="0" collapsed="false">
      <c r="A1646" s="0" t="s">
        <v>2727</v>
      </c>
      <c r="B1646" s="0" t="s">
        <v>24</v>
      </c>
      <c r="C1646" s="0" t="s">
        <v>2500</v>
      </c>
      <c r="D1646" s="0" t="s">
        <v>26</v>
      </c>
      <c r="E1646" s="2" t="n">
        <v>45488</v>
      </c>
      <c r="F1646" s="3" t="s">
        <v>27</v>
      </c>
      <c r="G1646" s="3" t="s">
        <v>35</v>
      </c>
      <c r="H1646" s="3" t="s">
        <v>44</v>
      </c>
      <c r="I1646" s="3" t="n">
        <f aca="false">YEAR(E1646)</f>
        <v>2024</v>
      </c>
      <c r="J1646" s="3" t="n">
        <f aca="false">MONTH(E1646)</f>
        <v>7</v>
      </c>
      <c r="K1646" s="3" t="n">
        <f aca="false">COUNTIFS($B$2:$B$4077,B1646,$C$2:$C$4077,C1646,$I$2:$I$4077,I1646)</f>
        <v>2</v>
      </c>
      <c r="L1646" s="3" t="n">
        <f aca="false">IF(COUNTIFS($B$2:B1646,B1646,$C$2:C1646,C1646,$I$2:I1646,I1646)=1,1,0)</f>
        <v>0</v>
      </c>
      <c r="M1646" s="3" t="n">
        <f aca="false">IF(K1646&gt;=Parametri!$B$1,1,0)</f>
        <v>1</v>
      </c>
      <c r="N1646" s="3" t="n">
        <f aca="false">L1646*M1646</f>
        <v>0</v>
      </c>
    </row>
    <row r="1647" customFormat="false" ht="15" hidden="false" customHeight="false" outlineLevel="0" collapsed="false">
      <c r="A1647" s="0" t="s">
        <v>2728</v>
      </c>
      <c r="B1647" s="0" t="s">
        <v>68</v>
      </c>
      <c r="C1647" s="0" t="s">
        <v>2366</v>
      </c>
      <c r="D1647" s="0" t="s">
        <v>54</v>
      </c>
      <c r="E1647" s="2" t="n">
        <v>45394</v>
      </c>
      <c r="F1647" s="3" t="s">
        <v>20</v>
      </c>
      <c r="G1647" s="3" t="s">
        <v>28</v>
      </c>
      <c r="H1647" s="3" t="s">
        <v>22</v>
      </c>
      <c r="I1647" s="3" t="n">
        <f aca="false">YEAR(E1647)</f>
        <v>2024</v>
      </c>
      <c r="J1647" s="3" t="n">
        <f aca="false">MONTH(E1647)</f>
        <v>4</v>
      </c>
      <c r="K1647" s="3" t="n">
        <f aca="false">COUNTIFS($B$2:$B$4077,B1647,$C$2:$C$4077,C1647,$I$2:$I$4077,I1647)</f>
        <v>4</v>
      </c>
      <c r="L1647" s="3" t="n">
        <f aca="false">IF(COUNTIFS($B$2:B1647,B1647,$C$2:C1647,C1647,$I$2:I1647,I1647)=1,1,0)</f>
        <v>0</v>
      </c>
      <c r="M1647" s="3" t="n">
        <f aca="false">IF(K1647&gt;=Parametri!$B$1,1,0)</f>
        <v>1</v>
      </c>
      <c r="N1647" s="3" t="n">
        <f aca="false">L1647*M1647</f>
        <v>0</v>
      </c>
    </row>
    <row r="1648" customFormat="false" ht="15" hidden="false" customHeight="false" outlineLevel="0" collapsed="false">
      <c r="A1648" s="0" t="s">
        <v>2729</v>
      </c>
      <c r="B1648" s="0" t="s">
        <v>57</v>
      </c>
      <c r="C1648" s="0" t="s">
        <v>288</v>
      </c>
      <c r="D1648" s="0" t="s">
        <v>66</v>
      </c>
      <c r="E1648" s="2" t="n">
        <v>46170</v>
      </c>
      <c r="F1648" s="3" t="s">
        <v>27</v>
      </c>
      <c r="G1648" s="3" t="s">
        <v>21</v>
      </c>
      <c r="H1648" s="3" t="s">
        <v>29</v>
      </c>
      <c r="I1648" s="3" t="n">
        <f aca="false">YEAR(E1648)</f>
        <v>2026</v>
      </c>
      <c r="J1648" s="3" t="n">
        <f aca="false">MONTH(E1648)</f>
        <v>5</v>
      </c>
      <c r="K1648" s="3" t="n">
        <f aca="false">COUNTIFS($B$2:$B$4077,B1648,$C$2:$C$4077,C1648,$I$2:$I$4077,I1648)</f>
        <v>2</v>
      </c>
      <c r="L1648" s="3" t="n">
        <f aca="false">IF(COUNTIFS($B$2:B1648,B1648,$C$2:C1648,C1648,$I$2:I1648,I1648)=1,1,0)</f>
        <v>1</v>
      </c>
      <c r="M1648" s="3" t="n">
        <f aca="false">IF(K1648&gt;=Parametri!$B$1,1,0)</f>
        <v>1</v>
      </c>
      <c r="N1648" s="3" t="n">
        <f aca="false">L1648*M1648</f>
        <v>1</v>
      </c>
    </row>
    <row r="1649" customFormat="false" ht="15" hidden="false" customHeight="false" outlineLevel="0" collapsed="false">
      <c r="A1649" s="0" t="s">
        <v>2730</v>
      </c>
      <c r="B1649" s="0" t="s">
        <v>124</v>
      </c>
      <c r="C1649" s="0" t="s">
        <v>393</v>
      </c>
      <c r="D1649" s="0" t="s">
        <v>19</v>
      </c>
      <c r="E1649" s="2" t="n">
        <v>46239</v>
      </c>
      <c r="F1649" s="3" t="s">
        <v>27</v>
      </c>
      <c r="G1649" s="3" t="s">
        <v>35</v>
      </c>
      <c r="H1649" s="3" t="s">
        <v>44</v>
      </c>
      <c r="I1649" s="3" t="n">
        <f aca="false">YEAR(E1649)</f>
        <v>2026</v>
      </c>
      <c r="J1649" s="3" t="n">
        <f aca="false">MONTH(E1649)</f>
        <v>8</v>
      </c>
      <c r="K1649" s="3" t="n">
        <f aca="false">COUNTIFS($B$2:$B$4077,B1649,$C$2:$C$4077,C1649,$I$2:$I$4077,I1649)</f>
        <v>2</v>
      </c>
      <c r="L1649" s="3" t="n">
        <f aca="false">IF(COUNTIFS($B$2:B1649,B1649,$C$2:C1649,C1649,$I$2:I1649,I1649)=1,1,0)</f>
        <v>0</v>
      </c>
      <c r="M1649" s="3" t="n">
        <f aca="false">IF(K1649&gt;=Parametri!$B$1,1,0)</f>
        <v>1</v>
      </c>
      <c r="N1649" s="3" t="n">
        <f aca="false">L1649*M1649</f>
        <v>0</v>
      </c>
    </row>
    <row r="1650" customFormat="false" ht="15" hidden="false" customHeight="false" outlineLevel="0" collapsed="false">
      <c r="A1650" s="0" t="s">
        <v>2731</v>
      </c>
      <c r="B1650" s="0" t="s">
        <v>68</v>
      </c>
      <c r="C1650" s="0" t="s">
        <v>1989</v>
      </c>
      <c r="D1650" s="0" t="s">
        <v>38</v>
      </c>
      <c r="E1650" s="2" t="n">
        <v>46051</v>
      </c>
      <c r="F1650" s="3" t="s">
        <v>20</v>
      </c>
      <c r="G1650" s="3" t="s">
        <v>72</v>
      </c>
      <c r="H1650" s="3" t="s">
        <v>44</v>
      </c>
      <c r="I1650" s="3" t="n">
        <f aca="false">YEAR(E1650)</f>
        <v>2026</v>
      </c>
      <c r="J1650" s="3" t="n">
        <f aca="false">MONTH(E1650)</f>
        <v>1</v>
      </c>
      <c r="K1650" s="3" t="n">
        <f aca="false">COUNTIFS($B$2:$B$4077,B1650,$C$2:$C$4077,C1650,$I$2:$I$4077,I1650)</f>
        <v>1</v>
      </c>
      <c r="L1650" s="3" t="n">
        <f aca="false">IF(COUNTIFS($B$2:B1650,B1650,$C$2:C1650,C1650,$I$2:I1650,I1650)=1,1,0)</f>
        <v>1</v>
      </c>
      <c r="M1650" s="3" t="n">
        <f aca="false">IF(K1650&gt;=Parametri!$B$1,1,0)</f>
        <v>0</v>
      </c>
      <c r="N1650" s="3" t="n">
        <f aca="false">L1650*M1650</f>
        <v>0</v>
      </c>
    </row>
    <row r="1651" customFormat="false" ht="15" hidden="false" customHeight="false" outlineLevel="0" collapsed="false">
      <c r="A1651" s="0" t="s">
        <v>2732</v>
      </c>
      <c r="B1651" s="0" t="s">
        <v>68</v>
      </c>
      <c r="C1651" s="0" t="s">
        <v>2733</v>
      </c>
      <c r="D1651" s="0" t="s">
        <v>19</v>
      </c>
      <c r="E1651" s="2" t="n">
        <v>45670</v>
      </c>
      <c r="F1651" s="3" t="s">
        <v>20</v>
      </c>
      <c r="G1651" s="3" t="s">
        <v>39</v>
      </c>
      <c r="H1651" s="3" t="s">
        <v>48</v>
      </c>
      <c r="I1651" s="3" t="n">
        <f aca="false">YEAR(E1651)</f>
        <v>2025</v>
      </c>
      <c r="J1651" s="3" t="n">
        <f aca="false">MONTH(E1651)</f>
        <v>1</v>
      </c>
      <c r="K1651" s="3" t="n">
        <f aca="false">COUNTIFS($B$2:$B$4077,B1651,$C$2:$C$4077,C1651,$I$2:$I$4077,I1651)</f>
        <v>1</v>
      </c>
      <c r="L1651" s="3" t="n">
        <f aca="false">IF(COUNTIFS($B$2:B1651,B1651,$C$2:C1651,C1651,$I$2:I1651,I1651)=1,1,0)</f>
        <v>1</v>
      </c>
      <c r="M1651" s="3" t="n">
        <f aca="false">IF(K1651&gt;=Parametri!$B$1,1,0)</f>
        <v>0</v>
      </c>
      <c r="N1651" s="3" t="n">
        <f aca="false">L1651*M1651</f>
        <v>0</v>
      </c>
    </row>
    <row r="1652" customFormat="false" ht="15" hidden="false" customHeight="false" outlineLevel="0" collapsed="false">
      <c r="A1652" s="0" t="s">
        <v>2734</v>
      </c>
      <c r="B1652" s="0" t="s">
        <v>31</v>
      </c>
      <c r="C1652" s="0" t="s">
        <v>415</v>
      </c>
      <c r="D1652" s="0" t="s">
        <v>38</v>
      </c>
      <c r="E1652" s="2" t="n">
        <v>45829</v>
      </c>
      <c r="F1652" s="3" t="s">
        <v>27</v>
      </c>
      <c r="G1652" s="3" t="s">
        <v>21</v>
      </c>
      <c r="H1652" s="3" t="s">
        <v>44</v>
      </c>
      <c r="I1652" s="3" t="n">
        <f aca="false">YEAR(E1652)</f>
        <v>2025</v>
      </c>
      <c r="J1652" s="3" t="n">
        <f aca="false">MONTH(E1652)</f>
        <v>6</v>
      </c>
      <c r="K1652" s="3" t="n">
        <f aca="false">COUNTIFS($B$2:$B$4077,B1652,$C$2:$C$4077,C1652,$I$2:$I$4077,I1652)</f>
        <v>1</v>
      </c>
      <c r="L1652" s="3" t="n">
        <f aca="false">IF(COUNTIFS($B$2:B1652,B1652,$C$2:C1652,C1652,$I$2:I1652,I1652)=1,1,0)</f>
        <v>1</v>
      </c>
      <c r="M1652" s="3" t="n">
        <f aca="false">IF(K1652&gt;=Parametri!$B$1,1,0)</f>
        <v>0</v>
      </c>
      <c r="N1652" s="3" t="n">
        <f aca="false">L1652*M1652</f>
        <v>0</v>
      </c>
    </row>
    <row r="1653" customFormat="false" ht="15" hidden="false" customHeight="false" outlineLevel="0" collapsed="false">
      <c r="A1653" s="0" t="s">
        <v>2735</v>
      </c>
      <c r="B1653" s="0" t="s">
        <v>50</v>
      </c>
      <c r="C1653" s="0" t="s">
        <v>2736</v>
      </c>
      <c r="D1653" s="0" t="s">
        <v>63</v>
      </c>
      <c r="E1653" s="2" t="n">
        <v>45525</v>
      </c>
      <c r="F1653" s="3" t="s">
        <v>27</v>
      </c>
      <c r="G1653" s="3" t="s">
        <v>89</v>
      </c>
      <c r="H1653" s="3" t="s">
        <v>29</v>
      </c>
      <c r="I1653" s="3" t="n">
        <f aca="false">YEAR(E1653)</f>
        <v>2024</v>
      </c>
      <c r="J1653" s="3" t="n">
        <f aca="false">MONTH(E1653)</f>
        <v>8</v>
      </c>
      <c r="K1653" s="3" t="n">
        <f aca="false">COUNTIFS($B$2:$B$4077,B1653,$C$2:$C$4077,C1653,$I$2:$I$4077,I1653)</f>
        <v>1</v>
      </c>
      <c r="L1653" s="3" t="n">
        <f aca="false">IF(COUNTIFS($B$2:B1653,B1653,$C$2:C1653,C1653,$I$2:I1653,I1653)=1,1,0)</f>
        <v>1</v>
      </c>
      <c r="M1653" s="3" t="n">
        <f aca="false">IF(K1653&gt;=Parametri!$B$1,1,0)</f>
        <v>0</v>
      </c>
      <c r="N1653" s="3" t="n">
        <f aca="false">L1653*M1653</f>
        <v>0</v>
      </c>
    </row>
    <row r="1654" customFormat="false" ht="15" hidden="false" customHeight="false" outlineLevel="0" collapsed="false">
      <c r="A1654" s="0" t="s">
        <v>2737</v>
      </c>
      <c r="B1654" s="0" t="s">
        <v>17</v>
      </c>
      <c r="C1654" s="0" t="s">
        <v>2019</v>
      </c>
      <c r="D1654" s="0" t="s">
        <v>63</v>
      </c>
      <c r="E1654" s="2" t="n">
        <v>45458</v>
      </c>
      <c r="F1654" s="3" t="s">
        <v>20</v>
      </c>
      <c r="G1654" s="3" t="s">
        <v>28</v>
      </c>
      <c r="H1654" s="3" t="s">
        <v>22</v>
      </c>
      <c r="I1654" s="3" t="n">
        <f aca="false">YEAR(E1654)</f>
        <v>2024</v>
      </c>
      <c r="J1654" s="3" t="n">
        <f aca="false">MONTH(E1654)</f>
        <v>6</v>
      </c>
      <c r="K1654" s="3" t="n">
        <f aca="false">COUNTIFS($B$2:$B$4077,B1654,$C$2:$C$4077,C1654,$I$2:$I$4077,I1654)</f>
        <v>2</v>
      </c>
      <c r="L1654" s="3" t="n">
        <f aca="false">IF(COUNTIFS($B$2:B1654,B1654,$C$2:C1654,C1654,$I$2:I1654,I1654)=1,1,0)</f>
        <v>1</v>
      </c>
      <c r="M1654" s="3" t="n">
        <f aca="false">IF(K1654&gt;=Parametri!$B$1,1,0)</f>
        <v>1</v>
      </c>
      <c r="N1654" s="3" t="n">
        <f aca="false">L1654*M1654</f>
        <v>1</v>
      </c>
    </row>
    <row r="1655" customFormat="false" ht="15" hidden="false" customHeight="false" outlineLevel="0" collapsed="false">
      <c r="A1655" s="0" t="s">
        <v>2738</v>
      </c>
      <c r="B1655" s="0" t="s">
        <v>24</v>
      </c>
      <c r="C1655" s="0" t="s">
        <v>768</v>
      </c>
      <c r="D1655" s="0" t="s">
        <v>38</v>
      </c>
      <c r="E1655" s="2" t="n">
        <v>46194</v>
      </c>
      <c r="F1655" s="3" t="s">
        <v>20</v>
      </c>
      <c r="G1655" s="3" t="s">
        <v>28</v>
      </c>
      <c r="H1655" s="3" t="s">
        <v>29</v>
      </c>
      <c r="I1655" s="3" t="n">
        <f aca="false">YEAR(E1655)</f>
        <v>2026</v>
      </c>
      <c r="J1655" s="3" t="n">
        <f aca="false">MONTH(E1655)</f>
        <v>6</v>
      </c>
      <c r="K1655" s="3" t="n">
        <f aca="false">COUNTIFS($B$2:$B$4077,B1655,$C$2:$C$4077,C1655,$I$2:$I$4077,I1655)</f>
        <v>1</v>
      </c>
      <c r="L1655" s="3" t="n">
        <f aca="false">IF(COUNTIFS($B$2:B1655,B1655,$C$2:C1655,C1655,$I$2:I1655,I1655)=1,1,0)</f>
        <v>1</v>
      </c>
      <c r="M1655" s="3" t="n">
        <f aca="false">IF(K1655&gt;=Parametri!$B$1,1,0)</f>
        <v>0</v>
      </c>
      <c r="N1655" s="3" t="n">
        <f aca="false">L1655*M1655</f>
        <v>0</v>
      </c>
    </row>
    <row r="1656" customFormat="false" ht="15" hidden="false" customHeight="false" outlineLevel="0" collapsed="false">
      <c r="A1656" s="0" t="s">
        <v>2739</v>
      </c>
      <c r="B1656" s="0" t="s">
        <v>17</v>
      </c>
      <c r="C1656" s="0" t="s">
        <v>2740</v>
      </c>
      <c r="D1656" s="0" t="s">
        <v>26</v>
      </c>
      <c r="E1656" s="2" t="n">
        <v>45504</v>
      </c>
      <c r="F1656" s="3" t="s">
        <v>34</v>
      </c>
      <c r="G1656" s="3" t="s">
        <v>89</v>
      </c>
      <c r="H1656" s="3" t="s">
        <v>22</v>
      </c>
      <c r="I1656" s="3" t="n">
        <f aca="false">YEAR(E1656)</f>
        <v>2024</v>
      </c>
      <c r="J1656" s="3" t="n">
        <f aca="false">MONTH(E1656)</f>
        <v>7</v>
      </c>
      <c r="K1656" s="3" t="n">
        <f aca="false">COUNTIFS($B$2:$B$4077,B1656,$C$2:$C$4077,C1656,$I$2:$I$4077,I1656)</f>
        <v>1</v>
      </c>
      <c r="L1656" s="3" t="n">
        <f aca="false">IF(COUNTIFS($B$2:B1656,B1656,$C$2:C1656,C1656,$I$2:I1656,I1656)=1,1,0)</f>
        <v>1</v>
      </c>
      <c r="M1656" s="3" t="n">
        <f aca="false">IF(K1656&gt;=Parametri!$B$1,1,0)</f>
        <v>0</v>
      </c>
      <c r="N1656" s="3" t="n">
        <f aca="false">L1656*M1656</f>
        <v>0</v>
      </c>
    </row>
    <row r="1657" customFormat="false" ht="15" hidden="false" customHeight="false" outlineLevel="0" collapsed="false">
      <c r="A1657" s="0" t="s">
        <v>2741</v>
      </c>
      <c r="B1657" s="0" t="s">
        <v>57</v>
      </c>
      <c r="C1657" s="0" t="s">
        <v>2742</v>
      </c>
      <c r="D1657" s="0" t="s">
        <v>77</v>
      </c>
      <c r="E1657" s="2" t="n">
        <v>45969</v>
      </c>
      <c r="F1657" s="3" t="s">
        <v>20</v>
      </c>
      <c r="G1657" s="3" t="s">
        <v>43</v>
      </c>
      <c r="H1657" s="3" t="s">
        <v>48</v>
      </c>
      <c r="I1657" s="3" t="n">
        <f aca="false">YEAR(E1657)</f>
        <v>2025</v>
      </c>
      <c r="J1657" s="3" t="n">
        <f aca="false">MONTH(E1657)</f>
        <v>11</v>
      </c>
      <c r="K1657" s="3" t="n">
        <f aca="false">COUNTIFS($B$2:$B$4077,B1657,$C$2:$C$4077,C1657,$I$2:$I$4077,I1657)</f>
        <v>1</v>
      </c>
      <c r="L1657" s="3" t="n">
        <f aca="false">IF(COUNTIFS($B$2:B1657,B1657,$C$2:C1657,C1657,$I$2:I1657,I1657)=1,1,0)</f>
        <v>1</v>
      </c>
      <c r="M1657" s="3" t="n">
        <f aca="false">IF(K1657&gt;=Parametri!$B$1,1,0)</f>
        <v>0</v>
      </c>
      <c r="N1657" s="3" t="n">
        <f aca="false">L1657*M1657</f>
        <v>0</v>
      </c>
    </row>
    <row r="1658" customFormat="false" ht="15" hidden="false" customHeight="false" outlineLevel="0" collapsed="false">
      <c r="A1658" s="0" t="s">
        <v>2743</v>
      </c>
      <c r="B1658" s="0" t="s">
        <v>68</v>
      </c>
      <c r="C1658" s="0" t="s">
        <v>2366</v>
      </c>
      <c r="D1658" s="0" t="s">
        <v>33</v>
      </c>
      <c r="E1658" s="2" t="n">
        <v>45606</v>
      </c>
      <c r="F1658" s="3" t="s">
        <v>34</v>
      </c>
      <c r="G1658" s="3" t="s">
        <v>104</v>
      </c>
      <c r="H1658" s="3" t="s">
        <v>22</v>
      </c>
      <c r="I1658" s="3" t="n">
        <f aca="false">YEAR(E1658)</f>
        <v>2024</v>
      </c>
      <c r="J1658" s="3" t="n">
        <f aca="false">MONTH(E1658)</f>
        <v>11</v>
      </c>
      <c r="K1658" s="3" t="n">
        <f aca="false">COUNTIFS($B$2:$B$4077,B1658,$C$2:$C$4077,C1658,$I$2:$I$4077,I1658)</f>
        <v>4</v>
      </c>
      <c r="L1658" s="3" t="n">
        <f aca="false">IF(COUNTIFS($B$2:B1658,B1658,$C$2:C1658,C1658,$I$2:I1658,I1658)=1,1,0)</f>
        <v>0</v>
      </c>
      <c r="M1658" s="3" t="n">
        <f aca="false">IF(K1658&gt;=Parametri!$B$1,1,0)</f>
        <v>1</v>
      </c>
      <c r="N1658" s="3" t="n">
        <f aca="false">L1658*M1658</f>
        <v>0</v>
      </c>
    </row>
    <row r="1659" customFormat="false" ht="15" hidden="false" customHeight="false" outlineLevel="0" collapsed="false">
      <c r="A1659" s="0" t="s">
        <v>2744</v>
      </c>
      <c r="B1659" s="0" t="s">
        <v>41</v>
      </c>
      <c r="C1659" s="0" t="s">
        <v>2745</v>
      </c>
      <c r="D1659" s="0" t="s">
        <v>38</v>
      </c>
      <c r="E1659" s="2" t="n">
        <v>45808</v>
      </c>
      <c r="F1659" s="3" t="s">
        <v>34</v>
      </c>
      <c r="G1659" s="3" t="s">
        <v>28</v>
      </c>
      <c r="H1659" s="3" t="s">
        <v>44</v>
      </c>
      <c r="I1659" s="3" t="n">
        <f aca="false">YEAR(E1659)</f>
        <v>2025</v>
      </c>
      <c r="J1659" s="3" t="n">
        <f aca="false">MONTH(E1659)</f>
        <v>5</v>
      </c>
      <c r="K1659" s="3" t="n">
        <f aca="false">COUNTIFS($B$2:$B$4077,B1659,$C$2:$C$4077,C1659,$I$2:$I$4077,I1659)</f>
        <v>1</v>
      </c>
      <c r="L1659" s="3" t="n">
        <f aca="false">IF(COUNTIFS($B$2:B1659,B1659,$C$2:C1659,C1659,$I$2:I1659,I1659)=1,1,0)</f>
        <v>1</v>
      </c>
      <c r="M1659" s="3" t="n">
        <f aca="false">IF(K1659&gt;=Parametri!$B$1,1,0)</f>
        <v>0</v>
      </c>
      <c r="N1659" s="3" t="n">
        <f aca="false">L1659*M1659</f>
        <v>0</v>
      </c>
    </row>
    <row r="1660" customFormat="false" ht="15" hidden="false" customHeight="false" outlineLevel="0" collapsed="false">
      <c r="A1660" s="0" t="s">
        <v>2746</v>
      </c>
      <c r="B1660" s="0" t="s">
        <v>57</v>
      </c>
      <c r="C1660" s="0" t="s">
        <v>2747</v>
      </c>
      <c r="D1660" s="0" t="s">
        <v>33</v>
      </c>
      <c r="E1660" s="2" t="n">
        <v>46226</v>
      </c>
      <c r="F1660" s="3" t="s">
        <v>34</v>
      </c>
      <c r="G1660" s="3" t="s">
        <v>89</v>
      </c>
      <c r="H1660" s="3" t="s">
        <v>48</v>
      </c>
      <c r="I1660" s="3" t="n">
        <f aca="false">YEAR(E1660)</f>
        <v>2026</v>
      </c>
      <c r="J1660" s="3" t="n">
        <f aca="false">MONTH(E1660)</f>
        <v>7</v>
      </c>
      <c r="K1660" s="3" t="n">
        <f aca="false">COUNTIFS($B$2:$B$4077,B1660,$C$2:$C$4077,C1660,$I$2:$I$4077,I1660)</f>
        <v>1</v>
      </c>
      <c r="L1660" s="3" t="n">
        <f aca="false">IF(COUNTIFS($B$2:B1660,B1660,$C$2:C1660,C1660,$I$2:I1660,I1660)=1,1,0)</f>
        <v>1</v>
      </c>
      <c r="M1660" s="3" t="n">
        <f aca="false">IF(K1660&gt;=Parametri!$B$1,1,0)</f>
        <v>0</v>
      </c>
      <c r="N1660" s="3" t="n">
        <f aca="false">L1660*M1660</f>
        <v>0</v>
      </c>
    </row>
    <row r="1661" customFormat="false" ht="15" hidden="false" customHeight="false" outlineLevel="0" collapsed="false">
      <c r="A1661" s="0" t="s">
        <v>2748</v>
      </c>
      <c r="B1661" s="0" t="s">
        <v>124</v>
      </c>
      <c r="C1661" s="0" t="s">
        <v>303</v>
      </c>
      <c r="D1661" s="0" t="s">
        <v>54</v>
      </c>
      <c r="E1661" s="2" t="n">
        <v>45550</v>
      </c>
      <c r="F1661" s="3" t="s">
        <v>20</v>
      </c>
      <c r="G1661" s="3" t="s">
        <v>89</v>
      </c>
      <c r="H1661" s="3" t="s">
        <v>48</v>
      </c>
      <c r="I1661" s="3" t="n">
        <f aca="false">YEAR(E1661)</f>
        <v>2024</v>
      </c>
      <c r="J1661" s="3" t="n">
        <f aca="false">MONTH(E1661)</f>
        <v>9</v>
      </c>
      <c r="K1661" s="3" t="n">
        <f aca="false">COUNTIFS($B$2:$B$4077,B1661,$C$2:$C$4077,C1661,$I$2:$I$4077,I1661)</f>
        <v>2</v>
      </c>
      <c r="L1661" s="3" t="n">
        <f aca="false">IF(COUNTIFS($B$2:B1661,B1661,$C$2:C1661,C1661,$I$2:I1661,I1661)=1,1,0)</f>
        <v>1</v>
      </c>
      <c r="M1661" s="3" t="n">
        <f aca="false">IF(K1661&gt;=Parametri!$B$1,1,0)</f>
        <v>1</v>
      </c>
      <c r="N1661" s="3" t="n">
        <f aca="false">L1661*M1661</f>
        <v>1</v>
      </c>
    </row>
    <row r="1662" customFormat="false" ht="15" hidden="false" customHeight="false" outlineLevel="0" collapsed="false">
      <c r="A1662" s="0" t="s">
        <v>2749</v>
      </c>
      <c r="B1662" s="0" t="s">
        <v>124</v>
      </c>
      <c r="C1662" s="0" t="s">
        <v>2677</v>
      </c>
      <c r="D1662" s="0" t="s">
        <v>19</v>
      </c>
      <c r="E1662" s="2" t="n">
        <v>46168</v>
      </c>
      <c r="F1662" s="3" t="s">
        <v>27</v>
      </c>
      <c r="G1662" s="3" t="s">
        <v>35</v>
      </c>
      <c r="H1662" s="3" t="s">
        <v>44</v>
      </c>
      <c r="I1662" s="3" t="n">
        <f aca="false">YEAR(E1662)</f>
        <v>2026</v>
      </c>
      <c r="J1662" s="3" t="n">
        <f aca="false">MONTH(E1662)</f>
        <v>5</v>
      </c>
      <c r="K1662" s="3" t="n">
        <f aca="false">COUNTIFS($B$2:$B$4077,B1662,$C$2:$C$4077,C1662,$I$2:$I$4077,I1662)</f>
        <v>1</v>
      </c>
      <c r="L1662" s="3" t="n">
        <f aca="false">IF(COUNTIFS($B$2:B1662,B1662,$C$2:C1662,C1662,$I$2:I1662,I1662)=1,1,0)</f>
        <v>1</v>
      </c>
      <c r="M1662" s="3" t="n">
        <f aca="false">IF(K1662&gt;=Parametri!$B$1,1,0)</f>
        <v>0</v>
      </c>
      <c r="N1662" s="3" t="n">
        <f aca="false">L1662*M1662</f>
        <v>0</v>
      </c>
    </row>
    <row r="1663" customFormat="false" ht="15" hidden="false" customHeight="false" outlineLevel="0" collapsed="false">
      <c r="A1663" s="0" t="s">
        <v>2750</v>
      </c>
      <c r="B1663" s="0" t="s">
        <v>24</v>
      </c>
      <c r="C1663" s="0" t="s">
        <v>2751</v>
      </c>
      <c r="D1663" s="0" t="s">
        <v>38</v>
      </c>
      <c r="E1663" s="2" t="n">
        <v>45391</v>
      </c>
      <c r="F1663" s="3" t="s">
        <v>27</v>
      </c>
      <c r="G1663" s="3" t="s">
        <v>21</v>
      </c>
      <c r="H1663" s="3" t="s">
        <v>48</v>
      </c>
      <c r="I1663" s="3" t="n">
        <f aca="false">YEAR(E1663)</f>
        <v>2024</v>
      </c>
      <c r="J1663" s="3" t="n">
        <f aca="false">MONTH(E1663)</f>
        <v>4</v>
      </c>
      <c r="K1663" s="3" t="n">
        <f aca="false">COUNTIFS($B$2:$B$4077,B1663,$C$2:$C$4077,C1663,$I$2:$I$4077,I1663)</f>
        <v>2</v>
      </c>
      <c r="L1663" s="3" t="n">
        <f aca="false">IF(COUNTIFS($B$2:B1663,B1663,$C$2:C1663,C1663,$I$2:I1663,I1663)=1,1,0)</f>
        <v>1</v>
      </c>
      <c r="M1663" s="3" t="n">
        <f aca="false">IF(K1663&gt;=Parametri!$B$1,1,0)</f>
        <v>1</v>
      </c>
      <c r="N1663" s="3" t="n">
        <f aca="false">L1663*M1663</f>
        <v>1</v>
      </c>
    </row>
    <row r="1664" customFormat="false" ht="15" hidden="false" customHeight="false" outlineLevel="0" collapsed="false">
      <c r="A1664" s="0" t="s">
        <v>2752</v>
      </c>
      <c r="B1664" s="0" t="s">
        <v>17</v>
      </c>
      <c r="C1664" s="0" t="s">
        <v>2753</v>
      </c>
      <c r="D1664" s="0" t="s">
        <v>77</v>
      </c>
      <c r="E1664" s="2" t="n">
        <v>46134</v>
      </c>
      <c r="F1664" s="3" t="s">
        <v>27</v>
      </c>
      <c r="G1664" s="3" t="s">
        <v>39</v>
      </c>
      <c r="H1664" s="3" t="s">
        <v>29</v>
      </c>
      <c r="I1664" s="3" t="n">
        <f aca="false">YEAR(E1664)</f>
        <v>2026</v>
      </c>
      <c r="J1664" s="3" t="n">
        <f aca="false">MONTH(E1664)</f>
        <v>4</v>
      </c>
      <c r="K1664" s="3" t="n">
        <f aca="false">COUNTIFS($B$2:$B$4077,B1664,$C$2:$C$4077,C1664,$I$2:$I$4077,I1664)</f>
        <v>1</v>
      </c>
      <c r="L1664" s="3" t="n">
        <f aca="false">IF(COUNTIFS($B$2:B1664,B1664,$C$2:C1664,C1664,$I$2:I1664,I1664)=1,1,0)</f>
        <v>1</v>
      </c>
      <c r="M1664" s="3" t="n">
        <f aca="false">IF(K1664&gt;=Parametri!$B$1,1,0)</f>
        <v>0</v>
      </c>
      <c r="N1664" s="3" t="n">
        <f aca="false">L1664*M1664</f>
        <v>0</v>
      </c>
    </row>
    <row r="1665" customFormat="false" ht="15" hidden="false" customHeight="false" outlineLevel="0" collapsed="false">
      <c r="A1665" s="0" t="s">
        <v>2754</v>
      </c>
      <c r="B1665" s="0" t="s">
        <v>50</v>
      </c>
      <c r="C1665" s="0" t="s">
        <v>2362</v>
      </c>
      <c r="D1665" s="0" t="s">
        <v>38</v>
      </c>
      <c r="E1665" s="2" t="n">
        <v>45334</v>
      </c>
      <c r="F1665" s="3" t="s">
        <v>27</v>
      </c>
      <c r="G1665" s="3" t="s">
        <v>55</v>
      </c>
      <c r="H1665" s="3" t="s">
        <v>44</v>
      </c>
      <c r="I1665" s="3" t="n">
        <f aca="false">YEAR(E1665)</f>
        <v>2024</v>
      </c>
      <c r="J1665" s="3" t="n">
        <f aca="false">MONTH(E1665)</f>
        <v>2</v>
      </c>
      <c r="K1665" s="3" t="n">
        <f aca="false">COUNTIFS($B$2:$B$4077,B1665,$C$2:$C$4077,C1665,$I$2:$I$4077,I1665)</f>
        <v>1</v>
      </c>
      <c r="L1665" s="3" t="n">
        <f aca="false">IF(COUNTIFS($B$2:B1665,B1665,$C$2:C1665,C1665,$I$2:I1665,I1665)=1,1,0)</f>
        <v>1</v>
      </c>
      <c r="M1665" s="3" t="n">
        <f aca="false">IF(K1665&gt;=Parametri!$B$1,1,0)</f>
        <v>0</v>
      </c>
      <c r="N1665" s="3" t="n">
        <f aca="false">L1665*M1665</f>
        <v>0</v>
      </c>
    </row>
    <row r="1666" customFormat="false" ht="15" hidden="false" customHeight="false" outlineLevel="0" collapsed="false">
      <c r="A1666" s="0" t="s">
        <v>2755</v>
      </c>
      <c r="B1666" s="0" t="s">
        <v>31</v>
      </c>
      <c r="C1666" s="0" t="s">
        <v>2756</v>
      </c>
      <c r="D1666" s="0" t="s">
        <v>66</v>
      </c>
      <c r="E1666" s="2" t="n">
        <v>46262</v>
      </c>
      <c r="F1666" s="3" t="s">
        <v>20</v>
      </c>
      <c r="G1666" s="3" t="s">
        <v>43</v>
      </c>
      <c r="H1666" s="3" t="s">
        <v>48</v>
      </c>
      <c r="I1666" s="3" t="n">
        <f aca="false">YEAR(E1666)</f>
        <v>2026</v>
      </c>
      <c r="J1666" s="3" t="n">
        <f aca="false">MONTH(E1666)</f>
        <v>8</v>
      </c>
      <c r="K1666" s="3" t="n">
        <f aca="false">COUNTIFS($B$2:$B$4077,B1666,$C$2:$C$4077,C1666,$I$2:$I$4077,I1666)</f>
        <v>3</v>
      </c>
      <c r="L1666" s="3" t="n">
        <f aca="false">IF(COUNTIFS($B$2:B1666,B1666,$C$2:C1666,C1666,$I$2:I1666,I1666)=1,1,0)</f>
        <v>1</v>
      </c>
      <c r="M1666" s="3" t="n">
        <f aca="false">IF(K1666&gt;=Parametri!$B$1,1,0)</f>
        <v>1</v>
      </c>
      <c r="N1666" s="3" t="n">
        <f aca="false">L1666*M1666</f>
        <v>1</v>
      </c>
    </row>
    <row r="1667" customFormat="false" ht="15" hidden="false" customHeight="false" outlineLevel="0" collapsed="false">
      <c r="A1667" s="0" t="s">
        <v>2757</v>
      </c>
      <c r="B1667" s="0" t="s">
        <v>24</v>
      </c>
      <c r="C1667" s="0" t="s">
        <v>2758</v>
      </c>
      <c r="D1667" s="0" t="s">
        <v>77</v>
      </c>
      <c r="E1667" s="2" t="n">
        <v>45815</v>
      </c>
      <c r="F1667" s="3" t="s">
        <v>20</v>
      </c>
      <c r="G1667" s="3" t="s">
        <v>28</v>
      </c>
      <c r="H1667" s="3" t="s">
        <v>44</v>
      </c>
      <c r="I1667" s="3" t="n">
        <f aca="false">YEAR(E1667)</f>
        <v>2025</v>
      </c>
      <c r="J1667" s="3" t="n">
        <f aca="false">MONTH(E1667)</f>
        <v>6</v>
      </c>
      <c r="K1667" s="3" t="n">
        <f aca="false">COUNTIFS($B$2:$B$4077,B1667,$C$2:$C$4077,C1667,$I$2:$I$4077,I1667)</f>
        <v>2</v>
      </c>
      <c r="L1667" s="3" t="n">
        <f aca="false">IF(COUNTIFS($B$2:B1667,B1667,$C$2:C1667,C1667,$I$2:I1667,I1667)=1,1,0)</f>
        <v>1</v>
      </c>
      <c r="M1667" s="3" t="n">
        <f aca="false">IF(K1667&gt;=Parametri!$B$1,1,0)</f>
        <v>1</v>
      </c>
      <c r="N1667" s="3" t="n">
        <f aca="false">L1667*M1667</f>
        <v>1</v>
      </c>
    </row>
    <row r="1668" customFormat="false" ht="15" hidden="false" customHeight="false" outlineLevel="0" collapsed="false">
      <c r="A1668" s="0" t="s">
        <v>2759</v>
      </c>
      <c r="B1668" s="0" t="s">
        <v>41</v>
      </c>
      <c r="C1668" s="0" t="s">
        <v>2760</v>
      </c>
      <c r="D1668" s="0" t="s">
        <v>19</v>
      </c>
      <c r="E1668" s="2" t="n">
        <v>46147</v>
      </c>
      <c r="F1668" s="3" t="s">
        <v>20</v>
      </c>
      <c r="G1668" s="3" t="s">
        <v>89</v>
      </c>
      <c r="H1668" s="3" t="s">
        <v>29</v>
      </c>
      <c r="I1668" s="3" t="n">
        <f aca="false">YEAR(E1668)</f>
        <v>2026</v>
      </c>
      <c r="J1668" s="3" t="n">
        <f aca="false">MONTH(E1668)</f>
        <v>5</v>
      </c>
      <c r="K1668" s="3" t="n">
        <f aca="false">COUNTIFS($B$2:$B$4077,B1668,$C$2:$C$4077,C1668,$I$2:$I$4077,I1668)</f>
        <v>1</v>
      </c>
      <c r="L1668" s="3" t="n">
        <f aca="false">IF(COUNTIFS($B$2:B1668,B1668,$C$2:C1668,C1668,$I$2:I1668,I1668)=1,1,0)</f>
        <v>1</v>
      </c>
      <c r="M1668" s="3" t="n">
        <f aca="false">IF(K1668&gt;=Parametri!$B$1,1,0)</f>
        <v>0</v>
      </c>
      <c r="N1668" s="3" t="n">
        <f aca="false">L1668*M1668</f>
        <v>0</v>
      </c>
    </row>
    <row r="1669" customFormat="false" ht="15" hidden="false" customHeight="false" outlineLevel="0" collapsed="false">
      <c r="A1669" s="0" t="s">
        <v>2761</v>
      </c>
      <c r="B1669" s="0" t="s">
        <v>79</v>
      </c>
      <c r="C1669" s="0" t="s">
        <v>2611</v>
      </c>
      <c r="D1669" s="0" t="s">
        <v>26</v>
      </c>
      <c r="E1669" s="2" t="n">
        <v>45786</v>
      </c>
      <c r="F1669" s="3" t="s">
        <v>27</v>
      </c>
      <c r="G1669" s="3" t="s">
        <v>55</v>
      </c>
      <c r="H1669" s="3" t="s">
        <v>48</v>
      </c>
      <c r="I1669" s="3" t="n">
        <f aca="false">YEAR(E1669)</f>
        <v>2025</v>
      </c>
      <c r="J1669" s="3" t="n">
        <f aca="false">MONTH(E1669)</f>
        <v>5</v>
      </c>
      <c r="K1669" s="3" t="n">
        <f aca="false">COUNTIFS($B$2:$B$4077,B1669,$C$2:$C$4077,C1669,$I$2:$I$4077,I1669)</f>
        <v>2</v>
      </c>
      <c r="L1669" s="3" t="n">
        <f aca="false">IF(COUNTIFS($B$2:B1669,B1669,$C$2:C1669,C1669,$I$2:I1669,I1669)=1,1,0)</f>
        <v>1</v>
      </c>
      <c r="M1669" s="3" t="n">
        <f aca="false">IF(K1669&gt;=Parametri!$B$1,1,0)</f>
        <v>1</v>
      </c>
      <c r="N1669" s="3" t="n">
        <f aca="false">L1669*M1669</f>
        <v>1</v>
      </c>
    </row>
    <row r="1670" customFormat="false" ht="15" hidden="false" customHeight="false" outlineLevel="0" collapsed="false">
      <c r="A1670" s="0" t="s">
        <v>2762</v>
      </c>
      <c r="B1670" s="0" t="s">
        <v>46</v>
      </c>
      <c r="C1670" s="0" t="s">
        <v>2763</v>
      </c>
      <c r="D1670" s="0" t="s">
        <v>33</v>
      </c>
      <c r="E1670" s="2" t="n">
        <v>45487</v>
      </c>
      <c r="F1670" s="3" t="s">
        <v>34</v>
      </c>
      <c r="G1670" s="3" t="s">
        <v>39</v>
      </c>
      <c r="H1670" s="3" t="s">
        <v>29</v>
      </c>
      <c r="I1670" s="3" t="n">
        <f aca="false">YEAR(E1670)</f>
        <v>2024</v>
      </c>
      <c r="J1670" s="3" t="n">
        <f aca="false">MONTH(E1670)</f>
        <v>7</v>
      </c>
      <c r="K1670" s="3" t="n">
        <f aca="false">COUNTIFS($B$2:$B$4077,B1670,$C$2:$C$4077,C1670,$I$2:$I$4077,I1670)</f>
        <v>1</v>
      </c>
      <c r="L1670" s="3" t="n">
        <f aca="false">IF(COUNTIFS($B$2:B1670,B1670,$C$2:C1670,C1670,$I$2:I1670,I1670)=1,1,0)</f>
        <v>1</v>
      </c>
      <c r="M1670" s="3" t="n">
        <f aca="false">IF(K1670&gt;=Parametri!$B$1,1,0)</f>
        <v>0</v>
      </c>
      <c r="N1670" s="3" t="n">
        <f aca="false">L1670*M1670</f>
        <v>0</v>
      </c>
    </row>
    <row r="1671" customFormat="false" ht="15" hidden="false" customHeight="false" outlineLevel="0" collapsed="false">
      <c r="A1671" s="0" t="s">
        <v>2764</v>
      </c>
      <c r="B1671" s="0" t="s">
        <v>68</v>
      </c>
      <c r="C1671" s="0" t="s">
        <v>2474</v>
      </c>
      <c r="D1671" s="0" t="s">
        <v>38</v>
      </c>
      <c r="E1671" s="2" t="n">
        <v>45784</v>
      </c>
      <c r="F1671" s="3" t="s">
        <v>34</v>
      </c>
      <c r="G1671" s="3" t="s">
        <v>39</v>
      </c>
      <c r="H1671" s="3" t="s">
        <v>48</v>
      </c>
      <c r="I1671" s="3" t="n">
        <f aca="false">YEAR(E1671)</f>
        <v>2025</v>
      </c>
      <c r="J1671" s="3" t="n">
        <f aca="false">MONTH(E1671)</f>
        <v>5</v>
      </c>
      <c r="K1671" s="3" t="n">
        <f aca="false">COUNTIFS($B$2:$B$4077,B1671,$C$2:$C$4077,C1671,$I$2:$I$4077,I1671)</f>
        <v>2</v>
      </c>
      <c r="L1671" s="3" t="n">
        <f aca="false">IF(COUNTIFS($B$2:B1671,B1671,$C$2:C1671,C1671,$I$2:I1671,I1671)=1,1,0)</f>
        <v>1</v>
      </c>
      <c r="M1671" s="3" t="n">
        <f aca="false">IF(K1671&gt;=Parametri!$B$1,1,0)</f>
        <v>1</v>
      </c>
      <c r="N1671" s="3" t="n">
        <f aca="false">L1671*M1671</f>
        <v>1</v>
      </c>
    </row>
    <row r="1672" customFormat="false" ht="15" hidden="false" customHeight="false" outlineLevel="0" collapsed="false">
      <c r="A1672" s="0" t="s">
        <v>2765</v>
      </c>
      <c r="B1672" s="0" t="s">
        <v>24</v>
      </c>
      <c r="C1672" s="0" t="s">
        <v>2766</v>
      </c>
      <c r="D1672" s="0" t="s">
        <v>63</v>
      </c>
      <c r="E1672" s="2" t="n">
        <v>45745</v>
      </c>
      <c r="F1672" s="3" t="s">
        <v>20</v>
      </c>
      <c r="G1672" s="3" t="s">
        <v>43</v>
      </c>
      <c r="H1672" s="3" t="s">
        <v>44</v>
      </c>
      <c r="I1672" s="3" t="n">
        <f aca="false">YEAR(E1672)</f>
        <v>2025</v>
      </c>
      <c r="J1672" s="3" t="n">
        <f aca="false">MONTH(E1672)</f>
        <v>3</v>
      </c>
      <c r="K1672" s="3" t="n">
        <f aca="false">COUNTIFS($B$2:$B$4077,B1672,$C$2:$C$4077,C1672,$I$2:$I$4077,I1672)</f>
        <v>1</v>
      </c>
      <c r="L1672" s="3" t="n">
        <f aca="false">IF(COUNTIFS($B$2:B1672,B1672,$C$2:C1672,C1672,$I$2:I1672,I1672)=1,1,0)</f>
        <v>1</v>
      </c>
      <c r="M1672" s="3" t="n">
        <f aca="false">IF(K1672&gt;=Parametri!$B$1,1,0)</f>
        <v>0</v>
      </c>
      <c r="N1672" s="3" t="n">
        <f aca="false">L1672*M1672</f>
        <v>0</v>
      </c>
    </row>
    <row r="1673" customFormat="false" ht="15" hidden="false" customHeight="false" outlineLevel="0" collapsed="false">
      <c r="A1673" s="0" t="s">
        <v>2767</v>
      </c>
      <c r="B1673" s="0" t="s">
        <v>50</v>
      </c>
      <c r="C1673" s="0" t="s">
        <v>2768</v>
      </c>
      <c r="D1673" s="0" t="s">
        <v>26</v>
      </c>
      <c r="E1673" s="2" t="n">
        <v>45399</v>
      </c>
      <c r="F1673" s="3" t="s">
        <v>20</v>
      </c>
      <c r="G1673" s="3" t="s">
        <v>39</v>
      </c>
      <c r="H1673" s="3" t="s">
        <v>44</v>
      </c>
      <c r="I1673" s="3" t="n">
        <f aca="false">YEAR(E1673)</f>
        <v>2024</v>
      </c>
      <c r="J1673" s="3" t="n">
        <f aca="false">MONTH(E1673)</f>
        <v>4</v>
      </c>
      <c r="K1673" s="3" t="n">
        <f aca="false">COUNTIFS($B$2:$B$4077,B1673,$C$2:$C$4077,C1673,$I$2:$I$4077,I1673)</f>
        <v>1</v>
      </c>
      <c r="L1673" s="3" t="n">
        <f aca="false">IF(COUNTIFS($B$2:B1673,B1673,$C$2:C1673,C1673,$I$2:I1673,I1673)=1,1,0)</f>
        <v>1</v>
      </c>
      <c r="M1673" s="3" t="n">
        <f aca="false">IF(K1673&gt;=Parametri!$B$1,1,0)</f>
        <v>0</v>
      </c>
      <c r="N1673" s="3" t="n">
        <f aca="false">L1673*M1673</f>
        <v>0</v>
      </c>
    </row>
    <row r="1674" customFormat="false" ht="15" hidden="false" customHeight="false" outlineLevel="0" collapsed="false">
      <c r="A1674" s="0" t="s">
        <v>2769</v>
      </c>
      <c r="B1674" s="0" t="s">
        <v>124</v>
      </c>
      <c r="C1674" s="0" t="s">
        <v>2292</v>
      </c>
      <c r="D1674" s="0" t="s">
        <v>38</v>
      </c>
      <c r="E1674" s="2" t="n">
        <v>45748</v>
      </c>
      <c r="F1674" s="3" t="s">
        <v>20</v>
      </c>
      <c r="G1674" s="3" t="s">
        <v>28</v>
      </c>
      <c r="H1674" s="3" t="s">
        <v>29</v>
      </c>
      <c r="I1674" s="3" t="n">
        <f aca="false">YEAR(E1674)</f>
        <v>2025</v>
      </c>
      <c r="J1674" s="3" t="n">
        <f aca="false">MONTH(E1674)</f>
        <v>4</v>
      </c>
      <c r="K1674" s="3" t="n">
        <f aca="false">COUNTIFS($B$2:$B$4077,B1674,$C$2:$C$4077,C1674,$I$2:$I$4077,I1674)</f>
        <v>1</v>
      </c>
      <c r="L1674" s="3" t="n">
        <f aca="false">IF(COUNTIFS($B$2:B1674,B1674,$C$2:C1674,C1674,$I$2:I1674,I1674)=1,1,0)</f>
        <v>1</v>
      </c>
      <c r="M1674" s="3" t="n">
        <f aca="false">IF(K1674&gt;=Parametri!$B$1,1,0)</f>
        <v>0</v>
      </c>
      <c r="N1674" s="3" t="n">
        <f aca="false">L1674*M1674</f>
        <v>0</v>
      </c>
    </row>
    <row r="1675" customFormat="false" ht="15" hidden="false" customHeight="false" outlineLevel="0" collapsed="false">
      <c r="A1675" s="0" t="s">
        <v>2770</v>
      </c>
      <c r="B1675" s="0" t="s">
        <v>57</v>
      </c>
      <c r="C1675" s="0" t="s">
        <v>225</v>
      </c>
      <c r="D1675" s="0" t="s">
        <v>77</v>
      </c>
      <c r="E1675" s="2" t="n">
        <v>45740</v>
      </c>
      <c r="F1675" s="3" t="s">
        <v>104</v>
      </c>
      <c r="G1675" s="3" t="s">
        <v>104</v>
      </c>
      <c r="H1675" s="3" t="s">
        <v>104</v>
      </c>
      <c r="I1675" s="3" t="n">
        <f aca="false">YEAR(E1675)</f>
        <v>2025</v>
      </c>
      <c r="J1675" s="3" t="n">
        <f aca="false">MONTH(E1675)</f>
        <v>3</v>
      </c>
      <c r="K1675" s="3" t="n">
        <f aca="false">COUNTIFS($B$2:$B$4077,B1675,$C$2:$C$4077,C1675,$I$2:$I$4077,I1675)</f>
        <v>2</v>
      </c>
      <c r="L1675" s="3" t="n">
        <f aca="false">IF(COUNTIFS($B$2:B1675,B1675,$C$2:C1675,C1675,$I$2:I1675,I1675)=1,1,0)</f>
        <v>0</v>
      </c>
      <c r="M1675" s="3" t="n">
        <f aca="false">IF(K1675&gt;=Parametri!$B$1,1,0)</f>
        <v>1</v>
      </c>
      <c r="N1675" s="3" t="n">
        <f aca="false">L1675*M1675</f>
        <v>0</v>
      </c>
    </row>
    <row r="1676" customFormat="false" ht="15" hidden="false" customHeight="false" outlineLevel="0" collapsed="false">
      <c r="A1676" s="0" t="s">
        <v>2771</v>
      </c>
      <c r="B1676" s="0" t="s">
        <v>79</v>
      </c>
      <c r="C1676" s="0" t="s">
        <v>352</v>
      </c>
      <c r="D1676" s="0" t="s">
        <v>19</v>
      </c>
      <c r="E1676" s="2" t="n">
        <v>45738</v>
      </c>
      <c r="F1676" s="3" t="s">
        <v>20</v>
      </c>
      <c r="G1676" s="3" t="s">
        <v>72</v>
      </c>
      <c r="H1676" s="3" t="s">
        <v>29</v>
      </c>
      <c r="I1676" s="3" t="n">
        <f aca="false">YEAR(E1676)</f>
        <v>2025</v>
      </c>
      <c r="J1676" s="3" t="n">
        <f aca="false">MONTH(E1676)</f>
        <v>3</v>
      </c>
      <c r="K1676" s="3" t="n">
        <f aca="false">COUNTIFS($B$2:$B$4077,B1676,$C$2:$C$4077,C1676,$I$2:$I$4077,I1676)</f>
        <v>1</v>
      </c>
      <c r="L1676" s="3" t="n">
        <f aca="false">IF(COUNTIFS($B$2:B1676,B1676,$C$2:C1676,C1676,$I$2:I1676,I1676)=1,1,0)</f>
        <v>1</v>
      </c>
      <c r="M1676" s="3" t="n">
        <f aca="false">IF(K1676&gt;=Parametri!$B$1,1,0)</f>
        <v>0</v>
      </c>
      <c r="N1676" s="3" t="n">
        <f aca="false">L1676*M1676</f>
        <v>0</v>
      </c>
    </row>
    <row r="1677" customFormat="false" ht="15" hidden="false" customHeight="false" outlineLevel="0" collapsed="false">
      <c r="A1677" s="0" t="s">
        <v>2772</v>
      </c>
      <c r="B1677" s="0" t="s">
        <v>79</v>
      </c>
      <c r="C1677" s="0" t="s">
        <v>116</v>
      </c>
      <c r="D1677" s="0" t="s">
        <v>19</v>
      </c>
      <c r="E1677" s="2" t="n">
        <v>45677</v>
      </c>
      <c r="F1677" s="3" t="s">
        <v>27</v>
      </c>
      <c r="G1677" s="3" t="s">
        <v>89</v>
      </c>
      <c r="H1677" s="3" t="s">
        <v>29</v>
      </c>
      <c r="I1677" s="3" t="n">
        <f aca="false">YEAR(E1677)</f>
        <v>2025</v>
      </c>
      <c r="J1677" s="3" t="n">
        <f aca="false">MONTH(E1677)</f>
        <v>1</v>
      </c>
      <c r="K1677" s="3" t="n">
        <f aca="false">COUNTIFS($B$2:$B$4077,B1677,$C$2:$C$4077,C1677,$I$2:$I$4077,I1677)</f>
        <v>6</v>
      </c>
      <c r="L1677" s="3" t="n">
        <f aca="false">IF(COUNTIFS($B$2:B1677,B1677,$C$2:C1677,C1677,$I$2:I1677,I1677)=1,1,0)</f>
        <v>0</v>
      </c>
      <c r="M1677" s="3" t="n">
        <f aca="false">IF(K1677&gt;=Parametri!$B$1,1,0)</f>
        <v>1</v>
      </c>
      <c r="N1677" s="3" t="n">
        <f aca="false">L1677*M1677</f>
        <v>0</v>
      </c>
    </row>
    <row r="1678" customFormat="false" ht="15" hidden="false" customHeight="false" outlineLevel="0" collapsed="false">
      <c r="A1678" s="0" t="s">
        <v>2773</v>
      </c>
      <c r="B1678" s="0" t="s">
        <v>46</v>
      </c>
      <c r="C1678" s="0" t="s">
        <v>2774</v>
      </c>
      <c r="D1678" s="0" t="s">
        <v>33</v>
      </c>
      <c r="E1678" s="2" t="n">
        <v>45572</v>
      </c>
      <c r="F1678" s="3" t="s">
        <v>34</v>
      </c>
      <c r="G1678" s="3" t="s">
        <v>89</v>
      </c>
      <c r="H1678" s="3" t="s">
        <v>22</v>
      </c>
      <c r="I1678" s="3" t="n">
        <f aca="false">YEAR(E1678)</f>
        <v>2024</v>
      </c>
      <c r="J1678" s="3" t="n">
        <f aca="false">MONTH(E1678)</f>
        <v>10</v>
      </c>
      <c r="K1678" s="3" t="n">
        <f aca="false">COUNTIFS($B$2:$B$4077,B1678,$C$2:$C$4077,C1678,$I$2:$I$4077,I1678)</f>
        <v>1</v>
      </c>
      <c r="L1678" s="3" t="n">
        <f aca="false">IF(COUNTIFS($B$2:B1678,B1678,$C$2:C1678,C1678,$I$2:I1678,I1678)=1,1,0)</f>
        <v>1</v>
      </c>
      <c r="M1678" s="3" t="n">
        <f aca="false">IF(K1678&gt;=Parametri!$B$1,1,0)</f>
        <v>0</v>
      </c>
      <c r="N1678" s="3" t="n">
        <f aca="false">L1678*M1678</f>
        <v>0</v>
      </c>
    </row>
    <row r="1679" customFormat="false" ht="15" hidden="false" customHeight="false" outlineLevel="0" collapsed="false">
      <c r="A1679" s="0" t="s">
        <v>2775</v>
      </c>
      <c r="B1679" s="0" t="s">
        <v>79</v>
      </c>
      <c r="C1679" s="0" t="s">
        <v>541</v>
      </c>
      <c r="D1679" s="0" t="s">
        <v>63</v>
      </c>
      <c r="E1679" s="2" t="n">
        <v>45933</v>
      </c>
      <c r="F1679" s="3" t="s">
        <v>20</v>
      </c>
      <c r="G1679" s="3" t="s">
        <v>21</v>
      </c>
      <c r="H1679" s="3" t="s">
        <v>48</v>
      </c>
      <c r="I1679" s="3" t="n">
        <f aca="false">YEAR(E1679)</f>
        <v>2025</v>
      </c>
      <c r="J1679" s="3" t="n">
        <f aca="false">MONTH(E1679)</f>
        <v>10</v>
      </c>
      <c r="K1679" s="3" t="n">
        <f aca="false">COUNTIFS($B$2:$B$4077,B1679,$C$2:$C$4077,C1679,$I$2:$I$4077,I1679)</f>
        <v>3</v>
      </c>
      <c r="L1679" s="3" t="n">
        <f aca="false">IF(COUNTIFS($B$2:B1679,B1679,$C$2:C1679,C1679,$I$2:I1679,I1679)=1,1,0)</f>
        <v>1</v>
      </c>
      <c r="M1679" s="3" t="n">
        <f aca="false">IF(K1679&gt;=Parametri!$B$1,1,0)</f>
        <v>1</v>
      </c>
      <c r="N1679" s="3" t="n">
        <f aca="false">L1679*M1679</f>
        <v>1</v>
      </c>
    </row>
    <row r="1680" customFormat="false" ht="15" hidden="false" customHeight="false" outlineLevel="0" collapsed="false">
      <c r="A1680" s="0" t="s">
        <v>2776</v>
      </c>
      <c r="B1680" s="0" t="s">
        <v>57</v>
      </c>
      <c r="C1680" s="0" t="s">
        <v>1054</v>
      </c>
      <c r="D1680" s="0" t="s">
        <v>38</v>
      </c>
      <c r="E1680" s="2" t="n">
        <v>45413</v>
      </c>
      <c r="F1680" s="3" t="s">
        <v>20</v>
      </c>
      <c r="G1680" s="3" t="s">
        <v>28</v>
      </c>
      <c r="H1680" s="3" t="s">
        <v>29</v>
      </c>
      <c r="I1680" s="3" t="n">
        <f aca="false">YEAR(E1680)</f>
        <v>2024</v>
      </c>
      <c r="J1680" s="3" t="n">
        <f aca="false">MONTH(E1680)</f>
        <v>5</v>
      </c>
      <c r="K1680" s="3" t="n">
        <f aca="false">COUNTIFS($B$2:$B$4077,B1680,$C$2:$C$4077,C1680,$I$2:$I$4077,I1680)</f>
        <v>2</v>
      </c>
      <c r="L1680" s="3" t="n">
        <f aca="false">IF(COUNTIFS($B$2:B1680,B1680,$C$2:C1680,C1680,$I$2:I1680,I1680)=1,1,0)</f>
        <v>1</v>
      </c>
      <c r="M1680" s="3" t="n">
        <f aca="false">IF(K1680&gt;=Parametri!$B$1,1,0)</f>
        <v>1</v>
      </c>
      <c r="N1680" s="3" t="n">
        <f aca="false">L1680*M1680</f>
        <v>1</v>
      </c>
    </row>
    <row r="1681" customFormat="false" ht="15" hidden="false" customHeight="false" outlineLevel="0" collapsed="false">
      <c r="A1681" s="0" t="s">
        <v>2777</v>
      </c>
      <c r="B1681" s="0" t="s">
        <v>124</v>
      </c>
      <c r="C1681" s="0" t="s">
        <v>2778</v>
      </c>
      <c r="D1681" s="0" t="s">
        <v>26</v>
      </c>
      <c r="E1681" s="2" t="n">
        <v>45998</v>
      </c>
      <c r="F1681" s="3" t="s">
        <v>20</v>
      </c>
      <c r="G1681" s="3" t="s">
        <v>28</v>
      </c>
      <c r="H1681" s="3" t="s">
        <v>44</v>
      </c>
      <c r="I1681" s="3" t="n">
        <f aca="false">YEAR(E1681)</f>
        <v>2025</v>
      </c>
      <c r="J1681" s="3" t="n">
        <f aca="false">MONTH(E1681)</f>
        <v>12</v>
      </c>
      <c r="K1681" s="3" t="n">
        <f aca="false">COUNTIFS($B$2:$B$4077,B1681,$C$2:$C$4077,C1681,$I$2:$I$4077,I1681)</f>
        <v>2</v>
      </c>
      <c r="L1681" s="3" t="n">
        <f aca="false">IF(COUNTIFS($B$2:B1681,B1681,$C$2:C1681,C1681,$I$2:I1681,I1681)=1,1,0)</f>
        <v>1</v>
      </c>
      <c r="M1681" s="3" t="n">
        <f aca="false">IF(K1681&gt;=Parametri!$B$1,1,0)</f>
        <v>1</v>
      </c>
      <c r="N1681" s="3" t="n">
        <f aca="false">L1681*M1681</f>
        <v>1</v>
      </c>
    </row>
    <row r="1682" customFormat="false" ht="15" hidden="false" customHeight="false" outlineLevel="0" collapsed="false">
      <c r="A1682" s="0" t="s">
        <v>2779</v>
      </c>
      <c r="B1682" s="0" t="s">
        <v>50</v>
      </c>
      <c r="C1682" s="0" t="s">
        <v>2780</v>
      </c>
      <c r="D1682" s="0" t="s">
        <v>63</v>
      </c>
      <c r="E1682" s="2" t="n">
        <v>45693</v>
      </c>
      <c r="F1682" s="3" t="s">
        <v>27</v>
      </c>
      <c r="G1682" s="3" t="s">
        <v>21</v>
      </c>
      <c r="H1682" s="3" t="s">
        <v>48</v>
      </c>
      <c r="I1682" s="3" t="n">
        <f aca="false">YEAR(E1682)</f>
        <v>2025</v>
      </c>
      <c r="J1682" s="3" t="n">
        <f aca="false">MONTH(E1682)</f>
        <v>2</v>
      </c>
      <c r="K1682" s="3" t="n">
        <f aca="false">COUNTIFS($B$2:$B$4077,B1682,$C$2:$C$4077,C1682,$I$2:$I$4077,I1682)</f>
        <v>2</v>
      </c>
      <c r="L1682" s="3" t="n">
        <f aca="false">IF(COUNTIFS($B$2:B1682,B1682,$C$2:C1682,C1682,$I$2:I1682,I1682)=1,1,0)</f>
        <v>1</v>
      </c>
      <c r="M1682" s="3" t="n">
        <f aca="false">IF(K1682&gt;=Parametri!$B$1,1,0)</f>
        <v>1</v>
      </c>
      <c r="N1682" s="3" t="n">
        <f aca="false">L1682*M1682</f>
        <v>1</v>
      </c>
    </row>
    <row r="1683" customFormat="false" ht="15" hidden="false" customHeight="false" outlineLevel="0" collapsed="false">
      <c r="A1683" s="0" t="s">
        <v>2781</v>
      </c>
      <c r="B1683" s="0" t="s">
        <v>24</v>
      </c>
      <c r="C1683" s="0" t="s">
        <v>2782</v>
      </c>
      <c r="D1683" s="0" t="s">
        <v>33</v>
      </c>
      <c r="E1683" s="2" t="n">
        <v>46245</v>
      </c>
      <c r="F1683" s="3" t="s">
        <v>20</v>
      </c>
      <c r="G1683" s="3" t="s">
        <v>55</v>
      </c>
      <c r="H1683" s="3" t="s">
        <v>44</v>
      </c>
      <c r="I1683" s="3" t="n">
        <f aca="false">YEAR(E1683)</f>
        <v>2026</v>
      </c>
      <c r="J1683" s="3" t="n">
        <f aca="false">MONTH(E1683)</f>
        <v>8</v>
      </c>
      <c r="K1683" s="3" t="n">
        <f aca="false">COUNTIFS($B$2:$B$4077,B1683,$C$2:$C$4077,C1683,$I$2:$I$4077,I1683)</f>
        <v>1</v>
      </c>
      <c r="L1683" s="3" t="n">
        <f aca="false">IF(COUNTIFS($B$2:B1683,B1683,$C$2:C1683,C1683,$I$2:I1683,I1683)=1,1,0)</f>
        <v>1</v>
      </c>
      <c r="M1683" s="3" t="n">
        <f aca="false">IF(K1683&gt;=Parametri!$B$1,1,0)</f>
        <v>0</v>
      </c>
      <c r="N1683" s="3" t="n">
        <f aca="false">L1683*M1683</f>
        <v>0</v>
      </c>
    </row>
    <row r="1684" customFormat="false" ht="15" hidden="false" customHeight="false" outlineLevel="0" collapsed="false">
      <c r="A1684" s="0" t="s">
        <v>2783</v>
      </c>
      <c r="B1684" s="0" t="s">
        <v>17</v>
      </c>
      <c r="C1684" s="0" t="s">
        <v>915</v>
      </c>
      <c r="D1684" s="0" t="s">
        <v>19</v>
      </c>
      <c r="E1684" s="2" t="n">
        <v>45615</v>
      </c>
      <c r="F1684" s="3" t="s">
        <v>34</v>
      </c>
      <c r="G1684" s="3" t="s">
        <v>55</v>
      </c>
      <c r="H1684" s="3" t="s">
        <v>48</v>
      </c>
      <c r="I1684" s="3" t="n">
        <f aca="false">YEAR(E1684)</f>
        <v>2024</v>
      </c>
      <c r="J1684" s="3" t="n">
        <f aca="false">MONTH(E1684)</f>
        <v>11</v>
      </c>
      <c r="K1684" s="3" t="n">
        <f aca="false">COUNTIFS($B$2:$B$4077,B1684,$C$2:$C$4077,C1684,$I$2:$I$4077,I1684)</f>
        <v>5</v>
      </c>
      <c r="L1684" s="3" t="n">
        <f aca="false">IF(COUNTIFS($B$2:B1684,B1684,$C$2:C1684,C1684,$I$2:I1684,I1684)=1,1,0)</f>
        <v>0</v>
      </c>
      <c r="M1684" s="3" t="n">
        <f aca="false">IF(K1684&gt;=Parametri!$B$1,1,0)</f>
        <v>1</v>
      </c>
      <c r="N1684" s="3" t="n">
        <f aca="false">L1684*M1684</f>
        <v>0</v>
      </c>
    </row>
    <row r="1685" customFormat="false" ht="15" hidden="false" customHeight="false" outlineLevel="0" collapsed="false">
      <c r="A1685" s="0" t="s">
        <v>2784</v>
      </c>
      <c r="B1685" s="0" t="s">
        <v>79</v>
      </c>
      <c r="C1685" s="0" t="s">
        <v>1366</v>
      </c>
      <c r="D1685" s="0" t="s">
        <v>38</v>
      </c>
      <c r="E1685" s="2" t="n">
        <v>45965</v>
      </c>
      <c r="F1685" s="3" t="s">
        <v>20</v>
      </c>
      <c r="G1685" s="3" t="s">
        <v>55</v>
      </c>
      <c r="H1685" s="3" t="s">
        <v>22</v>
      </c>
      <c r="I1685" s="3" t="n">
        <f aca="false">YEAR(E1685)</f>
        <v>2025</v>
      </c>
      <c r="J1685" s="3" t="n">
        <f aca="false">MONTH(E1685)</f>
        <v>11</v>
      </c>
      <c r="K1685" s="3" t="n">
        <f aca="false">COUNTIFS($B$2:$B$4077,B1685,$C$2:$C$4077,C1685,$I$2:$I$4077,I1685)</f>
        <v>5</v>
      </c>
      <c r="L1685" s="3" t="n">
        <f aca="false">IF(COUNTIFS($B$2:B1685,B1685,$C$2:C1685,C1685,$I$2:I1685,I1685)=1,1,0)</f>
        <v>0</v>
      </c>
      <c r="M1685" s="3" t="n">
        <f aca="false">IF(K1685&gt;=Parametri!$B$1,1,0)</f>
        <v>1</v>
      </c>
      <c r="N1685" s="3" t="n">
        <f aca="false">L1685*M1685</f>
        <v>0</v>
      </c>
    </row>
    <row r="1686" customFormat="false" ht="15" hidden="false" customHeight="false" outlineLevel="0" collapsed="false">
      <c r="A1686" s="0" t="s">
        <v>2785</v>
      </c>
      <c r="B1686" s="0" t="s">
        <v>68</v>
      </c>
      <c r="C1686" s="0" t="s">
        <v>2786</v>
      </c>
      <c r="D1686" s="0" t="s">
        <v>63</v>
      </c>
      <c r="E1686" s="2" t="n">
        <v>45948</v>
      </c>
      <c r="F1686" s="3" t="s">
        <v>20</v>
      </c>
      <c r="G1686" s="3" t="s">
        <v>72</v>
      </c>
      <c r="H1686" s="3" t="s">
        <v>44</v>
      </c>
      <c r="I1686" s="3" t="n">
        <f aca="false">YEAR(E1686)</f>
        <v>2025</v>
      </c>
      <c r="J1686" s="3" t="n">
        <f aca="false">MONTH(E1686)</f>
        <v>10</v>
      </c>
      <c r="K1686" s="3" t="n">
        <f aca="false">COUNTIFS($B$2:$B$4077,B1686,$C$2:$C$4077,C1686,$I$2:$I$4077,I1686)</f>
        <v>2</v>
      </c>
      <c r="L1686" s="3" t="n">
        <f aca="false">IF(COUNTIFS($B$2:B1686,B1686,$C$2:C1686,C1686,$I$2:I1686,I1686)=1,1,0)</f>
        <v>1</v>
      </c>
      <c r="M1686" s="3" t="n">
        <f aca="false">IF(K1686&gt;=Parametri!$B$1,1,0)</f>
        <v>1</v>
      </c>
      <c r="N1686" s="3" t="n">
        <f aca="false">L1686*M1686</f>
        <v>1</v>
      </c>
    </row>
    <row r="1687" customFormat="false" ht="15" hidden="false" customHeight="false" outlineLevel="0" collapsed="false">
      <c r="A1687" s="0" t="s">
        <v>2787</v>
      </c>
      <c r="B1687" s="0" t="s">
        <v>79</v>
      </c>
      <c r="C1687" s="0" t="s">
        <v>2679</v>
      </c>
      <c r="D1687" s="0" t="s">
        <v>19</v>
      </c>
      <c r="E1687" s="2" t="n">
        <v>46034</v>
      </c>
      <c r="F1687" s="3" t="s">
        <v>20</v>
      </c>
      <c r="G1687" s="3" t="s">
        <v>28</v>
      </c>
      <c r="H1687" s="3" t="s">
        <v>48</v>
      </c>
      <c r="I1687" s="3" t="n">
        <f aca="false">YEAR(E1687)</f>
        <v>2026</v>
      </c>
      <c r="J1687" s="3" t="n">
        <f aca="false">MONTH(E1687)</f>
        <v>1</v>
      </c>
      <c r="K1687" s="3" t="n">
        <f aca="false">COUNTIFS($B$2:$B$4077,B1687,$C$2:$C$4077,C1687,$I$2:$I$4077,I1687)</f>
        <v>1</v>
      </c>
      <c r="L1687" s="3" t="n">
        <f aca="false">IF(COUNTIFS($B$2:B1687,B1687,$C$2:C1687,C1687,$I$2:I1687,I1687)=1,1,0)</f>
        <v>1</v>
      </c>
      <c r="M1687" s="3" t="n">
        <f aca="false">IF(K1687&gt;=Parametri!$B$1,1,0)</f>
        <v>0</v>
      </c>
      <c r="N1687" s="3" t="n">
        <f aca="false">L1687*M1687</f>
        <v>0</v>
      </c>
    </row>
    <row r="1688" customFormat="false" ht="15" hidden="false" customHeight="false" outlineLevel="0" collapsed="false">
      <c r="A1688" s="0" t="s">
        <v>2788</v>
      </c>
      <c r="B1688" s="0" t="s">
        <v>24</v>
      </c>
      <c r="C1688" s="0" t="s">
        <v>25</v>
      </c>
      <c r="D1688" s="0" t="s">
        <v>19</v>
      </c>
      <c r="E1688" s="2" t="n">
        <v>45628</v>
      </c>
      <c r="F1688" s="3" t="s">
        <v>20</v>
      </c>
      <c r="G1688" s="3" t="s">
        <v>35</v>
      </c>
      <c r="H1688" s="3" t="s">
        <v>29</v>
      </c>
      <c r="I1688" s="3" t="n">
        <f aca="false">YEAR(E1688)</f>
        <v>2024</v>
      </c>
      <c r="J1688" s="3" t="n">
        <f aca="false">MONTH(E1688)</f>
        <v>12</v>
      </c>
      <c r="K1688" s="3" t="n">
        <f aca="false">COUNTIFS($B$2:$B$4077,B1688,$C$2:$C$4077,C1688,$I$2:$I$4077,I1688)</f>
        <v>5</v>
      </c>
      <c r="L1688" s="3" t="n">
        <f aca="false">IF(COUNTIFS($B$2:B1688,B1688,$C$2:C1688,C1688,$I$2:I1688,I1688)=1,1,0)</f>
        <v>0</v>
      </c>
      <c r="M1688" s="3" t="n">
        <f aca="false">IF(K1688&gt;=Parametri!$B$1,1,0)</f>
        <v>1</v>
      </c>
      <c r="N1688" s="3" t="n">
        <f aca="false">L1688*M1688</f>
        <v>0</v>
      </c>
    </row>
    <row r="1689" customFormat="false" ht="15" hidden="false" customHeight="false" outlineLevel="0" collapsed="false">
      <c r="A1689" s="0" t="s">
        <v>2789</v>
      </c>
      <c r="B1689" s="0" t="s">
        <v>124</v>
      </c>
      <c r="C1689" s="0" t="s">
        <v>196</v>
      </c>
      <c r="D1689" s="0" t="s">
        <v>54</v>
      </c>
      <c r="E1689" s="2" t="n">
        <v>45654</v>
      </c>
      <c r="F1689" s="3" t="s">
        <v>20</v>
      </c>
      <c r="G1689" s="3" t="s">
        <v>21</v>
      </c>
      <c r="H1689" s="3" t="s">
        <v>29</v>
      </c>
      <c r="I1689" s="3" t="n">
        <f aca="false">YEAR(E1689)</f>
        <v>2024</v>
      </c>
      <c r="J1689" s="3" t="n">
        <f aca="false">MONTH(E1689)</f>
        <v>12</v>
      </c>
      <c r="K1689" s="3" t="n">
        <f aca="false">COUNTIFS($B$2:$B$4077,B1689,$C$2:$C$4077,C1689,$I$2:$I$4077,I1689)</f>
        <v>8</v>
      </c>
      <c r="L1689" s="3" t="n">
        <f aca="false">IF(COUNTIFS($B$2:B1689,B1689,$C$2:C1689,C1689,$I$2:I1689,I1689)=1,1,0)</f>
        <v>0</v>
      </c>
      <c r="M1689" s="3" t="n">
        <f aca="false">IF(K1689&gt;=Parametri!$B$1,1,0)</f>
        <v>1</v>
      </c>
      <c r="N1689" s="3" t="n">
        <f aca="false">L1689*M1689</f>
        <v>0</v>
      </c>
    </row>
    <row r="1690" customFormat="false" ht="15" hidden="false" customHeight="false" outlineLevel="0" collapsed="false">
      <c r="A1690" s="0" t="s">
        <v>2790</v>
      </c>
      <c r="B1690" s="0" t="s">
        <v>24</v>
      </c>
      <c r="C1690" s="0" t="s">
        <v>1528</v>
      </c>
      <c r="D1690" s="0" t="s">
        <v>33</v>
      </c>
      <c r="E1690" s="2" t="n">
        <v>45508</v>
      </c>
      <c r="F1690" s="3" t="s">
        <v>20</v>
      </c>
      <c r="G1690" s="3" t="s">
        <v>21</v>
      </c>
      <c r="H1690" s="3" t="s">
        <v>48</v>
      </c>
      <c r="I1690" s="3" t="n">
        <f aca="false">YEAR(E1690)</f>
        <v>2024</v>
      </c>
      <c r="J1690" s="3" t="n">
        <f aca="false">MONTH(E1690)</f>
        <v>8</v>
      </c>
      <c r="K1690" s="3" t="n">
        <f aca="false">COUNTIFS($B$2:$B$4077,B1690,$C$2:$C$4077,C1690,$I$2:$I$4077,I1690)</f>
        <v>1</v>
      </c>
      <c r="L1690" s="3" t="n">
        <f aca="false">IF(COUNTIFS($B$2:B1690,B1690,$C$2:C1690,C1690,$I$2:I1690,I1690)=1,1,0)</f>
        <v>1</v>
      </c>
      <c r="M1690" s="3" t="n">
        <f aca="false">IF(K1690&gt;=Parametri!$B$1,1,0)</f>
        <v>0</v>
      </c>
      <c r="N1690" s="3" t="n">
        <f aca="false">L1690*M1690</f>
        <v>0</v>
      </c>
    </row>
    <row r="1691" customFormat="false" ht="15" hidden="false" customHeight="false" outlineLevel="0" collapsed="false">
      <c r="A1691" s="0" t="s">
        <v>2791</v>
      </c>
      <c r="B1691" s="0" t="s">
        <v>46</v>
      </c>
      <c r="C1691" s="0" t="s">
        <v>2792</v>
      </c>
      <c r="D1691" s="0" t="s">
        <v>66</v>
      </c>
      <c r="E1691" s="2" t="n">
        <v>45508</v>
      </c>
      <c r="F1691" s="3" t="s">
        <v>20</v>
      </c>
      <c r="G1691" s="3" t="s">
        <v>89</v>
      </c>
      <c r="H1691" s="3" t="s">
        <v>29</v>
      </c>
      <c r="I1691" s="3" t="n">
        <f aca="false">YEAR(E1691)</f>
        <v>2024</v>
      </c>
      <c r="J1691" s="3" t="n">
        <f aca="false">MONTH(E1691)</f>
        <v>8</v>
      </c>
      <c r="K1691" s="3" t="n">
        <f aca="false">COUNTIFS($B$2:$B$4077,B1691,$C$2:$C$4077,C1691,$I$2:$I$4077,I1691)</f>
        <v>1</v>
      </c>
      <c r="L1691" s="3" t="n">
        <f aca="false">IF(COUNTIFS($B$2:B1691,B1691,$C$2:C1691,C1691,$I$2:I1691,I1691)=1,1,0)</f>
        <v>1</v>
      </c>
      <c r="M1691" s="3" t="n">
        <f aca="false">IF(K1691&gt;=Parametri!$B$1,1,0)</f>
        <v>0</v>
      </c>
      <c r="N1691" s="3" t="n">
        <f aca="false">L1691*M1691</f>
        <v>0</v>
      </c>
    </row>
    <row r="1692" customFormat="false" ht="15" hidden="false" customHeight="false" outlineLevel="0" collapsed="false">
      <c r="A1692" s="0" t="s">
        <v>2793</v>
      </c>
      <c r="B1692" s="0" t="s">
        <v>79</v>
      </c>
      <c r="C1692" s="0" t="s">
        <v>931</v>
      </c>
      <c r="D1692" s="0" t="s">
        <v>77</v>
      </c>
      <c r="E1692" s="2" t="n">
        <v>46100</v>
      </c>
      <c r="F1692" s="3" t="s">
        <v>20</v>
      </c>
      <c r="G1692" s="3" t="s">
        <v>39</v>
      </c>
      <c r="H1692" s="3" t="s">
        <v>22</v>
      </c>
      <c r="I1692" s="3" t="n">
        <f aca="false">YEAR(E1692)</f>
        <v>2026</v>
      </c>
      <c r="J1692" s="3" t="n">
        <f aca="false">MONTH(E1692)</f>
        <v>3</v>
      </c>
      <c r="K1692" s="3" t="n">
        <f aca="false">COUNTIFS($B$2:$B$4077,B1692,$C$2:$C$4077,C1692,$I$2:$I$4077,I1692)</f>
        <v>1</v>
      </c>
      <c r="L1692" s="3" t="n">
        <f aca="false">IF(COUNTIFS($B$2:B1692,B1692,$C$2:C1692,C1692,$I$2:I1692,I1692)=1,1,0)</f>
        <v>1</v>
      </c>
      <c r="M1692" s="3" t="n">
        <f aca="false">IF(K1692&gt;=Parametri!$B$1,1,0)</f>
        <v>0</v>
      </c>
      <c r="N1692" s="3" t="n">
        <f aca="false">L1692*M1692</f>
        <v>0</v>
      </c>
    </row>
    <row r="1693" customFormat="false" ht="15" hidden="false" customHeight="false" outlineLevel="0" collapsed="false">
      <c r="A1693" s="0" t="s">
        <v>2794</v>
      </c>
      <c r="B1693" s="0" t="s">
        <v>68</v>
      </c>
      <c r="C1693" s="0" t="s">
        <v>693</v>
      </c>
      <c r="D1693" s="0" t="s">
        <v>26</v>
      </c>
      <c r="E1693" s="2" t="n">
        <v>45677</v>
      </c>
      <c r="F1693" s="3" t="s">
        <v>34</v>
      </c>
      <c r="G1693" s="3" t="s">
        <v>28</v>
      </c>
      <c r="H1693" s="3" t="s">
        <v>29</v>
      </c>
      <c r="I1693" s="3" t="n">
        <f aca="false">YEAR(E1693)</f>
        <v>2025</v>
      </c>
      <c r="J1693" s="3" t="n">
        <f aca="false">MONTH(E1693)</f>
        <v>1</v>
      </c>
      <c r="K1693" s="3" t="n">
        <f aca="false">COUNTIFS($B$2:$B$4077,B1693,$C$2:$C$4077,C1693,$I$2:$I$4077,I1693)</f>
        <v>3</v>
      </c>
      <c r="L1693" s="3" t="n">
        <f aca="false">IF(COUNTIFS($B$2:B1693,B1693,$C$2:C1693,C1693,$I$2:I1693,I1693)=1,1,0)</f>
        <v>0</v>
      </c>
      <c r="M1693" s="3" t="n">
        <f aca="false">IF(K1693&gt;=Parametri!$B$1,1,0)</f>
        <v>1</v>
      </c>
      <c r="N1693" s="3" t="n">
        <f aca="false">L1693*M1693</f>
        <v>0</v>
      </c>
    </row>
    <row r="1694" customFormat="false" ht="15" hidden="false" customHeight="false" outlineLevel="0" collapsed="false">
      <c r="A1694" s="0" t="s">
        <v>2795</v>
      </c>
      <c r="B1694" s="0" t="s">
        <v>68</v>
      </c>
      <c r="C1694" s="0" t="s">
        <v>243</v>
      </c>
      <c r="D1694" s="0" t="s">
        <v>26</v>
      </c>
      <c r="E1694" s="2" t="n">
        <v>45556</v>
      </c>
      <c r="F1694" s="3" t="s">
        <v>20</v>
      </c>
      <c r="G1694" s="3" t="s">
        <v>39</v>
      </c>
      <c r="H1694" s="3" t="s">
        <v>29</v>
      </c>
      <c r="I1694" s="3" t="n">
        <f aca="false">YEAR(E1694)</f>
        <v>2024</v>
      </c>
      <c r="J1694" s="3" t="n">
        <f aca="false">MONTH(E1694)</f>
        <v>9</v>
      </c>
      <c r="K1694" s="3" t="n">
        <f aca="false">COUNTIFS($B$2:$B$4077,B1694,$C$2:$C$4077,C1694,$I$2:$I$4077,I1694)</f>
        <v>4</v>
      </c>
      <c r="L1694" s="3" t="n">
        <f aca="false">IF(COUNTIFS($B$2:B1694,B1694,$C$2:C1694,C1694,$I$2:I1694,I1694)=1,1,0)</f>
        <v>0</v>
      </c>
      <c r="M1694" s="3" t="n">
        <f aca="false">IF(K1694&gt;=Parametri!$B$1,1,0)</f>
        <v>1</v>
      </c>
      <c r="N1694" s="3" t="n">
        <f aca="false">L1694*M1694</f>
        <v>0</v>
      </c>
    </row>
    <row r="1695" customFormat="false" ht="15" hidden="false" customHeight="false" outlineLevel="0" collapsed="false">
      <c r="A1695" s="0" t="s">
        <v>2796</v>
      </c>
      <c r="B1695" s="0" t="s">
        <v>41</v>
      </c>
      <c r="C1695" s="0" t="s">
        <v>1637</v>
      </c>
      <c r="D1695" s="0" t="s">
        <v>54</v>
      </c>
      <c r="E1695" s="2" t="n">
        <v>45421</v>
      </c>
      <c r="F1695" s="3" t="s">
        <v>20</v>
      </c>
      <c r="G1695" s="3" t="s">
        <v>104</v>
      </c>
      <c r="H1695" s="3" t="s">
        <v>104</v>
      </c>
      <c r="I1695" s="3" t="n">
        <f aca="false">YEAR(E1695)</f>
        <v>2024</v>
      </c>
      <c r="J1695" s="3" t="n">
        <f aca="false">MONTH(E1695)</f>
        <v>5</v>
      </c>
      <c r="K1695" s="3" t="n">
        <f aca="false">COUNTIFS($B$2:$B$4077,B1695,$C$2:$C$4077,C1695,$I$2:$I$4077,I1695)</f>
        <v>1</v>
      </c>
      <c r="L1695" s="3" t="n">
        <f aca="false">IF(COUNTIFS($B$2:B1695,B1695,$C$2:C1695,C1695,$I$2:I1695,I1695)=1,1,0)</f>
        <v>1</v>
      </c>
      <c r="M1695" s="3" t="n">
        <f aca="false">IF(K1695&gt;=Parametri!$B$1,1,0)</f>
        <v>0</v>
      </c>
      <c r="N1695" s="3" t="n">
        <f aca="false">L1695*M1695</f>
        <v>0</v>
      </c>
    </row>
    <row r="1696" customFormat="false" ht="15" hidden="false" customHeight="false" outlineLevel="0" collapsed="false">
      <c r="A1696" s="0" t="s">
        <v>2797</v>
      </c>
      <c r="B1696" s="0" t="s">
        <v>41</v>
      </c>
      <c r="C1696" s="0" t="s">
        <v>2798</v>
      </c>
      <c r="D1696" s="0" t="s">
        <v>66</v>
      </c>
      <c r="E1696" s="2" t="n">
        <v>45823</v>
      </c>
      <c r="F1696" s="3" t="s">
        <v>20</v>
      </c>
      <c r="G1696" s="3" t="s">
        <v>55</v>
      </c>
      <c r="H1696" s="3" t="s">
        <v>22</v>
      </c>
      <c r="I1696" s="3" t="n">
        <f aca="false">YEAR(E1696)</f>
        <v>2025</v>
      </c>
      <c r="J1696" s="3" t="n">
        <f aca="false">MONTH(E1696)</f>
        <v>6</v>
      </c>
      <c r="K1696" s="3" t="n">
        <f aca="false">COUNTIFS($B$2:$B$4077,B1696,$C$2:$C$4077,C1696,$I$2:$I$4077,I1696)</f>
        <v>1</v>
      </c>
      <c r="L1696" s="3" t="n">
        <f aca="false">IF(COUNTIFS($B$2:B1696,B1696,$C$2:C1696,C1696,$I$2:I1696,I1696)=1,1,0)</f>
        <v>1</v>
      </c>
      <c r="M1696" s="3" t="n">
        <f aca="false">IF(K1696&gt;=Parametri!$B$1,1,0)</f>
        <v>0</v>
      </c>
      <c r="N1696" s="3" t="n">
        <f aca="false">L1696*M1696</f>
        <v>0</v>
      </c>
    </row>
    <row r="1697" customFormat="false" ht="15" hidden="false" customHeight="false" outlineLevel="0" collapsed="false">
      <c r="A1697" s="0" t="s">
        <v>2799</v>
      </c>
      <c r="B1697" s="0" t="s">
        <v>17</v>
      </c>
      <c r="C1697" s="0" t="s">
        <v>208</v>
      </c>
      <c r="D1697" s="0" t="s">
        <v>19</v>
      </c>
      <c r="E1697" s="2" t="n">
        <v>46221</v>
      </c>
      <c r="F1697" s="3" t="s">
        <v>20</v>
      </c>
      <c r="G1697" s="3" t="s">
        <v>89</v>
      </c>
      <c r="H1697" s="3" t="s">
        <v>29</v>
      </c>
      <c r="I1697" s="3" t="n">
        <f aca="false">YEAR(E1697)</f>
        <v>2026</v>
      </c>
      <c r="J1697" s="3" t="n">
        <f aca="false">MONTH(E1697)</f>
        <v>7</v>
      </c>
      <c r="K1697" s="3" t="n">
        <f aca="false">COUNTIFS($B$2:$B$4077,B1697,$C$2:$C$4077,C1697,$I$2:$I$4077,I1697)</f>
        <v>4</v>
      </c>
      <c r="L1697" s="3" t="n">
        <f aca="false">IF(COUNTIFS($B$2:B1697,B1697,$C$2:C1697,C1697,$I$2:I1697,I1697)=1,1,0)</f>
        <v>0</v>
      </c>
      <c r="M1697" s="3" t="n">
        <f aca="false">IF(K1697&gt;=Parametri!$B$1,1,0)</f>
        <v>1</v>
      </c>
      <c r="N1697" s="3" t="n">
        <f aca="false">L1697*M1697</f>
        <v>0</v>
      </c>
    </row>
    <row r="1698" customFormat="false" ht="15" hidden="false" customHeight="false" outlineLevel="0" collapsed="false">
      <c r="A1698" s="0" t="s">
        <v>2800</v>
      </c>
      <c r="B1698" s="0" t="s">
        <v>17</v>
      </c>
      <c r="C1698" s="0" t="s">
        <v>2007</v>
      </c>
      <c r="D1698" s="0" t="s">
        <v>33</v>
      </c>
      <c r="E1698" s="2" t="n">
        <v>45656</v>
      </c>
      <c r="F1698" s="3" t="s">
        <v>27</v>
      </c>
      <c r="G1698" s="3" t="s">
        <v>72</v>
      </c>
      <c r="H1698" s="3" t="s">
        <v>44</v>
      </c>
      <c r="I1698" s="3" t="n">
        <f aca="false">YEAR(E1698)</f>
        <v>2024</v>
      </c>
      <c r="J1698" s="3" t="n">
        <f aca="false">MONTH(E1698)</f>
        <v>12</v>
      </c>
      <c r="K1698" s="3" t="n">
        <f aca="false">COUNTIFS($B$2:$B$4077,B1698,$C$2:$C$4077,C1698,$I$2:$I$4077,I1698)</f>
        <v>3</v>
      </c>
      <c r="L1698" s="3" t="n">
        <f aca="false">IF(COUNTIFS($B$2:B1698,B1698,$C$2:C1698,C1698,$I$2:I1698,I1698)=1,1,0)</f>
        <v>0</v>
      </c>
      <c r="M1698" s="3" t="n">
        <f aca="false">IF(K1698&gt;=Parametri!$B$1,1,0)</f>
        <v>1</v>
      </c>
      <c r="N1698" s="3" t="n">
        <f aca="false">L1698*M1698</f>
        <v>0</v>
      </c>
    </row>
    <row r="1699" customFormat="false" ht="15" hidden="false" customHeight="false" outlineLevel="0" collapsed="false">
      <c r="A1699" s="0" t="s">
        <v>2801</v>
      </c>
      <c r="B1699" s="0" t="s">
        <v>41</v>
      </c>
      <c r="C1699" s="0" t="s">
        <v>2802</v>
      </c>
      <c r="D1699" s="0" t="s">
        <v>54</v>
      </c>
      <c r="E1699" s="2" t="n">
        <v>45798</v>
      </c>
      <c r="F1699" s="3" t="s">
        <v>34</v>
      </c>
      <c r="G1699" s="3" t="s">
        <v>28</v>
      </c>
      <c r="H1699" s="3" t="s">
        <v>44</v>
      </c>
      <c r="I1699" s="3" t="n">
        <f aca="false">YEAR(E1699)</f>
        <v>2025</v>
      </c>
      <c r="J1699" s="3" t="n">
        <f aca="false">MONTH(E1699)</f>
        <v>5</v>
      </c>
      <c r="K1699" s="3" t="n">
        <f aca="false">COUNTIFS($B$2:$B$4077,B1699,$C$2:$C$4077,C1699,$I$2:$I$4077,I1699)</f>
        <v>2</v>
      </c>
      <c r="L1699" s="3" t="n">
        <f aca="false">IF(COUNTIFS($B$2:B1699,B1699,$C$2:C1699,C1699,$I$2:I1699,I1699)=1,1,0)</f>
        <v>1</v>
      </c>
      <c r="M1699" s="3" t="n">
        <f aca="false">IF(K1699&gt;=Parametri!$B$1,1,0)</f>
        <v>1</v>
      </c>
      <c r="N1699" s="3" t="n">
        <f aca="false">L1699*M1699</f>
        <v>1</v>
      </c>
    </row>
    <row r="1700" customFormat="false" ht="15" hidden="false" customHeight="false" outlineLevel="0" collapsed="false">
      <c r="A1700" s="0" t="s">
        <v>2803</v>
      </c>
      <c r="B1700" s="0" t="s">
        <v>17</v>
      </c>
      <c r="C1700" s="0" t="s">
        <v>985</v>
      </c>
      <c r="D1700" s="0" t="s">
        <v>33</v>
      </c>
      <c r="E1700" s="2" t="n">
        <v>46198</v>
      </c>
      <c r="F1700" s="3" t="s">
        <v>20</v>
      </c>
      <c r="G1700" s="3" t="s">
        <v>28</v>
      </c>
      <c r="H1700" s="3" t="s">
        <v>44</v>
      </c>
      <c r="I1700" s="3" t="n">
        <f aca="false">YEAR(E1700)</f>
        <v>2026</v>
      </c>
      <c r="J1700" s="3" t="n">
        <f aca="false">MONTH(E1700)</f>
        <v>6</v>
      </c>
      <c r="K1700" s="3" t="n">
        <f aca="false">COUNTIFS($B$2:$B$4077,B1700,$C$2:$C$4077,C1700,$I$2:$I$4077,I1700)</f>
        <v>2</v>
      </c>
      <c r="L1700" s="3" t="n">
        <f aca="false">IF(COUNTIFS($B$2:B1700,B1700,$C$2:C1700,C1700,$I$2:I1700,I1700)=1,1,0)</f>
        <v>0</v>
      </c>
      <c r="M1700" s="3" t="n">
        <f aca="false">IF(K1700&gt;=Parametri!$B$1,1,0)</f>
        <v>1</v>
      </c>
      <c r="N1700" s="3" t="n">
        <f aca="false">L1700*M1700</f>
        <v>0</v>
      </c>
    </row>
    <row r="1701" customFormat="false" ht="15" hidden="false" customHeight="false" outlineLevel="0" collapsed="false">
      <c r="A1701" s="0" t="s">
        <v>2804</v>
      </c>
      <c r="B1701" s="0" t="s">
        <v>68</v>
      </c>
      <c r="C1701" s="0" t="s">
        <v>106</v>
      </c>
      <c r="D1701" s="0" t="s">
        <v>33</v>
      </c>
      <c r="E1701" s="2" t="n">
        <v>45875</v>
      </c>
      <c r="F1701" s="3" t="s">
        <v>34</v>
      </c>
      <c r="G1701" s="3" t="s">
        <v>28</v>
      </c>
      <c r="H1701" s="3" t="s">
        <v>44</v>
      </c>
      <c r="I1701" s="3" t="n">
        <f aca="false">YEAR(E1701)</f>
        <v>2025</v>
      </c>
      <c r="J1701" s="3" t="n">
        <f aca="false">MONTH(E1701)</f>
        <v>8</v>
      </c>
      <c r="K1701" s="3" t="n">
        <f aca="false">COUNTIFS($B$2:$B$4077,B1701,$C$2:$C$4077,C1701,$I$2:$I$4077,I1701)</f>
        <v>2</v>
      </c>
      <c r="L1701" s="3" t="n">
        <f aca="false">IF(COUNTIFS($B$2:B1701,B1701,$C$2:C1701,C1701,$I$2:I1701,I1701)=1,1,0)</f>
        <v>1</v>
      </c>
      <c r="M1701" s="3" t="n">
        <f aca="false">IF(K1701&gt;=Parametri!$B$1,1,0)</f>
        <v>1</v>
      </c>
      <c r="N1701" s="3" t="n">
        <f aca="false">L1701*M1701</f>
        <v>1</v>
      </c>
    </row>
    <row r="1702" customFormat="false" ht="15" hidden="false" customHeight="false" outlineLevel="0" collapsed="false">
      <c r="A1702" s="0" t="s">
        <v>2805</v>
      </c>
      <c r="B1702" s="0" t="s">
        <v>41</v>
      </c>
      <c r="C1702" s="0" t="s">
        <v>598</v>
      </c>
      <c r="D1702" s="0" t="s">
        <v>66</v>
      </c>
      <c r="E1702" s="2" t="n">
        <v>45773</v>
      </c>
      <c r="F1702" s="3" t="s">
        <v>20</v>
      </c>
      <c r="G1702" s="3" t="s">
        <v>39</v>
      </c>
      <c r="H1702" s="3" t="s">
        <v>44</v>
      </c>
      <c r="I1702" s="3" t="n">
        <f aca="false">YEAR(E1702)</f>
        <v>2025</v>
      </c>
      <c r="J1702" s="3" t="n">
        <f aca="false">MONTH(E1702)</f>
        <v>4</v>
      </c>
      <c r="K1702" s="3" t="n">
        <f aca="false">COUNTIFS($B$2:$B$4077,B1702,$C$2:$C$4077,C1702,$I$2:$I$4077,I1702)</f>
        <v>1</v>
      </c>
      <c r="L1702" s="3" t="n">
        <f aca="false">IF(COUNTIFS($B$2:B1702,B1702,$C$2:C1702,C1702,$I$2:I1702,I1702)=1,1,0)</f>
        <v>1</v>
      </c>
      <c r="M1702" s="3" t="n">
        <f aca="false">IF(K1702&gt;=Parametri!$B$1,1,0)</f>
        <v>0</v>
      </c>
      <c r="N1702" s="3" t="n">
        <f aca="false">L1702*M1702</f>
        <v>0</v>
      </c>
    </row>
    <row r="1703" customFormat="false" ht="15" hidden="false" customHeight="false" outlineLevel="0" collapsed="false">
      <c r="A1703" s="0" t="s">
        <v>2806</v>
      </c>
      <c r="B1703" s="0" t="s">
        <v>124</v>
      </c>
      <c r="C1703" s="0" t="s">
        <v>196</v>
      </c>
      <c r="D1703" s="0" t="s">
        <v>38</v>
      </c>
      <c r="E1703" s="2" t="n">
        <v>45761</v>
      </c>
      <c r="F1703" s="3" t="s">
        <v>34</v>
      </c>
      <c r="G1703" s="3" t="s">
        <v>21</v>
      </c>
      <c r="H1703" s="3" t="s">
        <v>29</v>
      </c>
      <c r="I1703" s="3" t="n">
        <f aca="false">YEAR(E1703)</f>
        <v>2025</v>
      </c>
      <c r="J1703" s="3" t="n">
        <f aca="false">MONTH(E1703)</f>
        <v>4</v>
      </c>
      <c r="K1703" s="3" t="n">
        <f aca="false">COUNTIFS($B$2:$B$4077,B1703,$C$2:$C$4077,C1703,$I$2:$I$4077,I1703)</f>
        <v>4</v>
      </c>
      <c r="L1703" s="3" t="n">
        <f aca="false">IF(COUNTIFS($B$2:B1703,B1703,$C$2:C1703,C1703,$I$2:I1703,I1703)=1,1,0)</f>
        <v>0</v>
      </c>
      <c r="M1703" s="3" t="n">
        <f aca="false">IF(K1703&gt;=Parametri!$B$1,1,0)</f>
        <v>1</v>
      </c>
      <c r="N1703" s="3" t="n">
        <f aca="false">L1703*M1703</f>
        <v>0</v>
      </c>
    </row>
    <row r="1704" customFormat="false" ht="15" hidden="false" customHeight="false" outlineLevel="0" collapsed="false">
      <c r="A1704" s="0" t="s">
        <v>2807</v>
      </c>
      <c r="B1704" s="0" t="s">
        <v>41</v>
      </c>
      <c r="C1704" s="0" t="s">
        <v>2808</v>
      </c>
      <c r="D1704" s="0" t="s">
        <v>38</v>
      </c>
      <c r="E1704" s="2" t="n">
        <v>45471</v>
      </c>
      <c r="F1704" s="3" t="s">
        <v>20</v>
      </c>
      <c r="G1704" s="3" t="s">
        <v>43</v>
      </c>
      <c r="H1704" s="3" t="s">
        <v>29</v>
      </c>
      <c r="I1704" s="3" t="n">
        <f aca="false">YEAR(E1704)</f>
        <v>2024</v>
      </c>
      <c r="J1704" s="3" t="n">
        <f aca="false">MONTH(E1704)</f>
        <v>6</v>
      </c>
      <c r="K1704" s="3" t="n">
        <f aca="false">COUNTIFS($B$2:$B$4077,B1704,$C$2:$C$4077,C1704,$I$2:$I$4077,I1704)</f>
        <v>2</v>
      </c>
      <c r="L1704" s="3" t="n">
        <f aca="false">IF(COUNTIFS($B$2:B1704,B1704,$C$2:C1704,C1704,$I$2:I1704,I1704)=1,1,0)</f>
        <v>1</v>
      </c>
      <c r="M1704" s="3" t="n">
        <f aca="false">IF(K1704&gt;=Parametri!$B$1,1,0)</f>
        <v>1</v>
      </c>
      <c r="N1704" s="3" t="n">
        <f aca="false">L1704*M1704</f>
        <v>1</v>
      </c>
    </row>
    <row r="1705" customFormat="false" ht="15" hidden="false" customHeight="false" outlineLevel="0" collapsed="false">
      <c r="A1705" s="0" t="s">
        <v>2809</v>
      </c>
      <c r="B1705" s="0" t="s">
        <v>124</v>
      </c>
      <c r="C1705" s="0" t="s">
        <v>2810</v>
      </c>
      <c r="D1705" s="0" t="s">
        <v>63</v>
      </c>
      <c r="E1705" s="2" t="n">
        <v>46096</v>
      </c>
      <c r="F1705" s="3" t="s">
        <v>20</v>
      </c>
      <c r="G1705" s="3" t="s">
        <v>72</v>
      </c>
      <c r="H1705" s="3" t="s">
        <v>48</v>
      </c>
      <c r="I1705" s="3" t="n">
        <f aca="false">YEAR(E1705)</f>
        <v>2026</v>
      </c>
      <c r="J1705" s="3" t="n">
        <f aca="false">MONTH(E1705)</f>
        <v>3</v>
      </c>
      <c r="K1705" s="3" t="n">
        <f aca="false">COUNTIFS($B$2:$B$4077,B1705,$C$2:$C$4077,C1705,$I$2:$I$4077,I1705)</f>
        <v>3</v>
      </c>
      <c r="L1705" s="3" t="n">
        <f aca="false">IF(COUNTIFS($B$2:B1705,B1705,$C$2:C1705,C1705,$I$2:I1705,I1705)=1,1,0)</f>
        <v>1</v>
      </c>
      <c r="M1705" s="3" t="n">
        <f aca="false">IF(K1705&gt;=Parametri!$B$1,1,0)</f>
        <v>1</v>
      </c>
      <c r="N1705" s="3" t="n">
        <f aca="false">L1705*M1705</f>
        <v>1</v>
      </c>
    </row>
    <row r="1706" customFormat="false" ht="15" hidden="false" customHeight="false" outlineLevel="0" collapsed="false">
      <c r="A1706" s="0" t="s">
        <v>2811</v>
      </c>
      <c r="B1706" s="0" t="s">
        <v>50</v>
      </c>
      <c r="C1706" s="0" t="s">
        <v>533</v>
      </c>
      <c r="D1706" s="0" t="s">
        <v>66</v>
      </c>
      <c r="E1706" s="2" t="n">
        <v>46212</v>
      </c>
      <c r="F1706" s="3" t="s">
        <v>20</v>
      </c>
      <c r="G1706" s="3" t="s">
        <v>55</v>
      </c>
      <c r="H1706" s="3" t="s">
        <v>22</v>
      </c>
      <c r="I1706" s="3" t="n">
        <f aca="false">YEAR(E1706)</f>
        <v>2026</v>
      </c>
      <c r="J1706" s="3" t="n">
        <f aca="false">MONTH(E1706)</f>
        <v>7</v>
      </c>
      <c r="K1706" s="3" t="n">
        <f aca="false">COUNTIFS($B$2:$B$4077,B1706,$C$2:$C$4077,C1706,$I$2:$I$4077,I1706)</f>
        <v>3</v>
      </c>
      <c r="L1706" s="3" t="n">
        <f aca="false">IF(COUNTIFS($B$2:B1706,B1706,$C$2:C1706,C1706,$I$2:I1706,I1706)=1,1,0)</f>
        <v>0</v>
      </c>
      <c r="M1706" s="3" t="n">
        <f aca="false">IF(K1706&gt;=Parametri!$B$1,1,0)</f>
        <v>1</v>
      </c>
      <c r="N1706" s="3" t="n">
        <f aca="false">L1706*M1706</f>
        <v>0</v>
      </c>
    </row>
    <row r="1707" customFormat="false" ht="15" hidden="false" customHeight="false" outlineLevel="0" collapsed="false">
      <c r="A1707" s="0" t="s">
        <v>2812</v>
      </c>
      <c r="B1707" s="0" t="s">
        <v>24</v>
      </c>
      <c r="C1707" s="0" t="s">
        <v>2813</v>
      </c>
      <c r="D1707" s="0" t="s">
        <v>26</v>
      </c>
      <c r="E1707" s="2" t="n">
        <v>45743</v>
      </c>
      <c r="F1707" s="3" t="s">
        <v>34</v>
      </c>
      <c r="G1707" s="3" t="s">
        <v>55</v>
      </c>
      <c r="H1707" s="3" t="s">
        <v>29</v>
      </c>
      <c r="I1707" s="3" t="n">
        <f aca="false">YEAR(E1707)</f>
        <v>2025</v>
      </c>
      <c r="J1707" s="3" t="n">
        <f aca="false">MONTH(E1707)</f>
        <v>3</v>
      </c>
      <c r="K1707" s="3" t="n">
        <f aca="false">COUNTIFS($B$2:$B$4077,B1707,$C$2:$C$4077,C1707,$I$2:$I$4077,I1707)</f>
        <v>1</v>
      </c>
      <c r="L1707" s="3" t="n">
        <f aca="false">IF(COUNTIFS($B$2:B1707,B1707,$C$2:C1707,C1707,$I$2:I1707,I1707)=1,1,0)</f>
        <v>1</v>
      </c>
      <c r="M1707" s="3" t="n">
        <f aca="false">IF(K1707&gt;=Parametri!$B$1,1,0)</f>
        <v>0</v>
      </c>
      <c r="N1707" s="3" t="n">
        <f aca="false">L1707*M1707</f>
        <v>0</v>
      </c>
    </row>
    <row r="1708" customFormat="false" ht="15" hidden="false" customHeight="false" outlineLevel="0" collapsed="false">
      <c r="A1708" s="0" t="s">
        <v>2814</v>
      </c>
      <c r="B1708" s="0" t="s">
        <v>24</v>
      </c>
      <c r="C1708" s="0" t="s">
        <v>2815</v>
      </c>
      <c r="D1708" s="0" t="s">
        <v>66</v>
      </c>
      <c r="E1708" s="2" t="n">
        <v>45494</v>
      </c>
      <c r="F1708" s="3" t="s">
        <v>20</v>
      </c>
      <c r="G1708" s="3" t="s">
        <v>28</v>
      </c>
      <c r="H1708" s="3" t="s">
        <v>22</v>
      </c>
      <c r="I1708" s="3" t="n">
        <f aca="false">YEAR(E1708)</f>
        <v>2024</v>
      </c>
      <c r="J1708" s="3" t="n">
        <f aca="false">MONTH(E1708)</f>
        <v>7</v>
      </c>
      <c r="K1708" s="3" t="n">
        <f aca="false">COUNTIFS($B$2:$B$4077,B1708,$C$2:$C$4077,C1708,$I$2:$I$4077,I1708)</f>
        <v>1</v>
      </c>
      <c r="L1708" s="3" t="n">
        <f aca="false">IF(COUNTIFS($B$2:B1708,B1708,$C$2:C1708,C1708,$I$2:I1708,I1708)=1,1,0)</f>
        <v>1</v>
      </c>
      <c r="M1708" s="3" t="n">
        <f aca="false">IF(K1708&gt;=Parametri!$B$1,1,0)</f>
        <v>0</v>
      </c>
      <c r="N1708" s="3" t="n">
        <f aca="false">L1708*M1708</f>
        <v>0</v>
      </c>
    </row>
    <row r="1709" customFormat="false" ht="15" hidden="false" customHeight="false" outlineLevel="0" collapsed="false">
      <c r="A1709" s="0" t="s">
        <v>2816</v>
      </c>
      <c r="B1709" s="0" t="s">
        <v>31</v>
      </c>
      <c r="C1709" s="0" t="s">
        <v>2817</v>
      </c>
      <c r="D1709" s="0" t="s">
        <v>63</v>
      </c>
      <c r="E1709" s="2" t="n">
        <v>45644</v>
      </c>
      <c r="F1709" s="3" t="s">
        <v>27</v>
      </c>
      <c r="G1709" s="3" t="s">
        <v>39</v>
      </c>
      <c r="H1709" s="3" t="s">
        <v>48</v>
      </c>
      <c r="I1709" s="3" t="n">
        <f aca="false">YEAR(E1709)</f>
        <v>2024</v>
      </c>
      <c r="J1709" s="3" t="n">
        <f aca="false">MONTH(E1709)</f>
        <v>12</v>
      </c>
      <c r="K1709" s="3" t="n">
        <f aca="false">COUNTIFS($B$2:$B$4077,B1709,$C$2:$C$4077,C1709,$I$2:$I$4077,I1709)</f>
        <v>1</v>
      </c>
      <c r="L1709" s="3" t="n">
        <f aca="false">IF(COUNTIFS($B$2:B1709,B1709,$C$2:C1709,C1709,$I$2:I1709,I1709)=1,1,0)</f>
        <v>1</v>
      </c>
      <c r="M1709" s="3" t="n">
        <f aca="false">IF(K1709&gt;=Parametri!$B$1,1,0)</f>
        <v>0</v>
      </c>
      <c r="N1709" s="3" t="n">
        <f aca="false">L1709*M1709</f>
        <v>0</v>
      </c>
    </row>
    <row r="1710" customFormat="false" ht="15" hidden="false" customHeight="false" outlineLevel="0" collapsed="false">
      <c r="A1710" s="0" t="s">
        <v>2818</v>
      </c>
      <c r="B1710" s="0" t="s">
        <v>41</v>
      </c>
      <c r="C1710" s="0" t="s">
        <v>170</v>
      </c>
      <c r="D1710" s="0" t="s">
        <v>38</v>
      </c>
      <c r="E1710" s="2" t="n">
        <v>45764</v>
      </c>
      <c r="F1710" s="3" t="s">
        <v>20</v>
      </c>
      <c r="G1710" s="3" t="s">
        <v>72</v>
      </c>
      <c r="H1710" s="3" t="s">
        <v>22</v>
      </c>
      <c r="I1710" s="3" t="n">
        <f aca="false">YEAR(E1710)</f>
        <v>2025</v>
      </c>
      <c r="J1710" s="3" t="n">
        <f aca="false">MONTH(E1710)</f>
        <v>4</v>
      </c>
      <c r="K1710" s="3" t="n">
        <f aca="false">COUNTIFS($B$2:$B$4077,B1710,$C$2:$C$4077,C1710,$I$2:$I$4077,I1710)</f>
        <v>4</v>
      </c>
      <c r="L1710" s="3" t="n">
        <f aca="false">IF(COUNTIFS($B$2:B1710,B1710,$C$2:C1710,C1710,$I$2:I1710,I1710)=1,1,0)</f>
        <v>0</v>
      </c>
      <c r="M1710" s="3" t="n">
        <f aca="false">IF(K1710&gt;=Parametri!$B$1,1,0)</f>
        <v>1</v>
      </c>
      <c r="N1710" s="3" t="n">
        <f aca="false">L1710*M1710</f>
        <v>0</v>
      </c>
    </row>
    <row r="1711" customFormat="false" ht="15" hidden="false" customHeight="false" outlineLevel="0" collapsed="false">
      <c r="A1711" s="0" t="s">
        <v>2819</v>
      </c>
      <c r="B1711" s="0" t="s">
        <v>17</v>
      </c>
      <c r="C1711" s="0" t="s">
        <v>2753</v>
      </c>
      <c r="D1711" s="0" t="s">
        <v>38</v>
      </c>
      <c r="E1711" s="2" t="n">
        <v>45820</v>
      </c>
      <c r="F1711" s="3" t="s">
        <v>20</v>
      </c>
      <c r="G1711" s="3" t="s">
        <v>55</v>
      </c>
      <c r="H1711" s="3" t="s">
        <v>44</v>
      </c>
      <c r="I1711" s="3" t="n">
        <f aca="false">YEAR(E1711)</f>
        <v>2025</v>
      </c>
      <c r="J1711" s="3" t="n">
        <f aca="false">MONTH(E1711)</f>
        <v>6</v>
      </c>
      <c r="K1711" s="3" t="n">
        <f aca="false">COUNTIFS($B$2:$B$4077,B1711,$C$2:$C$4077,C1711,$I$2:$I$4077,I1711)</f>
        <v>1</v>
      </c>
      <c r="L1711" s="3" t="n">
        <f aca="false">IF(COUNTIFS($B$2:B1711,B1711,$C$2:C1711,C1711,$I$2:I1711,I1711)=1,1,0)</f>
        <v>1</v>
      </c>
      <c r="M1711" s="3" t="n">
        <f aca="false">IF(K1711&gt;=Parametri!$B$1,1,0)</f>
        <v>0</v>
      </c>
      <c r="N1711" s="3" t="n">
        <f aca="false">L1711*M1711</f>
        <v>0</v>
      </c>
    </row>
    <row r="1712" customFormat="false" ht="15" hidden="false" customHeight="false" outlineLevel="0" collapsed="false">
      <c r="A1712" s="0" t="s">
        <v>2820</v>
      </c>
      <c r="B1712" s="0" t="s">
        <v>41</v>
      </c>
      <c r="C1712" s="0" t="s">
        <v>2821</v>
      </c>
      <c r="D1712" s="0" t="s">
        <v>26</v>
      </c>
      <c r="E1712" s="2" t="n">
        <v>46207</v>
      </c>
      <c r="F1712" s="3" t="s">
        <v>27</v>
      </c>
      <c r="G1712" s="3" t="s">
        <v>39</v>
      </c>
      <c r="H1712" s="3" t="s">
        <v>44</v>
      </c>
      <c r="I1712" s="3" t="n">
        <f aca="false">YEAR(E1712)</f>
        <v>2026</v>
      </c>
      <c r="J1712" s="3" t="n">
        <f aca="false">MONTH(E1712)</f>
        <v>7</v>
      </c>
      <c r="K1712" s="3" t="n">
        <f aca="false">COUNTIFS($B$2:$B$4077,B1712,$C$2:$C$4077,C1712,$I$2:$I$4077,I1712)</f>
        <v>1</v>
      </c>
      <c r="L1712" s="3" t="n">
        <f aca="false">IF(COUNTIFS($B$2:B1712,B1712,$C$2:C1712,C1712,$I$2:I1712,I1712)=1,1,0)</f>
        <v>1</v>
      </c>
      <c r="M1712" s="3" t="n">
        <f aca="false">IF(K1712&gt;=Parametri!$B$1,1,0)</f>
        <v>0</v>
      </c>
      <c r="N1712" s="3" t="n">
        <f aca="false">L1712*M1712</f>
        <v>0</v>
      </c>
    </row>
    <row r="1713" customFormat="false" ht="15" hidden="false" customHeight="false" outlineLevel="0" collapsed="false">
      <c r="A1713" s="0" t="s">
        <v>2822</v>
      </c>
      <c r="B1713" s="0" t="s">
        <v>24</v>
      </c>
      <c r="C1713" s="0" t="s">
        <v>2720</v>
      </c>
      <c r="D1713" s="0" t="s">
        <v>19</v>
      </c>
      <c r="E1713" s="2" t="n">
        <v>45622</v>
      </c>
      <c r="F1713" s="3" t="s">
        <v>20</v>
      </c>
      <c r="G1713" s="3" t="s">
        <v>55</v>
      </c>
      <c r="H1713" s="3" t="s">
        <v>29</v>
      </c>
      <c r="I1713" s="3" t="n">
        <f aca="false">YEAR(E1713)</f>
        <v>2024</v>
      </c>
      <c r="J1713" s="3" t="n">
        <f aca="false">MONTH(E1713)</f>
        <v>11</v>
      </c>
      <c r="K1713" s="3" t="n">
        <f aca="false">COUNTIFS($B$2:$B$4077,B1713,$C$2:$C$4077,C1713,$I$2:$I$4077,I1713)</f>
        <v>1</v>
      </c>
      <c r="L1713" s="3" t="n">
        <f aca="false">IF(COUNTIFS($B$2:B1713,B1713,$C$2:C1713,C1713,$I$2:I1713,I1713)=1,1,0)</f>
        <v>1</v>
      </c>
      <c r="M1713" s="3" t="n">
        <f aca="false">IF(K1713&gt;=Parametri!$B$1,1,0)</f>
        <v>0</v>
      </c>
      <c r="N1713" s="3" t="n">
        <f aca="false">L1713*M1713</f>
        <v>0</v>
      </c>
    </row>
    <row r="1714" customFormat="false" ht="15" hidden="false" customHeight="false" outlineLevel="0" collapsed="false">
      <c r="A1714" s="0" t="s">
        <v>2823</v>
      </c>
      <c r="B1714" s="0" t="s">
        <v>79</v>
      </c>
      <c r="C1714" s="0" t="s">
        <v>417</v>
      </c>
      <c r="D1714" s="0" t="s">
        <v>19</v>
      </c>
      <c r="E1714" s="2" t="n">
        <v>45833</v>
      </c>
      <c r="F1714" s="3" t="s">
        <v>20</v>
      </c>
      <c r="G1714" s="3" t="s">
        <v>43</v>
      </c>
      <c r="H1714" s="3" t="s">
        <v>48</v>
      </c>
      <c r="I1714" s="3" t="n">
        <f aca="false">YEAR(E1714)</f>
        <v>2025</v>
      </c>
      <c r="J1714" s="3" t="n">
        <f aca="false">MONTH(E1714)</f>
        <v>6</v>
      </c>
      <c r="K1714" s="3" t="n">
        <f aca="false">COUNTIFS($B$2:$B$4077,B1714,$C$2:$C$4077,C1714,$I$2:$I$4077,I1714)</f>
        <v>1</v>
      </c>
      <c r="L1714" s="3" t="n">
        <f aca="false">IF(COUNTIFS($B$2:B1714,B1714,$C$2:C1714,C1714,$I$2:I1714,I1714)=1,1,0)</f>
        <v>1</v>
      </c>
      <c r="M1714" s="3" t="n">
        <f aca="false">IF(K1714&gt;=Parametri!$B$1,1,0)</f>
        <v>0</v>
      </c>
      <c r="N1714" s="3" t="n">
        <f aca="false">L1714*M1714</f>
        <v>0</v>
      </c>
    </row>
    <row r="1715" customFormat="false" ht="15" hidden="false" customHeight="false" outlineLevel="0" collapsed="false">
      <c r="A1715" s="0" t="s">
        <v>2824</v>
      </c>
      <c r="B1715" s="0" t="s">
        <v>46</v>
      </c>
      <c r="C1715" s="0" t="s">
        <v>2825</v>
      </c>
      <c r="D1715" s="0" t="s">
        <v>77</v>
      </c>
      <c r="E1715" s="2" t="n">
        <v>45634</v>
      </c>
      <c r="F1715" s="3" t="s">
        <v>34</v>
      </c>
      <c r="G1715" s="3" t="s">
        <v>21</v>
      </c>
      <c r="H1715" s="3" t="s">
        <v>29</v>
      </c>
      <c r="I1715" s="3" t="n">
        <f aca="false">YEAR(E1715)</f>
        <v>2024</v>
      </c>
      <c r="J1715" s="3" t="n">
        <f aca="false">MONTH(E1715)</f>
        <v>12</v>
      </c>
      <c r="K1715" s="3" t="n">
        <f aca="false">COUNTIFS($B$2:$B$4077,B1715,$C$2:$C$4077,C1715,$I$2:$I$4077,I1715)</f>
        <v>2</v>
      </c>
      <c r="L1715" s="3" t="n">
        <f aca="false">IF(COUNTIFS($B$2:B1715,B1715,$C$2:C1715,C1715,$I$2:I1715,I1715)=1,1,0)</f>
        <v>1</v>
      </c>
      <c r="M1715" s="3" t="n">
        <f aca="false">IF(K1715&gt;=Parametri!$B$1,1,0)</f>
        <v>1</v>
      </c>
      <c r="N1715" s="3" t="n">
        <f aca="false">L1715*M1715</f>
        <v>1</v>
      </c>
    </row>
    <row r="1716" customFormat="false" ht="15" hidden="false" customHeight="false" outlineLevel="0" collapsed="false">
      <c r="A1716" s="0" t="s">
        <v>2826</v>
      </c>
      <c r="B1716" s="0" t="s">
        <v>31</v>
      </c>
      <c r="C1716" s="0" t="s">
        <v>2827</v>
      </c>
      <c r="D1716" s="0" t="s">
        <v>38</v>
      </c>
      <c r="E1716" s="2" t="n">
        <v>45610</v>
      </c>
      <c r="F1716" s="3" t="s">
        <v>20</v>
      </c>
      <c r="G1716" s="3" t="s">
        <v>39</v>
      </c>
      <c r="H1716" s="3" t="s">
        <v>48</v>
      </c>
      <c r="I1716" s="3" t="n">
        <f aca="false">YEAR(E1716)</f>
        <v>2024</v>
      </c>
      <c r="J1716" s="3" t="n">
        <f aca="false">MONTH(E1716)</f>
        <v>11</v>
      </c>
      <c r="K1716" s="3" t="n">
        <f aca="false">COUNTIFS($B$2:$B$4077,B1716,$C$2:$C$4077,C1716,$I$2:$I$4077,I1716)</f>
        <v>1</v>
      </c>
      <c r="L1716" s="3" t="n">
        <f aca="false">IF(COUNTIFS($B$2:B1716,B1716,$C$2:C1716,C1716,$I$2:I1716,I1716)=1,1,0)</f>
        <v>1</v>
      </c>
      <c r="M1716" s="3" t="n">
        <f aca="false">IF(K1716&gt;=Parametri!$B$1,1,0)</f>
        <v>0</v>
      </c>
      <c r="N1716" s="3" t="n">
        <f aca="false">L1716*M1716</f>
        <v>0</v>
      </c>
    </row>
    <row r="1717" customFormat="false" ht="15" hidden="false" customHeight="false" outlineLevel="0" collapsed="false">
      <c r="A1717" s="0" t="s">
        <v>2828</v>
      </c>
      <c r="B1717" s="0" t="s">
        <v>31</v>
      </c>
      <c r="C1717" s="0" t="s">
        <v>2829</v>
      </c>
      <c r="D1717" s="0" t="s">
        <v>66</v>
      </c>
      <c r="E1717" s="2" t="n">
        <v>45857</v>
      </c>
      <c r="F1717" s="3" t="s">
        <v>27</v>
      </c>
      <c r="G1717" s="3" t="s">
        <v>43</v>
      </c>
      <c r="H1717" s="3" t="s">
        <v>48</v>
      </c>
      <c r="I1717" s="3" t="n">
        <f aca="false">YEAR(E1717)</f>
        <v>2025</v>
      </c>
      <c r="J1717" s="3" t="n">
        <f aca="false">MONTH(E1717)</f>
        <v>7</v>
      </c>
      <c r="K1717" s="3" t="n">
        <f aca="false">COUNTIFS($B$2:$B$4077,B1717,$C$2:$C$4077,C1717,$I$2:$I$4077,I1717)</f>
        <v>1</v>
      </c>
      <c r="L1717" s="3" t="n">
        <f aca="false">IF(COUNTIFS($B$2:B1717,B1717,$C$2:C1717,C1717,$I$2:I1717,I1717)=1,1,0)</f>
        <v>1</v>
      </c>
      <c r="M1717" s="3" t="n">
        <f aca="false">IF(K1717&gt;=Parametri!$B$1,1,0)</f>
        <v>0</v>
      </c>
      <c r="N1717" s="3" t="n">
        <f aca="false">L1717*M1717</f>
        <v>0</v>
      </c>
    </row>
    <row r="1718" customFormat="false" ht="15" hidden="false" customHeight="false" outlineLevel="0" collapsed="false">
      <c r="A1718" s="0" t="s">
        <v>2830</v>
      </c>
      <c r="B1718" s="0" t="s">
        <v>41</v>
      </c>
      <c r="C1718" s="0" t="s">
        <v>2831</v>
      </c>
      <c r="D1718" s="0" t="s">
        <v>77</v>
      </c>
      <c r="E1718" s="2" t="n">
        <v>45917</v>
      </c>
      <c r="F1718" s="3" t="s">
        <v>27</v>
      </c>
      <c r="G1718" s="3" t="s">
        <v>55</v>
      </c>
      <c r="H1718" s="3" t="s">
        <v>29</v>
      </c>
      <c r="I1718" s="3" t="n">
        <f aca="false">YEAR(E1718)</f>
        <v>2025</v>
      </c>
      <c r="J1718" s="3" t="n">
        <f aca="false">MONTH(E1718)</f>
        <v>9</v>
      </c>
      <c r="K1718" s="3" t="n">
        <f aca="false">COUNTIFS($B$2:$B$4077,B1718,$C$2:$C$4077,C1718,$I$2:$I$4077,I1718)</f>
        <v>1</v>
      </c>
      <c r="L1718" s="3" t="n">
        <f aca="false">IF(COUNTIFS($B$2:B1718,B1718,$C$2:C1718,C1718,$I$2:I1718,I1718)=1,1,0)</f>
        <v>1</v>
      </c>
      <c r="M1718" s="3" t="n">
        <f aca="false">IF(K1718&gt;=Parametri!$B$1,1,0)</f>
        <v>0</v>
      </c>
      <c r="N1718" s="3" t="n">
        <f aca="false">L1718*M1718</f>
        <v>0</v>
      </c>
    </row>
    <row r="1719" customFormat="false" ht="15" hidden="false" customHeight="false" outlineLevel="0" collapsed="false">
      <c r="A1719" s="0" t="s">
        <v>2832</v>
      </c>
      <c r="B1719" s="0" t="s">
        <v>124</v>
      </c>
      <c r="C1719" s="0" t="s">
        <v>683</v>
      </c>
      <c r="D1719" s="0" t="s">
        <v>38</v>
      </c>
      <c r="E1719" s="2" t="n">
        <v>45868</v>
      </c>
      <c r="F1719" s="3" t="s">
        <v>20</v>
      </c>
      <c r="G1719" s="3" t="s">
        <v>72</v>
      </c>
      <c r="H1719" s="3" t="s">
        <v>44</v>
      </c>
      <c r="I1719" s="3" t="n">
        <f aca="false">YEAR(E1719)</f>
        <v>2025</v>
      </c>
      <c r="J1719" s="3" t="n">
        <f aca="false">MONTH(E1719)</f>
        <v>7</v>
      </c>
      <c r="K1719" s="3" t="n">
        <f aca="false">COUNTIFS($B$2:$B$4077,B1719,$C$2:$C$4077,C1719,$I$2:$I$4077,I1719)</f>
        <v>2</v>
      </c>
      <c r="L1719" s="3" t="n">
        <f aca="false">IF(COUNTIFS($B$2:B1719,B1719,$C$2:C1719,C1719,$I$2:I1719,I1719)=1,1,0)</f>
        <v>0</v>
      </c>
      <c r="M1719" s="3" t="n">
        <f aca="false">IF(K1719&gt;=Parametri!$B$1,1,0)</f>
        <v>1</v>
      </c>
      <c r="N1719" s="3" t="n">
        <f aca="false">L1719*M1719</f>
        <v>0</v>
      </c>
    </row>
    <row r="1720" customFormat="false" ht="15" hidden="false" customHeight="false" outlineLevel="0" collapsed="false">
      <c r="A1720" s="0" t="s">
        <v>2833</v>
      </c>
      <c r="B1720" s="0" t="s">
        <v>57</v>
      </c>
      <c r="C1720" s="0" t="s">
        <v>2834</v>
      </c>
      <c r="D1720" s="0" t="s">
        <v>66</v>
      </c>
      <c r="E1720" s="2" t="n">
        <v>45653</v>
      </c>
      <c r="F1720" s="3" t="s">
        <v>20</v>
      </c>
      <c r="G1720" s="3" t="s">
        <v>72</v>
      </c>
      <c r="H1720" s="3" t="s">
        <v>22</v>
      </c>
      <c r="I1720" s="3" t="n">
        <f aca="false">YEAR(E1720)</f>
        <v>2024</v>
      </c>
      <c r="J1720" s="3" t="n">
        <f aca="false">MONTH(E1720)</f>
        <v>12</v>
      </c>
      <c r="K1720" s="3" t="n">
        <f aca="false">COUNTIFS($B$2:$B$4077,B1720,$C$2:$C$4077,C1720,$I$2:$I$4077,I1720)</f>
        <v>1</v>
      </c>
      <c r="L1720" s="3" t="n">
        <f aca="false">IF(COUNTIFS($B$2:B1720,B1720,$C$2:C1720,C1720,$I$2:I1720,I1720)=1,1,0)</f>
        <v>1</v>
      </c>
      <c r="M1720" s="3" t="n">
        <f aca="false">IF(K1720&gt;=Parametri!$B$1,1,0)</f>
        <v>0</v>
      </c>
      <c r="N1720" s="3" t="n">
        <f aca="false">L1720*M1720</f>
        <v>0</v>
      </c>
    </row>
    <row r="1721" customFormat="false" ht="15" hidden="false" customHeight="false" outlineLevel="0" collapsed="false">
      <c r="A1721" s="0" t="s">
        <v>2835</v>
      </c>
      <c r="B1721" s="0" t="s">
        <v>17</v>
      </c>
      <c r="C1721" s="0" t="s">
        <v>2601</v>
      </c>
      <c r="D1721" s="0" t="s">
        <v>66</v>
      </c>
      <c r="E1721" s="2" t="n">
        <v>45909</v>
      </c>
      <c r="F1721" s="3" t="s">
        <v>20</v>
      </c>
      <c r="G1721" s="3" t="s">
        <v>35</v>
      </c>
      <c r="H1721" s="3" t="s">
        <v>48</v>
      </c>
      <c r="I1721" s="3" t="n">
        <f aca="false">YEAR(E1721)</f>
        <v>2025</v>
      </c>
      <c r="J1721" s="3" t="n">
        <f aca="false">MONTH(E1721)</f>
        <v>9</v>
      </c>
      <c r="K1721" s="3" t="n">
        <f aca="false">COUNTIFS($B$2:$B$4077,B1721,$C$2:$C$4077,C1721,$I$2:$I$4077,I1721)</f>
        <v>1</v>
      </c>
      <c r="L1721" s="3" t="n">
        <f aca="false">IF(COUNTIFS($B$2:B1721,B1721,$C$2:C1721,C1721,$I$2:I1721,I1721)=1,1,0)</f>
        <v>1</v>
      </c>
      <c r="M1721" s="3" t="n">
        <f aca="false">IF(K1721&gt;=Parametri!$B$1,1,0)</f>
        <v>0</v>
      </c>
      <c r="N1721" s="3" t="n">
        <f aca="false">L1721*M1721</f>
        <v>0</v>
      </c>
    </row>
    <row r="1722" customFormat="false" ht="15" hidden="false" customHeight="false" outlineLevel="0" collapsed="false">
      <c r="A1722" s="0" t="s">
        <v>2836</v>
      </c>
      <c r="B1722" s="0" t="s">
        <v>46</v>
      </c>
      <c r="C1722" s="0" t="s">
        <v>1723</v>
      </c>
      <c r="D1722" s="0" t="s">
        <v>33</v>
      </c>
      <c r="E1722" s="2" t="n">
        <v>45911</v>
      </c>
      <c r="F1722" s="3" t="s">
        <v>34</v>
      </c>
      <c r="G1722" s="3" t="s">
        <v>72</v>
      </c>
      <c r="H1722" s="3" t="s">
        <v>48</v>
      </c>
      <c r="I1722" s="3" t="n">
        <f aca="false">YEAR(E1722)</f>
        <v>2025</v>
      </c>
      <c r="J1722" s="3" t="n">
        <f aca="false">MONTH(E1722)</f>
        <v>9</v>
      </c>
      <c r="K1722" s="3" t="n">
        <f aca="false">COUNTIFS($B$2:$B$4077,B1722,$C$2:$C$4077,C1722,$I$2:$I$4077,I1722)</f>
        <v>1</v>
      </c>
      <c r="L1722" s="3" t="n">
        <f aca="false">IF(COUNTIFS($B$2:B1722,B1722,$C$2:C1722,C1722,$I$2:I1722,I1722)=1,1,0)</f>
        <v>1</v>
      </c>
      <c r="M1722" s="3" t="n">
        <f aca="false">IF(K1722&gt;=Parametri!$B$1,1,0)</f>
        <v>0</v>
      </c>
      <c r="N1722" s="3" t="n">
        <f aca="false">L1722*M1722</f>
        <v>0</v>
      </c>
    </row>
    <row r="1723" customFormat="false" ht="15" hidden="false" customHeight="false" outlineLevel="0" collapsed="false">
      <c r="A1723" s="0" t="s">
        <v>2837</v>
      </c>
      <c r="B1723" s="0" t="s">
        <v>31</v>
      </c>
      <c r="C1723" s="0" t="s">
        <v>2838</v>
      </c>
      <c r="D1723" s="0" t="s">
        <v>77</v>
      </c>
      <c r="E1723" s="2" t="n">
        <v>45502</v>
      </c>
      <c r="F1723" s="3" t="s">
        <v>20</v>
      </c>
      <c r="G1723" s="3" t="s">
        <v>72</v>
      </c>
      <c r="H1723" s="3" t="s">
        <v>22</v>
      </c>
      <c r="I1723" s="3" t="n">
        <f aca="false">YEAR(E1723)</f>
        <v>2024</v>
      </c>
      <c r="J1723" s="3" t="n">
        <f aca="false">MONTH(E1723)</f>
        <v>7</v>
      </c>
      <c r="K1723" s="3" t="n">
        <f aca="false">COUNTIFS($B$2:$B$4077,B1723,$C$2:$C$4077,C1723,$I$2:$I$4077,I1723)</f>
        <v>1</v>
      </c>
      <c r="L1723" s="3" t="n">
        <f aca="false">IF(COUNTIFS($B$2:B1723,B1723,$C$2:C1723,C1723,$I$2:I1723,I1723)=1,1,0)</f>
        <v>1</v>
      </c>
      <c r="M1723" s="3" t="n">
        <f aca="false">IF(K1723&gt;=Parametri!$B$1,1,0)</f>
        <v>0</v>
      </c>
      <c r="N1723" s="3" t="n">
        <f aca="false">L1723*M1723</f>
        <v>0</v>
      </c>
    </row>
    <row r="1724" customFormat="false" ht="15" hidden="false" customHeight="false" outlineLevel="0" collapsed="false">
      <c r="A1724" s="0" t="s">
        <v>2839</v>
      </c>
      <c r="B1724" s="0" t="s">
        <v>79</v>
      </c>
      <c r="C1724" s="0" t="s">
        <v>149</v>
      </c>
      <c r="D1724" s="0" t="s">
        <v>38</v>
      </c>
      <c r="E1724" s="2" t="n">
        <v>45690</v>
      </c>
      <c r="F1724" s="3" t="s">
        <v>34</v>
      </c>
      <c r="G1724" s="3" t="s">
        <v>55</v>
      </c>
      <c r="H1724" s="3" t="s">
        <v>44</v>
      </c>
      <c r="I1724" s="3" t="n">
        <f aca="false">YEAR(E1724)</f>
        <v>2025</v>
      </c>
      <c r="J1724" s="3" t="n">
        <f aca="false">MONTH(E1724)</f>
        <v>2</v>
      </c>
      <c r="K1724" s="3" t="n">
        <f aca="false">COUNTIFS($B$2:$B$4077,B1724,$C$2:$C$4077,C1724,$I$2:$I$4077,I1724)</f>
        <v>5</v>
      </c>
      <c r="L1724" s="3" t="n">
        <f aca="false">IF(COUNTIFS($B$2:B1724,B1724,$C$2:C1724,C1724,$I$2:I1724,I1724)=1,1,0)</f>
        <v>0</v>
      </c>
      <c r="M1724" s="3" t="n">
        <f aca="false">IF(K1724&gt;=Parametri!$B$1,1,0)</f>
        <v>1</v>
      </c>
      <c r="N1724" s="3" t="n">
        <f aca="false">L1724*M1724</f>
        <v>0</v>
      </c>
    </row>
    <row r="1725" customFormat="false" ht="15" hidden="false" customHeight="false" outlineLevel="0" collapsed="false">
      <c r="A1725" s="0" t="s">
        <v>2840</v>
      </c>
      <c r="B1725" s="0" t="s">
        <v>79</v>
      </c>
      <c r="C1725" s="0" t="s">
        <v>401</v>
      </c>
      <c r="D1725" s="0" t="s">
        <v>54</v>
      </c>
      <c r="E1725" s="2" t="n">
        <v>45540</v>
      </c>
      <c r="F1725" s="3" t="s">
        <v>20</v>
      </c>
      <c r="G1725" s="3" t="s">
        <v>89</v>
      </c>
      <c r="H1725" s="3" t="s">
        <v>44</v>
      </c>
      <c r="I1725" s="3" t="n">
        <f aca="false">YEAR(E1725)</f>
        <v>2024</v>
      </c>
      <c r="J1725" s="3" t="n">
        <f aca="false">MONTH(E1725)</f>
        <v>9</v>
      </c>
      <c r="K1725" s="3" t="n">
        <f aca="false">COUNTIFS($B$2:$B$4077,B1725,$C$2:$C$4077,C1725,$I$2:$I$4077,I1725)</f>
        <v>3</v>
      </c>
      <c r="L1725" s="3" t="n">
        <f aca="false">IF(COUNTIFS($B$2:B1725,B1725,$C$2:C1725,C1725,$I$2:I1725,I1725)=1,1,0)</f>
        <v>0</v>
      </c>
      <c r="M1725" s="3" t="n">
        <f aca="false">IF(K1725&gt;=Parametri!$B$1,1,0)</f>
        <v>1</v>
      </c>
      <c r="N1725" s="3" t="n">
        <f aca="false">L1725*M1725</f>
        <v>0</v>
      </c>
    </row>
    <row r="1726" customFormat="false" ht="15" hidden="false" customHeight="false" outlineLevel="0" collapsed="false">
      <c r="A1726" s="0" t="s">
        <v>2841</v>
      </c>
      <c r="B1726" s="0" t="s">
        <v>68</v>
      </c>
      <c r="C1726" s="0" t="s">
        <v>2842</v>
      </c>
      <c r="D1726" s="0" t="s">
        <v>26</v>
      </c>
      <c r="E1726" s="2" t="n">
        <v>45682</v>
      </c>
      <c r="F1726" s="3" t="s">
        <v>27</v>
      </c>
      <c r="G1726" s="3" t="s">
        <v>21</v>
      </c>
      <c r="H1726" s="3" t="s">
        <v>29</v>
      </c>
      <c r="I1726" s="3" t="n">
        <f aca="false">YEAR(E1726)</f>
        <v>2025</v>
      </c>
      <c r="J1726" s="3" t="n">
        <f aca="false">MONTH(E1726)</f>
        <v>1</v>
      </c>
      <c r="K1726" s="3" t="n">
        <f aca="false">COUNTIFS($B$2:$B$4077,B1726,$C$2:$C$4077,C1726,$I$2:$I$4077,I1726)</f>
        <v>1</v>
      </c>
      <c r="L1726" s="3" t="n">
        <f aca="false">IF(COUNTIFS($B$2:B1726,B1726,$C$2:C1726,C1726,$I$2:I1726,I1726)=1,1,0)</f>
        <v>1</v>
      </c>
      <c r="M1726" s="3" t="n">
        <f aca="false">IF(K1726&gt;=Parametri!$B$1,1,0)</f>
        <v>0</v>
      </c>
      <c r="N1726" s="3" t="n">
        <f aca="false">L1726*M1726</f>
        <v>0</v>
      </c>
    </row>
    <row r="1727" customFormat="false" ht="15" hidden="false" customHeight="false" outlineLevel="0" collapsed="false">
      <c r="A1727" s="0" t="s">
        <v>2843</v>
      </c>
      <c r="B1727" s="0" t="s">
        <v>17</v>
      </c>
      <c r="C1727" s="0" t="s">
        <v>2844</v>
      </c>
      <c r="D1727" s="0" t="s">
        <v>54</v>
      </c>
      <c r="E1727" s="2" t="n">
        <v>45648</v>
      </c>
      <c r="F1727" s="3" t="s">
        <v>20</v>
      </c>
      <c r="G1727" s="3" t="s">
        <v>21</v>
      </c>
      <c r="H1727" s="3" t="s">
        <v>44</v>
      </c>
      <c r="I1727" s="3" t="n">
        <f aca="false">YEAR(E1727)</f>
        <v>2024</v>
      </c>
      <c r="J1727" s="3" t="n">
        <f aca="false">MONTH(E1727)</f>
        <v>12</v>
      </c>
      <c r="K1727" s="3" t="n">
        <f aca="false">COUNTIFS($B$2:$B$4077,B1727,$C$2:$C$4077,C1727,$I$2:$I$4077,I1727)</f>
        <v>2</v>
      </c>
      <c r="L1727" s="3" t="n">
        <f aca="false">IF(COUNTIFS($B$2:B1727,B1727,$C$2:C1727,C1727,$I$2:I1727,I1727)=1,1,0)</f>
        <v>1</v>
      </c>
      <c r="M1727" s="3" t="n">
        <f aca="false">IF(K1727&gt;=Parametri!$B$1,1,0)</f>
        <v>1</v>
      </c>
      <c r="N1727" s="3" t="n">
        <f aca="false">L1727*M1727</f>
        <v>1</v>
      </c>
    </row>
    <row r="1728" customFormat="false" ht="15" hidden="false" customHeight="false" outlineLevel="0" collapsed="false">
      <c r="A1728" s="0" t="s">
        <v>2845</v>
      </c>
      <c r="B1728" s="0" t="s">
        <v>50</v>
      </c>
      <c r="C1728" s="0" t="s">
        <v>517</v>
      </c>
      <c r="D1728" s="0" t="s">
        <v>33</v>
      </c>
      <c r="E1728" s="2" t="n">
        <v>45782</v>
      </c>
      <c r="F1728" s="3" t="s">
        <v>20</v>
      </c>
      <c r="G1728" s="3" t="s">
        <v>35</v>
      </c>
      <c r="H1728" s="3" t="s">
        <v>29</v>
      </c>
      <c r="I1728" s="3" t="n">
        <f aca="false">YEAR(E1728)</f>
        <v>2025</v>
      </c>
      <c r="J1728" s="3" t="n">
        <f aca="false">MONTH(E1728)</f>
        <v>5</v>
      </c>
      <c r="K1728" s="3" t="n">
        <f aca="false">COUNTIFS($B$2:$B$4077,B1728,$C$2:$C$4077,C1728,$I$2:$I$4077,I1728)</f>
        <v>2</v>
      </c>
      <c r="L1728" s="3" t="n">
        <f aca="false">IF(COUNTIFS($B$2:B1728,B1728,$C$2:C1728,C1728,$I$2:I1728,I1728)=1,1,0)</f>
        <v>0</v>
      </c>
      <c r="M1728" s="3" t="n">
        <f aca="false">IF(K1728&gt;=Parametri!$B$1,1,0)</f>
        <v>1</v>
      </c>
      <c r="N1728" s="3" t="n">
        <f aca="false">L1728*M1728</f>
        <v>0</v>
      </c>
    </row>
    <row r="1729" customFormat="false" ht="15" hidden="false" customHeight="false" outlineLevel="0" collapsed="false">
      <c r="A1729" s="0" t="s">
        <v>2846</v>
      </c>
      <c r="B1729" s="0" t="s">
        <v>79</v>
      </c>
      <c r="C1729" s="0" t="s">
        <v>716</v>
      </c>
      <c r="D1729" s="0" t="s">
        <v>33</v>
      </c>
      <c r="E1729" s="2" t="n">
        <v>45294</v>
      </c>
      <c r="F1729" s="3" t="s">
        <v>20</v>
      </c>
      <c r="G1729" s="3" t="s">
        <v>72</v>
      </c>
      <c r="H1729" s="3" t="s">
        <v>22</v>
      </c>
      <c r="I1729" s="3" t="n">
        <f aca="false">YEAR(E1729)</f>
        <v>2024</v>
      </c>
      <c r="J1729" s="3" t="n">
        <f aca="false">MONTH(E1729)</f>
        <v>1</v>
      </c>
      <c r="K1729" s="3" t="n">
        <f aca="false">COUNTIFS($B$2:$B$4077,B1729,$C$2:$C$4077,C1729,$I$2:$I$4077,I1729)</f>
        <v>1</v>
      </c>
      <c r="L1729" s="3" t="n">
        <f aca="false">IF(COUNTIFS($B$2:B1729,B1729,$C$2:C1729,C1729,$I$2:I1729,I1729)=1,1,0)</f>
        <v>1</v>
      </c>
      <c r="M1729" s="3" t="n">
        <f aca="false">IF(K1729&gt;=Parametri!$B$1,1,0)</f>
        <v>0</v>
      </c>
      <c r="N1729" s="3" t="n">
        <f aca="false">L1729*M1729</f>
        <v>0</v>
      </c>
    </row>
    <row r="1730" customFormat="false" ht="15" hidden="false" customHeight="false" outlineLevel="0" collapsed="false">
      <c r="A1730" s="0" t="s">
        <v>2847</v>
      </c>
      <c r="B1730" s="0" t="s">
        <v>46</v>
      </c>
      <c r="C1730" s="0" t="s">
        <v>2848</v>
      </c>
      <c r="D1730" s="0" t="s">
        <v>38</v>
      </c>
      <c r="E1730" s="2" t="n">
        <v>45807</v>
      </c>
      <c r="F1730" s="3" t="s">
        <v>20</v>
      </c>
      <c r="G1730" s="3" t="s">
        <v>72</v>
      </c>
      <c r="H1730" s="3" t="s">
        <v>29</v>
      </c>
      <c r="I1730" s="3" t="n">
        <f aca="false">YEAR(E1730)</f>
        <v>2025</v>
      </c>
      <c r="J1730" s="3" t="n">
        <f aca="false">MONTH(E1730)</f>
        <v>5</v>
      </c>
      <c r="K1730" s="3" t="n">
        <f aca="false">COUNTIFS($B$2:$B$4077,B1730,$C$2:$C$4077,C1730,$I$2:$I$4077,I1730)</f>
        <v>2</v>
      </c>
      <c r="L1730" s="3" t="n">
        <f aca="false">IF(COUNTIFS($B$2:B1730,B1730,$C$2:C1730,C1730,$I$2:I1730,I1730)=1,1,0)</f>
        <v>1</v>
      </c>
      <c r="M1730" s="3" t="n">
        <f aca="false">IF(K1730&gt;=Parametri!$B$1,1,0)</f>
        <v>1</v>
      </c>
      <c r="N1730" s="3" t="n">
        <f aca="false">L1730*M1730</f>
        <v>1</v>
      </c>
    </row>
    <row r="1731" customFormat="false" ht="15" hidden="false" customHeight="false" outlineLevel="0" collapsed="false">
      <c r="A1731" s="0" t="s">
        <v>2849</v>
      </c>
      <c r="B1731" s="0" t="s">
        <v>68</v>
      </c>
      <c r="C1731" s="0" t="s">
        <v>2850</v>
      </c>
      <c r="D1731" s="0" t="s">
        <v>33</v>
      </c>
      <c r="E1731" s="2" t="n">
        <v>45713</v>
      </c>
      <c r="F1731" s="3" t="s">
        <v>20</v>
      </c>
      <c r="G1731" s="3" t="s">
        <v>28</v>
      </c>
      <c r="H1731" s="3" t="s">
        <v>22</v>
      </c>
      <c r="I1731" s="3" t="n">
        <f aca="false">YEAR(E1731)</f>
        <v>2025</v>
      </c>
      <c r="J1731" s="3" t="n">
        <f aca="false">MONTH(E1731)</f>
        <v>2</v>
      </c>
      <c r="K1731" s="3" t="n">
        <f aca="false">COUNTIFS($B$2:$B$4077,B1731,$C$2:$C$4077,C1731,$I$2:$I$4077,I1731)</f>
        <v>1</v>
      </c>
      <c r="L1731" s="3" t="n">
        <f aca="false">IF(COUNTIFS($B$2:B1731,B1731,$C$2:C1731,C1731,$I$2:I1731,I1731)=1,1,0)</f>
        <v>1</v>
      </c>
      <c r="M1731" s="3" t="n">
        <f aca="false">IF(K1731&gt;=Parametri!$B$1,1,0)</f>
        <v>0</v>
      </c>
      <c r="N1731" s="3" t="n">
        <f aca="false">L1731*M1731</f>
        <v>0</v>
      </c>
    </row>
    <row r="1732" customFormat="false" ht="15" hidden="false" customHeight="false" outlineLevel="0" collapsed="false">
      <c r="A1732" s="0" t="s">
        <v>2851</v>
      </c>
      <c r="B1732" s="0" t="s">
        <v>17</v>
      </c>
      <c r="C1732" s="0" t="s">
        <v>552</v>
      </c>
      <c r="D1732" s="0" t="s">
        <v>54</v>
      </c>
      <c r="E1732" s="2" t="n">
        <v>45815</v>
      </c>
      <c r="F1732" s="3" t="s">
        <v>27</v>
      </c>
      <c r="G1732" s="3" t="s">
        <v>39</v>
      </c>
      <c r="H1732" s="3" t="s">
        <v>29</v>
      </c>
      <c r="I1732" s="3" t="n">
        <f aca="false">YEAR(E1732)</f>
        <v>2025</v>
      </c>
      <c r="J1732" s="3" t="n">
        <f aca="false">MONTH(E1732)</f>
        <v>6</v>
      </c>
      <c r="K1732" s="3" t="n">
        <f aca="false">COUNTIFS($B$2:$B$4077,B1732,$C$2:$C$4077,C1732,$I$2:$I$4077,I1732)</f>
        <v>3</v>
      </c>
      <c r="L1732" s="3" t="n">
        <f aca="false">IF(COUNTIFS($B$2:B1732,B1732,$C$2:C1732,C1732,$I$2:I1732,I1732)=1,1,0)</f>
        <v>0</v>
      </c>
      <c r="M1732" s="3" t="n">
        <f aca="false">IF(K1732&gt;=Parametri!$B$1,1,0)</f>
        <v>1</v>
      </c>
      <c r="N1732" s="3" t="n">
        <f aca="false">L1732*M1732</f>
        <v>0</v>
      </c>
    </row>
    <row r="1733" customFormat="false" ht="15" hidden="false" customHeight="false" outlineLevel="0" collapsed="false">
      <c r="A1733" s="0" t="s">
        <v>2852</v>
      </c>
      <c r="B1733" s="0" t="s">
        <v>17</v>
      </c>
      <c r="C1733" s="0" t="s">
        <v>2853</v>
      </c>
      <c r="D1733" s="0" t="s">
        <v>63</v>
      </c>
      <c r="E1733" s="2" t="n">
        <v>45538</v>
      </c>
      <c r="F1733" s="3" t="s">
        <v>20</v>
      </c>
      <c r="G1733" s="3" t="s">
        <v>55</v>
      </c>
      <c r="H1733" s="3" t="s">
        <v>48</v>
      </c>
      <c r="I1733" s="3" t="n">
        <f aca="false">YEAR(E1733)</f>
        <v>2024</v>
      </c>
      <c r="J1733" s="3" t="n">
        <f aca="false">MONTH(E1733)</f>
        <v>9</v>
      </c>
      <c r="K1733" s="3" t="n">
        <f aca="false">COUNTIFS($B$2:$B$4077,B1733,$C$2:$C$4077,C1733,$I$2:$I$4077,I1733)</f>
        <v>3</v>
      </c>
      <c r="L1733" s="3" t="n">
        <f aca="false">IF(COUNTIFS($B$2:B1733,B1733,$C$2:C1733,C1733,$I$2:I1733,I1733)=1,1,0)</f>
        <v>1</v>
      </c>
      <c r="M1733" s="3" t="n">
        <f aca="false">IF(K1733&gt;=Parametri!$B$1,1,0)</f>
        <v>1</v>
      </c>
      <c r="N1733" s="3" t="n">
        <f aca="false">L1733*M1733</f>
        <v>1</v>
      </c>
    </row>
    <row r="1734" customFormat="false" ht="15" hidden="false" customHeight="false" outlineLevel="0" collapsed="false">
      <c r="A1734" s="0" t="s">
        <v>2854</v>
      </c>
      <c r="B1734" s="0" t="s">
        <v>17</v>
      </c>
      <c r="C1734" s="0" t="s">
        <v>2855</v>
      </c>
      <c r="D1734" s="0" t="s">
        <v>54</v>
      </c>
      <c r="E1734" s="2" t="n">
        <v>45811</v>
      </c>
      <c r="F1734" s="3" t="s">
        <v>20</v>
      </c>
      <c r="G1734" s="3" t="s">
        <v>89</v>
      </c>
      <c r="H1734" s="3" t="s">
        <v>44</v>
      </c>
      <c r="I1734" s="3" t="n">
        <f aca="false">YEAR(E1734)</f>
        <v>2025</v>
      </c>
      <c r="J1734" s="3" t="n">
        <f aca="false">MONTH(E1734)</f>
        <v>6</v>
      </c>
      <c r="K1734" s="3" t="n">
        <f aca="false">COUNTIFS($B$2:$B$4077,B1734,$C$2:$C$4077,C1734,$I$2:$I$4077,I1734)</f>
        <v>2</v>
      </c>
      <c r="L1734" s="3" t="n">
        <f aca="false">IF(COUNTIFS($B$2:B1734,B1734,$C$2:C1734,C1734,$I$2:I1734,I1734)=1,1,0)</f>
        <v>1</v>
      </c>
      <c r="M1734" s="3" t="n">
        <f aca="false">IF(K1734&gt;=Parametri!$B$1,1,0)</f>
        <v>1</v>
      </c>
      <c r="N1734" s="3" t="n">
        <f aca="false">L1734*M1734</f>
        <v>1</v>
      </c>
    </row>
    <row r="1735" customFormat="false" ht="15" hidden="false" customHeight="false" outlineLevel="0" collapsed="false">
      <c r="A1735" s="0" t="s">
        <v>2856</v>
      </c>
      <c r="B1735" s="0" t="s">
        <v>41</v>
      </c>
      <c r="C1735" s="0" t="s">
        <v>456</v>
      </c>
      <c r="D1735" s="0" t="s">
        <v>19</v>
      </c>
      <c r="E1735" s="2" t="n">
        <v>46076</v>
      </c>
      <c r="F1735" s="3" t="s">
        <v>20</v>
      </c>
      <c r="G1735" s="3" t="s">
        <v>28</v>
      </c>
      <c r="H1735" s="3" t="s">
        <v>48</v>
      </c>
      <c r="I1735" s="3" t="n">
        <f aca="false">YEAR(E1735)</f>
        <v>2026</v>
      </c>
      <c r="J1735" s="3" t="n">
        <f aca="false">MONTH(E1735)</f>
        <v>2</v>
      </c>
      <c r="K1735" s="3" t="n">
        <f aca="false">COUNTIFS($B$2:$B$4077,B1735,$C$2:$C$4077,C1735,$I$2:$I$4077,I1735)</f>
        <v>2</v>
      </c>
      <c r="L1735" s="3" t="n">
        <f aca="false">IF(COUNTIFS($B$2:B1735,B1735,$C$2:C1735,C1735,$I$2:I1735,I1735)=1,1,0)</f>
        <v>0</v>
      </c>
      <c r="M1735" s="3" t="n">
        <f aca="false">IF(K1735&gt;=Parametri!$B$1,1,0)</f>
        <v>1</v>
      </c>
      <c r="N1735" s="3" t="n">
        <f aca="false">L1735*M1735</f>
        <v>0</v>
      </c>
    </row>
    <row r="1736" customFormat="false" ht="15" hidden="false" customHeight="false" outlineLevel="0" collapsed="false">
      <c r="A1736" s="0" t="s">
        <v>2857</v>
      </c>
      <c r="B1736" s="0" t="s">
        <v>68</v>
      </c>
      <c r="C1736" s="0" t="s">
        <v>2858</v>
      </c>
      <c r="D1736" s="0" t="s">
        <v>33</v>
      </c>
      <c r="E1736" s="2" t="n">
        <v>46190</v>
      </c>
      <c r="F1736" s="3" t="s">
        <v>34</v>
      </c>
      <c r="G1736" s="3" t="s">
        <v>55</v>
      </c>
      <c r="H1736" s="3" t="s">
        <v>48</v>
      </c>
      <c r="I1736" s="3" t="n">
        <f aca="false">YEAR(E1736)</f>
        <v>2026</v>
      </c>
      <c r="J1736" s="3" t="n">
        <f aca="false">MONTH(E1736)</f>
        <v>6</v>
      </c>
      <c r="K1736" s="3" t="n">
        <f aca="false">COUNTIFS($B$2:$B$4077,B1736,$C$2:$C$4077,C1736,$I$2:$I$4077,I1736)</f>
        <v>1</v>
      </c>
      <c r="L1736" s="3" t="n">
        <f aca="false">IF(COUNTIFS($B$2:B1736,B1736,$C$2:C1736,C1736,$I$2:I1736,I1736)=1,1,0)</f>
        <v>1</v>
      </c>
      <c r="M1736" s="3" t="n">
        <f aca="false">IF(K1736&gt;=Parametri!$B$1,1,0)</f>
        <v>0</v>
      </c>
      <c r="N1736" s="3" t="n">
        <f aca="false">L1736*M1736</f>
        <v>0</v>
      </c>
    </row>
    <row r="1737" customFormat="false" ht="15" hidden="false" customHeight="false" outlineLevel="0" collapsed="false">
      <c r="A1737" s="0" t="s">
        <v>2859</v>
      </c>
      <c r="B1737" s="0" t="s">
        <v>79</v>
      </c>
      <c r="C1737" s="0" t="s">
        <v>909</v>
      </c>
      <c r="D1737" s="0" t="s">
        <v>26</v>
      </c>
      <c r="E1737" s="2" t="n">
        <v>45323</v>
      </c>
      <c r="F1737" s="3" t="s">
        <v>20</v>
      </c>
      <c r="G1737" s="3" t="s">
        <v>89</v>
      </c>
      <c r="H1737" s="3" t="s">
        <v>22</v>
      </c>
      <c r="I1737" s="3" t="n">
        <f aca="false">YEAR(E1737)</f>
        <v>2024</v>
      </c>
      <c r="J1737" s="3" t="n">
        <f aca="false">MONTH(E1737)</f>
        <v>2</v>
      </c>
      <c r="K1737" s="3" t="n">
        <f aca="false">COUNTIFS($B$2:$B$4077,B1737,$C$2:$C$4077,C1737,$I$2:$I$4077,I1737)</f>
        <v>4</v>
      </c>
      <c r="L1737" s="3" t="n">
        <f aca="false">IF(COUNTIFS($B$2:B1737,B1737,$C$2:C1737,C1737,$I$2:I1737,I1737)=1,1,0)</f>
        <v>0</v>
      </c>
      <c r="M1737" s="3" t="n">
        <f aca="false">IF(K1737&gt;=Parametri!$B$1,1,0)</f>
        <v>1</v>
      </c>
      <c r="N1737" s="3" t="n">
        <f aca="false">L1737*M1737</f>
        <v>0</v>
      </c>
    </row>
    <row r="1738" customFormat="false" ht="15" hidden="false" customHeight="false" outlineLevel="0" collapsed="false">
      <c r="A1738" s="0" t="s">
        <v>2860</v>
      </c>
      <c r="B1738" s="0" t="s">
        <v>31</v>
      </c>
      <c r="C1738" s="0" t="s">
        <v>2861</v>
      </c>
      <c r="D1738" s="0" t="s">
        <v>26</v>
      </c>
      <c r="E1738" s="2" t="n">
        <v>45608</v>
      </c>
      <c r="F1738" s="3" t="s">
        <v>20</v>
      </c>
      <c r="G1738" s="3" t="s">
        <v>39</v>
      </c>
      <c r="H1738" s="3" t="s">
        <v>44</v>
      </c>
      <c r="I1738" s="3" t="n">
        <f aca="false">YEAR(E1738)</f>
        <v>2024</v>
      </c>
      <c r="J1738" s="3" t="n">
        <f aca="false">MONTH(E1738)</f>
        <v>11</v>
      </c>
      <c r="K1738" s="3" t="n">
        <f aca="false">COUNTIFS($B$2:$B$4077,B1738,$C$2:$C$4077,C1738,$I$2:$I$4077,I1738)</f>
        <v>1</v>
      </c>
      <c r="L1738" s="3" t="n">
        <f aca="false">IF(COUNTIFS($B$2:B1738,B1738,$C$2:C1738,C1738,$I$2:I1738,I1738)=1,1,0)</f>
        <v>1</v>
      </c>
      <c r="M1738" s="3" t="n">
        <f aca="false">IF(K1738&gt;=Parametri!$B$1,1,0)</f>
        <v>0</v>
      </c>
      <c r="N1738" s="3" t="n">
        <f aca="false">L1738*M1738</f>
        <v>0</v>
      </c>
    </row>
    <row r="1739" customFormat="false" ht="15" hidden="false" customHeight="false" outlineLevel="0" collapsed="false">
      <c r="A1739" s="0" t="s">
        <v>2862</v>
      </c>
      <c r="B1739" s="0" t="s">
        <v>57</v>
      </c>
      <c r="C1739" s="0" t="s">
        <v>216</v>
      </c>
      <c r="D1739" s="0" t="s">
        <v>66</v>
      </c>
      <c r="E1739" s="2" t="n">
        <v>46115</v>
      </c>
      <c r="F1739" s="3" t="s">
        <v>20</v>
      </c>
      <c r="G1739" s="3" t="s">
        <v>35</v>
      </c>
      <c r="H1739" s="3" t="s">
        <v>48</v>
      </c>
      <c r="I1739" s="3" t="n">
        <f aca="false">YEAR(E1739)</f>
        <v>2026</v>
      </c>
      <c r="J1739" s="3" t="n">
        <f aca="false">MONTH(E1739)</f>
        <v>4</v>
      </c>
      <c r="K1739" s="3" t="n">
        <f aca="false">COUNTIFS($B$2:$B$4077,B1739,$C$2:$C$4077,C1739,$I$2:$I$4077,I1739)</f>
        <v>7</v>
      </c>
      <c r="L1739" s="3" t="n">
        <f aca="false">IF(COUNTIFS($B$2:B1739,B1739,$C$2:C1739,C1739,$I$2:I1739,I1739)=1,1,0)</f>
        <v>0</v>
      </c>
      <c r="M1739" s="3" t="n">
        <f aca="false">IF(K1739&gt;=Parametri!$B$1,1,0)</f>
        <v>1</v>
      </c>
      <c r="N1739" s="3" t="n">
        <f aca="false">L1739*M1739</f>
        <v>0</v>
      </c>
    </row>
    <row r="1740" customFormat="false" ht="15" hidden="false" customHeight="false" outlineLevel="0" collapsed="false">
      <c r="A1740" s="0" t="s">
        <v>2863</v>
      </c>
      <c r="B1740" s="0" t="s">
        <v>79</v>
      </c>
      <c r="C1740" s="0" t="s">
        <v>114</v>
      </c>
      <c r="D1740" s="0" t="s">
        <v>77</v>
      </c>
      <c r="E1740" s="2" t="n">
        <v>45669</v>
      </c>
      <c r="F1740" s="3" t="s">
        <v>34</v>
      </c>
      <c r="G1740" s="3" t="s">
        <v>89</v>
      </c>
      <c r="H1740" s="3" t="s">
        <v>44</v>
      </c>
      <c r="I1740" s="3" t="n">
        <f aca="false">YEAR(E1740)</f>
        <v>2025</v>
      </c>
      <c r="J1740" s="3" t="n">
        <f aca="false">MONTH(E1740)</f>
        <v>1</v>
      </c>
      <c r="K1740" s="3" t="n">
        <f aca="false">COUNTIFS($B$2:$B$4077,B1740,$C$2:$C$4077,C1740,$I$2:$I$4077,I1740)</f>
        <v>2</v>
      </c>
      <c r="L1740" s="3" t="n">
        <f aca="false">IF(COUNTIFS($B$2:B1740,B1740,$C$2:C1740,C1740,$I$2:I1740,I1740)=1,1,0)</f>
        <v>0</v>
      </c>
      <c r="M1740" s="3" t="n">
        <f aca="false">IF(K1740&gt;=Parametri!$B$1,1,0)</f>
        <v>1</v>
      </c>
      <c r="N1740" s="3" t="n">
        <f aca="false">L1740*M1740</f>
        <v>0</v>
      </c>
    </row>
    <row r="1741" customFormat="false" ht="15" hidden="false" customHeight="false" outlineLevel="0" collapsed="false">
      <c r="A1741" s="0" t="s">
        <v>2864</v>
      </c>
      <c r="B1741" s="0" t="s">
        <v>68</v>
      </c>
      <c r="C1741" s="0" t="s">
        <v>2865</v>
      </c>
      <c r="D1741" s="0" t="s">
        <v>66</v>
      </c>
      <c r="E1741" s="2" t="n">
        <v>45297</v>
      </c>
      <c r="F1741" s="3" t="s">
        <v>27</v>
      </c>
      <c r="G1741" s="3" t="s">
        <v>43</v>
      </c>
      <c r="H1741" s="3" t="s">
        <v>48</v>
      </c>
      <c r="I1741" s="3" t="n">
        <f aca="false">YEAR(E1741)</f>
        <v>2024</v>
      </c>
      <c r="J1741" s="3" t="n">
        <f aca="false">MONTH(E1741)</f>
        <v>1</v>
      </c>
      <c r="K1741" s="3" t="n">
        <f aca="false">COUNTIFS($B$2:$B$4077,B1741,$C$2:$C$4077,C1741,$I$2:$I$4077,I1741)</f>
        <v>1</v>
      </c>
      <c r="L1741" s="3" t="n">
        <f aca="false">IF(COUNTIFS($B$2:B1741,B1741,$C$2:C1741,C1741,$I$2:I1741,I1741)=1,1,0)</f>
        <v>1</v>
      </c>
      <c r="M1741" s="3" t="n">
        <f aca="false">IF(K1741&gt;=Parametri!$B$1,1,0)</f>
        <v>0</v>
      </c>
      <c r="N1741" s="3" t="n">
        <f aca="false">L1741*M1741</f>
        <v>0</v>
      </c>
    </row>
    <row r="1742" customFormat="false" ht="15" hidden="false" customHeight="false" outlineLevel="0" collapsed="false">
      <c r="A1742" s="0" t="s">
        <v>2866</v>
      </c>
      <c r="B1742" s="0" t="s">
        <v>57</v>
      </c>
      <c r="C1742" s="0" t="s">
        <v>1531</v>
      </c>
      <c r="D1742" s="0" t="s">
        <v>38</v>
      </c>
      <c r="E1742" s="2" t="n">
        <v>45638</v>
      </c>
      <c r="F1742" s="3" t="s">
        <v>20</v>
      </c>
      <c r="G1742" s="3" t="s">
        <v>21</v>
      </c>
      <c r="H1742" s="3" t="s">
        <v>44</v>
      </c>
      <c r="I1742" s="3" t="n">
        <f aca="false">YEAR(E1742)</f>
        <v>2024</v>
      </c>
      <c r="J1742" s="3" t="n">
        <f aca="false">MONTH(E1742)</f>
        <v>12</v>
      </c>
      <c r="K1742" s="3" t="n">
        <f aca="false">COUNTIFS($B$2:$B$4077,B1742,$C$2:$C$4077,C1742,$I$2:$I$4077,I1742)</f>
        <v>3</v>
      </c>
      <c r="L1742" s="3" t="n">
        <f aca="false">IF(COUNTIFS($B$2:B1742,B1742,$C$2:C1742,C1742,$I$2:I1742,I1742)=1,1,0)</f>
        <v>0</v>
      </c>
      <c r="M1742" s="3" t="n">
        <f aca="false">IF(K1742&gt;=Parametri!$B$1,1,0)</f>
        <v>1</v>
      </c>
      <c r="N1742" s="3" t="n">
        <f aca="false">L1742*M1742</f>
        <v>0</v>
      </c>
    </row>
    <row r="1743" customFormat="false" ht="15" hidden="false" customHeight="false" outlineLevel="0" collapsed="false">
      <c r="A1743" s="0" t="s">
        <v>2867</v>
      </c>
      <c r="B1743" s="0" t="s">
        <v>50</v>
      </c>
      <c r="C1743" s="0" t="s">
        <v>2868</v>
      </c>
      <c r="D1743" s="0" t="s">
        <v>63</v>
      </c>
      <c r="E1743" s="2" t="n">
        <v>46076</v>
      </c>
      <c r="F1743" s="3" t="s">
        <v>27</v>
      </c>
      <c r="G1743" s="3" t="s">
        <v>21</v>
      </c>
      <c r="H1743" s="3" t="s">
        <v>44</v>
      </c>
      <c r="I1743" s="3" t="n">
        <f aca="false">YEAR(E1743)</f>
        <v>2026</v>
      </c>
      <c r="J1743" s="3" t="n">
        <f aca="false">MONTH(E1743)</f>
        <v>2</v>
      </c>
      <c r="K1743" s="3" t="n">
        <f aca="false">COUNTIFS($B$2:$B$4077,B1743,$C$2:$C$4077,C1743,$I$2:$I$4077,I1743)</f>
        <v>1</v>
      </c>
      <c r="L1743" s="3" t="n">
        <f aca="false">IF(COUNTIFS($B$2:B1743,B1743,$C$2:C1743,C1743,$I$2:I1743,I1743)=1,1,0)</f>
        <v>1</v>
      </c>
      <c r="M1743" s="3" t="n">
        <f aca="false">IF(K1743&gt;=Parametri!$B$1,1,0)</f>
        <v>0</v>
      </c>
      <c r="N1743" s="3" t="n">
        <f aca="false">L1743*M1743</f>
        <v>0</v>
      </c>
    </row>
    <row r="1744" customFormat="false" ht="15" hidden="false" customHeight="false" outlineLevel="0" collapsed="false">
      <c r="A1744" s="0" t="s">
        <v>2869</v>
      </c>
      <c r="B1744" s="0" t="s">
        <v>31</v>
      </c>
      <c r="C1744" s="0" t="s">
        <v>2870</v>
      </c>
      <c r="D1744" s="0" t="s">
        <v>19</v>
      </c>
      <c r="E1744" s="2" t="n">
        <v>45737</v>
      </c>
      <c r="F1744" s="3" t="s">
        <v>27</v>
      </c>
      <c r="G1744" s="3" t="s">
        <v>28</v>
      </c>
      <c r="H1744" s="3" t="s">
        <v>48</v>
      </c>
      <c r="I1744" s="3" t="n">
        <f aca="false">YEAR(E1744)</f>
        <v>2025</v>
      </c>
      <c r="J1744" s="3" t="n">
        <f aca="false">MONTH(E1744)</f>
        <v>3</v>
      </c>
      <c r="K1744" s="3" t="n">
        <f aca="false">COUNTIFS($B$2:$B$4077,B1744,$C$2:$C$4077,C1744,$I$2:$I$4077,I1744)</f>
        <v>1</v>
      </c>
      <c r="L1744" s="3" t="n">
        <f aca="false">IF(COUNTIFS($B$2:B1744,B1744,$C$2:C1744,C1744,$I$2:I1744,I1744)=1,1,0)</f>
        <v>1</v>
      </c>
      <c r="M1744" s="3" t="n">
        <f aca="false">IF(K1744&gt;=Parametri!$B$1,1,0)</f>
        <v>0</v>
      </c>
      <c r="N1744" s="3" t="n">
        <f aca="false">L1744*M1744</f>
        <v>0</v>
      </c>
    </row>
    <row r="1745" customFormat="false" ht="15" hidden="false" customHeight="false" outlineLevel="0" collapsed="false">
      <c r="A1745" s="0" t="s">
        <v>2871</v>
      </c>
      <c r="B1745" s="0" t="s">
        <v>124</v>
      </c>
      <c r="C1745" s="0" t="s">
        <v>2872</v>
      </c>
      <c r="D1745" s="0" t="s">
        <v>77</v>
      </c>
      <c r="E1745" s="2" t="n">
        <v>45777</v>
      </c>
      <c r="F1745" s="3" t="s">
        <v>27</v>
      </c>
      <c r="G1745" s="3" t="s">
        <v>21</v>
      </c>
      <c r="H1745" s="3" t="s">
        <v>44</v>
      </c>
      <c r="I1745" s="3" t="n">
        <f aca="false">YEAR(E1745)</f>
        <v>2025</v>
      </c>
      <c r="J1745" s="3" t="n">
        <f aca="false">MONTH(E1745)</f>
        <v>4</v>
      </c>
      <c r="K1745" s="3" t="n">
        <f aca="false">COUNTIFS($B$2:$B$4077,B1745,$C$2:$C$4077,C1745,$I$2:$I$4077,I1745)</f>
        <v>2</v>
      </c>
      <c r="L1745" s="3" t="n">
        <f aca="false">IF(COUNTIFS($B$2:B1745,B1745,$C$2:C1745,C1745,$I$2:I1745,I1745)=1,1,0)</f>
        <v>1</v>
      </c>
      <c r="M1745" s="3" t="n">
        <f aca="false">IF(K1745&gt;=Parametri!$B$1,1,0)</f>
        <v>1</v>
      </c>
      <c r="N1745" s="3" t="n">
        <f aca="false">L1745*M1745</f>
        <v>1</v>
      </c>
    </row>
    <row r="1746" customFormat="false" ht="15" hidden="false" customHeight="false" outlineLevel="0" collapsed="false">
      <c r="A1746" s="0" t="s">
        <v>2873</v>
      </c>
      <c r="B1746" s="0" t="s">
        <v>41</v>
      </c>
      <c r="C1746" s="0" t="s">
        <v>2874</v>
      </c>
      <c r="D1746" s="0" t="s">
        <v>33</v>
      </c>
      <c r="E1746" s="2" t="n">
        <v>45905</v>
      </c>
      <c r="F1746" s="3" t="s">
        <v>34</v>
      </c>
      <c r="G1746" s="3" t="s">
        <v>89</v>
      </c>
      <c r="H1746" s="3" t="s">
        <v>29</v>
      </c>
      <c r="I1746" s="3" t="n">
        <f aca="false">YEAR(E1746)</f>
        <v>2025</v>
      </c>
      <c r="J1746" s="3" t="n">
        <f aca="false">MONTH(E1746)</f>
        <v>9</v>
      </c>
      <c r="K1746" s="3" t="n">
        <f aca="false">COUNTIFS($B$2:$B$4077,B1746,$C$2:$C$4077,C1746,$I$2:$I$4077,I1746)</f>
        <v>2</v>
      </c>
      <c r="L1746" s="3" t="n">
        <f aca="false">IF(COUNTIFS($B$2:B1746,B1746,$C$2:C1746,C1746,$I$2:I1746,I1746)=1,1,0)</f>
        <v>1</v>
      </c>
      <c r="M1746" s="3" t="n">
        <f aca="false">IF(K1746&gt;=Parametri!$B$1,1,0)</f>
        <v>1</v>
      </c>
      <c r="N1746" s="3" t="n">
        <f aca="false">L1746*M1746</f>
        <v>1</v>
      </c>
    </row>
    <row r="1747" customFormat="false" ht="15" hidden="false" customHeight="false" outlineLevel="0" collapsed="false">
      <c r="A1747" s="0" t="s">
        <v>2875</v>
      </c>
      <c r="B1747" s="0" t="s">
        <v>41</v>
      </c>
      <c r="C1747" s="0" t="s">
        <v>456</v>
      </c>
      <c r="D1747" s="0" t="s">
        <v>63</v>
      </c>
      <c r="E1747" s="2" t="n">
        <v>45962</v>
      </c>
      <c r="F1747" s="3" t="s">
        <v>27</v>
      </c>
      <c r="G1747" s="3" t="s">
        <v>72</v>
      </c>
      <c r="H1747" s="3" t="s">
        <v>29</v>
      </c>
      <c r="I1747" s="3" t="n">
        <f aca="false">YEAR(E1747)</f>
        <v>2025</v>
      </c>
      <c r="J1747" s="3" t="n">
        <f aca="false">MONTH(E1747)</f>
        <v>11</v>
      </c>
      <c r="K1747" s="3" t="n">
        <f aca="false">COUNTIFS($B$2:$B$4077,B1747,$C$2:$C$4077,C1747,$I$2:$I$4077,I1747)</f>
        <v>6</v>
      </c>
      <c r="L1747" s="3" t="n">
        <f aca="false">IF(COUNTIFS($B$2:B1747,B1747,$C$2:C1747,C1747,$I$2:I1747,I1747)=1,1,0)</f>
        <v>0</v>
      </c>
      <c r="M1747" s="3" t="n">
        <f aca="false">IF(K1747&gt;=Parametri!$B$1,1,0)</f>
        <v>1</v>
      </c>
      <c r="N1747" s="3" t="n">
        <f aca="false">L1747*M1747</f>
        <v>0</v>
      </c>
    </row>
    <row r="1748" customFormat="false" ht="15" hidden="false" customHeight="false" outlineLevel="0" collapsed="false">
      <c r="A1748" s="0" t="s">
        <v>2876</v>
      </c>
      <c r="B1748" s="0" t="s">
        <v>24</v>
      </c>
      <c r="C1748" s="0" t="s">
        <v>2877</v>
      </c>
      <c r="D1748" s="0" t="s">
        <v>19</v>
      </c>
      <c r="E1748" s="2" t="n">
        <v>46201</v>
      </c>
      <c r="F1748" s="3" t="s">
        <v>20</v>
      </c>
      <c r="G1748" s="3" t="s">
        <v>43</v>
      </c>
      <c r="H1748" s="3" t="s">
        <v>48</v>
      </c>
      <c r="I1748" s="3" t="n">
        <f aca="false">YEAR(E1748)</f>
        <v>2026</v>
      </c>
      <c r="J1748" s="3" t="n">
        <f aca="false">MONTH(E1748)</f>
        <v>6</v>
      </c>
      <c r="K1748" s="3" t="n">
        <f aca="false">COUNTIFS($B$2:$B$4077,B1748,$C$2:$C$4077,C1748,$I$2:$I$4077,I1748)</f>
        <v>2</v>
      </c>
      <c r="L1748" s="3" t="n">
        <f aca="false">IF(COUNTIFS($B$2:B1748,B1748,$C$2:C1748,C1748,$I$2:I1748,I1748)=1,1,0)</f>
        <v>1</v>
      </c>
      <c r="M1748" s="3" t="n">
        <f aca="false">IF(K1748&gt;=Parametri!$B$1,1,0)</f>
        <v>1</v>
      </c>
      <c r="N1748" s="3" t="n">
        <f aca="false">L1748*M1748</f>
        <v>1</v>
      </c>
    </row>
    <row r="1749" customFormat="false" ht="15" hidden="false" customHeight="false" outlineLevel="0" collapsed="false">
      <c r="A1749" s="0" t="s">
        <v>2878</v>
      </c>
      <c r="B1749" s="0" t="s">
        <v>41</v>
      </c>
      <c r="C1749" s="0" t="s">
        <v>335</v>
      </c>
      <c r="D1749" s="0" t="s">
        <v>77</v>
      </c>
      <c r="E1749" s="2" t="n">
        <v>46015</v>
      </c>
      <c r="F1749" s="3" t="s">
        <v>34</v>
      </c>
      <c r="G1749" s="3" t="s">
        <v>35</v>
      </c>
      <c r="H1749" s="3" t="s">
        <v>44</v>
      </c>
      <c r="I1749" s="3" t="n">
        <f aca="false">YEAR(E1749)</f>
        <v>2025</v>
      </c>
      <c r="J1749" s="3" t="n">
        <f aca="false">MONTH(E1749)</f>
        <v>12</v>
      </c>
      <c r="K1749" s="3" t="n">
        <f aca="false">COUNTIFS($B$2:$B$4077,B1749,$C$2:$C$4077,C1749,$I$2:$I$4077,I1749)</f>
        <v>2</v>
      </c>
      <c r="L1749" s="3" t="n">
        <f aca="false">IF(COUNTIFS($B$2:B1749,B1749,$C$2:C1749,C1749,$I$2:I1749,I1749)=1,1,0)</f>
        <v>0</v>
      </c>
      <c r="M1749" s="3" t="n">
        <f aca="false">IF(K1749&gt;=Parametri!$B$1,1,0)</f>
        <v>1</v>
      </c>
      <c r="N1749" s="3" t="n">
        <f aca="false">L1749*M1749</f>
        <v>0</v>
      </c>
    </row>
    <row r="1750" customFormat="false" ht="15" hidden="false" customHeight="false" outlineLevel="0" collapsed="false">
      <c r="A1750" s="0" t="s">
        <v>2879</v>
      </c>
      <c r="B1750" s="0" t="s">
        <v>41</v>
      </c>
      <c r="C1750" s="0" t="s">
        <v>1704</v>
      </c>
      <c r="D1750" s="0" t="s">
        <v>38</v>
      </c>
      <c r="E1750" s="2" t="n">
        <v>45683</v>
      </c>
      <c r="F1750" s="3" t="s">
        <v>27</v>
      </c>
      <c r="G1750" s="3" t="s">
        <v>28</v>
      </c>
      <c r="H1750" s="3" t="s">
        <v>48</v>
      </c>
      <c r="I1750" s="3" t="n">
        <f aca="false">YEAR(E1750)</f>
        <v>2025</v>
      </c>
      <c r="J1750" s="3" t="n">
        <f aca="false">MONTH(E1750)</f>
        <v>1</v>
      </c>
      <c r="K1750" s="3" t="n">
        <f aca="false">COUNTIFS($B$2:$B$4077,B1750,$C$2:$C$4077,C1750,$I$2:$I$4077,I1750)</f>
        <v>2</v>
      </c>
      <c r="L1750" s="3" t="n">
        <f aca="false">IF(COUNTIFS($B$2:B1750,B1750,$C$2:C1750,C1750,$I$2:I1750,I1750)=1,1,0)</f>
        <v>0</v>
      </c>
      <c r="M1750" s="3" t="n">
        <f aca="false">IF(K1750&gt;=Parametri!$B$1,1,0)</f>
        <v>1</v>
      </c>
      <c r="N1750" s="3" t="n">
        <f aca="false">L1750*M1750</f>
        <v>0</v>
      </c>
    </row>
    <row r="1751" customFormat="false" ht="15" hidden="false" customHeight="false" outlineLevel="0" collapsed="false">
      <c r="A1751" s="0" t="s">
        <v>2880</v>
      </c>
      <c r="B1751" s="0" t="s">
        <v>31</v>
      </c>
      <c r="C1751" s="0" t="s">
        <v>2377</v>
      </c>
      <c r="D1751" s="0" t="s">
        <v>38</v>
      </c>
      <c r="E1751" s="2" t="n">
        <v>45524</v>
      </c>
      <c r="F1751" s="3" t="s">
        <v>34</v>
      </c>
      <c r="G1751" s="3" t="s">
        <v>89</v>
      </c>
      <c r="H1751" s="3" t="s">
        <v>22</v>
      </c>
      <c r="I1751" s="3" t="n">
        <f aca="false">YEAR(E1751)</f>
        <v>2024</v>
      </c>
      <c r="J1751" s="3" t="n">
        <f aca="false">MONTH(E1751)</f>
        <v>8</v>
      </c>
      <c r="K1751" s="3" t="n">
        <f aca="false">COUNTIFS($B$2:$B$4077,B1751,$C$2:$C$4077,C1751,$I$2:$I$4077,I1751)</f>
        <v>2</v>
      </c>
      <c r="L1751" s="3" t="n">
        <f aca="false">IF(COUNTIFS($B$2:B1751,B1751,$C$2:C1751,C1751,$I$2:I1751,I1751)=1,1,0)</f>
        <v>0</v>
      </c>
      <c r="M1751" s="3" t="n">
        <f aca="false">IF(K1751&gt;=Parametri!$B$1,1,0)</f>
        <v>1</v>
      </c>
      <c r="N1751" s="3" t="n">
        <f aca="false">L1751*M1751</f>
        <v>0</v>
      </c>
    </row>
    <row r="1752" customFormat="false" ht="15" hidden="false" customHeight="false" outlineLevel="0" collapsed="false">
      <c r="A1752" s="0" t="s">
        <v>2881</v>
      </c>
      <c r="B1752" s="0" t="s">
        <v>31</v>
      </c>
      <c r="C1752" s="0" t="s">
        <v>558</v>
      </c>
      <c r="D1752" s="0" t="s">
        <v>66</v>
      </c>
      <c r="E1752" s="2" t="n">
        <v>46129</v>
      </c>
      <c r="F1752" s="3" t="s">
        <v>20</v>
      </c>
      <c r="G1752" s="3" t="s">
        <v>35</v>
      </c>
      <c r="H1752" s="3" t="s">
        <v>44</v>
      </c>
      <c r="I1752" s="3" t="n">
        <f aca="false">YEAR(E1752)</f>
        <v>2026</v>
      </c>
      <c r="J1752" s="3" t="n">
        <f aca="false">MONTH(E1752)</f>
        <v>4</v>
      </c>
      <c r="K1752" s="3" t="n">
        <f aca="false">COUNTIFS($B$2:$B$4077,B1752,$C$2:$C$4077,C1752,$I$2:$I$4077,I1752)</f>
        <v>1</v>
      </c>
      <c r="L1752" s="3" t="n">
        <f aca="false">IF(COUNTIFS($B$2:B1752,B1752,$C$2:C1752,C1752,$I$2:I1752,I1752)=1,1,0)</f>
        <v>1</v>
      </c>
      <c r="M1752" s="3" t="n">
        <f aca="false">IF(K1752&gt;=Parametri!$B$1,1,0)</f>
        <v>0</v>
      </c>
      <c r="N1752" s="3" t="n">
        <f aca="false">L1752*M1752</f>
        <v>0</v>
      </c>
    </row>
    <row r="1753" customFormat="false" ht="15" hidden="false" customHeight="false" outlineLevel="0" collapsed="false">
      <c r="A1753" s="0" t="s">
        <v>2882</v>
      </c>
      <c r="B1753" s="0" t="s">
        <v>68</v>
      </c>
      <c r="C1753" s="0" t="s">
        <v>2883</v>
      </c>
      <c r="D1753" s="0" t="s">
        <v>26</v>
      </c>
      <c r="E1753" s="2" t="n">
        <v>46007</v>
      </c>
      <c r="F1753" s="3" t="s">
        <v>27</v>
      </c>
      <c r="G1753" s="3" t="s">
        <v>89</v>
      </c>
      <c r="H1753" s="3" t="s">
        <v>48</v>
      </c>
      <c r="I1753" s="3" t="n">
        <f aca="false">YEAR(E1753)</f>
        <v>2025</v>
      </c>
      <c r="J1753" s="3" t="n">
        <f aca="false">MONTH(E1753)</f>
        <v>12</v>
      </c>
      <c r="K1753" s="3" t="n">
        <f aca="false">COUNTIFS($B$2:$B$4077,B1753,$C$2:$C$4077,C1753,$I$2:$I$4077,I1753)</f>
        <v>1</v>
      </c>
      <c r="L1753" s="3" t="n">
        <f aca="false">IF(COUNTIFS($B$2:B1753,B1753,$C$2:C1753,C1753,$I$2:I1753,I1753)=1,1,0)</f>
        <v>1</v>
      </c>
      <c r="M1753" s="3" t="n">
        <f aca="false">IF(K1753&gt;=Parametri!$B$1,1,0)</f>
        <v>0</v>
      </c>
      <c r="N1753" s="3" t="n">
        <f aca="false">L1753*M1753</f>
        <v>0</v>
      </c>
    </row>
    <row r="1754" customFormat="false" ht="15" hidden="false" customHeight="false" outlineLevel="0" collapsed="false">
      <c r="A1754" s="0" t="s">
        <v>2884</v>
      </c>
      <c r="B1754" s="0" t="s">
        <v>124</v>
      </c>
      <c r="C1754" s="0" t="s">
        <v>2885</v>
      </c>
      <c r="D1754" s="0" t="s">
        <v>63</v>
      </c>
      <c r="E1754" s="2" t="n">
        <v>45805</v>
      </c>
      <c r="F1754" s="3" t="s">
        <v>20</v>
      </c>
      <c r="G1754" s="3" t="s">
        <v>28</v>
      </c>
      <c r="H1754" s="3" t="s">
        <v>29</v>
      </c>
      <c r="I1754" s="3" t="n">
        <f aca="false">YEAR(E1754)</f>
        <v>2025</v>
      </c>
      <c r="J1754" s="3" t="n">
        <f aca="false">MONTH(E1754)</f>
        <v>5</v>
      </c>
      <c r="K1754" s="3" t="n">
        <f aca="false">COUNTIFS($B$2:$B$4077,B1754,$C$2:$C$4077,C1754,$I$2:$I$4077,I1754)</f>
        <v>1</v>
      </c>
      <c r="L1754" s="3" t="n">
        <f aca="false">IF(COUNTIFS($B$2:B1754,B1754,$C$2:C1754,C1754,$I$2:I1754,I1754)=1,1,0)</f>
        <v>1</v>
      </c>
      <c r="M1754" s="3" t="n">
        <f aca="false">IF(K1754&gt;=Parametri!$B$1,1,0)</f>
        <v>0</v>
      </c>
      <c r="N1754" s="3" t="n">
        <f aca="false">L1754*M1754</f>
        <v>0</v>
      </c>
    </row>
    <row r="1755" customFormat="false" ht="15" hidden="false" customHeight="false" outlineLevel="0" collapsed="false">
      <c r="A1755" s="0" t="s">
        <v>2886</v>
      </c>
      <c r="B1755" s="0" t="s">
        <v>68</v>
      </c>
      <c r="C1755" s="0" t="s">
        <v>438</v>
      </c>
      <c r="D1755" s="0" t="s">
        <v>19</v>
      </c>
      <c r="E1755" s="2" t="n">
        <v>46106</v>
      </c>
      <c r="F1755" s="3" t="s">
        <v>20</v>
      </c>
      <c r="G1755" s="3" t="s">
        <v>21</v>
      </c>
      <c r="H1755" s="3" t="s">
        <v>29</v>
      </c>
      <c r="I1755" s="3" t="n">
        <f aca="false">YEAR(E1755)</f>
        <v>2026</v>
      </c>
      <c r="J1755" s="3" t="n">
        <f aca="false">MONTH(E1755)</f>
        <v>3</v>
      </c>
      <c r="K1755" s="3" t="n">
        <f aca="false">COUNTIFS($B$2:$B$4077,B1755,$C$2:$C$4077,C1755,$I$2:$I$4077,I1755)</f>
        <v>3</v>
      </c>
      <c r="L1755" s="3" t="n">
        <f aca="false">IF(COUNTIFS($B$2:B1755,B1755,$C$2:C1755,C1755,$I$2:I1755,I1755)=1,1,0)</f>
        <v>1</v>
      </c>
      <c r="M1755" s="3" t="n">
        <f aca="false">IF(K1755&gt;=Parametri!$B$1,1,0)</f>
        <v>1</v>
      </c>
      <c r="N1755" s="3" t="n">
        <f aca="false">L1755*M1755</f>
        <v>1</v>
      </c>
    </row>
    <row r="1756" customFormat="false" ht="15" hidden="false" customHeight="false" outlineLevel="0" collapsed="false">
      <c r="A1756" s="0" t="s">
        <v>2887</v>
      </c>
      <c r="B1756" s="0" t="s">
        <v>24</v>
      </c>
      <c r="C1756" s="0" t="s">
        <v>2488</v>
      </c>
      <c r="D1756" s="0" t="s">
        <v>33</v>
      </c>
      <c r="E1756" s="2" t="n">
        <v>46224</v>
      </c>
      <c r="F1756" s="3" t="s">
        <v>20</v>
      </c>
      <c r="G1756" s="3" t="s">
        <v>55</v>
      </c>
      <c r="H1756" s="3" t="s">
        <v>29</v>
      </c>
      <c r="I1756" s="3" t="n">
        <f aca="false">YEAR(E1756)</f>
        <v>2026</v>
      </c>
      <c r="J1756" s="3" t="n">
        <f aca="false">MONTH(E1756)</f>
        <v>7</v>
      </c>
      <c r="K1756" s="3" t="n">
        <f aca="false">COUNTIFS($B$2:$B$4077,B1756,$C$2:$C$4077,C1756,$I$2:$I$4077,I1756)</f>
        <v>1</v>
      </c>
      <c r="L1756" s="3" t="n">
        <f aca="false">IF(COUNTIFS($B$2:B1756,B1756,$C$2:C1756,C1756,$I$2:I1756,I1756)=1,1,0)</f>
        <v>1</v>
      </c>
      <c r="M1756" s="3" t="n">
        <f aca="false">IF(K1756&gt;=Parametri!$B$1,1,0)</f>
        <v>0</v>
      </c>
      <c r="N1756" s="3" t="n">
        <f aca="false">L1756*M1756</f>
        <v>0</v>
      </c>
    </row>
    <row r="1757" customFormat="false" ht="15" hidden="false" customHeight="false" outlineLevel="0" collapsed="false">
      <c r="A1757" s="0" t="s">
        <v>2888</v>
      </c>
      <c r="B1757" s="0" t="s">
        <v>57</v>
      </c>
      <c r="C1757" s="0" t="s">
        <v>419</v>
      </c>
      <c r="D1757" s="0" t="s">
        <v>54</v>
      </c>
      <c r="E1757" s="2" t="n">
        <v>46130</v>
      </c>
      <c r="F1757" s="3" t="s">
        <v>20</v>
      </c>
      <c r="G1757" s="3" t="s">
        <v>28</v>
      </c>
      <c r="H1757" s="3" t="s">
        <v>44</v>
      </c>
      <c r="I1757" s="3" t="n">
        <f aca="false">YEAR(E1757)</f>
        <v>2026</v>
      </c>
      <c r="J1757" s="3" t="n">
        <f aca="false">MONTH(E1757)</f>
        <v>4</v>
      </c>
      <c r="K1757" s="3" t="n">
        <f aca="false">COUNTIFS($B$2:$B$4077,B1757,$C$2:$C$4077,C1757,$I$2:$I$4077,I1757)</f>
        <v>2</v>
      </c>
      <c r="L1757" s="3" t="n">
        <f aca="false">IF(COUNTIFS($B$2:B1757,B1757,$C$2:C1757,C1757,$I$2:I1757,I1757)=1,1,0)</f>
        <v>0</v>
      </c>
      <c r="M1757" s="3" t="n">
        <f aca="false">IF(K1757&gt;=Parametri!$B$1,1,0)</f>
        <v>1</v>
      </c>
      <c r="N1757" s="3" t="n">
        <f aca="false">L1757*M1757</f>
        <v>0</v>
      </c>
    </row>
    <row r="1758" customFormat="false" ht="15" hidden="false" customHeight="false" outlineLevel="0" collapsed="false">
      <c r="A1758" s="0" t="s">
        <v>2889</v>
      </c>
      <c r="B1758" s="0" t="s">
        <v>57</v>
      </c>
      <c r="C1758" s="0" t="s">
        <v>2890</v>
      </c>
      <c r="D1758" s="0" t="s">
        <v>33</v>
      </c>
      <c r="E1758" s="2" t="n">
        <v>46066</v>
      </c>
      <c r="F1758" s="3" t="s">
        <v>20</v>
      </c>
      <c r="G1758" s="3" t="s">
        <v>39</v>
      </c>
      <c r="H1758" s="3" t="s">
        <v>22</v>
      </c>
      <c r="I1758" s="3" t="n">
        <f aca="false">YEAR(E1758)</f>
        <v>2026</v>
      </c>
      <c r="J1758" s="3" t="n">
        <f aca="false">MONTH(E1758)</f>
        <v>2</v>
      </c>
      <c r="K1758" s="3" t="n">
        <f aca="false">COUNTIFS($B$2:$B$4077,B1758,$C$2:$C$4077,C1758,$I$2:$I$4077,I1758)</f>
        <v>2</v>
      </c>
      <c r="L1758" s="3" t="n">
        <f aca="false">IF(COUNTIFS($B$2:B1758,B1758,$C$2:C1758,C1758,$I$2:I1758,I1758)=1,1,0)</f>
        <v>1</v>
      </c>
      <c r="M1758" s="3" t="n">
        <f aca="false">IF(K1758&gt;=Parametri!$B$1,1,0)</f>
        <v>1</v>
      </c>
      <c r="N1758" s="3" t="n">
        <f aca="false">L1758*M1758</f>
        <v>1</v>
      </c>
    </row>
    <row r="1759" customFormat="false" ht="15" hidden="false" customHeight="false" outlineLevel="0" collapsed="false">
      <c r="A1759" s="0" t="s">
        <v>2891</v>
      </c>
      <c r="B1759" s="0" t="s">
        <v>124</v>
      </c>
      <c r="C1759" s="0" t="s">
        <v>1574</v>
      </c>
      <c r="D1759" s="0" t="s">
        <v>33</v>
      </c>
      <c r="E1759" s="2" t="n">
        <v>45870</v>
      </c>
      <c r="F1759" s="3" t="s">
        <v>20</v>
      </c>
      <c r="G1759" s="3" t="s">
        <v>28</v>
      </c>
      <c r="H1759" s="3" t="s">
        <v>29</v>
      </c>
      <c r="I1759" s="3" t="n">
        <f aca="false">YEAR(E1759)</f>
        <v>2025</v>
      </c>
      <c r="J1759" s="3" t="n">
        <f aca="false">MONTH(E1759)</f>
        <v>8</v>
      </c>
      <c r="K1759" s="3" t="n">
        <f aca="false">COUNTIFS($B$2:$B$4077,B1759,$C$2:$C$4077,C1759,$I$2:$I$4077,I1759)</f>
        <v>1</v>
      </c>
      <c r="L1759" s="3" t="n">
        <f aca="false">IF(COUNTIFS($B$2:B1759,B1759,$C$2:C1759,C1759,$I$2:I1759,I1759)=1,1,0)</f>
        <v>1</v>
      </c>
      <c r="M1759" s="3" t="n">
        <f aca="false">IF(K1759&gt;=Parametri!$B$1,1,0)</f>
        <v>0</v>
      </c>
      <c r="N1759" s="3" t="n">
        <f aca="false">L1759*M1759</f>
        <v>0</v>
      </c>
    </row>
    <row r="1760" customFormat="false" ht="15" hidden="false" customHeight="false" outlineLevel="0" collapsed="false">
      <c r="A1760" s="0" t="s">
        <v>2892</v>
      </c>
      <c r="B1760" s="0" t="s">
        <v>79</v>
      </c>
      <c r="C1760" s="0" t="s">
        <v>830</v>
      </c>
      <c r="D1760" s="0" t="s">
        <v>26</v>
      </c>
      <c r="E1760" s="2" t="n">
        <v>45876</v>
      </c>
      <c r="F1760" s="3" t="s">
        <v>20</v>
      </c>
      <c r="G1760" s="3" t="s">
        <v>39</v>
      </c>
      <c r="H1760" s="3" t="s">
        <v>29</v>
      </c>
      <c r="I1760" s="3" t="n">
        <f aca="false">YEAR(E1760)</f>
        <v>2025</v>
      </c>
      <c r="J1760" s="3" t="n">
        <f aca="false">MONTH(E1760)</f>
        <v>8</v>
      </c>
      <c r="K1760" s="3" t="n">
        <f aca="false">COUNTIFS($B$2:$B$4077,B1760,$C$2:$C$4077,C1760,$I$2:$I$4077,I1760)</f>
        <v>3</v>
      </c>
      <c r="L1760" s="3" t="n">
        <f aca="false">IF(COUNTIFS($B$2:B1760,B1760,$C$2:C1760,C1760,$I$2:I1760,I1760)=1,1,0)</f>
        <v>0</v>
      </c>
      <c r="M1760" s="3" t="n">
        <f aca="false">IF(K1760&gt;=Parametri!$B$1,1,0)</f>
        <v>1</v>
      </c>
      <c r="N1760" s="3" t="n">
        <f aca="false">L1760*M1760</f>
        <v>0</v>
      </c>
    </row>
    <row r="1761" customFormat="false" ht="15" hidden="false" customHeight="false" outlineLevel="0" collapsed="false">
      <c r="A1761" s="0" t="s">
        <v>2893</v>
      </c>
      <c r="B1761" s="0" t="s">
        <v>79</v>
      </c>
      <c r="C1761" s="0" t="s">
        <v>2894</v>
      </c>
      <c r="D1761" s="0" t="s">
        <v>19</v>
      </c>
      <c r="E1761" s="2" t="n">
        <v>45847</v>
      </c>
      <c r="F1761" s="3" t="s">
        <v>34</v>
      </c>
      <c r="G1761" s="3" t="s">
        <v>104</v>
      </c>
      <c r="H1761" s="3" t="s">
        <v>104</v>
      </c>
      <c r="I1761" s="3" t="n">
        <f aca="false">YEAR(E1761)</f>
        <v>2025</v>
      </c>
      <c r="J1761" s="3" t="n">
        <f aca="false">MONTH(E1761)</f>
        <v>7</v>
      </c>
      <c r="K1761" s="3" t="n">
        <f aca="false">COUNTIFS($B$2:$B$4077,B1761,$C$2:$C$4077,C1761,$I$2:$I$4077,I1761)</f>
        <v>1</v>
      </c>
      <c r="L1761" s="3" t="n">
        <f aca="false">IF(COUNTIFS($B$2:B1761,B1761,$C$2:C1761,C1761,$I$2:I1761,I1761)=1,1,0)</f>
        <v>1</v>
      </c>
      <c r="M1761" s="3" t="n">
        <f aca="false">IF(K1761&gt;=Parametri!$B$1,1,0)</f>
        <v>0</v>
      </c>
      <c r="N1761" s="3" t="n">
        <f aca="false">L1761*M1761</f>
        <v>0</v>
      </c>
    </row>
    <row r="1762" customFormat="false" ht="15" hidden="false" customHeight="false" outlineLevel="0" collapsed="false">
      <c r="A1762" s="0" t="s">
        <v>2895</v>
      </c>
      <c r="B1762" s="0" t="s">
        <v>57</v>
      </c>
      <c r="C1762" s="0" t="s">
        <v>2896</v>
      </c>
      <c r="D1762" s="0" t="s">
        <v>19</v>
      </c>
      <c r="E1762" s="2" t="n">
        <v>46170</v>
      </c>
      <c r="F1762" s="3" t="s">
        <v>20</v>
      </c>
      <c r="G1762" s="3" t="s">
        <v>28</v>
      </c>
      <c r="H1762" s="3" t="s">
        <v>22</v>
      </c>
      <c r="I1762" s="3" t="n">
        <f aca="false">YEAR(E1762)</f>
        <v>2026</v>
      </c>
      <c r="J1762" s="3" t="n">
        <f aca="false">MONTH(E1762)</f>
        <v>5</v>
      </c>
      <c r="K1762" s="3" t="n">
        <f aca="false">COUNTIFS($B$2:$B$4077,B1762,$C$2:$C$4077,C1762,$I$2:$I$4077,I1762)</f>
        <v>1</v>
      </c>
      <c r="L1762" s="3" t="n">
        <f aca="false">IF(COUNTIFS($B$2:B1762,B1762,$C$2:C1762,C1762,$I$2:I1762,I1762)=1,1,0)</f>
        <v>1</v>
      </c>
      <c r="M1762" s="3" t="n">
        <f aca="false">IF(K1762&gt;=Parametri!$B$1,1,0)</f>
        <v>0</v>
      </c>
      <c r="N1762" s="3" t="n">
        <f aca="false">L1762*M1762</f>
        <v>0</v>
      </c>
    </row>
    <row r="1763" customFormat="false" ht="15" hidden="false" customHeight="false" outlineLevel="0" collapsed="false">
      <c r="A1763" s="0" t="s">
        <v>2897</v>
      </c>
      <c r="B1763" s="0" t="s">
        <v>68</v>
      </c>
      <c r="C1763" s="0" t="s">
        <v>2182</v>
      </c>
      <c r="D1763" s="0" t="s">
        <v>54</v>
      </c>
      <c r="E1763" s="2" t="n">
        <v>46055</v>
      </c>
      <c r="F1763" s="3" t="s">
        <v>34</v>
      </c>
      <c r="G1763" s="3" t="s">
        <v>55</v>
      </c>
      <c r="H1763" s="3" t="s">
        <v>22</v>
      </c>
      <c r="I1763" s="3" t="n">
        <f aca="false">YEAR(E1763)</f>
        <v>2026</v>
      </c>
      <c r="J1763" s="3" t="n">
        <f aca="false">MONTH(E1763)</f>
        <v>2</v>
      </c>
      <c r="K1763" s="3" t="n">
        <f aca="false">COUNTIFS($B$2:$B$4077,B1763,$C$2:$C$4077,C1763,$I$2:$I$4077,I1763)</f>
        <v>2</v>
      </c>
      <c r="L1763" s="3" t="n">
        <f aca="false">IF(COUNTIFS($B$2:B1763,B1763,$C$2:C1763,C1763,$I$2:I1763,I1763)=1,1,0)</f>
        <v>0</v>
      </c>
      <c r="M1763" s="3" t="n">
        <f aca="false">IF(K1763&gt;=Parametri!$B$1,1,0)</f>
        <v>1</v>
      </c>
      <c r="N1763" s="3" t="n">
        <f aca="false">L1763*M1763</f>
        <v>0</v>
      </c>
    </row>
    <row r="1764" customFormat="false" ht="15" hidden="false" customHeight="false" outlineLevel="0" collapsed="false">
      <c r="A1764" s="0" t="s">
        <v>2898</v>
      </c>
      <c r="B1764" s="0" t="s">
        <v>124</v>
      </c>
      <c r="C1764" s="0" t="s">
        <v>2899</v>
      </c>
      <c r="D1764" s="0" t="s">
        <v>66</v>
      </c>
      <c r="E1764" s="2" t="n">
        <v>45718</v>
      </c>
      <c r="F1764" s="3" t="s">
        <v>20</v>
      </c>
      <c r="G1764" s="3" t="s">
        <v>55</v>
      </c>
      <c r="H1764" s="3" t="s">
        <v>29</v>
      </c>
      <c r="I1764" s="3" t="n">
        <f aca="false">YEAR(E1764)</f>
        <v>2025</v>
      </c>
      <c r="J1764" s="3" t="n">
        <f aca="false">MONTH(E1764)</f>
        <v>3</v>
      </c>
      <c r="K1764" s="3" t="n">
        <f aca="false">COUNTIFS($B$2:$B$4077,B1764,$C$2:$C$4077,C1764,$I$2:$I$4077,I1764)</f>
        <v>1</v>
      </c>
      <c r="L1764" s="3" t="n">
        <f aca="false">IF(COUNTIFS($B$2:B1764,B1764,$C$2:C1764,C1764,$I$2:I1764,I1764)=1,1,0)</f>
        <v>1</v>
      </c>
      <c r="M1764" s="3" t="n">
        <f aca="false">IF(K1764&gt;=Parametri!$B$1,1,0)</f>
        <v>0</v>
      </c>
      <c r="N1764" s="3" t="n">
        <f aca="false">L1764*M1764</f>
        <v>0</v>
      </c>
    </row>
    <row r="1765" customFormat="false" ht="15" hidden="false" customHeight="false" outlineLevel="0" collapsed="false">
      <c r="A1765" s="0" t="s">
        <v>2900</v>
      </c>
      <c r="B1765" s="0" t="s">
        <v>68</v>
      </c>
      <c r="C1765" s="0" t="s">
        <v>849</v>
      </c>
      <c r="D1765" s="0" t="s">
        <v>54</v>
      </c>
      <c r="E1765" s="2" t="n">
        <v>46161</v>
      </c>
      <c r="F1765" s="3" t="s">
        <v>20</v>
      </c>
      <c r="G1765" s="3" t="s">
        <v>28</v>
      </c>
      <c r="H1765" s="3" t="s">
        <v>48</v>
      </c>
      <c r="I1765" s="3" t="n">
        <f aca="false">YEAR(E1765)</f>
        <v>2026</v>
      </c>
      <c r="J1765" s="3" t="n">
        <f aca="false">MONTH(E1765)</f>
        <v>5</v>
      </c>
      <c r="K1765" s="3" t="n">
        <f aca="false">COUNTIFS($B$2:$B$4077,B1765,$C$2:$C$4077,C1765,$I$2:$I$4077,I1765)</f>
        <v>2</v>
      </c>
      <c r="L1765" s="3" t="n">
        <f aca="false">IF(COUNTIFS($B$2:B1765,B1765,$C$2:C1765,C1765,$I$2:I1765,I1765)=1,1,0)</f>
        <v>0</v>
      </c>
      <c r="M1765" s="3" t="n">
        <f aca="false">IF(K1765&gt;=Parametri!$B$1,1,0)</f>
        <v>1</v>
      </c>
      <c r="N1765" s="3" t="n">
        <f aca="false">L1765*M1765</f>
        <v>0</v>
      </c>
    </row>
    <row r="1766" customFormat="false" ht="15" hidden="false" customHeight="false" outlineLevel="0" collapsed="false">
      <c r="A1766" s="0" t="s">
        <v>2901</v>
      </c>
      <c r="B1766" s="0" t="s">
        <v>50</v>
      </c>
      <c r="C1766" s="0" t="s">
        <v>1112</v>
      </c>
      <c r="D1766" s="0" t="s">
        <v>63</v>
      </c>
      <c r="E1766" s="2" t="n">
        <v>45899</v>
      </c>
      <c r="F1766" s="3" t="s">
        <v>20</v>
      </c>
      <c r="G1766" s="3" t="s">
        <v>21</v>
      </c>
      <c r="H1766" s="3" t="s">
        <v>44</v>
      </c>
      <c r="I1766" s="3" t="n">
        <f aca="false">YEAR(E1766)</f>
        <v>2025</v>
      </c>
      <c r="J1766" s="3" t="n">
        <f aca="false">MONTH(E1766)</f>
        <v>8</v>
      </c>
      <c r="K1766" s="3" t="n">
        <f aca="false">COUNTIFS($B$2:$B$4077,B1766,$C$2:$C$4077,C1766,$I$2:$I$4077,I1766)</f>
        <v>2</v>
      </c>
      <c r="L1766" s="3" t="n">
        <f aca="false">IF(COUNTIFS($B$2:B1766,B1766,$C$2:C1766,C1766,$I$2:I1766,I1766)=1,1,0)</f>
        <v>1</v>
      </c>
      <c r="M1766" s="3" t="n">
        <f aca="false">IF(K1766&gt;=Parametri!$B$1,1,0)</f>
        <v>1</v>
      </c>
      <c r="N1766" s="3" t="n">
        <f aca="false">L1766*M1766</f>
        <v>1</v>
      </c>
    </row>
    <row r="1767" customFormat="false" ht="15" hidden="false" customHeight="false" outlineLevel="0" collapsed="false">
      <c r="A1767" s="0" t="s">
        <v>2902</v>
      </c>
      <c r="B1767" s="0" t="s">
        <v>46</v>
      </c>
      <c r="C1767" s="0" t="s">
        <v>2903</v>
      </c>
      <c r="D1767" s="0" t="s">
        <v>54</v>
      </c>
      <c r="E1767" s="2" t="n">
        <v>45994</v>
      </c>
      <c r="F1767" s="3" t="s">
        <v>27</v>
      </c>
      <c r="G1767" s="3" t="s">
        <v>35</v>
      </c>
      <c r="H1767" s="3" t="s">
        <v>44</v>
      </c>
      <c r="I1767" s="3" t="n">
        <f aca="false">YEAR(E1767)</f>
        <v>2025</v>
      </c>
      <c r="J1767" s="3" t="n">
        <f aca="false">MONTH(E1767)</f>
        <v>12</v>
      </c>
      <c r="K1767" s="3" t="n">
        <f aca="false">COUNTIFS($B$2:$B$4077,B1767,$C$2:$C$4077,C1767,$I$2:$I$4077,I1767)</f>
        <v>1</v>
      </c>
      <c r="L1767" s="3" t="n">
        <f aca="false">IF(COUNTIFS($B$2:B1767,B1767,$C$2:C1767,C1767,$I$2:I1767,I1767)=1,1,0)</f>
        <v>1</v>
      </c>
      <c r="M1767" s="3" t="n">
        <f aca="false">IF(K1767&gt;=Parametri!$B$1,1,0)</f>
        <v>0</v>
      </c>
      <c r="N1767" s="3" t="n">
        <f aca="false">L1767*M1767</f>
        <v>0</v>
      </c>
    </row>
    <row r="1768" customFormat="false" ht="15" hidden="false" customHeight="false" outlineLevel="0" collapsed="false">
      <c r="A1768" s="0" t="s">
        <v>2904</v>
      </c>
      <c r="B1768" s="0" t="s">
        <v>79</v>
      </c>
      <c r="C1768" s="0" t="s">
        <v>2227</v>
      </c>
      <c r="D1768" s="0" t="s">
        <v>63</v>
      </c>
      <c r="E1768" s="2" t="n">
        <v>45408</v>
      </c>
      <c r="F1768" s="3" t="s">
        <v>20</v>
      </c>
      <c r="G1768" s="3" t="s">
        <v>28</v>
      </c>
      <c r="H1768" s="3" t="s">
        <v>29</v>
      </c>
      <c r="I1768" s="3" t="n">
        <f aca="false">YEAR(E1768)</f>
        <v>2024</v>
      </c>
      <c r="J1768" s="3" t="n">
        <f aca="false">MONTH(E1768)</f>
        <v>4</v>
      </c>
      <c r="K1768" s="3" t="n">
        <f aca="false">COUNTIFS($B$2:$B$4077,B1768,$C$2:$C$4077,C1768,$I$2:$I$4077,I1768)</f>
        <v>1</v>
      </c>
      <c r="L1768" s="3" t="n">
        <f aca="false">IF(COUNTIFS($B$2:B1768,B1768,$C$2:C1768,C1768,$I$2:I1768,I1768)=1,1,0)</f>
        <v>1</v>
      </c>
      <c r="M1768" s="3" t="n">
        <f aca="false">IF(K1768&gt;=Parametri!$B$1,1,0)</f>
        <v>0</v>
      </c>
      <c r="N1768" s="3" t="n">
        <f aca="false">L1768*M1768</f>
        <v>0</v>
      </c>
    </row>
    <row r="1769" customFormat="false" ht="15" hidden="false" customHeight="false" outlineLevel="0" collapsed="false">
      <c r="A1769" s="0" t="s">
        <v>2905</v>
      </c>
      <c r="B1769" s="0" t="s">
        <v>41</v>
      </c>
      <c r="C1769" s="0" t="s">
        <v>2906</v>
      </c>
      <c r="D1769" s="0" t="s">
        <v>54</v>
      </c>
      <c r="E1769" s="2" t="n">
        <v>45452</v>
      </c>
      <c r="F1769" s="3" t="s">
        <v>20</v>
      </c>
      <c r="G1769" s="3" t="s">
        <v>43</v>
      </c>
      <c r="H1769" s="3" t="s">
        <v>29</v>
      </c>
      <c r="I1769" s="3" t="n">
        <f aca="false">YEAR(E1769)</f>
        <v>2024</v>
      </c>
      <c r="J1769" s="3" t="n">
        <f aca="false">MONTH(E1769)</f>
        <v>6</v>
      </c>
      <c r="K1769" s="3" t="n">
        <f aca="false">COUNTIFS($B$2:$B$4077,B1769,$C$2:$C$4077,C1769,$I$2:$I$4077,I1769)</f>
        <v>2</v>
      </c>
      <c r="L1769" s="3" t="n">
        <f aca="false">IF(COUNTIFS($B$2:B1769,B1769,$C$2:C1769,C1769,$I$2:I1769,I1769)=1,1,0)</f>
        <v>1</v>
      </c>
      <c r="M1769" s="3" t="n">
        <f aca="false">IF(K1769&gt;=Parametri!$B$1,1,0)</f>
        <v>1</v>
      </c>
      <c r="N1769" s="3" t="n">
        <f aca="false">L1769*M1769</f>
        <v>1</v>
      </c>
    </row>
    <row r="1770" customFormat="false" ht="15" hidden="false" customHeight="false" outlineLevel="0" collapsed="false">
      <c r="A1770" s="0" t="s">
        <v>2907</v>
      </c>
      <c r="B1770" s="0" t="s">
        <v>46</v>
      </c>
      <c r="C1770" s="0" t="s">
        <v>1883</v>
      </c>
      <c r="D1770" s="0" t="s">
        <v>66</v>
      </c>
      <c r="E1770" s="2" t="n">
        <v>45847</v>
      </c>
      <c r="F1770" s="3" t="s">
        <v>20</v>
      </c>
      <c r="G1770" s="3" t="s">
        <v>28</v>
      </c>
      <c r="H1770" s="3" t="s">
        <v>48</v>
      </c>
      <c r="I1770" s="3" t="n">
        <f aca="false">YEAR(E1770)</f>
        <v>2025</v>
      </c>
      <c r="J1770" s="3" t="n">
        <f aca="false">MONTH(E1770)</f>
        <v>7</v>
      </c>
      <c r="K1770" s="3" t="n">
        <f aca="false">COUNTIFS($B$2:$B$4077,B1770,$C$2:$C$4077,C1770,$I$2:$I$4077,I1770)</f>
        <v>6</v>
      </c>
      <c r="L1770" s="3" t="n">
        <f aca="false">IF(COUNTIFS($B$2:B1770,B1770,$C$2:C1770,C1770,$I$2:I1770,I1770)=1,1,0)</f>
        <v>0</v>
      </c>
      <c r="M1770" s="3" t="n">
        <f aca="false">IF(K1770&gt;=Parametri!$B$1,1,0)</f>
        <v>1</v>
      </c>
      <c r="N1770" s="3" t="n">
        <f aca="false">L1770*M1770</f>
        <v>0</v>
      </c>
    </row>
    <row r="1771" customFormat="false" ht="15" hidden="false" customHeight="false" outlineLevel="0" collapsed="false">
      <c r="A1771" s="0" t="s">
        <v>2908</v>
      </c>
      <c r="B1771" s="0" t="s">
        <v>124</v>
      </c>
      <c r="C1771" s="0" t="s">
        <v>2778</v>
      </c>
      <c r="D1771" s="0" t="s">
        <v>33</v>
      </c>
      <c r="E1771" s="2" t="n">
        <v>45583</v>
      </c>
      <c r="F1771" s="3" t="s">
        <v>20</v>
      </c>
      <c r="G1771" s="3" t="s">
        <v>89</v>
      </c>
      <c r="H1771" s="3" t="s">
        <v>48</v>
      </c>
      <c r="I1771" s="3" t="n">
        <f aca="false">YEAR(E1771)</f>
        <v>2024</v>
      </c>
      <c r="J1771" s="3" t="n">
        <f aca="false">MONTH(E1771)</f>
        <v>10</v>
      </c>
      <c r="K1771" s="3" t="n">
        <f aca="false">COUNTIFS($B$2:$B$4077,B1771,$C$2:$C$4077,C1771,$I$2:$I$4077,I1771)</f>
        <v>1</v>
      </c>
      <c r="L1771" s="3" t="n">
        <f aca="false">IF(COUNTIFS($B$2:B1771,B1771,$C$2:C1771,C1771,$I$2:I1771,I1771)=1,1,0)</f>
        <v>1</v>
      </c>
      <c r="M1771" s="3" t="n">
        <f aca="false">IF(K1771&gt;=Parametri!$B$1,1,0)</f>
        <v>0</v>
      </c>
      <c r="N1771" s="3" t="n">
        <f aca="false">L1771*M1771</f>
        <v>0</v>
      </c>
    </row>
    <row r="1772" customFormat="false" ht="15" hidden="false" customHeight="false" outlineLevel="0" collapsed="false">
      <c r="A1772" s="0" t="s">
        <v>2909</v>
      </c>
      <c r="B1772" s="0" t="s">
        <v>24</v>
      </c>
      <c r="C1772" s="0" t="s">
        <v>1020</v>
      </c>
      <c r="D1772" s="0" t="s">
        <v>38</v>
      </c>
      <c r="E1772" s="2" t="n">
        <v>45581</v>
      </c>
      <c r="F1772" s="3" t="s">
        <v>27</v>
      </c>
      <c r="G1772" s="3" t="s">
        <v>21</v>
      </c>
      <c r="H1772" s="3" t="s">
        <v>48</v>
      </c>
      <c r="I1772" s="3" t="n">
        <f aca="false">YEAR(E1772)</f>
        <v>2024</v>
      </c>
      <c r="J1772" s="3" t="n">
        <f aca="false">MONTH(E1772)</f>
        <v>10</v>
      </c>
      <c r="K1772" s="3" t="n">
        <f aca="false">COUNTIFS($B$2:$B$4077,B1772,$C$2:$C$4077,C1772,$I$2:$I$4077,I1772)</f>
        <v>3</v>
      </c>
      <c r="L1772" s="3" t="n">
        <f aca="false">IF(COUNTIFS($B$2:B1772,B1772,$C$2:C1772,C1772,$I$2:I1772,I1772)=1,1,0)</f>
        <v>1</v>
      </c>
      <c r="M1772" s="3" t="n">
        <f aca="false">IF(K1772&gt;=Parametri!$B$1,1,0)</f>
        <v>1</v>
      </c>
      <c r="N1772" s="3" t="n">
        <f aca="false">L1772*M1772</f>
        <v>1</v>
      </c>
    </row>
    <row r="1773" customFormat="false" ht="15" hidden="false" customHeight="false" outlineLevel="0" collapsed="false">
      <c r="A1773" s="0" t="s">
        <v>2910</v>
      </c>
      <c r="B1773" s="0" t="s">
        <v>17</v>
      </c>
      <c r="C1773" s="0" t="s">
        <v>1375</v>
      </c>
      <c r="D1773" s="0" t="s">
        <v>33</v>
      </c>
      <c r="E1773" s="2" t="n">
        <v>45486</v>
      </c>
      <c r="F1773" s="3" t="s">
        <v>20</v>
      </c>
      <c r="G1773" s="3" t="s">
        <v>43</v>
      </c>
      <c r="H1773" s="3" t="s">
        <v>48</v>
      </c>
      <c r="I1773" s="3" t="n">
        <f aca="false">YEAR(E1773)</f>
        <v>2024</v>
      </c>
      <c r="J1773" s="3" t="n">
        <f aca="false">MONTH(E1773)</f>
        <v>7</v>
      </c>
      <c r="K1773" s="3" t="n">
        <f aca="false">COUNTIFS($B$2:$B$4077,B1773,$C$2:$C$4077,C1773,$I$2:$I$4077,I1773)</f>
        <v>2</v>
      </c>
      <c r="L1773" s="3" t="n">
        <f aca="false">IF(COUNTIFS($B$2:B1773,B1773,$C$2:C1773,C1773,$I$2:I1773,I1773)=1,1,0)</f>
        <v>1</v>
      </c>
      <c r="M1773" s="3" t="n">
        <f aca="false">IF(K1773&gt;=Parametri!$B$1,1,0)</f>
        <v>1</v>
      </c>
      <c r="N1773" s="3" t="n">
        <f aca="false">L1773*M1773</f>
        <v>1</v>
      </c>
    </row>
    <row r="1774" customFormat="false" ht="15" hidden="false" customHeight="false" outlineLevel="0" collapsed="false">
      <c r="A1774" s="0" t="s">
        <v>2911</v>
      </c>
      <c r="B1774" s="0" t="s">
        <v>46</v>
      </c>
      <c r="C1774" s="0" t="s">
        <v>2125</v>
      </c>
      <c r="D1774" s="0" t="s">
        <v>19</v>
      </c>
      <c r="E1774" s="2" t="n">
        <v>46167</v>
      </c>
      <c r="F1774" s="3" t="s">
        <v>20</v>
      </c>
      <c r="G1774" s="3" t="s">
        <v>89</v>
      </c>
      <c r="H1774" s="3" t="s">
        <v>44</v>
      </c>
      <c r="I1774" s="3" t="n">
        <f aca="false">YEAR(E1774)</f>
        <v>2026</v>
      </c>
      <c r="J1774" s="3" t="n">
        <f aca="false">MONTH(E1774)</f>
        <v>5</v>
      </c>
      <c r="K1774" s="3" t="n">
        <f aca="false">COUNTIFS($B$2:$B$4077,B1774,$C$2:$C$4077,C1774,$I$2:$I$4077,I1774)</f>
        <v>1</v>
      </c>
      <c r="L1774" s="3" t="n">
        <f aca="false">IF(COUNTIFS($B$2:B1774,B1774,$C$2:C1774,C1774,$I$2:I1774,I1774)=1,1,0)</f>
        <v>1</v>
      </c>
      <c r="M1774" s="3" t="n">
        <f aca="false">IF(K1774&gt;=Parametri!$B$1,1,0)</f>
        <v>0</v>
      </c>
      <c r="N1774" s="3" t="n">
        <f aca="false">L1774*M1774</f>
        <v>0</v>
      </c>
    </row>
    <row r="1775" customFormat="false" ht="15" hidden="false" customHeight="false" outlineLevel="0" collapsed="false">
      <c r="A1775" s="0" t="s">
        <v>2912</v>
      </c>
      <c r="B1775" s="0" t="s">
        <v>31</v>
      </c>
      <c r="C1775" s="0" t="s">
        <v>2913</v>
      </c>
      <c r="D1775" s="0" t="s">
        <v>19</v>
      </c>
      <c r="E1775" s="2" t="n">
        <v>45529</v>
      </c>
      <c r="F1775" s="3" t="s">
        <v>27</v>
      </c>
      <c r="G1775" s="3" t="s">
        <v>43</v>
      </c>
      <c r="H1775" s="3" t="s">
        <v>22</v>
      </c>
      <c r="I1775" s="3" t="n">
        <f aca="false">YEAR(E1775)</f>
        <v>2024</v>
      </c>
      <c r="J1775" s="3" t="n">
        <f aca="false">MONTH(E1775)</f>
        <v>8</v>
      </c>
      <c r="K1775" s="3" t="n">
        <f aca="false">COUNTIFS($B$2:$B$4077,B1775,$C$2:$C$4077,C1775,$I$2:$I$4077,I1775)</f>
        <v>1</v>
      </c>
      <c r="L1775" s="3" t="n">
        <f aca="false">IF(COUNTIFS($B$2:B1775,B1775,$C$2:C1775,C1775,$I$2:I1775,I1775)=1,1,0)</f>
        <v>1</v>
      </c>
      <c r="M1775" s="3" t="n">
        <f aca="false">IF(K1775&gt;=Parametri!$B$1,1,0)</f>
        <v>0</v>
      </c>
      <c r="N1775" s="3" t="n">
        <f aca="false">L1775*M1775</f>
        <v>0</v>
      </c>
    </row>
    <row r="1776" customFormat="false" ht="15" hidden="false" customHeight="false" outlineLevel="0" collapsed="false">
      <c r="A1776" s="0" t="s">
        <v>2914</v>
      </c>
      <c r="B1776" s="0" t="s">
        <v>46</v>
      </c>
      <c r="C1776" s="0" t="s">
        <v>2915</v>
      </c>
      <c r="D1776" s="0" t="s">
        <v>54</v>
      </c>
      <c r="E1776" s="2" t="n">
        <v>46192</v>
      </c>
      <c r="F1776" s="3" t="s">
        <v>20</v>
      </c>
      <c r="G1776" s="3" t="s">
        <v>21</v>
      </c>
      <c r="H1776" s="3" t="s">
        <v>48</v>
      </c>
      <c r="I1776" s="3" t="n">
        <f aca="false">YEAR(E1776)</f>
        <v>2026</v>
      </c>
      <c r="J1776" s="3" t="n">
        <f aca="false">MONTH(E1776)</f>
        <v>6</v>
      </c>
      <c r="K1776" s="3" t="n">
        <f aca="false">COUNTIFS($B$2:$B$4077,B1776,$C$2:$C$4077,C1776,$I$2:$I$4077,I1776)</f>
        <v>1</v>
      </c>
      <c r="L1776" s="3" t="n">
        <f aca="false">IF(COUNTIFS($B$2:B1776,B1776,$C$2:C1776,C1776,$I$2:I1776,I1776)=1,1,0)</f>
        <v>1</v>
      </c>
      <c r="M1776" s="3" t="n">
        <f aca="false">IF(K1776&gt;=Parametri!$B$1,1,0)</f>
        <v>0</v>
      </c>
      <c r="N1776" s="3" t="n">
        <f aca="false">L1776*M1776</f>
        <v>0</v>
      </c>
    </row>
    <row r="1777" customFormat="false" ht="15" hidden="false" customHeight="false" outlineLevel="0" collapsed="false">
      <c r="A1777" s="0" t="s">
        <v>2916</v>
      </c>
      <c r="B1777" s="0" t="s">
        <v>79</v>
      </c>
      <c r="C1777" s="0" t="s">
        <v>2917</v>
      </c>
      <c r="D1777" s="0" t="s">
        <v>19</v>
      </c>
      <c r="E1777" s="2" t="n">
        <v>45378</v>
      </c>
      <c r="F1777" s="3" t="s">
        <v>20</v>
      </c>
      <c r="G1777" s="3" t="s">
        <v>35</v>
      </c>
      <c r="H1777" s="3" t="s">
        <v>48</v>
      </c>
      <c r="I1777" s="3" t="n">
        <f aca="false">YEAR(E1777)</f>
        <v>2024</v>
      </c>
      <c r="J1777" s="3" t="n">
        <f aca="false">MONTH(E1777)</f>
        <v>3</v>
      </c>
      <c r="K1777" s="3" t="n">
        <f aca="false">COUNTIFS($B$2:$B$4077,B1777,$C$2:$C$4077,C1777,$I$2:$I$4077,I1777)</f>
        <v>3</v>
      </c>
      <c r="L1777" s="3" t="n">
        <f aca="false">IF(COUNTIFS($B$2:B1777,B1777,$C$2:C1777,C1777,$I$2:I1777,I1777)=1,1,0)</f>
        <v>1</v>
      </c>
      <c r="M1777" s="3" t="n">
        <f aca="false">IF(K1777&gt;=Parametri!$B$1,1,0)</f>
        <v>1</v>
      </c>
      <c r="N1777" s="3" t="n">
        <f aca="false">L1777*M1777</f>
        <v>1</v>
      </c>
    </row>
    <row r="1778" customFormat="false" ht="15" hidden="false" customHeight="false" outlineLevel="0" collapsed="false">
      <c r="A1778" s="0" t="s">
        <v>2918</v>
      </c>
      <c r="B1778" s="0" t="s">
        <v>57</v>
      </c>
      <c r="C1778" s="0" t="s">
        <v>2504</v>
      </c>
      <c r="D1778" s="0" t="s">
        <v>66</v>
      </c>
      <c r="E1778" s="2" t="n">
        <v>45527</v>
      </c>
      <c r="F1778" s="3" t="s">
        <v>27</v>
      </c>
      <c r="G1778" s="3" t="s">
        <v>21</v>
      </c>
      <c r="H1778" s="3" t="s">
        <v>22</v>
      </c>
      <c r="I1778" s="3" t="n">
        <f aca="false">YEAR(E1778)</f>
        <v>2024</v>
      </c>
      <c r="J1778" s="3" t="n">
        <f aca="false">MONTH(E1778)</f>
        <v>8</v>
      </c>
      <c r="K1778" s="3" t="n">
        <f aca="false">COUNTIFS($B$2:$B$4077,B1778,$C$2:$C$4077,C1778,$I$2:$I$4077,I1778)</f>
        <v>3</v>
      </c>
      <c r="L1778" s="3" t="n">
        <f aca="false">IF(COUNTIFS($B$2:B1778,B1778,$C$2:C1778,C1778,$I$2:I1778,I1778)=1,1,0)</f>
        <v>1</v>
      </c>
      <c r="M1778" s="3" t="n">
        <f aca="false">IF(K1778&gt;=Parametri!$B$1,1,0)</f>
        <v>1</v>
      </c>
      <c r="N1778" s="3" t="n">
        <f aca="false">L1778*M1778</f>
        <v>1</v>
      </c>
    </row>
    <row r="1779" customFormat="false" ht="15" hidden="false" customHeight="false" outlineLevel="0" collapsed="false">
      <c r="A1779" s="0" t="s">
        <v>2919</v>
      </c>
      <c r="B1779" s="0" t="s">
        <v>50</v>
      </c>
      <c r="C1779" s="0" t="s">
        <v>2920</v>
      </c>
      <c r="D1779" s="0" t="s">
        <v>26</v>
      </c>
      <c r="E1779" s="2" t="n">
        <v>46094</v>
      </c>
      <c r="F1779" s="3" t="s">
        <v>27</v>
      </c>
      <c r="G1779" s="3" t="s">
        <v>28</v>
      </c>
      <c r="H1779" s="3" t="s">
        <v>29</v>
      </c>
      <c r="I1779" s="3" t="n">
        <f aca="false">YEAR(E1779)</f>
        <v>2026</v>
      </c>
      <c r="J1779" s="3" t="n">
        <f aca="false">MONTH(E1779)</f>
        <v>3</v>
      </c>
      <c r="K1779" s="3" t="n">
        <f aca="false">COUNTIFS($B$2:$B$4077,B1779,$C$2:$C$4077,C1779,$I$2:$I$4077,I1779)</f>
        <v>2</v>
      </c>
      <c r="L1779" s="3" t="n">
        <f aca="false">IF(COUNTIFS($B$2:B1779,B1779,$C$2:C1779,C1779,$I$2:I1779,I1779)=1,1,0)</f>
        <v>1</v>
      </c>
      <c r="M1779" s="3" t="n">
        <f aca="false">IF(K1779&gt;=Parametri!$B$1,1,0)</f>
        <v>1</v>
      </c>
      <c r="N1779" s="3" t="n">
        <f aca="false">L1779*M1779</f>
        <v>1</v>
      </c>
    </row>
    <row r="1780" customFormat="false" ht="15" hidden="false" customHeight="false" outlineLevel="0" collapsed="false">
      <c r="A1780" s="0" t="s">
        <v>2921</v>
      </c>
      <c r="B1780" s="0" t="s">
        <v>17</v>
      </c>
      <c r="C1780" s="0" t="s">
        <v>897</v>
      </c>
      <c r="D1780" s="0" t="s">
        <v>33</v>
      </c>
      <c r="E1780" s="2" t="n">
        <v>46047</v>
      </c>
      <c r="F1780" s="3" t="s">
        <v>20</v>
      </c>
      <c r="G1780" s="3" t="s">
        <v>21</v>
      </c>
      <c r="H1780" s="3" t="s">
        <v>48</v>
      </c>
      <c r="I1780" s="3" t="n">
        <f aca="false">YEAR(E1780)</f>
        <v>2026</v>
      </c>
      <c r="J1780" s="3" t="n">
        <f aca="false">MONTH(E1780)</f>
        <v>1</v>
      </c>
      <c r="K1780" s="3" t="n">
        <f aca="false">COUNTIFS($B$2:$B$4077,B1780,$C$2:$C$4077,C1780,$I$2:$I$4077,I1780)</f>
        <v>4</v>
      </c>
      <c r="L1780" s="3" t="n">
        <f aca="false">IF(COUNTIFS($B$2:B1780,B1780,$C$2:C1780,C1780,$I$2:I1780,I1780)=1,1,0)</f>
        <v>0</v>
      </c>
      <c r="M1780" s="3" t="n">
        <f aca="false">IF(K1780&gt;=Parametri!$B$1,1,0)</f>
        <v>1</v>
      </c>
      <c r="N1780" s="3" t="n">
        <f aca="false">L1780*M1780</f>
        <v>0</v>
      </c>
    </row>
    <row r="1781" customFormat="false" ht="15" hidden="false" customHeight="false" outlineLevel="0" collapsed="false">
      <c r="A1781" s="0" t="s">
        <v>2922</v>
      </c>
      <c r="B1781" s="0" t="s">
        <v>79</v>
      </c>
      <c r="C1781" s="0" t="s">
        <v>2923</v>
      </c>
      <c r="D1781" s="0" t="s">
        <v>66</v>
      </c>
      <c r="E1781" s="2" t="n">
        <v>45698</v>
      </c>
      <c r="F1781" s="3" t="s">
        <v>34</v>
      </c>
      <c r="G1781" s="3" t="s">
        <v>39</v>
      </c>
      <c r="H1781" s="3" t="s">
        <v>48</v>
      </c>
      <c r="I1781" s="3" t="n">
        <f aca="false">YEAR(E1781)</f>
        <v>2025</v>
      </c>
      <c r="J1781" s="3" t="n">
        <f aca="false">MONTH(E1781)</f>
        <v>2</v>
      </c>
      <c r="K1781" s="3" t="n">
        <f aca="false">COUNTIFS($B$2:$B$4077,B1781,$C$2:$C$4077,C1781,$I$2:$I$4077,I1781)</f>
        <v>2</v>
      </c>
      <c r="L1781" s="3" t="n">
        <f aca="false">IF(COUNTIFS($B$2:B1781,B1781,$C$2:C1781,C1781,$I$2:I1781,I1781)=1,1,0)</f>
        <v>1</v>
      </c>
      <c r="M1781" s="3" t="n">
        <f aca="false">IF(K1781&gt;=Parametri!$B$1,1,0)</f>
        <v>1</v>
      </c>
      <c r="N1781" s="3" t="n">
        <f aca="false">L1781*M1781</f>
        <v>1</v>
      </c>
    </row>
    <row r="1782" customFormat="false" ht="15" hidden="false" customHeight="false" outlineLevel="0" collapsed="false">
      <c r="A1782" s="0" t="s">
        <v>2924</v>
      </c>
      <c r="B1782" s="0" t="s">
        <v>50</v>
      </c>
      <c r="C1782" s="0" t="s">
        <v>533</v>
      </c>
      <c r="D1782" s="0" t="s">
        <v>33</v>
      </c>
      <c r="E1782" s="2" t="n">
        <v>45976</v>
      </c>
      <c r="F1782" s="3" t="s">
        <v>20</v>
      </c>
      <c r="G1782" s="3" t="s">
        <v>72</v>
      </c>
      <c r="H1782" s="3" t="s">
        <v>22</v>
      </c>
      <c r="I1782" s="3" t="n">
        <f aca="false">YEAR(E1782)</f>
        <v>2025</v>
      </c>
      <c r="J1782" s="3" t="n">
        <f aca="false">MONTH(E1782)</f>
        <v>11</v>
      </c>
      <c r="K1782" s="3" t="n">
        <f aca="false">COUNTIFS($B$2:$B$4077,B1782,$C$2:$C$4077,C1782,$I$2:$I$4077,I1782)</f>
        <v>7</v>
      </c>
      <c r="L1782" s="3" t="n">
        <f aca="false">IF(COUNTIFS($B$2:B1782,B1782,$C$2:C1782,C1782,$I$2:I1782,I1782)=1,1,0)</f>
        <v>0</v>
      </c>
      <c r="M1782" s="3" t="n">
        <f aca="false">IF(K1782&gt;=Parametri!$B$1,1,0)</f>
        <v>1</v>
      </c>
      <c r="N1782" s="3" t="n">
        <f aca="false">L1782*M1782</f>
        <v>0</v>
      </c>
    </row>
    <row r="1783" customFormat="false" ht="15" hidden="false" customHeight="false" outlineLevel="0" collapsed="false">
      <c r="A1783" s="0" t="s">
        <v>2925</v>
      </c>
      <c r="B1783" s="0" t="s">
        <v>50</v>
      </c>
      <c r="C1783" s="0" t="s">
        <v>2926</v>
      </c>
      <c r="D1783" s="0" t="s">
        <v>19</v>
      </c>
      <c r="E1783" s="2" t="n">
        <v>45947</v>
      </c>
      <c r="F1783" s="3" t="s">
        <v>20</v>
      </c>
      <c r="G1783" s="3" t="s">
        <v>35</v>
      </c>
      <c r="H1783" s="3" t="s">
        <v>48</v>
      </c>
      <c r="I1783" s="3" t="n">
        <f aca="false">YEAR(E1783)</f>
        <v>2025</v>
      </c>
      <c r="J1783" s="3" t="n">
        <f aca="false">MONTH(E1783)</f>
        <v>10</v>
      </c>
      <c r="K1783" s="3" t="n">
        <f aca="false">COUNTIFS($B$2:$B$4077,B1783,$C$2:$C$4077,C1783,$I$2:$I$4077,I1783)</f>
        <v>1</v>
      </c>
      <c r="L1783" s="3" t="n">
        <f aca="false">IF(COUNTIFS($B$2:B1783,B1783,$C$2:C1783,C1783,$I$2:I1783,I1783)=1,1,0)</f>
        <v>1</v>
      </c>
      <c r="M1783" s="3" t="n">
        <f aca="false">IF(K1783&gt;=Parametri!$B$1,1,0)</f>
        <v>0</v>
      </c>
      <c r="N1783" s="3" t="n">
        <f aca="false">L1783*M1783</f>
        <v>0</v>
      </c>
    </row>
    <row r="1784" customFormat="false" ht="15" hidden="false" customHeight="false" outlineLevel="0" collapsed="false">
      <c r="A1784" s="0" t="s">
        <v>2927</v>
      </c>
      <c r="B1784" s="0" t="s">
        <v>17</v>
      </c>
      <c r="C1784" s="0" t="s">
        <v>452</v>
      </c>
      <c r="D1784" s="0" t="s">
        <v>66</v>
      </c>
      <c r="E1784" s="2" t="n">
        <v>45361</v>
      </c>
      <c r="F1784" s="3" t="s">
        <v>20</v>
      </c>
      <c r="G1784" s="3" t="s">
        <v>28</v>
      </c>
      <c r="H1784" s="3" t="s">
        <v>22</v>
      </c>
      <c r="I1784" s="3" t="n">
        <f aca="false">YEAR(E1784)</f>
        <v>2024</v>
      </c>
      <c r="J1784" s="3" t="n">
        <f aca="false">MONTH(E1784)</f>
        <v>3</v>
      </c>
      <c r="K1784" s="3" t="n">
        <f aca="false">COUNTIFS($B$2:$B$4077,B1784,$C$2:$C$4077,C1784,$I$2:$I$4077,I1784)</f>
        <v>1</v>
      </c>
      <c r="L1784" s="3" t="n">
        <f aca="false">IF(COUNTIFS($B$2:B1784,B1784,$C$2:C1784,C1784,$I$2:I1784,I1784)=1,1,0)</f>
        <v>1</v>
      </c>
      <c r="M1784" s="3" t="n">
        <f aca="false">IF(K1784&gt;=Parametri!$B$1,1,0)</f>
        <v>0</v>
      </c>
      <c r="N1784" s="3" t="n">
        <f aca="false">L1784*M1784</f>
        <v>0</v>
      </c>
    </row>
    <row r="1785" customFormat="false" ht="15" hidden="false" customHeight="false" outlineLevel="0" collapsed="false">
      <c r="A1785" s="0" t="s">
        <v>2928</v>
      </c>
      <c r="B1785" s="0" t="s">
        <v>124</v>
      </c>
      <c r="C1785" s="0" t="s">
        <v>1279</v>
      </c>
      <c r="D1785" s="0" t="s">
        <v>19</v>
      </c>
      <c r="E1785" s="2" t="n">
        <v>45892</v>
      </c>
      <c r="F1785" s="3" t="s">
        <v>20</v>
      </c>
      <c r="G1785" s="3" t="s">
        <v>39</v>
      </c>
      <c r="H1785" s="3" t="s">
        <v>29</v>
      </c>
      <c r="I1785" s="3" t="n">
        <f aca="false">YEAR(E1785)</f>
        <v>2025</v>
      </c>
      <c r="J1785" s="3" t="n">
        <f aca="false">MONTH(E1785)</f>
        <v>8</v>
      </c>
      <c r="K1785" s="3" t="n">
        <f aca="false">COUNTIFS($B$2:$B$4077,B1785,$C$2:$C$4077,C1785,$I$2:$I$4077,I1785)</f>
        <v>8</v>
      </c>
      <c r="L1785" s="3" t="n">
        <f aca="false">IF(COUNTIFS($B$2:B1785,B1785,$C$2:C1785,C1785,$I$2:I1785,I1785)=1,1,0)</f>
        <v>0</v>
      </c>
      <c r="M1785" s="3" t="n">
        <f aca="false">IF(K1785&gt;=Parametri!$B$1,1,0)</f>
        <v>1</v>
      </c>
      <c r="N1785" s="3" t="n">
        <f aca="false">L1785*M1785</f>
        <v>0</v>
      </c>
    </row>
    <row r="1786" customFormat="false" ht="15" hidden="false" customHeight="false" outlineLevel="0" collapsed="false">
      <c r="A1786" s="0" t="s">
        <v>2929</v>
      </c>
      <c r="B1786" s="0" t="s">
        <v>124</v>
      </c>
      <c r="C1786" s="0" t="s">
        <v>196</v>
      </c>
      <c r="D1786" s="0" t="s">
        <v>54</v>
      </c>
      <c r="E1786" s="2" t="n">
        <v>45331</v>
      </c>
      <c r="F1786" s="3" t="s">
        <v>20</v>
      </c>
      <c r="G1786" s="3" t="s">
        <v>28</v>
      </c>
      <c r="H1786" s="3" t="s">
        <v>22</v>
      </c>
      <c r="I1786" s="3" t="n">
        <f aca="false">YEAR(E1786)</f>
        <v>2024</v>
      </c>
      <c r="J1786" s="3" t="n">
        <f aca="false">MONTH(E1786)</f>
        <v>2</v>
      </c>
      <c r="K1786" s="3" t="n">
        <f aca="false">COUNTIFS($B$2:$B$4077,B1786,$C$2:$C$4077,C1786,$I$2:$I$4077,I1786)</f>
        <v>8</v>
      </c>
      <c r="L1786" s="3" t="n">
        <f aca="false">IF(COUNTIFS($B$2:B1786,B1786,$C$2:C1786,C1786,$I$2:I1786,I1786)=1,1,0)</f>
        <v>0</v>
      </c>
      <c r="M1786" s="3" t="n">
        <f aca="false">IF(K1786&gt;=Parametri!$B$1,1,0)</f>
        <v>1</v>
      </c>
      <c r="N1786" s="3" t="n">
        <f aca="false">L1786*M1786</f>
        <v>0</v>
      </c>
    </row>
    <row r="1787" customFormat="false" ht="15" hidden="false" customHeight="false" outlineLevel="0" collapsed="false">
      <c r="A1787" s="0" t="s">
        <v>2930</v>
      </c>
      <c r="B1787" s="0" t="s">
        <v>79</v>
      </c>
      <c r="C1787" s="0" t="s">
        <v>350</v>
      </c>
      <c r="D1787" s="0" t="s">
        <v>19</v>
      </c>
      <c r="E1787" s="2" t="n">
        <v>46052</v>
      </c>
      <c r="F1787" s="3" t="s">
        <v>34</v>
      </c>
      <c r="G1787" s="3" t="s">
        <v>89</v>
      </c>
      <c r="H1787" s="3" t="s">
        <v>44</v>
      </c>
      <c r="I1787" s="3" t="n">
        <f aca="false">YEAR(E1787)</f>
        <v>2026</v>
      </c>
      <c r="J1787" s="3" t="n">
        <f aca="false">MONTH(E1787)</f>
        <v>1</v>
      </c>
      <c r="K1787" s="3" t="n">
        <f aca="false">COUNTIFS($B$2:$B$4077,B1787,$C$2:$C$4077,C1787,$I$2:$I$4077,I1787)</f>
        <v>2</v>
      </c>
      <c r="L1787" s="3" t="n">
        <f aca="false">IF(COUNTIFS($B$2:B1787,B1787,$C$2:C1787,C1787,$I$2:I1787,I1787)=1,1,0)</f>
        <v>0</v>
      </c>
      <c r="M1787" s="3" t="n">
        <f aca="false">IF(K1787&gt;=Parametri!$B$1,1,0)</f>
        <v>1</v>
      </c>
      <c r="N1787" s="3" t="n">
        <f aca="false">L1787*M1787</f>
        <v>0</v>
      </c>
    </row>
    <row r="1788" customFormat="false" ht="15" hidden="false" customHeight="false" outlineLevel="0" collapsed="false">
      <c r="A1788" s="0" t="s">
        <v>2931</v>
      </c>
      <c r="B1788" s="0" t="s">
        <v>124</v>
      </c>
      <c r="C1788" s="0" t="s">
        <v>647</v>
      </c>
      <c r="D1788" s="0" t="s">
        <v>77</v>
      </c>
      <c r="E1788" s="2" t="n">
        <v>45718</v>
      </c>
      <c r="F1788" s="3" t="s">
        <v>27</v>
      </c>
      <c r="G1788" s="3" t="s">
        <v>28</v>
      </c>
      <c r="H1788" s="3" t="s">
        <v>29</v>
      </c>
      <c r="I1788" s="3" t="n">
        <f aca="false">YEAR(E1788)</f>
        <v>2025</v>
      </c>
      <c r="J1788" s="3" t="n">
        <f aca="false">MONTH(E1788)</f>
        <v>3</v>
      </c>
      <c r="K1788" s="3" t="n">
        <f aca="false">COUNTIFS($B$2:$B$4077,B1788,$C$2:$C$4077,C1788,$I$2:$I$4077,I1788)</f>
        <v>1</v>
      </c>
      <c r="L1788" s="3" t="n">
        <f aca="false">IF(COUNTIFS($B$2:B1788,B1788,$C$2:C1788,C1788,$I$2:I1788,I1788)=1,1,0)</f>
        <v>1</v>
      </c>
      <c r="M1788" s="3" t="n">
        <f aca="false">IF(K1788&gt;=Parametri!$B$1,1,0)</f>
        <v>0</v>
      </c>
      <c r="N1788" s="3" t="n">
        <f aca="false">L1788*M1788</f>
        <v>0</v>
      </c>
    </row>
    <row r="1789" customFormat="false" ht="15" hidden="false" customHeight="false" outlineLevel="0" collapsed="false">
      <c r="A1789" s="0" t="s">
        <v>2932</v>
      </c>
      <c r="B1789" s="0" t="s">
        <v>68</v>
      </c>
      <c r="C1789" s="0" t="s">
        <v>2933</v>
      </c>
      <c r="D1789" s="0" t="s">
        <v>63</v>
      </c>
      <c r="E1789" s="2" t="n">
        <v>45419</v>
      </c>
      <c r="F1789" s="3" t="s">
        <v>34</v>
      </c>
      <c r="G1789" s="3" t="s">
        <v>35</v>
      </c>
      <c r="H1789" s="3" t="s">
        <v>44</v>
      </c>
      <c r="I1789" s="3" t="n">
        <f aca="false">YEAR(E1789)</f>
        <v>2024</v>
      </c>
      <c r="J1789" s="3" t="n">
        <f aca="false">MONTH(E1789)</f>
        <v>5</v>
      </c>
      <c r="K1789" s="3" t="n">
        <f aca="false">COUNTIFS($B$2:$B$4077,B1789,$C$2:$C$4077,C1789,$I$2:$I$4077,I1789)</f>
        <v>1</v>
      </c>
      <c r="L1789" s="3" t="n">
        <f aca="false">IF(COUNTIFS($B$2:B1789,B1789,$C$2:C1789,C1789,$I$2:I1789,I1789)=1,1,0)</f>
        <v>1</v>
      </c>
      <c r="M1789" s="3" t="n">
        <f aca="false">IF(K1789&gt;=Parametri!$B$1,1,0)</f>
        <v>0</v>
      </c>
      <c r="N1789" s="3" t="n">
        <f aca="false">L1789*M1789</f>
        <v>0</v>
      </c>
    </row>
    <row r="1790" customFormat="false" ht="15" hidden="false" customHeight="false" outlineLevel="0" collapsed="false">
      <c r="A1790" s="0" t="s">
        <v>2934</v>
      </c>
      <c r="B1790" s="0" t="s">
        <v>50</v>
      </c>
      <c r="C1790" s="0" t="s">
        <v>2935</v>
      </c>
      <c r="D1790" s="0" t="s">
        <v>66</v>
      </c>
      <c r="E1790" s="2" t="n">
        <v>46068</v>
      </c>
      <c r="F1790" s="3" t="s">
        <v>20</v>
      </c>
      <c r="G1790" s="3" t="s">
        <v>39</v>
      </c>
      <c r="H1790" s="3" t="s">
        <v>44</v>
      </c>
      <c r="I1790" s="3" t="n">
        <f aca="false">YEAR(E1790)</f>
        <v>2026</v>
      </c>
      <c r="J1790" s="3" t="n">
        <f aca="false">MONTH(E1790)</f>
        <v>2</v>
      </c>
      <c r="K1790" s="3" t="n">
        <f aca="false">COUNTIFS($B$2:$B$4077,B1790,$C$2:$C$4077,C1790,$I$2:$I$4077,I1790)</f>
        <v>1</v>
      </c>
      <c r="L1790" s="3" t="n">
        <f aca="false">IF(COUNTIFS($B$2:B1790,B1790,$C$2:C1790,C1790,$I$2:I1790,I1790)=1,1,0)</f>
        <v>1</v>
      </c>
      <c r="M1790" s="3" t="n">
        <f aca="false">IF(K1790&gt;=Parametri!$B$1,1,0)</f>
        <v>0</v>
      </c>
      <c r="N1790" s="3" t="n">
        <f aca="false">L1790*M1790</f>
        <v>0</v>
      </c>
    </row>
    <row r="1791" customFormat="false" ht="15" hidden="false" customHeight="false" outlineLevel="0" collapsed="false">
      <c r="A1791" s="0" t="s">
        <v>2936</v>
      </c>
      <c r="B1791" s="0" t="s">
        <v>24</v>
      </c>
      <c r="C1791" s="0" t="s">
        <v>2937</v>
      </c>
      <c r="D1791" s="0" t="s">
        <v>54</v>
      </c>
      <c r="E1791" s="2" t="n">
        <v>46154</v>
      </c>
      <c r="F1791" s="3" t="s">
        <v>20</v>
      </c>
      <c r="G1791" s="3" t="s">
        <v>72</v>
      </c>
      <c r="H1791" s="3" t="s">
        <v>44</v>
      </c>
      <c r="I1791" s="3" t="n">
        <f aca="false">YEAR(E1791)</f>
        <v>2026</v>
      </c>
      <c r="J1791" s="3" t="n">
        <f aca="false">MONTH(E1791)</f>
        <v>5</v>
      </c>
      <c r="K1791" s="3" t="n">
        <f aca="false">COUNTIFS($B$2:$B$4077,B1791,$C$2:$C$4077,C1791,$I$2:$I$4077,I1791)</f>
        <v>1</v>
      </c>
      <c r="L1791" s="3" t="n">
        <f aca="false">IF(COUNTIFS($B$2:B1791,B1791,$C$2:C1791,C1791,$I$2:I1791,I1791)=1,1,0)</f>
        <v>1</v>
      </c>
      <c r="M1791" s="3" t="n">
        <f aca="false">IF(K1791&gt;=Parametri!$B$1,1,0)</f>
        <v>0</v>
      </c>
      <c r="N1791" s="3" t="n">
        <f aca="false">L1791*M1791</f>
        <v>0</v>
      </c>
    </row>
    <row r="1792" customFormat="false" ht="15" hidden="false" customHeight="false" outlineLevel="0" collapsed="false">
      <c r="A1792" s="0" t="s">
        <v>2938</v>
      </c>
      <c r="B1792" s="0" t="s">
        <v>41</v>
      </c>
      <c r="C1792" s="0" t="s">
        <v>2939</v>
      </c>
      <c r="D1792" s="0" t="s">
        <v>66</v>
      </c>
      <c r="E1792" s="2" t="n">
        <v>45979</v>
      </c>
      <c r="F1792" s="3" t="s">
        <v>20</v>
      </c>
      <c r="G1792" s="3" t="s">
        <v>28</v>
      </c>
      <c r="H1792" s="3" t="s">
        <v>44</v>
      </c>
      <c r="I1792" s="3" t="n">
        <f aca="false">YEAR(E1792)</f>
        <v>2025</v>
      </c>
      <c r="J1792" s="3" t="n">
        <f aca="false">MONTH(E1792)</f>
        <v>11</v>
      </c>
      <c r="K1792" s="3" t="n">
        <f aca="false">COUNTIFS($B$2:$B$4077,B1792,$C$2:$C$4077,C1792,$I$2:$I$4077,I1792)</f>
        <v>1</v>
      </c>
      <c r="L1792" s="3" t="n">
        <f aca="false">IF(COUNTIFS($B$2:B1792,B1792,$C$2:C1792,C1792,$I$2:I1792,I1792)=1,1,0)</f>
        <v>1</v>
      </c>
      <c r="M1792" s="3" t="n">
        <f aca="false">IF(K1792&gt;=Parametri!$B$1,1,0)</f>
        <v>0</v>
      </c>
      <c r="N1792" s="3" t="n">
        <f aca="false">L1792*M1792</f>
        <v>0</v>
      </c>
    </row>
    <row r="1793" customFormat="false" ht="15" hidden="false" customHeight="false" outlineLevel="0" collapsed="false">
      <c r="A1793" s="0" t="s">
        <v>2940</v>
      </c>
      <c r="B1793" s="0" t="s">
        <v>41</v>
      </c>
      <c r="C1793" s="0" t="s">
        <v>2941</v>
      </c>
      <c r="D1793" s="0" t="s">
        <v>19</v>
      </c>
      <c r="E1793" s="2" t="n">
        <v>46121</v>
      </c>
      <c r="F1793" s="3" t="s">
        <v>34</v>
      </c>
      <c r="G1793" s="3" t="s">
        <v>39</v>
      </c>
      <c r="H1793" s="3" t="s">
        <v>22</v>
      </c>
      <c r="I1793" s="3" t="n">
        <f aca="false">YEAR(E1793)</f>
        <v>2026</v>
      </c>
      <c r="J1793" s="3" t="n">
        <f aca="false">MONTH(E1793)</f>
        <v>4</v>
      </c>
      <c r="K1793" s="3" t="n">
        <f aca="false">COUNTIFS($B$2:$B$4077,B1793,$C$2:$C$4077,C1793,$I$2:$I$4077,I1793)</f>
        <v>2</v>
      </c>
      <c r="L1793" s="3" t="n">
        <f aca="false">IF(COUNTIFS($B$2:B1793,B1793,$C$2:C1793,C1793,$I$2:I1793,I1793)=1,1,0)</f>
        <v>1</v>
      </c>
      <c r="M1793" s="3" t="n">
        <f aca="false">IF(K1793&gt;=Parametri!$B$1,1,0)</f>
        <v>1</v>
      </c>
      <c r="N1793" s="3" t="n">
        <f aca="false">L1793*M1793</f>
        <v>1</v>
      </c>
    </row>
    <row r="1794" customFormat="false" ht="15" hidden="false" customHeight="false" outlineLevel="0" collapsed="false">
      <c r="A1794" s="0" t="s">
        <v>2942</v>
      </c>
      <c r="B1794" s="0" t="s">
        <v>79</v>
      </c>
      <c r="C1794" s="0" t="s">
        <v>673</v>
      </c>
      <c r="D1794" s="0" t="s">
        <v>26</v>
      </c>
      <c r="E1794" s="2" t="n">
        <v>46182</v>
      </c>
      <c r="F1794" s="3" t="s">
        <v>20</v>
      </c>
      <c r="G1794" s="3" t="s">
        <v>72</v>
      </c>
      <c r="H1794" s="3" t="s">
        <v>48</v>
      </c>
      <c r="I1794" s="3" t="n">
        <f aca="false">YEAR(E1794)</f>
        <v>2026</v>
      </c>
      <c r="J1794" s="3" t="n">
        <f aca="false">MONTH(E1794)</f>
        <v>6</v>
      </c>
      <c r="K1794" s="3" t="n">
        <f aca="false">COUNTIFS($B$2:$B$4077,B1794,$C$2:$C$4077,C1794,$I$2:$I$4077,I1794)</f>
        <v>1</v>
      </c>
      <c r="L1794" s="3" t="n">
        <f aca="false">IF(COUNTIFS($B$2:B1794,B1794,$C$2:C1794,C1794,$I$2:I1794,I1794)=1,1,0)</f>
        <v>1</v>
      </c>
      <c r="M1794" s="3" t="n">
        <f aca="false">IF(K1794&gt;=Parametri!$B$1,1,0)</f>
        <v>0</v>
      </c>
      <c r="N1794" s="3" t="n">
        <f aca="false">L1794*M1794</f>
        <v>0</v>
      </c>
    </row>
    <row r="1795" customFormat="false" ht="15" hidden="false" customHeight="false" outlineLevel="0" collapsed="false">
      <c r="A1795" s="0" t="s">
        <v>2943</v>
      </c>
      <c r="B1795" s="0" t="s">
        <v>24</v>
      </c>
      <c r="C1795" s="0" t="s">
        <v>204</v>
      </c>
      <c r="D1795" s="0" t="s">
        <v>26</v>
      </c>
      <c r="E1795" s="2" t="n">
        <v>45569</v>
      </c>
      <c r="F1795" s="3" t="s">
        <v>20</v>
      </c>
      <c r="G1795" s="3" t="s">
        <v>39</v>
      </c>
      <c r="H1795" s="3" t="s">
        <v>22</v>
      </c>
      <c r="I1795" s="3" t="n">
        <f aca="false">YEAR(E1795)</f>
        <v>2024</v>
      </c>
      <c r="J1795" s="3" t="n">
        <f aca="false">MONTH(E1795)</f>
        <v>10</v>
      </c>
      <c r="K1795" s="3" t="n">
        <f aca="false">COUNTIFS($B$2:$B$4077,B1795,$C$2:$C$4077,C1795,$I$2:$I$4077,I1795)</f>
        <v>5</v>
      </c>
      <c r="L1795" s="3" t="n">
        <f aca="false">IF(COUNTIFS($B$2:B1795,B1795,$C$2:C1795,C1795,$I$2:I1795,I1795)=1,1,0)</f>
        <v>0</v>
      </c>
      <c r="M1795" s="3" t="n">
        <f aca="false">IF(K1795&gt;=Parametri!$B$1,1,0)</f>
        <v>1</v>
      </c>
      <c r="N1795" s="3" t="n">
        <f aca="false">L1795*M1795</f>
        <v>0</v>
      </c>
    </row>
    <row r="1796" customFormat="false" ht="15" hidden="false" customHeight="false" outlineLevel="0" collapsed="false">
      <c r="A1796" s="0" t="s">
        <v>2944</v>
      </c>
      <c r="B1796" s="0" t="s">
        <v>31</v>
      </c>
      <c r="C1796" s="0" t="s">
        <v>2945</v>
      </c>
      <c r="D1796" s="0" t="s">
        <v>38</v>
      </c>
      <c r="E1796" s="2" t="n">
        <v>45402</v>
      </c>
      <c r="F1796" s="3" t="s">
        <v>27</v>
      </c>
      <c r="G1796" s="3" t="s">
        <v>55</v>
      </c>
      <c r="H1796" s="3" t="s">
        <v>48</v>
      </c>
      <c r="I1796" s="3" t="n">
        <f aca="false">YEAR(E1796)</f>
        <v>2024</v>
      </c>
      <c r="J1796" s="3" t="n">
        <f aca="false">MONTH(E1796)</f>
        <v>4</v>
      </c>
      <c r="K1796" s="3" t="n">
        <f aca="false">COUNTIFS($B$2:$B$4077,B1796,$C$2:$C$4077,C1796,$I$2:$I$4077,I1796)</f>
        <v>1</v>
      </c>
      <c r="L1796" s="3" t="n">
        <f aca="false">IF(COUNTIFS($B$2:B1796,B1796,$C$2:C1796,C1796,$I$2:I1796,I1796)=1,1,0)</f>
        <v>1</v>
      </c>
      <c r="M1796" s="3" t="n">
        <f aca="false">IF(K1796&gt;=Parametri!$B$1,1,0)</f>
        <v>0</v>
      </c>
      <c r="N1796" s="3" t="n">
        <f aca="false">L1796*M1796</f>
        <v>0</v>
      </c>
    </row>
    <row r="1797" customFormat="false" ht="15" hidden="false" customHeight="false" outlineLevel="0" collapsed="false">
      <c r="A1797" s="0" t="s">
        <v>2946</v>
      </c>
      <c r="B1797" s="0" t="s">
        <v>57</v>
      </c>
      <c r="C1797" s="0" t="s">
        <v>2947</v>
      </c>
      <c r="D1797" s="0" t="s">
        <v>38</v>
      </c>
      <c r="E1797" s="2" t="n">
        <v>46091</v>
      </c>
      <c r="F1797" s="3" t="s">
        <v>34</v>
      </c>
      <c r="G1797" s="3" t="s">
        <v>89</v>
      </c>
      <c r="H1797" s="3" t="s">
        <v>22</v>
      </c>
      <c r="I1797" s="3" t="n">
        <f aca="false">YEAR(E1797)</f>
        <v>2026</v>
      </c>
      <c r="J1797" s="3" t="n">
        <f aca="false">MONTH(E1797)</f>
        <v>3</v>
      </c>
      <c r="K1797" s="3" t="n">
        <f aca="false">COUNTIFS($B$2:$B$4077,B1797,$C$2:$C$4077,C1797,$I$2:$I$4077,I1797)</f>
        <v>3</v>
      </c>
      <c r="L1797" s="3" t="n">
        <f aca="false">IF(COUNTIFS($B$2:B1797,B1797,$C$2:C1797,C1797,$I$2:I1797,I1797)=1,1,0)</f>
        <v>1</v>
      </c>
      <c r="M1797" s="3" t="n">
        <f aca="false">IF(K1797&gt;=Parametri!$B$1,1,0)</f>
        <v>1</v>
      </c>
      <c r="N1797" s="3" t="n">
        <f aca="false">L1797*M1797</f>
        <v>1</v>
      </c>
    </row>
    <row r="1798" customFormat="false" ht="15" hidden="false" customHeight="false" outlineLevel="0" collapsed="false">
      <c r="A1798" s="0" t="s">
        <v>2948</v>
      </c>
      <c r="B1798" s="0" t="s">
        <v>57</v>
      </c>
      <c r="C1798" s="0" t="s">
        <v>2949</v>
      </c>
      <c r="D1798" s="0" t="s">
        <v>33</v>
      </c>
      <c r="E1798" s="2" t="n">
        <v>46220</v>
      </c>
      <c r="F1798" s="3" t="s">
        <v>34</v>
      </c>
      <c r="G1798" s="3" t="s">
        <v>21</v>
      </c>
      <c r="H1798" s="3" t="s">
        <v>29</v>
      </c>
      <c r="I1798" s="3" t="n">
        <f aca="false">YEAR(E1798)</f>
        <v>2026</v>
      </c>
      <c r="J1798" s="3" t="n">
        <f aca="false">MONTH(E1798)</f>
        <v>7</v>
      </c>
      <c r="K1798" s="3" t="n">
        <f aca="false">COUNTIFS($B$2:$B$4077,B1798,$C$2:$C$4077,C1798,$I$2:$I$4077,I1798)</f>
        <v>1</v>
      </c>
      <c r="L1798" s="3" t="n">
        <f aca="false">IF(COUNTIFS($B$2:B1798,B1798,$C$2:C1798,C1798,$I$2:I1798,I1798)=1,1,0)</f>
        <v>1</v>
      </c>
      <c r="M1798" s="3" t="n">
        <f aca="false">IF(K1798&gt;=Parametri!$B$1,1,0)</f>
        <v>0</v>
      </c>
      <c r="N1798" s="3" t="n">
        <f aca="false">L1798*M1798</f>
        <v>0</v>
      </c>
    </row>
    <row r="1799" customFormat="false" ht="15" hidden="false" customHeight="false" outlineLevel="0" collapsed="false">
      <c r="A1799" s="0" t="s">
        <v>2950</v>
      </c>
      <c r="B1799" s="0" t="s">
        <v>79</v>
      </c>
      <c r="C1799" s="0" t="s">
        <v>2951</v>
      </c>
      <c r="D1799" s="0" t="s">
        <v>54</v>
      </c>
      <c r="E1799" s="2" t="n">
        <v>46006</v>
      </c>
      <c r="F1799" s="3" t="s">
        <v>27</v>
      </c>
      <c r="G1799" s="3" t="s">
        <v>89</v>
      </c>
      <c r="H1799" s="3" t="s">
        <v>44</v>
      </c>
      <c r="I1799" s="3" t="n">
        <f aca="false">YEAR(E1799)</f>
        <v>2025</v>
      </c>
      <c r="J1799" s="3" t="n">
        <f aca="false">MONTH(E1799)</f>
        <v>12</v>
      </c>
      <c r="K1799" s="3" t="n">
        <f aca="false">COUNTIFS($B$2:$B$4077,B1799,$C$2:$C$4077,C1799,$I$2:$I$4077,I1799)</f>
        <v>1</v>
      </c>
      <c r="L1799" s="3" t="n">
        <f aca="false">IF(COUNTIFS($B$2:B1799,B1799,$C$2:C1799,C1799,$I$2:I1799,I1799)=1,1,0)</f>
        <v>1</v>
      </c>
      <c r="M1799" s="3" t="n">
        <f aca="false">IF(K1799&gt;=Parametri!$B$1,1,0)</f>
        <v>0</v>
      </c>
      <c r="N1799" s="3" t="n">
        <f aca="false">L1799*M1799</f>
        <v>0</v>
      </c>
    </row>
    <row r="1800" customFormat="false" ht="15" hidden="false" customHeight="false" outlineLevel="0" collapsed="false">
      <c r="A1800" s="0" t="s">
        <v>2952</v>
      </c>
      <c r="B1800" s="0" t="s">
        <v>41</v>
      </c>
      <c r="C1800" s="0" t="s">
        <v>2953</v>
      </c>
      <c r="D1800" s="0" t="s">
        <v>77</v>
      </c>
      <c r="E1800" s="2" t="n">
        <v>45613</v>
      </c>
      <c r="F1800" s="3" t="s">
        <v>20</v>
      </c>
      <c r="G1800" s="3" t="s">
        <v>55</v>
      </c>
      <c r="H1800" s="3" t="s">
        <v>48</v>
      </c>
      <c r="I1800" s="3" t="n">
        <f aca="false">YEAR(E1800)</f>
        <v>2024</v>
      </c>
      <c r="J1800" s="3" t="n">
        <f aca="false">MONTH(E1800)</f>
        <v>11</v>
      </c>
      <c r="K1800" s="3" t="n">
        <f aca="false">COUNTIFS($B$2:$B$4077,B1800,$C$2:$C$4077,C1800,$I$2:$I$4077,I1800)</f>
        <v>3</v>
      </c>
      <c r="L1800" s="3" t="n">
        <f aca="false">IF(COUNTIFS($B$2:B1800,B1800,$C$2:C1800,C1800,$I$2:I1800,I1800)=1,1,0)</f>
        <v>1</v>
      </c>
      <c r="M1800" s="3" t="n">
        <f aca="false">IF(K1800&gt;=Parametri!$B$1,1,0)</f>
        <v>1</v>
      </c>
      <c r="N1800" s="3" t="n">
        <f aca="false">L1800*M1800</f>
        <v>1</v>
      </c>
    </row>
    <row r="1801" customFormat="false" ht="15" hidden="false" customHeight="false" outlineLevel="0" collapsed="false">
      <c r="A1801" s="0" t="s">
        <v>2954</v>
      </c>
      <c r="B1801" s="0" t="s">
        <v>24</v>
      </c>
      <c r="C1801" s="0" t="s">
        <v>907</v>
      </c>
      <c r="D1801" s="0" t="s">
        <v>26</v>
      </c>
      <c r="E1801" s="2" t="n">
        <v>46232</v>
      </c>
      <c r="F1801" s="3" t="s">
        <v>34</v>
      </c>
      <c r="G1801" s="3" t="s">
        <v>72</v>
      </c>
      <c r="H1801" s="3" t="s">
        <v>29</v>
      </c>
      <c r="I1801" s="3" t="n">
        <f aca="false">YEAR(E1801)</f>
        <v>2026</v>
      </c>
      <c r="J1801" s="3" t="n">
        <f aca="false">MONTH(E1801)</f>
        <v>7</v>
      </c>
      <c r="K1801" s="3" t="n">
        <f aca="false">COUNTIFS($B$2:$B$4077,B1801,$C$2:$C$4077,C1801,$I$2:$I$4077,I1801)</f>
        <v>1</v>
      </c>
      <c r="L1801" s="3" t="n">
        <f aca="false">IF(COUNTIFS($B$2:B1801,B1801,$C$2:C1801,C1801,$I$2:I1801,I1801)=1,1,0)</f>
        <v>1</v>
      </c>
      <c r="M1801" s="3" t="n">
        <f aca="false">IF(K1801&gt;=Parametri!$B$1,1,0)</f>
        <v>0</v>
      </c>
      <c r="N1801" s="3" t="n">
        <f aca="false">L1801*M1801</f>
        <v>0</v>
      </c>
    </row>
    <row r="1802" customFormat="false" ht="15" hidden="false" customHeight="false" outlineLevel="0" collapsed="false">
      <c r="A1802" s="0" t="s">
        <v>2955</v>
      </c>
      <c r="B1802" s="0" t="s">
        <v>17</v>
      </c>
      <c r="C1802" s="0" t="s">
        <v>2956</v>
      </c>
      <c r="D1802" s="0" t="s">
        <v>38</v>
      </c>
      <c r="E1802" s="2" t="n">
        <v>45352</v>
      </c>
      <c r="F1802" s="3" t="s">
        <v>20</v>
      </c>
      <c r="G1802" s="3" t="s">
        <v>39</v>
      </c>
      <c r="H1802" s="3" t="s">
        <v>48</v>
      </c>
      <c r="I1802" s="3" t="n">
        <f aca="false">YEAR(E1802)</f>
        <v>2024</v>
      </c>
      <c r="J1802" s="3" t="n">
        <f aca="false">MONTH(E1802)</f>
        <v>3</v>
      </c>
      <c r="K1802" s="3" t="n">
        <f aca="false">COUNTIFS($B$2:$B$4077,B1802,$C$2:$C$4077,C1802,$I$2:$I$4077,I1802)</f>
        <v>1</v>
      </c>
      <c r="L1802" s="3" t="n">
        <f aca="false">IF(COUNTIFS($B$2:B1802,B1802,$C$2:C1802,C1802,$I$2:I1802,I1802)=1,1,0)</f>
        <v>1</v>
      </c>
      <c r="M1802" s="3" t="n">
        <f aca="false">IF(K1802&gt;=Parametri!$B$1,1,0)</f>
        <v>0</v>
      </c>
      <c r="N1802" s="3" t="n">
        <f aca="false">L1802*M1802</f>
        <v>0</v>
      </c>
    </row>
    <row r="1803" customFormat="false" ht="15" hidden="false" customHeight="false" outlineLevel="0" collapsed="false">
      <c r="A1803" s="0" t="s">
        <v>2957</v>
      </c>
      <c r="B1803" s="0" t="s">
        <v>41</v>
      </c>
      <c r="C1803" s="0" t="s">
        <v>2958</v>
      </c>
      <c r="D1803" s="0" t="s">
        <v>63</v>
      </c>
      <c r="E1803" s="2" t="n">
        <v>45802</v>
      </c>
      <c r="F1803" s="3" t="s">
        <v>34</v>
      </c>
      <c r="G1803" s="3" t="s">
        <v>55</v>
      </c>
      <c r="H1803" s="3" t="s">
        <v>48</v>
      </c>
      <c r="I1803" s="3" t="n">
        <f aca="false">YEAR(E1803)</f>
        <v>2025</v>
      </c>
      <c r="J1803" s="3" t="n">
        <f aca="false">MONTH(E1803)</f>
        <v>5</v>
      </c>
      <c r="K1803" s="3" t="n">
        <f aca="false">COUNTIFS($B$2:$B$4077,B1803,$C$2:$C$4077,C1803,$I$2:$I$4077,I1803)</f>
        <v>1</v>
      </c>
      <c r="L1803" s="3" t="n">
        <f aca="false">IF(COUNTIFS($B$2:B1803,B1803,$C$2:C1803,C1803,$I$2:I1803,I1803)=1,1,0)</f>
        <v>1</v>
      </c>
      <c r="M1803" s="3" t="n">
        <f aca="false">IF(K1803&gt;=Parametri!$B$1,1,0)</f>
        <v>0</v>
      </c>
      <c r="N1803" s="3" t="n">
        <f aca="false">L1803*M1803</f>
        <v>0</v>
      </c>
    </row>
    <row r="1804" customFormat="false" ht="15" hidden="false" customHeight="false" outlineLevel="0" collapsed="false">
      <c r="A1804" s="0" t="s">
        <v>2959</v>
      </c>
      <c r="B1804" s="0" t="s">
        <v>57</v>
      </c>
      <c r="C1804" s="0" t="s">
        <v>2960</v>
      </c>
      <c r="D1804" s="0" t="s">
        <v>26</v>
      </c>
      <c r="E1804" s="2" t="n">
        <v>46088</v>
      </c>
      <c r="F1804" s="3" t="s">
        <v>20</v>
      </c>
      <c r="G1804" s="3" t="s">
        <v>43</v>
      </c>
      <c r="H1804" s="3" t="s">
        <v>22</v>
      </c>
      <c r="I1804" s="3" t="n">
        <f aca="false">YEAR(E1804)</f>
        <v>2026</v>
      </c>
      <c r="J1804" s="3" t="n">
        <f aca="false">MONTH(E1804)</f>
        <v>3</v>
      </c>
      <c r="K1804" s="3" t="n">
        <f aca="false">COUNTIFS($B$2:$B$4077,B1804,$C$2:$C$4077,C1804,$I$2:$I$4077,I1804)</f>
        <v>1</v>
      </c>
      <c r="L1804" s="3" t="n">
        <f aca="false">IF(COUNTIFS($B$2:B1804,B1804,$C$2:C1804,C1804,$I$2:I1804,I1804)=1,1,0)</f>
        <v>1</v>
      </c>
      <c r="M1804" s="3" t="n">
        <f aca="false">IF(K1804&gt;=Parametri!$B$1,1,0)</f>
        <v>0</v>
      </c>
      <c r="N1804" s="3" t="n">
        <f aca="false">L1804*M1804</f>
        <v>0</v>
      </c>
    </row>
    <row r="1805" customFormat="false" ht="15" hidden="false" customHeight="false" outlineLevel="0" collapsed="false">
      <c r="A1805" s="0" t="s">
        <v>2961</v>
      </c>
      <c r="B1805" s="0" t="s">
        <v>17</v>
      </c>
      <c r="C1805" s="0" t="s">
        <v>2962</v>
      </c>
      <c r="D1805" s="0" t="s">
        <v>19</v>
      </c>
      <c r="E1805" s="2" t="n">
        <v>46052</v>
      </c>
      <c r="F1805" s="3" t="s">
        <v>20</v>
      </c>
      <c r="G1805" s="3" t="s">
        <v>43</v>
      </c>
      <c r="H1805" s="3" t="s">
        <v>29</v>
      </c>
      <c r="I1805" s="3" t="n">
        <f aca="false">YEAR(E1805)</f>
        <v>2026</v>
      </c>
      <c r="J1805" s="3" t="n">
        <f aca="false">MONTH(E1805)</f>
        <v>1</v>
      </c>
      <c r="K1805" s="3" t="n">
        <f aca="false">COUNTIFS($B$2:$B$4077,B1805,$C$2:$C$4077,C1805,$I$2:$I$4077,I1805)</f>
        <v>2</v>
      </c>
      <c r="L1805" s="3" t="n">
        <f aca="false">IF(COUNTIFS($B$2:B1805,B1805,$C$2:C1805,C1805,$I$2:I1805,I1805)=1,1,0)</f>
        <v>1</v>
      </c>
      <c r="M1805" s="3" t="n">
        <f aca="false">IF(K1805&gt;=Parametri!$B$1,1,0)</f>
        <v>1</v>
      </c>
      <c r="N1805" s="3" t="n">
        <f aca="false">L1805*M1805</f>
        <v>1</v>
      </c>
    </row>
    <row r="1806" customFormat="false" ht="15" hidden="false" customHeight="false" outlineLevel="0" collapsed="false">
      <c r="A1806" s="0" t="s">
        <v>2963</v>
      </c>
      <c r="B1806" s="0" t="s">
        <v>57</v>
      </c>
      <c r="C1806" s="0" t="s">
        <v>1299</v>
      </c>
      <c r="D1806" s="0" t="s">
        <v>26</v>
      </c>
      <c r="E1806" s="2" t="n">
        <v>46256</v>
      </c>
      <c r="F1806" s="3" t="s">
        <v>20</v>
      </c>
      <c r="G1806" s="3" t="s">
        <v>35</v>
      </c>
      <c r="H1806" s="3" t="s">
        <v>44</v>
      </c>
      <c r="I1806" s="3" t="n">
        <f aca="false">YEAR(E1806)</f>
        <v>2026</v>
      </c>
      <c r="J1806" s="3" t="n">
        <f aca="false">MONTH(E1806)</f>
        <v>8</v>
      </c>
      <c r="K1806" s="3" t="n">
        <f aca="false">COUNTIFS($B$2:$B$4077,B1806,$C$2:$C$4077,C1806,$I$2:$I$4077,I1806)</f>
        <v>2</v>
      </c>
      <c r="L1806" s="3" t="n">
        <f aca="false">IF(COUNTIFS($B$2:B1806,B1806,$C$2:C1806,C1806,$I$2:I1806,I1806)=1,1,0)</f>
        <v>1</v>
      </c>
      <c r="M1806" s="3" t="n">
        <f aca="false">IF(K1806&gt;=Parametri!$B$1,1,0)</f>
        <v>1</v>
      </c>
      <c r="N1806" s="3" t="n">
        <f aca="false">L1806*M1806</f>
        <v>1</v>
      </c>
    </row>
    <row r="1807" customFormat="false" ht="15" hidden="false" customHeight="false" outlineLevel="0" collapsed="false">
      <c r="A1807" s="0" t="s">
        <v>2964</v>
      </c>
      <c r="B1807" s="0" t="s">
        <v>46</v>
      </c>
      <c r="C1807" s="0" t="s">
        <v>2370</v>
      </c>
      <c r="D1807" s="0" t="s">
        <v>77</v>
      </c>
      <c r="E1807" s="2" t="n">
        <v>45604</v>
      </c>
      <c r="F1807" s="3" t="s">
        <v>20</v>
      </c>
      <c r="G1807" s="3" t="s">
        <v>39</v>
      </c>
      <c r="H1807" s="3" t="s">
        <v>48</v>
      </c>
      <c r="I1807" s="3" t="n">
        <f aca="false">YEAR(E1807)</f>
        <v>2024</v>
      </c>
      <c r="J1807" s="3" t="n">
        <f aca="false">MONTH(E1807)</f>
        <v>11</v>
      </c>
      <c r="K1807" s="3" t="n">
        <f aca="false">COUNTIFS($B$2:$B$4077,B1807,$C$2:$C$4077,C1807,$I$2:$I$4077,I1807)</f>
        <v>2</v>
      </c>
      <c r="L1807" s="3" t="n">
        <f aca="false">IF(COUNTIFS($B$2:B1807,B1807,$C$2:C1807,C1807,$I$2:I1807,I1807)=1,1,0)</f>
        <v>1</v>
      </c>
      <c r="M1807" s="3" t="n">
        <f aca="false">IF(K1807&gt;=Parametri!$B$1,1,0)</f>
        <v>1</v>
      </c>
      <c r="N1807" s="3" t="n">
        <f aca="false">L1807*M1807</f>
        <v>1</v>
      </c>
    </row>
    <row r="1808" customFormat="false" ht="15" hidden="false" customHeight="false" outlineLevel="0" collapsed="false">
      <c r="A1808" s="0" t="s">
        <v>2965</v>
      </c>
      <c r="B1808" s="0" t="s">
        <v>124</v>
      </c>
      <c r="C1808" s="0" t="s">
        <v>2966</v>
      </c>
      <c r="D1808" s="0" t="s">
        <v>63</v>
      </c>
      <c r="E1808" s="2" t="n">
        <v>46097</v>
      </c>
      <c r="F1808" s="3" t="s">
        <v>20</v>
      </c>
      <c r="G1808" s="3" t="s">
        <v>21</v>
      </c>
      <c r="H1808" s="3" t="s">
        <v>48</v>
      </c>
      <c r="I1808" s="3" t="n">
        <f aca="false">YEAR(E1808)</f>
        <v>2026</v>
      </c>
      <c r="J1808" s="3" t="n">
        <f aca="false">MONTH(E1808)</f>
        <v>3</v>
      </c>
      <c r="K1808" s="3" t="n">
        <f aca="false">COUNTIFS($B$2:$B$4077,B1808,$C$2:$C$4077,C1808,$I$2:$I$4077,I1808)</f>
        <v>3</v>
      </c>
      <c r="L1808" s="3" t="n">
        <f aca="false">IF(COUNTIFS($B$2:B1808,B1808,$C$2:C1808,C1808,$I$2:I1808,I1808)=1,1,0)</f>
        <v>1</v>
      </c>
      <c r="M1808" s="3" t="n">
        <f aca="false">IF(K1808&gt;=Parametri!$B$1,1,0)</f>
        <v>1</v>
      </c>
      <c r="N1808" s="3" t="n">
        <f aca="false">L1808*M1808</f>
        <v>1</v>
      </c>
    </row>
    <row r="1809" customFormat="false" ht="15" hidden="false" customHeight="false" outlineLevel="0" collapsed="false">
      <c r="A1809" s="0" t="s">
        <v>2967</v>
      </c>
      <c r="B1809" s="0" t="s">
        <v>124</v>
      </c>
      <c r="C1809" s="0" t="s">
        <v>2968</v>
      </c>
      <c r="D1809" s="0" t="s">
        <v>54</v>
      </c>
      <c r="E1809" s="2" t="n">
        <v>46224</v>
      </c>
      <c r="F1809" s="3" t="s">
        <v>27</v>
      </c>
      <c r="G1809" s="3" t="s">
        <v>39</v>
      </c>
      <c r="H1809" s="3" t="s">
        <v>48</v>
      </c>
      <c r="I1809" s="3" t="n">
        <f aca="false">YEAR(E1809)</f>
        <v>2026</v>
      </c>
      <c r="J1809" s="3" t="n">
        <f aca="false">MONTH(E1809)</f>
        <v>7</v>
      </c>
      <c r="K1809" s="3" t="n">
        <f aca="false">COUNTIFS($B$2:$B$4077,B1809,$C$2:$C$4077,C1809,$I$2:$I$4077,I1809)</f>
        <v>1</v>
      </c>
      <c r="L1809" s="3" t="n">
        <f aca="false">IF(COUNTIFS($B$2:B1809,B1809,$C$2:C1809,C1809,$I$2:I1809,I1809)=1,1,0)</f>
        <v>1</v>
      </c>
      <c r="M1809" s="3" t="n">
        <f aca="false">IF(K1809&gt;=Parametri!$B$1,1,0)</f>
        <v>0</v>
      </c>
      <c r="N1809" s="3" t="n">
        <f aca="false">L1809*M1809</f>
        <v>0</v>
      </c>
    </row>
    <row r="1810" customFormat="false" ht="15" hidden="false" customHeight="false" outlineLevel="0" collapsed="false">
      <c r="A1810" s="0" t="s">
        <v>2969</v>
      </c>
      <c r="B1810" s="0" t="s">
        <v>41</v>
      </c>
      <c r="C1810" s="0" t="s">
        <v>1885</v>
      </c>
      <c r="D1810" s="0" t="s">
        <v>38</v>
      </c>
      <c r="E1810" s="2" t="n">
        <v>45318</v>
      </c>
      <c r="F1810" s="3" t="s">
        <v>34</v>
      </c>
      <c r="G1810" s="3" t="s">
        <v>21</v>
      </c>
      <c r="H1810" s="3" t="s">
        <v>44</v>
      </c>
      <c r="I1810" s="3" t="n">
        <f aca="false">YEAR(E1810)</f>
        <v>2024</v>
      </c>
      <c r="J1810" s="3" t="n">
        <f aca="false">MONTH(E1810)</f>
        <v>1</v>
      </c>
      <c r="K1810" s="3" t="n">
        <f aca="false">COUNTIFS($B$2:$B$4077,B1810,$C$2:$C$4077,C1810,$I$2:$I$4077,I1810)</f>
        <v>1</v>
      </c>
      <c r="L1810" s="3" t="n">
        <f aca="false">IF(COUNTIFS($B$2:B1810,B1810,$C$2:C1810,C1810,$I$2:I1810,I1810)=1,1,0)</f>
        <v>1</v>
      </c>
      <c r="M1810" s="3" t="n">
        <f aca="false">IF(K1810&gt;=Parametri!$B$1,1,0)</f>
        <v>0</v>
      </c>
      <c r="N1810" s="3" t="n">
        <f aca="false">L1810*M1810</f>
        <v>0</v>
      </c>
    </row>
    <row r="1811" customFormat="false" ht="15" hidden="false" customHeight="false" outlineLevel="0" collapsed="false">
      <c r="A1811" s="0" t="s">
        <v>2970</v>
      </c>
      <c r="B1811" s="0" t="s">
        <v>41</v>
      </c>
      <c r="C1811" s="0" t="s">
        <v>2001</v>
      </c>
      <c r="D1811" s="0" t="s">
        <v>33</v>
      </c>
      <c r="E1811" s="2" t="n">
        <v>45629</v>
      </c>
      <c r="F1811" s="3" t="s">
        <v>27</v>
      </c>
      <c r="G1811" s="3" t="s">
        <v>39</v>
      </c>
      <c r="H1811" s="3" t="s">
        <v>48</v>
      </c>
      <c r="I1811" s="3" t="n">
        <f aca="false">YEAR(E1811)</f>
        <v>2024</v>
      </c>
      <c r="J1811" s="3" t="n">
        <f aca="false">MONTH(E1811)</f>
        <v>12</v>
      </c>
      <c r="K1811" s="3" t="n">
        <f aca="false">COUNTIFS($B$2:$B$4077,B1811,$C$2:$C$4077,C1811,$I$2:$I$4077,I1811)</f>
        <v>1</v>
      </c>
      <c r="L1811" s="3" t="n">
        <f aca="false">IF(COUNTIFS($B$2:B1811,B1811,$C$2:C1811,C1811,$I$2:I1811,I1811)=1,1,0)</f>
        <v>1</v>
      </c>
      <c r="M1811" s="3" t="n">
        <f aca="false">IF(K1811&gt;=Parametri!$B$1,1,0)</f>
        <v>0</v>
      </c>
      <c r="N1811" s="3" t="n">
        <f aca="false">L1811*M1811</f>
        <v>0</v>
      </c>
    </row>
    <row r="1812" customFormat="false" ht="15" hidden="false" customHeight="false" outlineLevel="0" collapsed="false">
      <c r="A1812" s="0" t="s">
        <v>2971</v>
      </c>
      <c r="B1812" s="0" t="s">
        <v>46</v>
      </c>
      <c r="C1812" s="0" t="s">
        <v>2972</v>
      </c>
      <c r="D1812" s="0" t="s">
        <v>54</v>
      </c>
      <c r="E1812" s="2" t="n">
        <v>45479</v>
      </c>
      <c r="F1812" s="3" t="s">
        <v>20</v>
      </c>
      <c r="G1812" s="3" t="s">
        <v>28</v>
      </c>
      <c r="H1812" s="3" t="s">
        <v>22</v>
      </c>
      <c r="I1812" s="3" t="n">
        <f aca="false">YEAR(E1812)</f>
        <v>2024</v>
      </c>
      <c r="J1812" s="3" t="n">
        <f aca="false">MONTH(E1812)</f>
        <v>7</v>
      </c>
      <c r="K1812" s="3" t="n">
        <f aca="false">COUNTIFS($B$2:$B$4077,B1812,$C$2:$C$4077,C1812,$I$2:$I$4077,I1812)</f>
        <v>1</v>
      </c>
      <c r="L1812" s="3" t="n">
        <f aca="false">IF(COUNTIFS($B$2:B1812,B1812,$C$2:C1812,C1812,$I$2:I1812,I1812)=1,1,0)</f>
        <v>1</v>
      </c>
      <c r="M1812" s="3" t="n">
        <f aca="false">IF(K1812&gt;=Parametri!$B$1,1,0)</f>
        <v>0</v>
      </c>
      <c r="N1812" s="3" t="n">
        <f aca="false">L1812*M1812</f>
        <v>0</v>
      </c>
    </row>
    <row r="1813" customFormat="false" ht="15" hidden="false" customHeight="false" outlineLevel="0" collapsed="false">
      <c r="A1813" s="0" t="s">
        <v>2973</v>
      </c>
      <c r="B1813" s="0" t="s">
        <v>50</v>
      </c>
      <c r="C1813" s="0" t="s">
        <v>312</v>
      </c>
      <c r="D1813" s="0" t="s">
        <v>38</v>
      </c>
      <c r="E1813" s="2" t="n">
        <v>45699</v>
      </c>
      <c r="F1813" s="3" t="s">
        <v>27</v>
      </c>
      <c r="G1813" s="3" t="s">
        <v>72</v>
      </c>
      <c r="H1813" s="3" t="s">
        <v>48</v>
      </c>
      <c r="I1813" s="3" t="n">
        <f aca="false">YEAR(E1813)</f>
        <v>2025</v>
      </c>
      <c r="J1813" s="3" t="n">
        <f aca="false">MONTH(E1813)</f>
        <v>2</v>
      </c>
      <c r="K1813" s="3" t="n">
        <f aca="false">COUNTIFS($B$2:$B$4077,B1813,$C$2:$C$4077,C1813,$I$2:$I$4077,I1813)</f>
        <v>2</v>
      </c>
      <c r="L1813" s="3" t="n">
        <f aca="false">IF(COUNTIFS($B$2:B1813,B1813,$C$2:C1813,C1813,$I$2:I1813,I1813)=1,1,0)</f>
        <v>0</v>
      </c>
      <c r="M1813" s="3" t="n">
        <f aca="false">IF(K1813&gt;=Parametri!$B$1,1,0)</f>
        <v>1</v>
      </c>
      <c r="N1813" s="3" t="n">
        <f aca="false">L1813*M1813</f>
        <v>0</v>
      </c>
    </row>
    <row r="1814" customFormat="false" ht="15" hidden="false" customHeight="false" outlineLevel="0" collapsed="false">
      <c r="A1814" s="0" t="s">
        <v>2974</v>
      </c>
      <c r="B1814" s="0" t="s">
        <v>31</v>
      </c>
      <c r="C1814" s="0" t="s">
        <v>1604</v>
      </c>
      <c r="D1814" s="0" t="s">
        <v>66</v>
      </c>
      <c r="E1814" s="2" t="n">
        <v>46022</v>
      </c>
      <c r="F1814" s="3" t="s">
        <v>20</v>
      </c>
      <c r="G1814" s="3" t="s">
        <v>21</v>
      </c>
      <c r="H1814" s="3" t="s">
        <v>29</v>
      </c>
      <c r="I1814" s="3" t="n">
        <f aca="false">YEAR(E1814)</f>
        <v>2025</v>
      </c>
      <c r="J1814" s="3" t="n">
        <f aca="false">MONTH(E1814)</f>
        <v>12</v>
      </c>
      <c r="K1814" s="3" t="n">
        <f aca="false">COUNTIFS($B$2:$B$4077,B1814,$C$2:$C$4077,C1814,$I$2:$I$4077,I1814)</f>
        <v>4</v>
      </c>
      <c r="L1814" s="3" t="n">
        <f aca="false">IF(COUNTIFS($B$2:B1814,B1814,$C$2:C1814,C1814,$I$2:I1814,I1814)=1,1,0)</f>
        <v>0</v>
      </c>
      <c r="M1814" s="3" t="n">
        <f aca="false">IF(K1814&gt;=Parametri!$B$1,1,0)</f>
        <v>1</v>
      </c>
      <c r="N1814" s="3" t="n">
        <f aca="false">L1814*M1814</f>
        <v>0</v>
      </c>
    </row>
    <row r="1815" customFormat="false" ht="15" hidden="false" customHeight="false" outlineLevel="0" collapsed="false">
      <c r="A1815" s="0" t="s">
        <v>2975</v>
      </c>
      <c r="B1815" s="0" t="s">
        <v>79</v>
      </c>
      <c r="C1815" s="0" t="s">
        <v>909</v>
      </c>
      <c r="D1815" s="0" t="s">
        <v>26</v>
      </c>
      <c r="E1815" s="2" t="n">
        <v>46047</v>
      </c>
      <c r="F1815" s="3" t="s">
        <v>20</v>
      </c>
      <c r="G1815" s="3" t="s">
        <v>35</v>
      </c>
      <c r="H1815" s="3" t="s">
        <v>48</v>
      </c>
      <c r="I1815" s="3" t="n">
        <f aca="false">YEAR(E1815)</f>
        <v>2026</v>
      </c>
      <c r="J1815" s="3" t="n">
        <f aca="false">MONTH(E1815)</f>
        <v>1</v>
      </c>
      <c r="K1815" s="3" t="n">
        <f aca="false">COUNTIFS($B$2:$B$4077,B1815,$C$2:$C$4077,C1815,$I$2:$I$4077,I1815)</f>
        <v>6</v>
      </c>
      <c r="L1815" s="3" t="n">
        <f aca="false">IF(COUNTIFS($B$2:B1815,B1815,$C$2:C1815,C1815,$I$2:I1815,I1815)=1,1,0)</f>
        <v>0</v>
      </c>
      <c r="M1815" s="3" t="n">
        <f aca="false">IF(K1815&gt;=Parametri!$B$1,1,0)</f>
        <v>1</v>
      </c>
      <c r="N1815" s="3" t="n">
        <f aca="false">L1815*M1815</f>
        <v>0</v>
      </c>
    </row>
    <row r="1816" customFormat="false" ht="15" hidden="false" customHeight="false" outlineLevel="0" collapsed="false">
      <c r="A1816" s="0" t="s">
        <v>2976</v>
      </c>
      <c r="B1816" s="0" t="s">
        <v>46</v>
      </c>
      <c r="C1816" s="0" t="s">
        <v>1906</v>
      </c>
      <c r="D1816" s="0" t="s">
        <v>33</v>
      </c>
      <c r="E1816" s="2" t="n">
        <v>45901</v>
      </c>
      <c r="F1816" s="3" t="s">
        <v>34</v>
      </c>
      <c r="G1816" s="3" t="s">
        <v>43</v>
      </c>
      <c r="H1816" s="3" t="s">
        <v>29</v>
      </c>
      <c r="I1816" s="3" t="n">
        <f aca="false">YEAR(E1816)</f>
        <v>2025</v>
      </c>
      <c r="J1816" s="3" t="n">
        <f aca="false">MONTH(E1816)</f>
        <v>9</v>
      </c>
      <c r="K1816" s="3" t="n">
        <f aca="false">COUNTIFS($B$2:$B$4077,B1816,$C$2:$C$4077,C1816,$I$2:$I$4077,I1816)</f>
        <v>1</v>
      </c>
      <c r="L1816" s="3" t="n">
        <f aca="false">IF(COUNTIFS($B$2:B1816,B1816,$C$2:C1816,C1816,$I$2:I1816,I1816)=1,1,0)</f>
        <v>1</v>
      </c>
      <c r="M1816" s="3" t="n">
        <f aca="false">IF(K1816&gt;=Parametri!$B$1,1,0)</f>
        <v>0</v>
      </c>
      <c r="N1816" s="3" t="n">
        <f aca="false">L1816*M1816</f>
        <v>0</v>
      </c>
    </row>
    <row r="1817" customFormat="false" ht="15" hidden="false" customHeight="false" outlineLevel="0" collapsed="false">
      <c r="A1817" s="0" t="s">
        <v>2977</v>
      </c>
      <c r="B1817" s="0" t="s">
        <v>46</v>
      </c>
      <c r="C1817" s="0" t="s">
        <v>2978</v>
      </c>
      <c r="D1817" s="0" t="s">
        <v>33</v>
      </c>
      <c r="E1817" s="2" t="n">
        <v>45758</v>
      </c>
      <c r="F1817" s="3" t="s">
        <v>27</v>
      </c>
      <c r="G1817" s="3" t="s">
        <v>55</v>
      </c>
      <c r="H1817" s="3" t="s">
        <v>22</v>
      </c>
      <c r="I1817" s="3" t="n">
        <f aca="false">YEAR(E1817)</f>
        <v>2025</v>
      </c>
      <c r="J1817" s="3" t="n">
        <f aca="false">MONTH(E1817)</f>
        <v>4</v>
      </c>
      <c r="K1817" s="3" t="n">
        <f aca="false">COUNTIFS($B$2:$B$4077,B1817,$C$2:$C$4077,C1817,$I$2:$I$4077,I1817)</f>
        <v>1</v>
      </c>
      <c r="L1817" s="3" t="n">
        <f aca="false">IF(COUNTIFS($B$2:B1817,B1817,$C$2:C1817,C1817,$I$2:I1817,I1817)=1,1,0)</f>
        <v>1</v>
      </c>
      <c r="M1817" s="3" t="n">
        <f aca="false">IF(K1817&gt;=Parametri!$B$1,1,0)</f>
        <v>0</v>
      </c>
      <c r="N1817" s="3" t="n">
        <f aca="false">L1817*M1817</f>
        <v>0</v>
      </c>
    </row>
    <row r="1818" customFormat="false" ht="15" hidden="false" customHeight="false" outlineLevel="0" collapsed="false">
      <c r="A1818" s="0" t="s">
        <v>2979</v>
      </c>
      <c r="B1818" s="0" t="s">
        <v>46</v>
      </c>
      <c r="C1818" s="0" t="s">
        <v>2980</v>
      </c>
      <c r="D1818" s="0" t="s">
        <v>33</v>
      </c>
      <c r="E1818" s="2" t="n">
        <v>46030</v>
      </c>
      <c r="F1818" s="3" t="s">
        <v>20</v>
      </c>
      <c r="G1818" s="3" t="s">
        <v>35</v>
      </c>
      <c r="H1818" s="3" t="s">
        <v>48</v>
      </c>
      <c r="I1818" s="3" t="n">
        <f aca="false">YEAR(E1818)</f>
        <v>2026</v>
      </c>
      <c r="J1818" s="3" t="n">
        <f aca="false">MONTH(E1818)</f>
        <v>1</v>
      </c>
      <c r="K1818" s="3" t="n">
        <f aca="false">COUNTIFS($B$2:$B$4077,B1818,$C$2:$C$4077,C1818,$I$2:$I$4077,I1818)</f>
        <v>1</v>
      </c>
      <c r="L1818" s="3" t="n">
        <f aca="false">IF(COUNTIFS($B$2:B1818,B1818,$C$2:C1818,C1818,$I$2:I1818,I1818)=1,1,0)</f>
        <v>1</v>
      </c>
      <c r="M1818" s="3" t="n">
        <f aca="false">IF(K1818&gt;=Parametri!$B$1,1,0)</f>
        <v>0</v>
      </c>
      <c r="N1818" s="3" t="n">
        <f aca="false">L1818*M1818</f>
        <v>0</v>
      </c>
    </row>
    <row r="1819" customFormat="false" ht="15" hidden="false" customHeight="false" outlineLevel="0" collapsed="false">
      <c r="A1819" s="0" t="s">
        <v>2981</v>
      </c>
      <c r="B1819" s="0" t="s">
        <v>24</v>
      </c>
      <c r="C1819" s="0" t="s">
        <v>2982</v>
      </c>
      <c r="D1819" s="0" t="s">
        <v>19</v>
      </c>
      <c r="E1819" s="2" t="n">
        <v>45612</v>
      </c>
      <c r="F1819" s="3" t="s">
        <v>20</v>
      </c>
      <c r="G1819" s="3" t="s">
        <v>89</v>
      </c>
      <c r="H1819" s="3" t="s">
        <v>44</v>
      </c>
      <c r="I1819" s="3" t="n">
        <f aca="false">YEAR(E1819)</f>
        <v>2024</v>
      </c>
      <c r="J1819" s="3" t="n">
        <f aca="false">MONTH(E1819)</f>
        <v>11</v>
      </c>
      <c r="K1819" s="3" t="n">
        <f aca="false">COUNTIFS($B$2:$B$4077,B1819,$C$2:$C$4077,C1819,$I$2:$I$4077,I1819)</f>
        <v>2</v>
      </c>
      <c r="L1819" s="3" t="n">
        <f aca="false">IF(COUNTIFS($B$2:B1819,B1819,$C$2:C1819,C1819,$I$2:I1819,I1819)=1,1,0)</f>
        <v>1</v>
      </c>
      <c r="M1819" s="3" t="n">
        <f aca="false">IF(K1819&gt;=Parametri!$B$1,1,0)</f>
        <v>1</v>
      </c>
      <c r="N1819" s="3" t="n">
        <f aca="false">L1819*M1819</f>
        <v>1</v>
      </c>
    </row>
    <row r="1820" customFormat="false" ht="15" hidden="false" customHeight="false" outlineLevel="0" collapsed="false">
      <c r="A1820" s="0" t="s">
        <v>2983</v>
      </c>
      <c r="B1820" s="0" t="s">
        <v>50</v>
      </c>
      <c r="C1820" s="0" t="s">
        <v>1436</v>
      </c>
      <c r="D1820" s="0" t="s">
        <v>33</v>
      </c>
      <c r="E1820" s="2" t="n">
        <v>45335</v>
      </c>
      <c r="F1820" s="3" t="s">
        <v>20</v>
      </c>
      <c r="G1820" s="3" t="s">
        <v>55</v>
      </c>
      <c r="H1820" s="3" t="s">
        <v>22</v>
      </c>
      <c r="I1820" s="3" t="n">
        <f aca="false">YEAR(E1820)</f>
        <v>2024</v>
      </c>
      <c r="J1820" s="3" t="n">
        <f aca="false">MONTH(E1820)</f>
        <v>2</v>
      </c>
      <c r="K1820" s="3" t="n">
        <f aca="false">COUNTIFS($B$2:$B$4077,B1820,$C$2:$C$4077,C1820,$I$2:$I$4077,I1820)</f>
        <v>4</v>
      </c>
      <c r="L1820" s="3" t="n">
        <f aca="false">IF(COUNTIFS($B$2:B1820,B1820,$C$2:C1820,C1820,$I$2:I1820,I1820)=1,1,0)</f>
        <v>1</v>
      </c>
      <c r="M1820" s="3" t="n">
        <f aca="false">IF(K1820&gt;=Parametri!$B$1,1,0)</f>
        <v>1</v>
      </c>
      <c r="N1820" s="3" t="n">
        <f aca="false">L1820*M1820</f>
        <v>1</v>
      </c>
    </row>
    <row r="1821" customFormat="false" ht="15" hidden="false" customHeight="false" outlineLevel="0" collapsed="false">
      <c r="A1821" s="0" t="s">
        <v>2984</v>
      </c>
      <c r="B1821" s="0" t="s">
        <v>57</v>
      </c>
      <c r="C1821" s="0" t="s">
        <v>1044</v>
      </c>
      <c r="D1821" s="0" t="s">
        <v>38</v>
      </c>
      <c r="E1821" s="2" t="n">
        <v>45851</v>
      </c>
      <c r="F1821" s="3" t="s">
        <v>20</v>
      </c>
      <c r="G1821" s="3" t="s">
        <v>55</v>
      </c>
      <c r="H1821" s="3" t="s">
        <v>22</v>
      </c>
      <c r="I1821" s="3" t="n">
        <f aca="false">YEAR(E1821)</f>
        <v>2025</v>
      </c>
      <c r="J1821" s="3" t="n">
        <f aca="false">MONTH(E1821)</f>
        <v>7</v>
      </c>
      <c r="K1821" s="3" t="n">
        <f aca="false">COUNTIFS($B$2:$B$4077,B1821,$C$2:$C$4077,C1821,$I$2:$I$4077,I1821)</f>
        <v>1</v>
      </c>
      <c r="L1821" s="3" t="n">
        <f aca="false">IF(COUNTIFS($B$2:B1821,B1821,$C$2:C1821,C1821,$I$2:I1821,I1821)=1,1,0)</f>
        <v>1</v>
      </c>
      <c r="M1821" s="3" t="n">
        <f aca="false">IF(K1821&gt;=Parametri!$B$1,1,0)</f>
        <v>0</v>
      </c>
      <c r="N1821" s="3" t="n">
        <f aca="false">L1821*M1821</f>
        <v>0</v>
      </c>
    </row>
    <row r="1822" customFormat="false" ht="15" hidden="false" customHeight="false" outlineLevel="0" collapsed="false">
      <c r="A1822" s="0" t="s">
        <v>2985</v>
      </c>
      <c r="B1822" s="0" t="s">
        <v>17</v>
      </c>
      <c r="C1822" s="0" t="s">
        <v>2986</v>
      </c>
      <c r="D1822" s="0" t="s">
        <v>77</v>
      </c>
      <c r="E1822" s="2" t="n">
        <v>46075</v>
      </c>
      <c r="F1822" s="3" t="s">
        <v>20</v>
      </c>
      <c r="G1822" s="3" t="s">
        <v>55</v>
      </c>
      <c r="H1822" s="3" t="s">
        <v>44</v>
      </c>
      <c r="I1822" s="3" t="n">
        <f aca="false">YEAR(E1822)</f>
        <v>2026</v>
      </c>
      <c r="J1822" s="3" t="n">
        <f aca="false">MONTH(E1822)</f>
        <v>2</v>
      </c>
      <c r="K1822" s="3" t="n">
        <f aca="false">COUNTIFS($B$2:$B$4077,B1822,$C$2:$C$4077,C1822,$I$2:$I$4077,I1822)</f>
        <v>2</v>
      </c>
      <c r="L1822" s="3" t="n">
        <f aca="false">IF(COUNTIFS($B$2:B1822,B1822,$C$2:C1822,C1822,$I$2:I1822,I1822)=1,1,0)</f>
        <v>1</v>
      </c>
      <c r="M1822" s="3" t="n">
        <f aca="false">IF(K1822&gt;=Parametri!$B$1,1,0)</f>
        <v>1</v>
      </c>
      <c r="N1822" s="3" t="n">
        <f aca="false">L1822*M1822</f>
        <v>1</v>
      </c>
    </row>
    <row r="1823" customFormat="false" ht="15" hidden="false" customHeight="false" outlineLevel="0" collapsed="false">
      <c r="A1823" s="0" t="s">
        <v>2987</v>
      </c>
      <c r="B1823" s="0" t="s">
        <v>50</v>
      </c>
      <c r="C1823" s="0" t="s">
        <v>2988</v>
      </c>
      <c r="D1823" s="0" t="s">
        <v>66</v>
      </c>
      <c r="E1823" s="2" t="n">
        <v>45763</v>
      </c>
      <c r="F1823" s="3" t="s">
        <v>34</v>
      </c>
      <c r="G1823" s="3" t="s">
        <v>89</v>
      </c>
      <c r="H1823" s="3" t="s">
        <v>44</v>
      </c>
      <c r="I1823" s="3" t="n">
        <f aca="false">YEAR(E1823)</f>
        <v>2025</v>
      </c>
      <c r="J1823" s="3" t="n">
        <f aca="false">MONTH(E1823)</f>
        <v>4</v>
      </c>
      <c r="K1823" s="3" t="n">
        <f aca="false">COUNTIFS($B$2:$B$4077,B1823,$C$2:$C$4077,C1823,$I$2:$I$4077,I1823)</f>
        <v>1</v>
      </c>
      <c r="L1823" s="3" t="n">
        <f aca="false">IF(COUNTIFS($B$2:B1823,B1823,$C$2:C1823,C1823,$I$2:I1823,I1823)=1,1,0)</f>
        <v>1</v>
      </c>
      <c r="M1823" s="3" t="n">
        <f aca="false">IF(K1823&gt;=Parametri!$B$1,1,0)</f>
        <v>0</v>
      </c>
      <c r="N1823" s="3" t="n">
        <f aca="false">L1823*M1823</f>
        <v>0</v>
      </c>
    </row>
    <row r="1824" customFormat="false" ht="15" hidden="false" customHeight="false" outlineLevel="0" collapsed="false">
      <c r="A1824" s="0" t="s">
        <v>2989</v>
      </c>
      <c r="B1824" s="0" t="s">
        <v>46</v>
      </c>
      <c r="C1824" s="0" t="s">
        <v>93</v>
      </c>
      <c r="D1824" s="0" t="s">
        <v>54</v>
      </c>
      <c r="E1824" s="2" t="n">
        <v>46232</v>
      </c>
      <c r="F1824" s="3" t="s">
        <v>20</v>
      </c>
      <c r="G1824" s="3" t="s">
        <v>55</v>
      </c>
      <c r="H1824" s="3" t="s">
        <v>29</v>
      </c>
      <c r="I1824" s="3" t="n">
        <f aca="false">YEAR(E1824)</f>
        <v>2026</v>
      </c>
      <c r="J1824" s="3" t="n">
        <f aca="false">MONTH(E1824)</f>
        <v>7</v>
      </c>
      <c r="K1824" s="3" t="n">
        <f aca="false">COUNTIFS($B$2:$B$4077,B1824,$C$2:$C$4077,C1824,$I$2:$I$4077,I1824)</f>
        <v>3</v>
      </c>
      <c r="L1824" s="3" t="n">
        <f aca="false">IF(COUNTIFS($B$2:B1824,B1824,$C$2:C1824,C1824,$I$2:I1824,I1824)=1,1,0)</f>
        <v>0</v>
      </c>
      <c r="M1824" s="3" t="n">
        <f aca="false">IF(K1824&gt;=Parametri!$B$1,1,0)</f>
        <v>1</v>
      </c>
      <c r="N1824" s="3" t="n">
        <f aca="false">L1824*M1824</f>
        <v>0</v>
      </c>
    </row>
    <row r="1825" customFormat="false" ht="15" hidden="false" customHeight="false" outlineLevel="0" collapsed="false">
      <c r="A1825" s="0" t="s">
        <v>2990</v>
      </c>
      <c r="B1825" s="0" t="s">
        <v>50</v>
      </c>
      <c r="C1825" s="0" t="s">
        <v>819</v>
      </c>
      <c r="D1825" s="0" t="s">
        <v>54</v>
      </c>
      <c r="E1825" s="2" t="n">
        <v>46210</v>
      </c>
      <c r="F1825" s="3" t="s">
        <v>34</v>
      </c>
      <c r="G1825" s="3" t="s">
        <v>21</v>
      </c>
      <c r="H1825" s="3" t="s">
        <v>48</v>
      </c>
      <c r="I1825" s="3" t="n">
        <f aca="false">YEAR(E1825)</f>
        <v>2026</v>
      </c>
      <c r="J1825" s="3" t="n">
        <f aca="false">MONTH(E1825)</f>
        <v>7</v>
      </c>
      <c r="K1825" s="3" t="n">
        <f aca="false">COUNTIFS($B$2:$B$4077,B1825,$C$2:$C$4077,C1825,$I$2:$I$4077,I1825)</f>
        <v>2</v>
      </c>
      <c r="L1825" s="3" t="n">
        <f aca="false">IF(COUNTIFS($B$2:B1825,B1825,$C$2:C1825,C1825,$I$2:I1825,I1825)=1,1,0)</f>
        <v>1</v>
      </c>
      <c r="M1825" s="3" t="n">
        <f aca="false">IF(K1825&gt;=Parametri!$B$1,1,0)</f>
        <v>1</v>
      </c>
      <c r="N1825" s="3" t="n">
        <f aca="false">L1825*M1825</f>
        <v>1</v>
      </c>
    </row>
    <row r="1826" customFormat="false" ht="15" hidden="false" customHeight="false" outlineLevel="0" collapsed="false">
      <c r="A1826" s="0" t="s">
        <v>2991</v>
      </c>
      <c r="B1826" s="0" t="s">
        <v>24</v>
      </c>
      <c r="C1826" s="0" t="s">
        <v>386</v>
      </c>
      <c r="D1826" s="0" t="s">
        <v>26</v>
      </c>
      <c r="E1826" s="2" t="n">
        <v>46248</v>
      </c>
      <c r="F1826" s="3" t="s">
        <v>34</v>
      </c>
      <c r="G1826" s="3" t="s">
        <v>72</v>
      </c>
      <c r="H1826" s="3" t="s">
        <v>48</v>
      </c>
      <c r="I1826" s="3" t="n">
        <f aca="false">YEAR(E1826)</f>
        <v>2026</v>
      </c>
      <c r="J1826" s="3" t="n">
        <f aca="false">MONTH(E1826)</f>
        <v>8</v>
      </c>
      <c r="K1826" s="3" t="n">
        <f aca="false">COUNTIFS($B$2:$B$4077,B1826,$C$2:$C$4077,C1826,$I$2:$I$4077,I1826)</f>
        <v>1</v>
      </c>
      <c r="L1826" s="3" t="n">
        <f aca="false">IF(COUNTIFS($B$2:B1826,B1826,$C$2:C1826,C1826,$I$2:I1826,I1826)=1,1,0)</f>
        <v>1</v>
      </c>
      <c r="M1826" s="3" t="n">
        <f aca="false">IF(K1826&gt;=Parametri!$B$1,1,0)</f>
        <v>0</v>
      </c>
      <c r="N1826" s="3" t="n">
        <f aca="false">L1826*M1826</f>
        <v>0</v>
      </c>
    </row>
    <row r="1827" customFormat="false" ht="15" hidden="false" customHeight="false" outlineLevel="0" collapsed="false">
      <c r="A1827" s="0" t="s">
        <v>2992</v>
      </c>
      <c r="B1827" s="0" t="s">
        <v>24</v>
      </c>
      <c r="C1827" s="0" t="s">
        <v>229</v>
      </c>
      <c r="D1827" s="0" t="s">
        <v>54</v>
      </c>
      <c r="E1827" s="2" t="n">
        <v>45369</v>
      </c>
      <c r="F1827" s="3" t="s">
        <v>20</v>
      </c>
      <c r="G1827" s="3" t="s">
        <v>28</v>
      </c>
      <c r="H1827" s="3" t="s">
        <v>29</v>
      </c>
      <c r="I1827" s="3" t="n">
        <f aca="false">YEAR(E1827)</f>
        <v>2024</v>
      </c>
      <c r="J1827" s="3" t="n">
        <f aca="false">MONTH(E1827)</f>
        <v>3</v>
      </c>
      <c r="K1827" s="3" t="n">
        <f aca="false">COUNTIFS($B$2:$B$4077,B1827,$C$2:$C$4077,C1827,$I$2:$I$4077,I1827)</f>
        <v>1</v>
      </c>
      <c r="L1827" s="3" t="n">
        <f aca="false">IF(COUNTIFS($B$2:B1827,B1827,$C$2:C1827,C1827,$I$2:I1827,I1827)=1,1,0)</f>
        <v>1</v>
      </c>
      <c r="M1827" s="3" t="n">
        <f aca="false">IF(K1827&gt;=Parametri!$B$1,1,0)</f>
        <v>0</v>
      </c>
      <c r="N1827" s="3" t="n">
        <f aca="false">L1827*M1827</f>
        <v>0</v>
      </c>
    </row>
    <row r="1828" customFormat="false" ht="15" hidden="false" customHeight="false" outlineLevel="0" collapsed="false">
      <c r="A1828" s="0" t="s">
        <v>2993</v>
      </c>
      <c r="B1828" s="0" t="s">
        <v>50</v>
      </c>
      <c r="C1828" s="0" t="s">
        <v>942</v>
      </c>
      <c r="D1828" s="0" t="s">
        <v>33</v>
      </c>
      <c r="E1828" s="2" t="n">
        <v>45998</v>
      </c>
      <c r="F1828" s="3" t="s">
        <v>27</v>
      </c>
      <c r="G1828" s="3" t="s">
        <v>28</v>
      </c>
      <c r="H1828" s="3" t="s">
        <v>48</v>
      </c>
      <c r="I1828" s="3" t="n">
        <f aca="false">YEAR(E1828)</f>
        <v>2025</v>
      </c>
      <c r="J1828" s="3" t="n">
        <f aca="false">MONTH(E1828)</f>
        <v>12</v>
      </c>
      <c r="K1828" s="3" t="n">
        <f aca="false">COUNTIFS($B$2:$B$4077,B1828,$C$2:$C$4077,C1828,$I$2:$I$4077,I1828)</f>
        <v>7</v>
      </c>
      <c r="L1828" s="3" t="n">
        <f aca="false">IF(COUNTIFS($B$2:B1828,B1828,$C$2:C1828,C1828,$I$2:I1828,I1828)=1,1,0)</f>
        <v>0</v>
      </c>
      <c r="M1828" s="3" t="n">
        <f aca="false">IF(K1828&gt;=Parametri!$B$1,1,0)</f>
        <v>1</v>
      </c>
      <c r="N1828" s="3" t="n">
        <f aca="false">L1828*M1828</f>
        <v>0</v>
      </c>
    </row>
    <row r="1829" customFormat="false" ht="15" hidden="false" customHeight="false" outlineLevel="0" collapsed="false">
      <c r="A1829" s="0" t="s">
        <v>2994</v>
      </c>
      <c r="B1829" s="0" t="s">
        <v>124</v>
      </c>
      <c r="C1829" s="0" t="s">
        <v>758</v>
      </c>
      <c r="D1829" s="0" t="s">
        <v>63</v>
      </c>
      <c r="E1829" s="2" t="n">
        <v>46151</v>
      </c>
      <c r="F1829" s="3" t="s">
        <v>27</v>
      </c>
      <c r="G1829" s="3" t="s">
        <v>89</v>
      </c>
      <c r="H1829" s="3" t="s">
        <v>44</v>
      </c>
      <c r="I1829" s="3" t="n">
        <f aca="false">YEAR(E1829)</f>
        <v>2026</v>
      </c>
      <c r="J1829" s="3" t="n">
        <f aca="false">MONTH(E1829)</f>
        <v>5</v>
      </c>
      <c r="K1829" s="3" t="n">
        <f aca="false">COUNTIFS($B$2:$B$4077,B1829,$C$2:$C$4077,C1829,$I$2:$I$4077,I1829)</f>
        <v>1</v>
      </c>
      <c r="L1829" s="3" t="n">
        <f aca="false">IF(COUNTIFS($B$2:B1829,B1829,$C$2:C1829,C1829,$I$2:I1829,I1829)=1,1,0)</f>
        <v>1</v>
      </c>
      <c r="M1829" s="3" t="n">
        <f aca="false">IF(K1829&gt;=Parametri!$B$1,1,0)</f>
        <v>0</v>
      </c>
      <c r="N1829" s="3" t="n">
        <f aca="false">L1829*M1829</f>
        <v>0</v>
      </c>
    </row>
    <row r="1830" customFormat="false" ht="15" hidden="false" customHeight="false" outlineLevel="0" collapsed="false">
      <c r="A1830" s="0" t="s">
        <v>2995</v>
      </c>
      <c r="B1830" s="0" t="s">
        <v>79</v>
      </c>
      <c r="C1830" s="0" t="s">
        <v>182</v>
      </c>
      <c r="D1830" s="0" t="s">
        <v>26</v>
      </c>
      <c r="E1830" s="2" t="n">
        <v>45608</v>
      </c>
      <c r="F1830" s="3" t="s">
        <v>104</v>
      </c>
      <c r="G1830" s="3" t="s">
        <v>104</v>
      </c>
      <c r="H1830" s="3" t="s">
        <v>104</v>
      </c>
      <c r="I1830" s="3" t="n">
        <f aca="false">YEAR(E1830)</f>
        <v>2024</v>
      </c>
      <c r="J1830" s="3" t="n">
        <f aca="false">MONTH(E1830)</f>
        <v>11</v>
      </c>
      <c r="K1830" s="3" t="n">
        <f aca="false">COUNTIFS($B$2:$B$4077,B1830,$C$2:$C$4077,C1830,$I$2:$I$4077,I1830)</f>
        <v>2</v>
      </c>
      <c r="L1830" s="3" t="n">
        <f aca="false">IF(COUNTIFS($B$2:B1830,B1830,$C$2:C1830,C1830,$I$2:I1830,I1830)=1,1,0)</f>
        <v>1</v>
      </c>
      <c r="M1830" s="3" t="n">
        <f aca="false">IF(K1830&gt;=Parametri!$B$1,1,0)</f>
        <v>1</v>
      </c>
      <c r="N1830" s="3" t="n">
        <f aca="false">L1830*M1830</f>
        <v>1</v>
      </c>
    </row>
    <row r="1831" customFormat="false" ht="15" hidden="false" customHeight="false" outlineLevel="0" collapsed="false">
      <c r="A1831" s="0" t="s">
        <v>2996</v>
      </c>
      <c r="B1831" s="0" t="s">
        <v>68</v>
      </c>
      <c r="C1831" s="0" t="s">
        <v>220</v>
      </c>
      <c r="D1831" s="0" t="s">
        <v>66</v>
      </c>
      <c r="E1831" s="2" t="n">
        <v>45671</v>
      </c>
      <c r="F1831" s="3" t="s">
        <v>27</v>
      </c>
      <c r="G1831" s="3" t="s">
        <v>72</v>
      </c>
      <c r="H1831" s="3" t="s">
        <v>29</v>
      </c>
      <c r="I1831" s="3" t="n">
        <f aca="false">YEAR(E1831)</f>
        <v>2025</v>
      </c>
      <c r="J1831" s="3" t="n">
        <f aca="false">MONTH(E1831)</f>
        <v>1</v>
      </c>
      <c r="K1831" s="3" t="n">
        <f aca="false">COUNTIFS($B$2:$B$4077,B1831,$C$2:$C$4077,C1831,$I$2:$I$4077,I1831)</f>
        <v>3</v>
      </c>
      <c r="L1831" s="3" t="n">
        <f aca="false">IF(COUNTIFS($B$2:B1831,B1831,$C$2:C1831,C1831,$I$2:I1831,I1831)=1,1,0)</f>
        <v>0</v>
      </c>
      <c r="M1831" s="3" t="n">
        <f aca="false">IF(K1831&gt;=Parametri!$B$1,1,0)</f>
        <v>1</v>
      </c>
      <c r="N1831" s="3" t="n">
        <f aca="false">L1831*M1831</f>
        <v>0</v>
      </c>
    </row>
    <row r="1832" customFormat="false" ht="15" hidden="false" customHeight="false" outlineLevel="0" collapsed="false">
      <c r="A1832" s="0" t="s">
        <v>2997</v>
      </c>
      <c r="B1832" s="0" t="s">
        <v>50</v>
      </c>
      <c r="C1832" s="0" t="s">
        <v>2998</v>
      </c>
      <c r="D1832" s="0" t="s">
        <v>26</v>
      </c>
      <c r="E1832" s="2" t="n">
        <v>45499</v>
      </c>
      <c r="F1832" s="3" t="s">
        <v>27</v>
      </c>
      <c r="G1832" s="3" t="s">
        <v>43</v>
      </c>
      <c r="H1832" s="3" t="s">
        <v>48</v>
      </c>
      <c r="I1832" s="3" t="n">
        <f aca="false">YEAR(E1832)</f>
        <v>2024</v>
      </c>
      <c r="J1832" s="3" t="n">
        <f aca="false">MONTH(E1832)</f>
        <v>7</v>
      </c>
      <c r="K1832" s="3" t="n">
        <f aca="false">COUNTIFS($B$2:$B$4077,B1832,$C$2:$C$4077,C1832,$I$2:$I$4077,I1832)</f>
        <v>1</v>
      </c>
      <c r="L1832" s="3" t="n">
        <f aca="false">IF(COUNTIFS($B$2:B1832,B1832,$C$2:C1832,C1832,$I$2:I1832,I1832)=1,1,0)</f>
        <v>1</v>
      </c>
      <c r="M1832" s="3" t="n">
        <f aca="false">IF(K1832&gt;=Parametri!$B$1,1,0)</f>
        <v>0</v>
      </c>
      <c r="N1832" s="3" t="n">
        <f aca="false">L1832*M1832</f>
        <v>0</v>
      </c>
    </row>
    <row r="1833" customFormat="false" ht="15" hidden="false" customHeight="false" outlineLevel="0" collapsed="false">
      <c r="A1833" s="0" t="s">
        <v>2999</v>
      </c>
      <c r="B1833" s="0" t="s">
        <v>57</v>
      </c>
      <c r="C1833" s="0" t="s">
        <v>1797</v>
      </c>
      <c r="D1833" s="0" t="s">
        <v>54</v>
      </c>
      <c r="E1833" s="2" t="n">
        <v>45974</v>
      </c>
      <c r="F1833" s="3" t="s">
        <v>20</v>
      </c>
      <c r="G1833" s="3" t="s">
        <v>35</v>
      </c>
      <c r="H1833" s="3" t="s">
        <v>22</v>
      </c>
      <c r="I1833" s="3" t="n">
        <f aca="false">YEAR(E1833)</f>
        <v>2025</v>
      </c>
      <c r="J1833" s="3" t="n">
        <f aca="false">MONTH(E1833)</f>
        <v>11</v>
      </c>
      <c r="K1833" s="3" t="n">
        <f aca="false">COUNTIFS($B$2:$B$4077,B1833,$C$2:$C$4077,C1833,$I$2:$I$4077,I1833)</f>
        <v>1</v>
      </c>
      <c r="L1833" s="3" t="n">
        <f aca="false">IF(COUNTIFS($B$2:B1833,B1833,$C$2:C1833,C1833,$I$2:I1833,I1833)=1,1,0)</f>
        <v>1</v>
      </c>
      <c r="M1833" s="3" t="n">
        <f aca="false">IF(K1833&gt;=Parametri!$B$1,1,0)</f>
        <v>0</v>
      </c>
      <c r="N1833" s="3" t="n">
        <f aca="false">L1833*M1833</f>
        <v>0</v>
      </c>
    </row>
    <row r="1834" customFormat="false" ht="15" hidden="false" customHeight="false" outlineLevel="0" collapsed="false">
      <c r="A1834" s="0" t="s">
        <v>3000</v>
      </c>
      <c r="B1834" s="0" t="s">
        <v>31</v>
      </c>
      <c r="C1834" s="0" t="s">
        <v>3001</v>
      </c>
      <c r="D1834" s="0" t="s">
        <v>33</v>
      </c>
      <c r="E1834" s="2" t="n">
        <v>45690</v>
      </c>
      <c r="F1834" s="3" t="s">
        <v>20</v>
      </c>
      <c r="G1834" s="3" t="s">
        <v>21</v>
      </c>
      <c r="H1834" s="3" t="s">
        <v>44</v>
      </c>
      <c r="I1834" s="3" t="n">
        <f aca="false">YEAR(E1834)</f>
        <v>2025</v>
      </c>
      <c r="J1834" s="3" t="n">
        <f aca="false">MONTH(E1834)</f>
        <v>2</v>
      </c>
      <c r="K1834" s="3" t="n">
        <f aca="false">COUNTIFS($B$2:$B$4077,B1834,$C$2:$C$4077,C1834,$I$2:$I$4077,I1834)</f>
        <v>2</v>
      </c>
      <c r="L1834" s="3" t="n">
        <f aca="false">IF(COUNTIFS($B$2:B1834,B1834,$C$2:C1834,C1834,$I$2:I1834,I1834)=1,1,0)</f>
        <v>1</v>
      </c>
      <c r="M1834" s="3" t="n">
        <f aca="false">IF(K1834&gt;=Parametri!$B$1,1,0)</f>
        <v>1</v>
      </c>
      <c r="N1834" s="3" t="n">
        <f aca="false">L1834*M1834</f>
        <v>1</v>
      </c>
    </row>
    <row r="1835" customFormat="false" ht="15" hidden="false" customHeight="false" outlineLevel="0" collapsed="false">
      <c r="A1835" s="0" t="s">
        <v>3002</v>
      </c>
      <c r="B1835" s="0" t="s">
        <v>41</v>
      </c>
      <c r="C1835" s="0" t="s">
        <v>1423</v>
      </c>
      <c r="D1835" s="0" t="s">
        <v>66</v>
      </c>
      <c r="E1835" s="2" t="n">
        <v>45755</v>
      </c>
      <c r="F1835" s="3" t="s">
        <v>34</v>
      </c>
      <c r="G1835" s="3" t="s">
        <v>72</v>
      </c>
      <c r="H1835" s="3" t="s">
        <v>48</v>
      </c>
      <c r="I1835" s="3" t="n">
        <f aca="false">YEAR(E1835)</f>
        <v>2025</v>
      </c>
      <c r="J1835" s="3" t="n">
        <f aca="false">MONTH(E1835)</f>
        <v>4</v>
      </c>
      <c r="K1835" s="3" t="n">
        <f aca="false">COUNTIFS($B$2:$B$4077,B1835,$C$2:$C$4077,C1835,$I$2:$I$4077,I1835)</f>
        <v>2</v>
      </c>
      <c r="L1835" s="3" t="n">
        <f aca="false">IF(COUNTIFS($B$2:B1835,B1835,$C$2:C1835,C1835,$I$2:I1835,I1835)=1,1,0)</f>
        <v>1</v>
      </c>
      <c r="M1835" s="3" t="n">
        <f aca="false">IF(K1835&gt;=Parametri!$B$1,1,0)</f>
        <v>1</v>
      </c>
      <c r="N1835" s="3" t="n">
        <f aca="false">L1835*M1835</f>
        <v>1</v>
      </c>
    </row>
    <row r="1836" customFormat="false" ht="15" hidden="false" customHeight="false" outlineLevel="0" collapsed="false">
      <c r="A1836" s="0" t="s">
        <v>3003</v>
      </c>
      <c r="B1836" s="0" t="s">
        <v>50</v>
      </c>
      <c r="C1836" s="0" t="s">
        <v>1436</v>
      </c>
      <c r="D1836" s="0" t="s">
        <v>38</v>
      </c>
      <c r="E1836" s="2" t="n">
        <v>45462</v>
      </c>
      <c r="F1836" s="3" t="s">
        <v>27</v>
      </c>
      <c r="G1836" s="3" t="s">
        <v>72</v>
      </c>
      <c r="H1836" s="3" t="s">
        <v>44</v>
      </c>
      <c r="I1836" s="3" t="n">
        <f aca="false">YEAR(E1836)</f>
        <v>2024</v>
      </c>
      <c r="J1836" s="3" t="n">
        <f aca="false">MONTH(E1836)</f>
        <v>6</v>
      </c>
      <c r="K1836" s="3" t="n">
        <f aca="false">COUNTIFS($B$2:$B$4077,B1836,$C$2:$C$4077,C1836,$I$2:$I$4077,I1836)</f>
        <v>4</v>
      </c>
      <c r="L1836" s="3" t="n">
        <f aca="false">IF(COUNTIFS($B$2:B1836,B1836,$C$2:C1836,C1836,$I$2:I1836,I1836)=1,1,0)</f>
        <v>0</v>
      </c>
      <c r="M1836" s="3" t="n">
        <f aca="false">IF(K1836&gt;=Parametri!$B$1,1,0)</f>
        <v>1</v>
      </c>
      <c r="N1836" s="3" t="n">
        <f aca="false">L1836*M1836</f>
        <v>0</v>
      </c>
    </row>
    <row r="1837" customFormat="false" ht="15" hidden="false" customHeight="false" outlineLevel="0" collapsed="false">
      <c r="A1837" s="0" t="s">
        <v>3004</v>
      </c>
      <c r="B1837" s="0" t="s">
        <v>124</v>
      </c>
      <c r="C1837" s="0" t="s">
        <v>389</v>
      </c>
      <c r="D1837" s="0" t="s">
        <v>54</v>
      </c>
      <c r="E1837" s="2" t="n">
        <v>45317</v>
      </c>
      <c r="F1837" s="3" t="s">
        <v>27</v>
      </c>
      <c r="G1837" s="3" t="s">
        <v>39</v>
      </c>
      <c r="H1837" s="3" t="s">
        <v>22</v>
      </c>
      <c r="I1837" s="3" t="n">
        <f aca="false">YEAR(E1837)</f>
        <v>2024</v>
      </c>
      <c r="J1837" s="3" t="n">
        <f aca="false">MONTH(E1837)</f>
        <v>1</v>
      </c>
      <c r="K1837" s="3" t="n">
        <f aca="false">COUNTIFS($B$2:$B$4077,B1837,$C$2:$C$4077,C1837,$I$2:$I$4077,I1837)</f>
        <v>1</v>
      </c>
      <c r="L1837" s="3" t="n">
        <f aca="false">IF(COUNTIFS($B$2:B1837,B1837,$C$2:C1837,C1837,$I$2:I1837,I1837)=1,1,0)</f>
        <v>1</v>
      </c>
      <c r="M1837" s="3" t="n">
        <f aca="false">IF(K1837&gt;=Parametri!$B$1,1,0)</f>
        <v>0</v>
      </c>
      <c r="N1837" s="3" t="n">
        <f aca="false">L1837*M1837</f>
        <v>0</v>
      </c>
    </row>
    <row r="1838" customFormat="false" ht="15" hidden="false" customHeight="false" outlineLevel="0" collapsed="false">
      <c r="A1838" s="0" t="s">
        <v>3005</v>
      </c>
      <c r="B1838" s="0" t="s">
        <v>57</v>
      </c>
      <c r="C1838" s="0" t="s">
        <v>210</v>
      </c>
      <c r="D1838" s="0" t="s">
        <v>26</v>
      </c>
      <c r="E1838" s="2" t="n">
        <v>45611</v>
      </c>
      <c r="F1838" s="3" t="s">
        <v>20</v>
      </c>
      <c r="G1838" s="3" t="s">
        <v>72</v>
      </c>
      <c r="H1838" s="3" t="s">
        <v>48</v>
      </c>
      <c r="I1838" s="3" t="n">
        <f aca="false">YEAR(E1838)</f>
        <v>2024</v>
      </c>
      <c r="J1838" s="3" t="n">
        <f aca="false">MONTH(E1838)</f>
        <v>11</v>
      </c>
      <c r="K1838" s="3" t="n">
        <f aca="false">COUNTIFS($B$2:$B$4077,B1838,$C$2:$C$4077,C1838,$I$2:$I$4077,I1838)</f>
        <v>5</v>
      </c>
      <c r="L1838" s="3" t="n">
        <f aca="false">IF(COUNTIFS($B$2:B1838,B1838,$C$2:C1838,C1838,$I$2:I1838,I1838)=1,1,0)</f>
        <v>1</v>
      </c>
      <c r="M1838" s="3" t="n">
        <f aca="false">IF(K1838&gt;=Parametri!$B$1,1,0)</f>
        <v>1</v>
      </c>
      <c r="N1838" s="3" t="n">
        <f aca="false">L1838*M1838</f>
        <v>1</v>
      </c>
    </row>
    <row r="1839" customFormat="false" ht="15" hidden="false" customHeight="false" outlineLevel="0" collapsed="false">
      <c r="A1839" s="0" t="s">
        <v>3006</v>
      </c>
      <c r="B1839" s="0" t="s">
        <v>31</v>
      </c>
      <c r="C1839" s="0" t="s">
        <v>2527</v>
      </c>
      <c r="D1839" s="0" t="s">
        <v>33</v>
      </c>
      <c r="E1839" s="2" t="n">
        <v>45348</v>
      </c>
      <c r="F1839" s="3" t="s">
        <v>27</v>
      </c>
      <c r="G1839" s="3" t="s">
        <v>72</v>
      </c>
      <c r="H1839" s="3" t="s">
        <v>44</v>
      </c>
      <c r="I1839" s="3" t="n">
        <f aca="false">YEAR(E1839)</f>
        <v>2024</v>
      </c>
      <c r="J1839" s="3" t="n">
        <f aca="false">MONTH(E1839)</f>
        <v>2</v>
      </c>
      <c r="K1839" s="3" t="n">
        <f aca="false">COUNTIFS($B$2:$B$4077,B1839,$C$2:$C$4077,C1839,$I$2:$I$4077,I1839)</f>
        <v>2</v>
      </c>
      <c r="L1839" s="3" t="n">
        <f aca="false">IF(COUNTIFS($B$2:B1839,B1839,$C$2:C1839,C1839,$I$2:I1839,I1839)=1,1,0)</f>
        <v>1</v>
      </c>
      <c r="M1839" s="3" t="n">
        <f aca="false">IF(K1839&gt;=Parametri!$B$1,1,0)</f>
        <v>1</v>
      </c>
      <c r="N1839" s="3" t="n">
        <f aca="false">L1839*M1839</f>
        <v>1</v>
      </c>
    </row>
    <row r="1840" customFormat="false" ht="15" hidden="false" customHeight="false" outlineLevel="0" collapsed="false">
      <c r="A1840" s="0" t="s">
        <v>3007</v>
      </c>
      <c r="B1840" s="0" t="s">
        <v>17</v>
      </c>
      <c r="C1840" s="0" t="s">
        <v>3008</v>
      </c>
      <c r="D1840" s="0" t="s">
        <v>19</v>
      </c>
      <c r="E1840" s="2" t="n">
        <v>45406</v>
      </c>
      <c r="F1840" s="3" t="s">
        <v>20</v>
      </c>
      <c r="G1840" s="3" t="s">
        <v>43</v>
      </c>
      <c r="H1840" s="3" t="s">
        <v>44</v>
      </c>
      <c r="I1840" s="3" t="n">
        <f aca="false">YEAR(E1840)</f>
        <v>2024</v>
      </c>
      <c r="J1840" s="3" t="n">
        <f aca="false">MONTH(E1840)</f>
        <v>4</v>
      </c>
      <c r="K1840" s="3" t="n">
        <f aca="false">COUNTIFS($B$2:$B$4077,B1840,$C$2:$C$4077,C1840,$I$2:$I$4077,I1840)</f>
        <v>1</v>
      </c>
      <c r="L1840" s="3" t="n">
        <f aca="false">IF(COUNTIFS($B$2:B1840,B1840,$C$2:C1840,C1840,$I$2:I1840,I1840)=1,1,0)</f>
        <v>1</v>
      </c>
      <c r="M1840" s="3" t="n">
        <f aca="false">IF(K1840&gt;=Parametri!$B$1,1,0)</f>
        <v>0</v>
      </c>
      <c r="N1840" s="3" t="n">
        <f aca="false">L1840*M1840</f>
        <v>0</v>
      </c>
    </row>
    <row r="1841" customFormat="false" ht="15" hidden="false" customHeight="false" outlineLevel="0" collapsed="false">
      <c r="A1841" s="0" t="s">
        <v>3009</v>
      </c>
      <c r="B1841" s="0" t="s">
        <v>46</v>
      </c>
      <c r="C1841" s="0" t="s">
        <v>823</v>
      </c>
      <c r="D1841" s="0" t="s">
        <v>26</v>
      </c>
      <c r="E1841" s="2" t="n">
        <v>45567</v>
      </c>
      <c r="F1841" s="3" t="s">
        <v>20</v>
      </c>
      <c r="G1841" s="3" t="s">
        <v>39</v>
      </c>
      <c r="H1841" s="3" t="s">
        <v>22</v>
      </c>
      <c r="I1841" s="3" t="n">
        <f aca="false">YEAR(E1841)</f>
        <v>2024</v>
      </c>
      <c r="J1841" s="3" t="n">
        <f aca="false">MONTH(E1841)</f>
        <v>10</v>
      </c>
      <c r="K1841" s="3" t="n">
        <f aca="false">COUNTIFS($B$2:$B$4077,B1841,$C$2:$C$4077,C1841,$I$2:$I$4077,I1841)</f>
        <v>2</v>
      </c>
      <c r="L1841" s="3" t="n">
        <f aca="false">IF(COUNTIFS($B$2:B1841,B1841,$C$2:C1841,C1841,$I$2:I1841,I1841)=1,1,0)</f>
        <v>0</v>
      </c>
      <c r="M1841" s="3" t="n">
        <f aca="false">IF(K1841&gt;=Parametri!$B$1,1,0)</f>
        <v>1</v>
      </c>
      <c r="N1841" s="3" t="n">
        <f aca="false">L1841*M1841</f>
        <v>0</v>
      </c>
    </row>
    <row r="1842" customFormat="false" ht="15" hidden="false" customHeight="false" outlineLevel="0" collapsed="false">
      <c r="A1842" s="0" t="s">
        <v>3010</v>
      </c>
      <c r="B1842" s="0" t="s">
        <v>79</v>
      </c>
      <c r="C1842" s="0" t="s">
        <v>3011</v>
      </c>
      <c r="D1842" s="0" t="s">
        <v>26</v>
      </c>
      <c r="E1842" s="2" t="n">
        <v>45584</v>
      </c>
      <c r="F1842" s="3" t="s">
        <v>20</v>
      </c>
      <c r="G1842" s="3" t="s">
        <v>55</v>
      </c>
      <c r="H1842" s="3" t="s">
        <v>44</v>
      </c>
      <c r="I1842" s="3" t="n">
        <f aca="false">YEAR(E1842)</f>
        <v>2024</v>
      </c>
      <c r="J1842" s="3" t="n">
        <f aca="false">MONTH(E1842)</f>
        <v>10</v>
      </c>
      <c r="K1842" s="3" t="n">
        <f aca="false">COUNTIFS($B$2:$B$4077,B1842,$C$2:$C$4077,C1842,$I$2:$I$4077,I1842)</f>
        <v>3</v>
      </c>
      <c r="L1842" s="3" t="n">
        <f aca="false">IF(COUNTIFS($B$2:B1842,B1842,$C$2:C1842,C1842,$I$2:I1842,I1842)=1,1,0)</f>
        <v>1</v>
      </c>
      <c r="M1842" s="3" t="n">
        <f aca="false">IF(K1842&gt;=Parametri!$B$1,1,0)</f>
        <v>1</v>
      </c>
      <c r="N1842" s="3" t="n">
        <f aca="false">L1842*M1842</f>
        <v>1</v>
      </c>
    </row>
    <row r="1843" customFormat="false" ht="15" hidden="false" customHeight="false" outlineLevel="0" collapsed="false">
      <c r="A1843" s="0" t="s">
        <v>3012</v>
      </c>
      <c r="B1843" s="0" t="s">
        <v>24</v>
      </c>
      <c r="C1843" s="0" t="s">
        <v>2280</v>
      </c>
      <c r="D1843" s="0" t="s">
        <v>54</v>
      </c>
      <c r="E1843" s="2" t="n">
        <v>46190</v>
      </c>
      <c r="F1843" s="3" t="s">
        <v>27</v>
      </c>
      <c r="G1843" s="3" t="s">
        <v>21</v>
      </c>
      <c r="H1843" s="3" t="s">
        <v>48</v>
      </c>
      <c r="I1843" s="3" t="n">
        <f aca="false">YEAR(E1843)</f>
        <v>2026</v>
      </c>
      <c r="J1843" s="3" t="n">
        <f aca="false">MONTH(E1843)</f>
        <v>6</v>
      </c>
      <c r="K1843" s="3" t="n">
        <f aca="false">COUNTIFS($B$2:$B$4077,B1843,$C$2:$C$4077,C1843,$I$2:$I$4077,I1843)</f>
        <v>1</v>
      </c>
      <c r="L1843" s="3" t="n">
        <f aca="false">IF(COUNTIFS($B$2:B1843,B1843,$C$2:C1843,C1843,$I$2:I1843,I1843)=1,1,0)</f>
        <v>1</v>
      </c>
      <c r="M1843" s="3" t="n">
        <f aca="false">IF(K1843&gt;=Parametri!$B$1,1,0)</f>
        <v>0</v>
      </c>
      <c r="N1843" s="3" t="n">
        <f aca="false">L1843*M1843</f>
        <v>0</v>
      </c>
    </row>
    <row r="1844" customFormat="false" ht="15" hidden="false" customHeight="false" outlineLevel="0" collapsed="false">
      <c r="A1844" s="0" t="s">
        <v>3013</v>
      </c>
      <c r="B1844" s="0" t="s">
        <v>57</v>
      </c>
      <c r="C1844" s="0" t="s">
        <v>1831</v>
      </c>
      <c r="D1844" s="0" t="s">
        <v>54</v>
      </c>
      <c r="E1844" s="2" t="n">
        <v>45890</v>
      </c>
      <c r="F1844" s="3" t="s">
        <v>20</v>
      </c>
      <c r="G1844" s="3" t="s">
        <v>39</v>
      </c>
      <c r="H1844" s="3" t="s">
        <v>29</v>
      </c>
      <c r="I1844" s="3" t="n">
        <f aca="false">YEAR(E1844)</f>
        <v>2025</v>
      </c>
      <c r="J1844" s="3" t="n">
        <f aca="false">MONTH(E1844)</f>
        <v>8</v>
      </c>
      <c r="K1844" s="3" t="n">
        <f aca="false">COUNTIFS($B$2:$B$4077,B1844,$C$2:$C$4077,C1844,$I$2:$I$4077,I1844)</f>
        <v>2</v>
      </c>
      <c r="L1844" s="3" t="n">
        <f aca="false">IF(COUNTIFS($B$2:B1844,B1844,$C$2:C1844,C1844,$I$2:I1844,I1844)=1,1,0)</f>
        <v>0</v>
      </c>
      <c r="M1844" s="3" t="n">
        <f aca="false">IF(K1844&gt;=Parametri!$B$1,1,0)</f>
        <v>1</v>
      </c>
      <c r="N1844" s="3" t="n">
        <f aca="false">L1844*M1844</f>
        <v>0</v>
      </c>
    </row>
    <row r="1845" customFormat="false" ht="15" hidden="false" customHeight="false" outlineLevel="0" collapsed="false">
      <c r="A1845" s="0" t="s">
        <v>3014</v>
      </c>
      <c r="B1845" s="0" t="s">
        <v>31</v>
      </c>
      <c r="C1845" s="0" t="s">
        <v>608</v>
      </c>
      <c r="D1845" s="0" t="s">
        <v>38</v>
      </c>
      <c r="E1845" s="2" t="n">
        <v>45304</v>
      </c>
      <c r="F1845" s="3" t="s">
        <v>20</v>
      </c>
      <c r="G1845" s="3" t="s">
        <v>28</v>
      </c>
      <c r="H1845" s="3" t="s">
        <v>22</v>
      </c>
      <c r="I1845" s="3" t="n">
        <f aca="false">YEAR(E1845)</f>
        <v>2024</v>
      </c>
      <c r="J1845" s="3" t="n">
        <f aca="false">MONTH(E1845)</f>
        <v>1</v>
      </c>
      <c r="K1845" s="3" t="n">
        <f aca="false">COUNTIFS($B$2:$B$4077,B1845,$C$2:$C$4077,C1845,$I$2:$I$4077,I1845)</f>
        <v>3</v>
      </c>
      <c r="L1845" s="3" t="n">
        <f aca="false">IF(COUNTIFS($B$2:B1845,B1845,$C$2:C1845,C1845,$I$2:I1845,I1845)=1,1,0)</f>
        <v>0</v>
      </c>
      <c r="M1845" s="3" t="n">
        <f aca="false">IF(K1845&gt;=Parametri!$B$1,1,0)</f>
        <v>1</v>
      </c>
      <c r="N1845" s="3" t="n">
        <f aca="false">L1845*M1845</f>
        <v>0</v>
      </c>
    </row>
    <row r="1846" customFormat="false" ht="15" hidden="false" customHeight="false" outlineLevel="0" collapsed="false">
      <c r="A1846" s="0" t="s">
        <v>3015</v>
      </c>
      <c r="B1846" s="0" t="s">
        <v>31</v>
      </c>
      <c r="C1846" s="0" t="s">
        <v>3016</v>
      </c>
      <c r="D1846" s="0" t="s">
        <v>38</v>
      </c>
      <c r="E1846" s="2" t="n">
        <v>45793</v>
      </c>
      <c r="F1846" s="3" t="s">
        <v>20</v>
      </c>
      <c r="G1846" s="3" t="s">
        <v>55</v>
      </c>
      <c r="H1846" s="3" t="s">
        <v>44</v>
      </c>
      <c r="I1846" s="3" t="n">
        <f aca="false">YEAR(E1846)</f>
        <v>2025</v>
      </c>
      <c r="J1846" s="3" t="n">
        <f aca="false">MONTH(E1846)</f>
        <v>5</v>
      </c>
      <c r="K1846" s="3" t="n">
        <f aca="false">COUNTIFS($B$2:$B$4077,B1846,$C$2:$C$4077,C1846,$I$2:$I$4077,I1846)</f>
        <v>2</v>
      </c>
      <c r="L1846" s="3" t="n">
        <f aca="false">IF(COUNTIFS($B$2:B1846,B1846,$C$2:C1846,C1846,$I$2:I1846,I1846)=1,1,0)</f>
        <v>1</v>
      </c>
      <c r="M1846" s="3" t="n">
        <f aca="false">IF(K1846&gt;=Parametri!$B$1,1,0)</f>
        <v>1</v>
      </c>
      <c r="N1846" s="3" t="n">
        <f aca="false">L1846*M1846</f>
        <v>1</v>
      </c>
    </row>
    <row r="1847" customFormat="false" ht="15" hidden="false" customHeight="false" outlineLevel="0" collapsed="false">
      <c r="A1847" s="0" t="s">
        <v>3017</v>
      </c>
      <c r="B1847" s="0" t="s">
        <v>50</v>
      </c>
      <c r="C1847" s="0" t="s">
        <v>3018</v>
      </c>
      <c r="D1847" s="0" t="s">
        <v>38</v>
      </c>
      <c r="E1847" s="2" t="n">
        <v>46105</v>
      </c>
      <c r="F1847" s="3" t="s">
        <v>20</v>
      </c>
      <c r="G1847" s="3" t="s">
        <v>43</v>
      </c>
      <c r="H1847" s="3" t="s">
        <v>22</v>
      </c>
      <c r="I1847" s="3" t="n">
        <f aca="false">YEAR(E1847)</f>
        <v>2026</v>
      </c>
      <c r="J1847" s="3" t="n">
        <f aca="false">MONTH(E1847)</f>
        <v>3</v>
      </c>
      <c r="K1847" s="3" t="n">
        <f aca="false">COUNTIFS($B$2:$B$4077,B1847,$C$2:$C$4077,C1847,$I$2:$I$4077,I1847)</f>
        <v>1</v>
      </c>
      <c r="L1847" s="3" t="n">
        <f aca="false">IF(COUNTIFS($B$2:B1847,B1847,$C$2:C1847,C1847,$I$2:I1847,I1847)=1,1,0)</f>
        <v>1</v>
      </c>
      <c r="M1847" s="3" t="n">
        <f aca="false">IF(K1847&gt;=Parametri!$B$1,1,0)</f>
        <v>0</v>
      </c>
      <c r="N1847" s="3" t="n">
        <f aca="false">L1847*M1847</f>
        <v>0</v>
      </c>
    </row>
    <row r="1848" customFormat="false" ht="15" hidden="false" customHeight="false" outlineLevel="0" collapsed="false">
      <c r="A1848" s="0" t="s">
        <v>3019</v>
      </c>
      <c r="B1848" s="0" t="s">
        <v>41</v>
      </c>
      <c r="C1848" s="0" t="s">
        <v>3020</v>
      </c>
      <c r="D1848" s="0" t="s">
        <v>19</v>
      </c>
      <c r="E1848" s="2" t="n">
        <v>45301</v>
      </c>
      <c r="F1848" s="3" t="s">
        <v>20</v>
      </c>
      <c r="G1848" s="3" t="s">
        <v>35</v>
      </c>
      <c r="H1848" s="3" t="s">
        <v>48</v>
      </c>
      <c r="I1848" s="3" t="n">
        <f aca="false">YEAR(E1848)</f>
        <v>2024</v>
      </c>
      <c r="J1848" s="3" t="n">
        <f aca="false">MONTH(E1848)</f>
        <v>1</v>
      </c>
      <c r="K1848" s="3" t="n">
        <f aca="false">COUNTIFS($B$2:$B$4077,B1848,$C$2:$C$4077,C1848,$I$2:$I$4077,I1848)</f>
        <v>1</v>
      </c>
      <c r="L1848" s="3" t="n">
        <f aca="false">IF(COUNTIFS($B$2:B1848,B1848,$C$2:C1848,C1848,$I$2:I1848,I1848)=1,1,0)</f>
        <v>1</v>
      </c>
      <c r="M1848" s="3" t="n">
        <f aca="false">IF(K1848&gt;=Parametri!$B$1,1,0)</f>
        <v>0</v>
      </c>
      <c r="N1848" s="3" t="n">
        <f aca="false">L1848*M1848</f>
        <v>0</v>
      </c>
    </row>
    <row r="1849" customFormat="false" ht="15" hidden="false" customHeight="false" outlineLevel="0" collapsed="false">
      <c r="A1849" s="0" t="s">
        <v>3021</v>
      </c>
      <c r="B1849" s="0" t="s">
        <v>24</v>
      </c>
      <c r="C1849" s="0" t="s">
        <v>1528</v>
      </c>
      <c r="D1849" s="0" t="s">
        <v>19</v>
      </c>
      <c r="E1849" s="2" t="n">
        <v>46104</v>
      </c>
      <c r="F1849" s="3" t="s">
        <v>27</v>
      </c>
      <c r="G1849" s="3" t="s">
        <v>39</v>
      </c>
      <c r="H1849" s="3" t="s">
        <v>22</v>
      </c>
      <c r="I1849" s="3" t="n">
        <f aca="false">YEAR(E1849)</f>
        <v>2026</v>
      </c>
      <c r="J1849" s="3" t="n">
        <f aca="false">MONTH(E1849)</f>
        <v>3</v>
      </c>
      <c r="K1849" s="3" t="n">
        <f aca="false">COUNTIFS($B$2:$B$4077,B1849,$C$2:$C$4077,C1849,$I$2:$I$4077,I1849)</f>
        <v>3</v>
      </c>
      <c r="L1849" s="3" t="n">
        <f aca="false">IF(COUNTIFS($B$2:B1849,B1849,$C$2:C1849,C1849,$I$2:I1849,I1849)=1,1,0)</f>
        <v>0</v>
      </c>
      <c r="M1849" s="3" t="n">
        <f aca="false">IF(K1849&gt;=Parametri!$B$1,1,0)</f>
        <v>1</v>
      </c>
      <c r="N1849" s="3" t="n">
        <f aca="false">L1849*M1849</f>
        <v>0</v>
      </c>
    </row>
    <row r="1850" customFormat="false" ht="15" hidden="false" customHeight="false" outlineLevel="0" collapsed="false">
      <c r="A1850" s="0" t="s">
        <v>3022</v>
      </c>
      <c r="B1850" s="0" t="s">
        <v>31</v>
      </c>
      <c r="C1850" s="0" t="s">
        <v>53</v>
      </c>
      <c r="D1850" s="0" t="s">
        <v>77</v>
      </c>
      <c r="E1850" s="2" t="n">
        <v>45564</v>
      </c>
      <c r="F1850" s="3" t="s">
        <v>34</v>
      </c>
      <c r="G1850" s="3" t="s">
        <v>43</v>
      </c>
      <c r="H1850" s="3" t="s">
        <v>29</v>
      </c>
      <c r="I1850" s="3" t="n">
        <f aca="false">YEAR(E1850)</f>
        <v>2024</v>
      </c>
      <c r="J1850" s="3" t="n">
        <f aca="false">MONTH(E1850)</f>
        <v>9</v>
      </c>
      <c r="K1850" s="3" t="n">
        <f aca="false">COUNTIFS($B$2:$B$4077,B1850,$C$2:$C$4077,C1850,$I$2:$I$4077,I1850)</f>
        <v>3</v>
      </c>
      <c r="L1850" s="3" t="n">
        <f aca="false">IF(COUNTIFS($B$2:B1850,B1850,$C$2:C1850,C1850,$I$2:I1850,I1850)=1,1,0)</f>
        <v>1</v>
      </c>
      <c r="M1850" s="3" t="n">
        <f aca="false">IF(K1850&gt;=Parametri!$B$1,1,0)</f>
        <v>1</v>
      </c>
      <c r="N1850" s="3" t="n">
        <f aca="false">L1850*M1850</f>
        <v>1</v>
      </c>
    </row>
    <row r="1851" customFormat="false" ht="15" hidden="false" customHeight="false" outlineLevel="0" collapsed="false">
      <c r="A1851" s="0" t="s">
        <v>3023</v>
      </c>
      <c r="B1851" s="0" t="s">
        <v>31</v>
      </c>
      <c r="C1851" s="0" t="s">
        <v>1868</v>
      </c>
      <c r="D1851" s="0" t="s">
        <v>26</v>
      </c>
      <c r="E1851" s="2" t="n">
        <v>45578</v>
      </c>
      <c r="F1851" s="3" t="s">
        <v>27</v>
      </c>
      <c r="G1851" s="3" t="s">
        <v>39</v>
      </c>
      <c r="H1851" s="3" t="s">
        <v>29</v>
      </c>
      <c r="I1851" s="3" t="n">
        <f aca="false">YEAR(E1851)</f>
        <v>2024</v>
      </c>
      <c r="J1851" s="3" t="n">
        <f aca="false">MONTH(E1851)</f>
        <v>10</v>
      </c>
      <c r="K1851" s="3" t="n">
        <f aca="false">COUNTIFS($B$2:$B$4077,B1851,$C$2:$C$4077,C1851,$I$2:$I$4077,I1851)</f>
        <v>2</v>
      </c>
      <c r="L1851" s="3" t="n">
        <f aca="false">IF(COUNTIFS($B$2:B1851,B1851,$C$2:C1851,C1851,$I$2:I1851,I1851)=1,1,0)</f>
        <v>1</v>
      </c>
      <c r="M1851" s="3" t="n">
        <f aca="false">IF(K1851&gt;=Parametri!$B$1,1,0)</f>
        <v>1</v>
      </c>
      <c r="N1851" s="3" t="n">
        <f aca="false">L1851*M1851</f>
        <v>1</v>
      </c>
    </row>
    <row r="1852" customFormat="false" ht="15" hidden="false" customHeight="false" outlineLevel="0" collapsed="false">
      <c r="A1852" s="0" t="s">
        <v>3024</v>
      </c>
      <c r="B1852" s="0" t="s">
        <v>17</v>
      </c>
      <c r="C1852" s="0" t="s">
        <v>667</v>
      </c>
      <c r="D1852" s="0" t="s">
        <v>19</v>
      </c>
      <c r="E1852" s="2" t="n">
        <v>46094</v>
      </c>
      <c r="F1852" s="3" t="s">
        <v>20</v>
      </c>
      <c r="G1852" s="3" t="s">
        <v>39</v>
      </c>
      <c r="H1852" s="3" t="s">
        <v>44</v>
      </c>
      <c r="I1852" s="3" t="n">
        <f aca="false">YEAR(E1852)</f>
        <v>2026</v>
      </c>
      <c r="J1852" s="3" t="n">
        <f aca="false">MONTH(E1852)</f>
        <v>3</v>
      </c>
      <c r="K1852" s="3" t="n">
        <f aca="false">COUNTIFS($B$2:$B$4077,B1852,$C$2:$C$4077,C1852,$I$2:$I$4077,I1852)</f>
        <v>1</v>
      </c>
      <c r="L1852" s="3" t="n">
        <f aca="false">IF(COUNTIFS($B$2:B1852,B1852,$C$2:C1852,C1852,$I$2:I1852,I1852)=1,1,0)</f>
        <v>1</v>
      </c>
      <c r="M1852" s="3" t="n">
        <f aca="false">IF(K1852&gt;=Parametri!$B$1,1,0)</f>
        <v>0</v>
      </c>
      <c r="N1852" s="3" t="n">
        <f aca="false">L1852*M1852</f>
        <v>0</v>
      </c>
    </row>
    <row r="1853" customFormat="false" ht="15" hidden="false" customHeight="false" outlineLevel="0" collapsed="false">
      <c r="A1853" s="0" t="s">
        <v>3025</v>
      </c>
      <c r="B1853" s="0" t="s">
        <v>31</v>
      </c>
      <c r="C1853" s="0" t="s">
        <v>764</v>
      </c>
      <c r="D1853" s="0" t="s">
        <v>66</v>
      </c>
      <c r="E1853" s="2" t="n">
        <v>46070</v>
      </c>
      <c r="F1853" s="3" t="s">
        <v>27</v>
      </c>
      <c r="G1853" s="3" t="s">
        <v>89</v>
      </c>
      <c r="H1853" s="3" t="s">
        <v>48</v>
      </c>
      <c r="I1853" s="3" t="n">
        <f aca="false">YEAR(E1853)</f>
        <v>2026</v>
      </c>
      <c r="J1853" s="3" t="n">
        <f aca="false">MONTH(E1853)</f>
        <v>2</v>
      </c>
      <c r="K1853" s="3" t="n">
        <f aca="false">COUNTIFS($B$2:$B$4077,B1853,$C$2:$C$4077,C1853,$I$2:$I$4077,I1853)</f>
        <v>1</v>
      </c>
      <c r="L1853" s="3" t="n">
        <f aca="false">IF(COUNTIFS($B$2:B1853,B1853,$C$2:C1853,C1853,$I$2:I1853,I1853)=1,1,0)</f>
        <v>1</v>
      </c>
      <c r="M1853" s="3" t="n">
        <f aca="false">IF(K1853&gt;=Parametri!$B$1,1,0)</f>
        <v>0</v>
      </c>
      <c r="N1853" s="3" t="n">
        <f aca="false">L1853*M1853</f>
        <v>0</v>
      </c>
    </row>
    <row r="1854" customFormat="false" ht="15" hidden="false" customHeight="false" outlineLevel="0" collapsed="false">
      <c r="A1854" s="0" t="s">
        <v>3026</v>
      </c>
      <c r="B1854" s="0" t="s">
        <v>50</v>
      </c>
      <c r="C1854" s="0" t="s">
        <v>3027</v>
      </c>
      <c r="D1854" s="0" t="s">
        <v>33</v>
      </c>
      <c r="E1854" s="2" t="n">
        <v>45773</v>
      </c>
      <c r="F1854" s="3" t="s">
        <v>34</v>
      </c>
      <c r="G1854" s="3" t="s">
        <v>43</v>
      </c>
      <c r="H1854" s="3" t="s">
        <v>29</v>
      </c>
      <c r="I1854" s="3" t="n">
        <f aca="false">YEAR(E1854)</f>
        <v>2025</v>
      </c>
      <c r="J1854" s="3" t="n">
        <f aca="false">MONTH(E1854)</f>
        <v>4</v>
      </c>
      <c r="K1854" s="3" t="n">
        <f aca="false">COUNTIFS($B$2:$B$4077,B1854,$C$2:$C$4077,C1854,$I$2:$I$4077,I1854)</f>
        <v>1</v>
      </c>
      <c r="L1854" s="3" t="n">
        <f aca="false">IF(COUNTIFS($B$2:B1854,B1854,$C$2:C1854,C1854,$I$2:I1854,I1854)=1,1,0)</f>
        <v>1</v>
      </c>
      <c r="M1854" s="3" t="n">
        <f aca="false">IF(K1854&gt;=Parametri!$B$1,1,0)</f>
        <v>0</v>
      </c>
      <c r="N1854" s="3" t="n">
        <f aca="false">L1854*M1854</f>
        <v>0</v>
      </c>
    </row>
    <row r="1855" customFormat="false" ht="15" hidden="false" customHeight="false" outlineLevel="0" collapsed="false">
      <c r="A1855" s="0" t="s">
        <v>3028</v>
      </c>
      <c r="B1855" s="0" t="s">
        <v>79</v>
      </c>
      <c r="C1855" s="0" t="s">
        <v>2923</v>
      </c>
      <c r="D1855" s="0" t="s">
        <v>38</v>
      </c>
      <c r="E1855" s="2" t="n">
        <v>45643</v>
      </c>
      <c r="F1855" s="3" t="s">
        <v>20</v>
      </c>
      <c r="G1855" s="3" t="s">
        <v>55</v>
      </c>
      <c r="H1855" s="3" t="s">
        <v>29</v>
      </c>
      <c r="I1855" s="3" t="n">
        <f aca="false">YEAR(E1855)</f>
        <v>2024</v>
      </c>
      <c r="J1855" s="3" t="n">
        <f aca="false">MONTH(E1855)</f>
        <v>12</v>
      </c>
      <c r="K1855" s="3" t="n">
        <f aca="false">COUNTIFS($B$2:$B$4077,B1855,$C$2:$C$4077,C1855,$I$2:$I$4077,I1855)</f>
        <v>1</v>
      </c>
      <c r="L1855" s="3" t="n">
        <f aca="false">IF(COUNTIFS($B$2:B1855,B1855,$C$2:C1855,C1855,$I$2:I1855,I1855)=1,1,0)</f>
        <v>1</v>
      </c>
      <c r="M1855" s="3" t="n">
        <f aca="false">IF(K1855&gt;=Parametri!$B$1,1,0)</f>
        <v>0</v>
      </c>
      <c r="N1855" s="3" t="n">
        <f aca="false">L1855*M1855</f>
        <v>0</v>
      </c>
    </row>
    <row r="1856" customFormat="false" ht="15" hidden="false" customHeight="false" outlineLevel="0" collapsed="false">
      <c r="A1856" s="0" t="s">
        <v>3029</v>
      </c>
      <c r="B1856" s="0" t="s">
        <v>31</v>
      </c>
      <c r="C1856" s="0" t="s">
        <v>2581</v>
      </c>
      <c r="D1856" s="0" t="s">
        <v>19</v>
      </c>
      <c r="E1856" s="2" t="n">
        <v>45662</v>
      </c>
      <c r="F1856" s="3" t="s">
        <v>20</v>
      </c>
      <c r="G1856" s="3" t="s">
        <v>43</v>
      </c>
      <c r="H1856" s="3" t="s">
        <v>22</v>
      </c>
      <c r="I1856" s="3" t="n">
        <f aca="false">YEAR(E1856)</f>
        <v>2025</v>
      </c>
      <c r="J1856" s="3" t="n">
        <f aca="false">MONTH(E1856)</f>
        <v>1</v>
      </c>
      <c r="K1856" s="3" t="n">
        <f aca="false">COUNTIFS($B$2:$B$4077,B1856,$C$2:$C$4077,C1856,$I$2:$I$4077,I1856)</f>
        <v>3</v>
      </c>
      <c r="L1856" s="3" t="n">
        <f aca="false">IF(COUNTIFS($B$2:B1856,B1856,$C$2:C1856,C1856,$I$2:I1856,I1856)=1,1,0)</f>
        <v>1</v>
      </c>
      <c r="M1856" s="3" t="n">
        <f aca="false">IF(K1856&gt;=Parametri!$B$1,1,0)</f>
        <v>1</v>
      </c>
      <c r="N1856" s="3" t="n">
        <f aca="false">L1856*M1856</f>
        <v>1</v>
      </c>
    </row>
    <row r="1857" customFormat="false" ht="15" hidden="false" customHeight="false" outlineLevel="0" collapsed="false">
      <c r="A1857" s="0" t="s">
        <v>3030</v>
      </c>
      <c r="B1857" s="0" t="s">
        <v>41</v>
      </c>
      <c r="C1857" s="0" t="s">
        <v>2953</v>
      </c>
      <c r="D1857" s="0" t="s">
        <v>33</v>
      </c>
      <c r="E1857" s="2" t="n">
        <v>45616</v>
      </c>
      <c r="F1857" s="3" t="s">
        <v>27</v>
      </c>
      <c r="G1857" s="3" t="s">
        <v>35</v>
      </c>
      <c r="H1857" s="3" t="s">
        <v>44</v>
      </c>
      <c r="I1857" s="3" t="n">
        <f aca="false">YEAR(E1857)</f>
        <v>2024</v>
      </c>
      <c r="J1857" s="3" t="n">
        <f aca="false">MONTH(E1857)</f>
        <v>11</v>
      </c>
      <c r="K1857" s="3" t="n">
        <f aca="false">COUNTIFS($B$2:$B$4077,B1857,$C$2:$C$4077,C1857,$I$2:$I$4077,I1857)</f>
        <v>3</v>
      </c>
      <c r="L1857" s="3" t="n">
        <f aca="false">IF(COUNTIFS($B$2:B1857,B1857,$C$2:C1857,C1857,$I$2:I1857,I1857)=1,1,0)</f>
        <v>0</v>
      </c>
      <c r="M1857" s="3" t="n">
        <f aca="false">IF(K1857&gt;=Parametri!$B$1,1,0)</f>
        <v>1</v>
      </c>
      <c r="N1857" s="3" t="n">
        <f aca="false">L1857*M1857</f>
        <v>0</v>
      </c>
    </row>
    <row r="1858" customFormat="false" ht="15" hidden="false" customHeight="false" outlineLevel="0" collapsed="false">
      <c r="A1858" s="0" t="s">
        <v>3031</v>
      </c>
      <c r="B1858" s="0" t="s">
        <v>124</v>
      </c>
      <c r="C1858" s="0" t="s">
        <v>2402</v>
      </c>
      <c r="D1858" s="0" t="s">
        <v>33</v>
      </c>
      <c r="E1858" s="2" t="n">
        <v>45306</v>
      </c>
      <c r="F1858" s="3" t="s">
        <v>34</v>
      </c>
      <c r="G1858" s="3" t="s">
        <v>89</v>
      </c>
      <c r="H1858" s="3" t="s">
        <v>22</v>
      </c>
      <c r="I1858" s="3" t="n">
        <f aca="false">YEAR(E1858)</f>
        <v>2024</v>
      </c>
      <c r="J1858" s="3" t="n">
        <f aca="false">MONTH(E1858)</f>
        <v>1</v>
      </c>
      <c r="K1858" s="3" t="n">
        <f aca="false">COUNTIFS($B$2:$B$4077,B1858,$C$2:$C$4077,C1858,$I$2:$I$4077,I1858)</f>
        <v>3</v>
      </c>
      <c r="L1858" s="3" t="n">
        <f aca="false">IF(COUNTIFS($B$2:B1858,B1858,$C$2:C1858,C1858,$I$2:I1858,I1858)=1,1,0)</f>
        <v>1</v>
      </c>
      <c r="M1858" s="3" t="n">
        <f aca="false">IF(K1858&gt;=Parametri!$B$1,1,0)</f>
        <v>1</v>
      </c>
      <c r="N1858" s="3" t="n">
        <f aca="false">L1858*M1858</f>
        <v>1</v>
      </c>
    </row>
    <row r="1859" customFormat="false" ht="15" hidden="false" customHeight="false" outlineLevel="0" collapsed="false">
      <c r="A1859" s="0" t="s">
        <v>3032</v>
      </c>
      <c r="B1859" s="0" t="s">
        <v>50</v>
      </c>
      <c r="C1859" s="0" t="s">
        <v>3018</v>
      </c>
      <c r="D1859" s="0" t="s">
        <v>38</v>
      </c>
      <c r="E1859" s="2" t="n">
        <v>45538</v>
      </c>
      <c r="F1859" s="3" t="s">
        <v>34</v>
      </c>
      <c r="G1859" s="3" t="s">
        <v>89</v>
      </c>
      <c r="H1859" s="3" t="s">
        <v>29</v>
      </c>
      <c r="I1859" s="3" t="n">
        <f aca="false">YEAR(E1859)</f>
        <v>2024</v>
      </c>
      <c r="J1859" s="3" t="n">
        <f aca="false">MONTH(E1859)</f>
        <v>9</v>
      </c>
      <c r="K1859" s="3" t="n">
        <f aca="false">COUNTIFS($B$2:$B$4077,B1859,$C$2:$C$4077,C1859,$I$2:$I$4077,I1859)</f>
        <v>1</v>
      </c>
      <c r="L1859" s="3" t="n">
        <f aca="false">IF(COUNTIFS($B$2:B1859,B1859,$C$2:C1859,C1859,$I$2:I1859,I1859)=1,1,0)</f>
        <v>1</v>
      </c>
      <c r="M1859" s="3" t="n">
        <f aca="false">IF(K1859&gt;=Parametri!$B$1,1,0)</f>
        <v>0</v>
      </c>
      <c r="N1859" s="3" t="n">
        <f aca="false">L1859*M1859</f>
        <v>0</v>
      </c>
    </row>
    <row r="1860" customFormat="false" ht="15" hidden="false" customHeight="false" outlineLevel="0" collapsed="false">
      <c r="A1860" s="0" t="s">
        <v>3033</v>
      </c>
      <c r="B1860" s="0" t="s">
        <v>31</v>
      </c>
      <c r="C1860" s="0" t="s">
        <v>3001</v>
      </c>
      <c r="D1860" s="0" t="s">
        <v>54</v>
      </c>
      <c r="E1860" s="2" t="n">
        <v>45840</v>
      </c>
      <c r="F1860" s="3" t="s">
        <v>20</v>
      </c>
      <c r="G1860" s="3" t="s">
        <v>72</v>
      </c>
      <c r="H1860" s="3" t="s">
        <v>48</v>
      </c>
      <c r="I1860" s="3" t="n">
        <f aca="false">YEAR(E1860)</f>
        <v>2025</v>
      </c>
      <c r="J1860" s="3" t="n">
        <f aca="false">MONTH(E1860)</f>
        <v>7</v>
      </c>
      <c r="K1860" s="3" t="n">
        <f aca="false">COUNTIFS($B$2:$B$4077,B1860,$C$2:$C$4077,C1860,$I$2:$I$4077,I1860)</f>
        <v>2</v>
      </c>
      <c r="L1860" s="3" t="n">
        <f aca="false">IF(COUNTIFS($B$2:B1860,B1860,$C$2:C1860,C1860,$I$2:I1860,I1860)=1,1,0)</f>
        <v>0</v>
      </c>
      <c r="M1860" s="3" t="n">
        <f aca="false">IF(K1860&gt;=Parametri!$B$1,1,0)</f>
        <v>1</v>
      </c>
      <c r="N1860" s="3" t="n">
        <f aca="false">L1860*M1860</f>
        <v>0</v>
      </c>
    </row>
    <row r="1861" customFormat="false" ht="15" hidden="false" customHeight="false" outlineLevel="0" collapsed="false">
      <c r="A1861" s="0" t="s">
        <v>3034</v>
      </c>
      <c r="B1861" s="0" t="s">
        <v>57</v>
      </c>
      <c r="C1861" s="0" t="s">
        <v>2504</v>
      </c>
      <c r="D1861" s="0" t="s">
        <v>38</v>
      </c>
      <c r="E1861" s="2" t="n">
        <v>45627</v>
      </c>
      <c r="F1861" s="3" t="s">
        <v>34</v>
      </c>
      <c r="G1861" s="3" t="s">
        <v>43</v>
      </c>
      <c r="H1861" s="3" t="s">
        <v>44</v>
      </c>
      <c r="I1861" s="3" t="n">
        <f aca="false">YEAR(E1861)</f>
        <v>2024</v>
      </c>
      <c r="J1861" s="3" t="n">
        <f aca="false">MONTH(E1861)</f>
        <v>12</v>
      </c>
      <c r="K1861" s="3" t="n">
        <f aca="false">COUNTIFS($B$2:$B$4077,B1861,$C$2:$C$4077,C1861,$I$2:$I$4077,I1861)</f>
        <v>3</v>
      </c>
      <c r="L1861" s="3" t="n">
        <f aca="false">IF(COUNTIFS($B$2:B1861,B1861,$C$2:C1861,C1861,$I$2:I1861,I1861)=1,1,0)</f>
        <v>0</v>
      </c>
      <c r="M1861" s="3" t="n">
        <f aca="false">IF(K1861&gt;=Parametri!$B$1,1,0)</f>
        <v>1</v>
      </c>
      <c r="N1861" s="3" t="n">
        <f aca="false">L1861*M1861</f>
        <v>0</v>
      </c>
    </row>
    <row r="1862" customFormat="false" ht="15" hidden="false" customHeight="false" outlineLevel="0" collapsed="false">
      <c r="A1862" s="0" t="s">
        <v>3035</v>
      </c>
      <c r="B1862" s="0" t="s">
        <v>24</v>
      </c>
      <c r="C1862" s="0" t="s">
        <v>2877</v>
      </c>
      <c r="D1862" s="0" t="s">
        <v>66</v>
      </c>
      <c r="E1862" s="2" t="n">
        <v>46139</v>
      </c>
      <c r="F1862" s="3" t="s">
        <v>20</v>
      </c>
      <c r="G1862" s="3" t="s">
        <v>55</v>
      </c>
      <c r="H1862" s="3" t="s">
        <v>44</v>
      </c>
      <c r="I1862" s="3" t="n">
        <f aca="false">YEAR(E1862)</f>
        <v>2026</v>
      </c>
      <c r="J1862" s="3" t="n">
        <f aca="false">MONTH(E1862)</f>
        <v>4</v>
      </c>
      <c r="K1862" s="3" t="n">
        <f aca="false">COUNTIFS($B$2:$B$4077,B1862,$C$2:$C$4077,C1862,$I$2:$I$4077,I1862)</f>
        <v>2</v>
      </c>
      <c r="L1862" s="3" t="n">
        <f aca="false">IF(COUNTIFS($B$2:B1862,B1862,$C$2:C1862,C1862,$I$2:I1862,I1862)=1,1,0)</f>
        <v>0</v>
      </c>
      <c r="M1862" s="3" t="n">
        <f aca="false">IF(K1862&gt;=Parametri!$B$1,1,0)</f>
        <v>1</v>
      </c>
      <c r="N1862" s="3" t="n">
        <f aca="false">L1862*M1862</f>
        <v>0</v>
      </c>
    </row>
    <row r="1863" customFormat="false" ht="15" hidden="false" customHeight="false" outlineLevel="0" collapsed="false">
      <c r="A1863" s="0" t="s">
        <v>3036</v>
      </c>
      <c r="B1863" s="0" t="s">
        <v>24</v>
      </c>
      <c r="C1863" s="0" t="s">
        <v>2572</v>
      </c>
      <c r="D1863" s="0" t="s">
        <v>66</v>
      </c>
      <c r="E1863" s="2" t="n">
        <v>45658</v>
      </c>
      <c r="F1863" s="3" t="s">
        <v>20</v>
      </c>
      <c r="G1863" s="3" t="s">
        <v>28</v>
      </c>
      <c r="H1863" s="3" t="s">
        <v>48</v>
      </c>
      <c r="I1863" s="3" t="n">
        <f aca="false">YEAR(E1863)</f>
        <v>2025</v>
      </c>
      <c r="J1863" s="3" t="n">
        <f aca="false">MONTH(E1863)</f>
        <v>1</v>
      </c>
      <c r="K1863" s="3" t="n">
        <f aca="false">COUNTIFS($B$2:$B$4077,B1863,$C$2:$C$4077,C1863,$I$2:$I$4077,I1863)</f>
        <v>2</v>
      </c>
      <c r="L1863" s="3" t="n">
        <f aca="false">IF(COUNTIFS($B$2:B1863,B1863,$C$2:C1863,C1863,$I$2:I1863,I1863)=1,1,0)</f>
        <v>0</v>
      </c>
      <c r="M1863" s="3" t="n">
        <f aca="false">IF(K1863&gt;=Parametri!$B$1,1,0)</f>
        <v>1</v>
      </c>
      <c r="N1863" s="3" t="n">
        <f aca="false">L1863*M1863</f>
        <v>0</v>
      </c>
    </row>
    <row r="1864" customFormat="false" ht="15" hidden="false" customHeight="false" outlineLevel="0" collapsed="false">
      <c r="A1864" s="0" t="s">
        <v>3037</v>
      </c>
      <c r="B1864" s="0" t="s">
        <v>57</v>
      </c>
      <c r="C1864" s="0" t="s">
        <v>3038</v>
      </c>
      <c r="D1864" s="0" t="s">
        <v>33</v>
      </c>
      <c r="E1864" s="2" t="n">
        <v>45330</v>
      </c>
      <c r="F1864" s="3" t="s">
        <v>27</v>
      </c>
      <c r="G1864" s="3" t="s">
        <v>28</v>
      </c>
      <c r="H1864" s="3" t="s">
        <v>29</v>
      </c>
      <c r="I1864" s="3" t="n">
        <f aca="false">YEAR(E1864)</f>
        <v>2024</v>
      </c>
      <c r="J1864" s="3" t="n">
        <f aca="false">MONTH(E1864)</f>
        <v>2</v>
      </c>
      <c r="K1864" s="3" t="n">
        <f aca="false">COUNTIFS($B$2:$B$4077,B1864,$C$2:$C$4077,C1864,$I$2:$I$4077,I1864)</f>
        <v>2</v>
      </c>
      <c r="L1864" s="3" t="n">
        <f aca="false">IF(COUNTIFS($B$2:B1864,B1864,$C$2:C1864,C1864,$I$2:I1864,I1864)=1,1,0)</f>
        <v>1</v>
      </c>
      <c r="M1864" s="3" t="n">
        <f aca="false">IF(K1864&gt;=Parametri!$B$1,1,0)</f>
        <v>1</v>
      </c>
      <c r="N1864" s="3" t="n">
        <f aca="false">L1864*M1864</f>
        <v>1</v>
      </c>
    </row>
    <row r="1865" customFormat="false" ht="15" hidden="false" customHeight="false" outlineLevel="0" collapsed="false">
      <c r="A1865" s="0" t="s">
        <v>3039</v>
      </c>
      <c r="B1865" s="0" t="s">
        <v>57</v>
      </c>
      <c r="C1865" s="0" t="s">
        <v>964</v>
      </c>
      <c r="D1865" s="0" t="s">
        <v>66</v>
      </c>
      <c r="E1865" s="2" t="n">
        <v>45387</v>
      </c>
      <c r="F1865" s="3" t="s">
        <v>20</v>
      </c>
      <c r="G1865" s="3" t="s">
        <v>35</v>
      </c>
      <c r="H1865" s="3" t="s">
        <v>22</v>
      </c>
      <c r="I1865" s="3" t="n">
        <f aca="false">YEAR(E1865)</f>
        <v>2024</v>
      </c>
      <c r="J1865" s="3" t="n">
        <f aca="false">MONTH(E1865)</f>
        <v>4</v>
      </c>
      <c r="K1865" s="3" t="n">
        <f aca="false">COUNTIFS($B$2:$B$4077,B1865,$C$2:$C$4077,C1865,$I$2:$I$4077,I1865)</f>
        <v>4</v>
      </c>
      <c r="L1865" s="3" t="n">
        <f aca="false">IF(COUNTIFS($B$2:B1865,B1865,$C$2:C1865,C1865,$I$2:I1865,I1865)=1,1,0)</f>
        <v>0</v>
      </c>
      <c r="M1865" s="3" t="n">
        <f aca="false">IF(K1865&gt;=Parametri!$B$1,1,0)</f>
        <v>1</v>
      </c>
      <c r="N1865" s="3" t="n">
        <f aca="false">L1865*M1865</f>
        <v>0</v>
      </c>
    </row>
    <row r="1866" customFormat="false" ht="15" hidden="false" customHeight="false" outlineLevel="0" collapsed="false">
      <c r="A1866" s="0" t="s">
        <v>3040</v>
      </c>
      <c r="B1866" s="0" t="s">
        <v>124</v>
      </c>
      <c r="C1866" s="0" t="s">
        <v>3041</v>
      </c>
      <c r="D1866" s="0" t="s">
        <v>77</v>
      </c>
      <c r="E1866" s="2" t="n">
        <v>46199</v>
      </c>
      <c r="F1866" s="3" t="s">
        <v>20</v>
      </c>
      <c r="G1866" s="3" t="s">
        <v>39</v>
      </c>
      <c r="H1866" s="3" t="s">
        <v>22</v>
      </c>
      <c r="I1866" s="3" t="n">
        <f aca="false">YEAR(E1866)</f>
        <v>2026</v>
      </c>
      <c r="J1866" s="3" t="n">
        <f aca="false">MONTH(E1866)</f>
        <v>6</v>
      </c>
      <c r="K1866" s="3" t="n">
        <f aca="false">COUNTIFS($B$2:$B$4077,B1866,$C$2:$C$4077,C1866,$I$2:$I$4077,I1866)</f>
        <v>1</v>
      </c>
      <c r="L1866" s="3" t="n">
        <f aca="false">IF(COUNTIFS($B$2:B1866,B1866,$C$2:C1866,C1866,$I$2:I1866,I1866)=1,1,0)</f>
        <v>1</v>
      </c>
      <c r="M1866" s="3" t="n">
        <f aca="false">IF(K1866&gt;=Parametri!$B$1,1,0)</f>
        <v>0</v>
      </c>
      <c r="N1866" s="3" t="n">
        <f aca="false">L1866*M1866</f>
        <v>0</v>
      </c>
    </row>
    <row r="1867" customFormat="false" ht="15" hidden="false" customHeight="false" outlineLevel="0" collapsed="false">
      <c r="A1867" s="0" t="s">
        <v>3042</v>
      </c>
      <c r="B1867" s="0" t="s">
        <v>79</v>
      </c>
      <c r="C1867" s="0" t="s">
        <v>327</v>
      </c>
      <c r="D1867" s="0" t="s">
        <v>19</v>
      </c>
      <c r="E1867" s="2" t="n">
        <v>45833</v>
      </c>
      <c r="F1867" s="3" t="s">
        <v>27</v>
      </c>
      <c r="G1867" s="3" t="s">
        <v>21</v>
      </c>
      <c r="H1867" s="3" t="s">
        <v>44</v>
      </c>
      <c r="I1867" s="3" t="n">
        <f aca="false">YEAR(E1867)</f>
        <v>2025</v>
      </c>
      <c r="J1867" s="3" t="n">
        <f aca="false">MONTH(E1867)</f>
        <v>6</v>
      </c>
      <c r="K1867" s="3" t="n">
        <f aca="false">COUNTIFS($B$2:$B$4077,B1867,$C$2:$C$4077,C1867,$I$2:$I$4077,I1867)</f>
        <v>4</v>
      </c>
      <c r="L1867" s="3" t="n">
        <f aca="false">IF(COUNTIFS($B$2:B1867,B1867,$C$2:C1867,C1867,$I$2:I1867,I1867)=1,1,0)</f>
        <v>0</v>
      </c>
      <c r="M1867" s="3" t="n">
        <f aca="false">IF(K1867&gt;=Parametri!$B$1,1,0)</f>
        <v>1</v>
      </c>
      <c r="N1867" s="3" t="n">
        <f aca="false">L1867*M1867</f>
        <v>0</v>
      </c>
    </row>
    <row r="1868" customFormat="false" ht="15" hidden="false" customHeight="false" outlineLevel="0" collapsed="false">
      <c r="A1868" s="0" t="s">
        <v>3043</v>
      </c>
      <c r="B1868" s="0" t="s">
        <v>79</v>
      </c>
      <c r="C1868" s="0" t="s">
        <v>2611</v>
      </c>
      <c r="D1868" s="0" t="s">
        <v>38</v>
      </c>
      <c r="E1868" s="2" t="n">
        <v>45902</v>
      </c>
      <c r="F1868" s="3" t="s">
        <v>20</v>
      </c>
      <c r="G1868" s="3" t="s">
        <v>28</v>
      </c>
      <c r="H1868" s="3" t="s">
        <v>44</v>
      </c>
      <c r="I1868" s="3" t="n">
        <f aca="false">YEAR(E1868)</f>
        <v>2025</v>
      </c>
      <c r="J1868" s="3" t="n">
        <f aca="false">MONTH(E1868)</f>
        <v>9</v>
      </c>
      <c r="K1868" s="3" t="n">
        <f aca="false">COUNTIFS($B$2:$B$4077,B1868,$C$2:$C$4077,C1868,$I$2:$I$4077,I1868)</f>
        <v>2</v>
      </c>
      <c r="L1868" s="3" t="n">
        <f aca="false">IF(COUNTIFS($B$2:B1868,B1868,$C$2:C1868,C1868,$I$2:I1868,I1868)=1,1,0)</f>
        <v>0</v>
      </c>
      <c r="M1868" s="3" t="n">
        <f aca="false">IF(K1868&gt;=Parametri!$B$1,1,0)</f>
        <v>1</v>
      </c>
      <c r="N1868" s="3" t="n">
        <f aca="false">L1868*M1868</f>
        <v>0</v>
      </c>
    </row>
    <row r="1869" customFormat="false" ht="15" hidden="false" customHeight="false" outlineLevel="0" collapsed="false">
      <c r="A1869" s="0" t="s">
        <v>3044</v>
      </c>
      <c r="B1869" s="0" t="s">
        <v>50</v>
      </c>
      <c r="C1869" s="0" t="s">
        <v>261</v>
      </c>
      <c r="D1869" s="0" t="s">
        <v>33</v>
      </c>
      <c r="E1869" s="2" t="n">
        <v>45556</v>
      </c>
      <c r="F1869" s="3" t="s">
        <v>34</v>
      </c>
      <c r="G1869" s="3" t="s">
        <v>35</v>
      </c>
      <c r="H1869" s="3" t="s">
        <v>22</v>
      </c>
      <c r="I1869" s="3" t="n">
        <f aca="false">YEAR(E1869)</f>
        <v>2024</v>
      </c>
      <c r="J1869" s="3" t="n">
        <f aca="false">MONTH(E1869)</f>
        <v>9</v>
      </c>
      <c r="K1869" s="3" t="n">
        <f aca="false">COUNTIFS($B$2:$B$4077,B1869,$C$2:$C$4077,C1869,$I$2:$I$4077,I1869)</f>
        <v>2</v>
      </c>
      <c r="L1869" s="3" t="n">
        <f aca="false">IF(COUNTIFS($B$2:B1869,B1869,$C$2:C1869,C1869,$I$2:I1869,I1869)=1,1,0)</f>
        <v>0</v>
      </c>
      <c r="M1869" s="3" t="n">
        <f aca="false">IF(K1869&gt;=Parametri!$B$1,1,0)</f>
        <v>1</v>
      </c>
      <c r="N1869" s="3" t="n">
        <f aca="false">L1869*M1869</f>
        <v>0</v>
      </c>
    </row>
    <row r="1870" customFormat="false" ht="15" hidden="false" customHeight="false" outlineLevel="0" collapsed="false">
      <c r="A1870" s="0" t="s">
        <v>3045</v>
      </c>
      <c r="B1870" s="0" t="s">
        <v>57</v>
      </c>
      <c r="C1870" s="0" t="s">
        <v>1970</v>
      </c>
      <c r="D1870" s="0" t="s">
        <v>77</v>
      </c>
      <c r="E1870" s="2" t="n">
        <v>45526</v>
      </c>
      <c r="F1870" s="3" t="s">
        <v>20</v>
      </c>
      <c r="G1870" s="3" t="s">
        <v>28</v>
      </c>
      <c r="H1870" s="3" t="s">
        <v>44</v>
      </c>
      <c r="I1870" s="3" t="n">
        <f aca="false">YEAR(E1870)</f>
        <v>2024</v>
      </c>
      <c r="J1870" s="3" t="n">
        <f aca="false">MONTH(E1870)</f>
        <v>8</v>
      </c>
      <c r="K1870" s="3" t="n">
        <f aca="false">COUNTIFS($B$2:$B$4077,B1870,$C$2:$C$4077,C1870,$I$2:$I$4077,I1870)</f>
        <v>2</v>
      </c>
      <c r="L1870" s="3" t="n">
        <f aca="false">IF(COUNTIFS($B$2:B1870,B1870,$C$2:C1870,C1870,$I$2:I1870,I1870)=1,1,0)</f>
        <v>0</v>
      </c>
      <c r="M1870" s="3" t="n">
        <f aca="false">IF(K1870&gt;=Parametri!$B$1,1,0)</f>
        <v>1</v>
      </c>
      <c r="N1870" s="3" t="n">
        <f aca="false">L1870*M1870</f>
        <v>0</v>
      </c>
    </row>
    <row r="1871" customFormat="false" ht="15" hidden="false" customHeight="false" outlineLevel="0" collapsed="false">
      <c r="A1871" s="0" t="s">
        <v>3046</v>
      </c>
      <c r="B1871" s="0" t="s">
        <v>79</v>
      </c>
      <c r="C1871" s="0" t="s">
        <v>2917</v>
      </c>
      <c r="D1871" s="0" t="s">
        <v>63</v>
      </c>
      <c r="E1871" s="2" t="n">
        <v>45463</v>
      </c>
      <c r="F1871" s="3" t="s">
        <v>34</v>
      </c>
      <c r="G1871" s="3" t="s">
        <v>28</v>
      </c>
      <c r="H1871" s="3" t="s">
        <v>44</v>
      </c>
      <c r="I1871" s="3" t="n">
        <f aca="false">YEAR(E1871)</f>
        <v>2024</v>
      </c>
      <c r="J1871" s="3" t="n">
        <f aca="false">MONTH(E1871)</f>
        <v>6</v>
      </c>
      <c r="K1871" s="3" t="n">
        <f aca="false">COUNTIFS($B$2:$B$4077,B1871,$C$2:$C$4077,C1871,$I$2:$I$4077,I1871)</f>
        <v>3</v>
      </c>
      <c r="L1871" s="3" t="n">
        <f aca="false">IF(COUNTIFS($B$2:B1871,B1871,$C$2:C1871,C1871,$I$2:I1871,I1871)=1,1,0)</f>
        <v>0</v>
      </c>
      <c r="M1871" s="3" t="n">
        <f aca="false">IF(K1871&gt;=Parametri!$B$1,1,0)</f>
        <v>1</v>
      </c>
      <c r="N1871" s="3" t="n">
        <f aca="false">L1871*M1871</f>
        <v>0</v>
      </c>
    </row>
    <row r="1872" customFormat="false" ht="15" hidden="false" customHeight="false" outlineLevel="0" collapsed="false">
      <c r="A1872" s="0" t="s">
        <v>3047</v>
      </c>
      <c r="B1872" s="0" t="s">
        <v>124</v>
      </c>
      <c r="C1872" s="0" t="s">
        <v>1737</v>
      </c>
      <c r="D1872" s="0" t="s">
        <v>63</v>
      </c>
      <c r="E1872" s="2" t="n">
        <v>45432</v>
      </c>
      <c r="F1872" s="3" t="s">
        <v>34</v>
      </c>
      <c r="G1872" s="3" t="s">
        <v>55</v>
      </c>
      <c r="H1872" s="3" t="s">
        <v>29</v>
      </c>
      <c r="I1872" s="3" t="n">
        <f aca="false">YEAR(E1872)</f>
        <v>2024</v>
      </c>
      <c r="J1872" s="3" t="n">
        <f aca="false">MONTH(E1872)</f>
        <v>5</v>
      </c>
      <c r="K1872" s="3" t="n">
        <f aca="false">COUNTIFS($B$2:$B$4077,B1872,$C$2:$C$4077,C1872,$I$2:$I$4077,I1872)</f>
        <v>1</v>
      </c>
      <c r="L1872" s="3" t="n">
        <f aca="false">IF(COUNTIFS($B$2:B1872,B1872,$C$2:C1872,C1872,$I$2:I1872,I1872)=1,1,0)</f>
        <v>1</v>
      </c>
      <c r="M1872" s="3" t="n">
        <f aca="false">IF(K1872&gt;=Parametri!$B$1,1,0)</f>
        <v>0</v>
      </c>
      <c r="N1872" s="3" t="n">
        <f aca="false">L1872*M1872</f>
        <v>0</v>
      </c>
    </row>
    <row r="1873" customFormat="false" ht="15" hidden="false" customHeight="false" outlineLevel="0" collapsed="false">
      <c r="A1873" s="0" t="s">
        <v>3048</v>
      </c>
      <c r="B1873" s="0" t="s">
        <v>79</v>
      </c>
      <c r="C1873" s="0" t="s">
        <v>471</v>
      </c>
      <c r="D1873" s="0" t="s">
        <v>63</v>
      </c>
      <c r="E1873" s="2" t="n">
        <v>46072</v>
      </c>
      <c r="F1873" s="3" t="s">
        <v>20</v>
      </c>
      <c r="G1873" s="3" t="s">
        <v>89</v>
      </c>
      <c r="H1873" s="3" t="s">
        <v>44</v>
      </c>
      <c r="I1873" s="3" t="n">
        <f aca="false">YEAR(E1873)</f>
        <v>2026</v>
      </c>
      <c r="J1873" s="3" t="n">
        <f aca="false">MONTH(E1873)</f>
        <v>2</v>
      </c>
      <c r="K1873" s="3" t="n">
        <f aca="false">COUNTIFS($B$2:$B$4077,B1873,$C$2:$C$4077,C1873,$I$2:$I$4077,I1873)</f>
        <v>4</v>
      </c>
      <c r="L1873" s="3" t="n">
        <f aca="false">IF(COUNTIFS($B$2:B1873,B1873,$C$2:C1873,C1873,$I$2:I1873,I1873)=1,1,0)</f>
        <v>0</v>
      </c>
      <c r="M1873" s="3" t="n">
        <f aca="false">IF(K1873&gt;=Parametri!$B$1,1,0)</f>
        <v>1</v>
      </c>
      <c r="N1873" s="3" t="n">
        <f aca="false">L1873*M1873</f>
        <v>0</v>
      </c>
    </row>
    <row r="1874" customFormat="false" ht="15" hidden="false" customHeight="false" outlineLevel="0" collapsed="false">
      <c r="A1874" s="0" t="s">
        <v>3049</v>
      </c>
      <c r="B1874" s="0" t="s">
        <v>41</v>
      </c>
      <c r="C1874" s="0" t="s">
        <v>1162</v>
      </c>
      <c r="D1874" s="0" t="s">
        <v>66</v>
      </c>
      <c r="E1874" s="2" t="n">
        <v>45901</v>
      </c>
      <c r="F1874" s="3" t="s">
        <v>20</v>
      </c>
      <c r="G1874" s="3" t="s">
        <v>89</v>
      </c>
      <c r="H1874" s="3" t="s">
        <v>44</v>
      </c>
      <c r="I1874" s="3" t="n">
        <f aca="false">YEAR(E1874)</f>
        <v>2025</v>
      </c>
      <c r="J1874" s="3" t="n">
        <f aca="false">MONTH(E1874)</f>
        <v>9</v>
      </c>
      <c r="K1874" s="3" t="n">
        <f aca="false">COUNTIFS($B$2:$B$4077,B1874,$C$2:$C$4077,C1874,$I$2:$I$4077,I1874)</f>
        <v>3</v>
      </c>
      <c r="L1874" s="3" t="n">
        <f aca="false">IF(COUNTIFS($B$2:B1874,B1874,$C$2:C1874,C1874,$I$2:I1874,I1874)=1,1,0)</f>
        <v>0</v>
      </c>
      <c r="M1874" s="3" t="n">
        <f aca="false">IF(K1874&gt;=Parametri!$B$1,1,0)</f>
        <v>1</v>
      </c>
      <c r="N1874" s="3" t="n">
        <f aca="false">L1874*M1874</f>
        <v>0</v>
      </c>
    </row>
    <row r="1875" customFormat="false" ht="15" hidden="false" customHeight="false" outlineLevel="0" collapsed="false">
      <c r="A1875" s="0" t="s">
        <v>3050</v>
      </c>
      <c r="B1875" s="0" t="s">
        <v>79</v>
      </c>
      <c r="C1875" s="0" t="s">
        <v>116</v>
      </c>
      <c r="D1875" s="0" t="s">
        <v>63</v>
      </c>
      <c r="E1875" s="2" t="n">
        <v>45394</v>
      </c>
      <c r="F1875" s="3" t="s">
        <v>20</v>
      </c>
      <c r="G1875" s="3" t="s">
        <v>55</v>
      </c>
      <c r="H1875" s="3" t="s">
        <v>22</v>
      </c>
      <c r="I1875" s="3" t="n">
        <f aca="false">YEAR(E1875)</f>
        <v>2024</v>
      </c>
      <c r="J1875" s="3" t="n">
        <f aca="false">MONTH(E1875)</f>
        <v>4</v>
      </c>
      <c r="K1875" s="3" t="n">
        <f aca="false">COUNTIFS($B$2:$B$4077,B1875,$C$2:$C$4077,C1875,$I$2:$I$4077,I1875)</f>
        <v>6</v>
      </c>
      <c r="L1875" s="3" t="n">
        <f aca="false">IF(COUNTIFS($B$2:B1875,B1875,$C$2:C1875,C1875,$I$2:I1875,I1875)=1,1,0)</f>
        <v>0</v>
      </c>
      <c r="M1875" s="3" t="n">
        <f aca="false">IF(K1875&gt;=Parametri!$B$1,1,0)</f>
        <v>1</v>
      </c>
      <c r="N1875" s="3" t="n">
        <f aca="false">L1875*M1875</f>
        <v>0</v>
      </c>
    </row>
    <row r="1876" customFormat="false" ht="15" hidden="false" customHeight="false" outlineLevel="0" collapsed="false">
      <c r="A1876" s="0" t="s">
        <v>3051</v>
      </c>
      <c r="B1876" s="0" t="s">
        <v>124</v>
      </c>
      <c r="C1876" s="0" t="s">
        <v>1040</v>
      </c>
      <c r="D1876" s="0" t="s">
        <v>33</v>
      </c>
      <c r="E1876" s="2" t="n">
        <v>45638</v>
      </c>
      <c r="F1876" s="3" t="s">
        <v>34</v>
      </c>
      <c r="G1876" s="3" t="s">
        <v>72</v>
      </c>
      <c r="H1876" s="3" t="s">
        <v>48</v>
      </c>
      <c r="I1876" s="3" t="n">
        <f aca="false">YEAR(E1876)</f>
        <v>2024</v>
      </c>
      <c r="J1876" s="3" t="n">
        <f aca="false">MONTH(E1876)</f>
        <v>12</v>
      </c>
      <c r="K1876" s="3" t="n">
        <f aca="false">COUNTIFS($B$2:$B$4077,B1876,$C$2:$C$4077,C1876,$I$2:$I$4077,I1876)</f>
        <v>4</v>
      </c>
      <c r="L1876" s="3" t="n">
        <f aca="false">IF(COUNTIFS($B$2:B1876,B1876,$C$2:C1876,C1876,$I$2:I1876,I1876)=1,1,0)</f>
        <v>1</v>
      </c>
      <c r="M1876" s="3" t="n">
        <f aca="false">IF(K1876&gt;=Parametri!$B$1,1,0)</f>
        <v>1</v>
      </c>
      <c r="N1876" s="3" t="n">
        <f aca="false">L1876*M1876</f>
        <v>1</v>
      </c>
    </row>
    <row r="1877" customFormat="false" ht="15" hidden="false" customHeight="false" outlineLevel="0" collapsed="false">
      <c r="A1877" s="0" t="s">
        <v>3052</v>
      </c>
      <c r="B1877" s="0" t="s">
        <v>17</v>
      </c>
      <c r="C1877" s="0" t="s">
        <v>589</v>
      </c>
      <c r="D1877" s="0" t="s">
        <v>33</v>
      </c>
      <c r="E1877" s="2" t="n">
        <v>46038</v>
      </c>
      <c r="F1877" s="3" t="s">
        <v>20</v>
      </c>
      <c r="G1877" s="3" t="s">
        <v>104</v>
      </c>
      <c r="H1877" s="3" t="s">
        <v>104</v>
      </c>
      <c r="I1877" s="3" t="n">
        <f aca="false">YEAR(E1877)</f>
        <v>2026</v>
      </c>
      <c r="J1877" s="3" t="n">
        <f aca="false">MONTH(E1877)</f>
        <v>1</v>
      </c>
      <c r="K1877" s="3" t="n">
        <f aca="false">COUNTIFS($B$2:$B$4077,B1877,$C$2:$C$4077,C1877,$I$2:$I$4077,I1877)</f>
        <v>1</v>
      </c>
      <c r="L1877" s="3" t="n">
        <f aca="false">IF(COUNTIFS($B$2:B1877,B1877,$C$2:C1877,C1877,$I$2:I1877,I1877)=1,1,0)</f>
        <v>1</v>
      </c>
      <c r="M1877" s="3" t="n">
        <f aca="false">IF(K1877&gt;=Parametri!$B$1,1,0)</f>
        <v>0</v>
      </c>
      <c r="N1877" s="3" t="n">
        <f aca="false">L1877*M1877</f>
        <v>0</v>
      </c>
    </row>
    <row r="1878" customFormat="false" ht="15" hidden="false" customHeight="false" outlineLevel="0" collapsed="false">
      <c r="A1878" s="0" t="s">
        <v>3053</v>
      </c>
      <c r="B1878" s="0" t="s">
        <v>68</v>
      </c>
      <c r="C1878" s="0" t="s">
        <v>3054</v>
      </c>
      <c r="D1878" s="0" t="s">
        <v>66</v>
      </c>
      <c r="E1878" s="2" t="n">
        <v>45946</v>
      </c>
      <c r="F1878" s="3" t="s">
        <v>20</v>
      </c>
      <c r="G1878" s="3" t="s">
        <v>104</v>
      </c>
      <c r="H1878" s="3" t="s">
        <v>44</v>
      </c>
      <c r="I1878" s="3" t="n">
        <f aca="false">YEAR(E1878)</f>
        <v>2025</v>
      </c>
      <c r="J1878" s="3" t="n">
        <f aca="false">MONTH(E1878)</f>
        <v>10</v>
      </c>
      <c r="K1878" s="3" t="n">
        <f aca="false">COUNTIFS($B$2:$B$4077,B1878,$C$2:$C$4077,C1878,$I$2:$I$4077,I1878)</f>
        <v>1</v>
      </c>
      <c r="L1878" s="3" t="n">
        <f aca="false">IF(COUNTIFS($B$2:B1878,B1878,$C$2:C1878,C1878,$I$2:I1878,I1878)=1,1,0)</f>
        <v>1</v>
      </c>
      <c r="M1878" s="3" t="n">
        <f aca="false">IF(K1878&gt;=Parametri!$B$1,1,0)</f>
        <v>0</v>
      </c>
      <c r="N1878" s="3" t="n">
        <f aca="false">L1878*M1878</f>
        <v>0</v>
      </c>
    </row>
    <row r="1879" customFormat="false" ht="15" hidden="false" customHeight="false" outlineLevel="0" collapsed="false">
      <c r="A1879" s="0" t="s">
        <v>3055</v>
      </c>
      <c r="B1879" s="0" t="s">
        <v>57</v>
      </c>
      <c r="C1879" s="0" t="s">
        <v>3056</v>
      </c>
      <c r="D1879" s="0" t="s">
        <v>19</v>
      </c>
      <c r="E1879" s="2" t="n">
        <v>45625</v>
      </c>
      <c r="F1879" s="3" t="s">
        <v>27</v>
      </c>
      <c r="G1879" s="3" t="s">
        <v>89</v>
      </c>
      <c r="H1879" s="3" t="s">
        <v>22</v>
      </c>
      <c r="I1879" s="3" t="n">
        <f aca="false">YEAR(E1879)</f>
        <v>2024</v>
      </c>
      <c r="J1879" s="3" t="n">
        <f aca="false">MONTH(E1879)</f>
        <v>11</v>
      </c>
      <c r="K1879" s="3" t="n">
        <f aca="false">COUNTIFS($B$2:$B$4077,B1879,$C$2:$C$4077,C1879,$I$2:$I$4077,I1879)</f>
        <v>1</v>
      </c>
      <c r="L1879" s="3" t="n">
        <f aca="false">IF(COUNTIFS($B$2:B1879,B1879,$C$2:C1879,C1879,$I$2:I1879,I1879)=1,1,0)</f>
        <v>1</v>
      </c>
      <c r="M1879" s="3" t="n">
        <f aca="false">IF(K1879&gt;=Parametri!$B$1,1,0)</f>
        <v>0</v>
      </c>
      <c r="N1879" s="3" t="n">
        <f aca="false">L1879*M1879</f>
        <v>0</v>
      </c>
    </row>
    <row r="1880" customFormat="false" ht="15" hidden="false" customHeight="false" outlineLevel="0" collapsed="false">
      <c r="A1880" s="0" t="s">
        <v>3057</v>
      </c>
      <c r="B1880" s="0" t="s">
        <v>24</v>
      </c>
      <c r="C1880" s="0" t="s">
        <v>397</v>
      </c>
      <c r="D1880" s="0" t="s">
        <v>19</v>
      </c>
      <c r="E1880" s="2" t="n">
        <v>45421</v>
      </c>
      <c r="F1880" s="3" t="s">
        <v>20</v>
      </c>
      <c r="G1880" s="3" t="s">
        <v>43</v>
      </c>
      <c r="H1880" s="3" t="s">
        <v>44</v>
      </c>
      <c r="I1880" s="3" t="n">
        <f aca="false">YEAR(E1880)</f>
        <v>2024</v>
      </c>
      <c r="J1880" s="3" t="n">
        <f aca="false">MONTH(E1880)</f>
        <v>5</v>
      </c>
      <c r="K1880" s="3" t="n">
        <f aca="false">COUNTIFS($B$2:$B$4077,B1880,$C$2:$C$4077,C1880,$I$2:$I$4077,I1880)</f>
        <v>1</v>
      </c>
      <c r="L1880" s="3" t="n">
        <f aca="false">IF(COUNTIFS($B$2:B1880,B1880,$C$2:C1880,C1880,$I$2:I1880,I1880)=1,1,0)</f>
        <v>1</v>
      </c>
      <c r="M1880" s="3" t="n">
        <f aca="false">IF(K1880&gt;=Parametri!$B$1,1,0)</f>
        <v>0</v>
      </c>
      <c r="N1880" s="3" t="n">
        <f aca="false">L1880*M1880</f>
        <v>0</v>
      </c>
    </row>
    <row r="1881" customFormat="false" ht="15" hidden="false" customHeight="false" outlineLevel="0" collapsed="false">
      <c r="A1881" s="0" t="s">
        <v>3058</v>
      </c>
      <c r="B1881" s="0" t="s">
        <v>124</v>
      </c>
      <c r="C1881" s="0" t="s">
        <v>554</v>
      </c>
      <c r="D1881" s="0" t="s">
        <v>54</v>
      </c>
      <c r="E1881" s="2" t="n">
        <v>45529</v>
      </c>
      <c r="F1881" s="3" t="s">
        <v>34</v>
      </c>
      <c r="G1881" s="3" t="s">
        <v>72</v>
      </c>
      <c r="H1881" s="3" t="s">
        <v>29</v>
      </c>
      <c r="I1881" s="3" t="n">
        <f aca="false">YEAR(E1881)</f>
        <v>2024</v>
      </c>
      <c r="J1881" s="3" t="n">
        <f aca="false">MONTH(E1881)</f>
        <v>8</v>
      </c>
      <c r="K1881" s="3" t="n">
        <f aca="false">COUNTIFS($B$2:$B$4077,B1881,$C$2:$C$4077,C1881,$I$2:$I$4077,I1881)</f>
        <v>1</v>
      </c>
      <c r="L1881" s="3" t="n">
        <f aca="false">IF(COUNTIFS($B$2:B1881,B1881,$C$2:C1881,C1881,$I$2:I1881,I1881)=1,1,0)</f>
        <v>1</v>
      </c>
      <c r="M1881" s="3" t="n">
        <f aca="false">IF(K1881&gt;=Parametri!$B$1,1,0)</f>
        <v>0</v>
      </c>
      <c r="N1881" s="3" t="n">
        <f aca="false">L1881*M1881</f>
        <v>0</v>
      </c>
    </row>
    <row r="1882" customFormat="false" ht="15" hidden="false" customHeight="false" outlineLevel="0" collapsed="false">
      <c r="A1882" s="0" t="s">
        <v>3059</v>
      </c>
      <c r="B1882" s="0" t="s">
        <v>68</v>
      </c>
      <c r="C1882" s="0" t="s">
        <v>693</v>
      </c>
      <c r="D1882" s="0" t="s">
        <v>26</v>
      </c>
      <c r="E1882" s="2" t="n">
        <v>46007</v>
      </c>
      <c r="F1882" s="3" t="s">
        <v>20</v>
      </c>
      <c r="G1882" s="3" t="s">
        <v>39</v>
      </c>
      <c r="H1882" s="3" t="s">
        <v>29</v>
      </c>
      <c r="I1882" s="3" t="n">
        <f aca="false">YEAR(E1882)</f>
        <v>2025</v>
      </c>
      <c r="J1882" s="3" t="n">
        <f aca="false">MONTH(E1882)</f>
        <v>12</v>
      </c>
      <c r="K1882" s="3" t="n">
        <f aca="false">COUNTIFS($B$2:$B$4077,B1882,$C$2:$C$4077,C1882,$I$2:$I$4077,I1882)</f>
        <v>3</v>
      </c>
      <c r="L1882" s="3" t="n">
        <f aca="false">IF(COUNTIFS($B$2:B1882,B1882,$C$2:C1882,C1882,$I$2:I1882,I1882)=1,1,0)</f>
        <v>0</v>
      </c>
      <c r="M1882" s="3" t="n">
        <f aca="false">IF(K1882&gt;=Parametri!$B$1,1,0)</f>
        <v>1</v>
      </c>
      <c r="N1882" s="3" t="n">
        <f aca="false">L1882*M1882</f>
        <v>0</v>
      </c>
    </row>
    <row r="1883" customFormat="false" ht="15" hidden="false" customHeight="false" outlineLevel="0" collapsed="false">
      <c r="A1883" s="0" t="s">
        <v>3060</v>
      </c>
      <c r="B1883" s="0" t="s">
        <v>57</v>
      </c>
      <c r="C1883" s="0" t="s">
        <v>507</v>
      </c>
      <c r="D1883" s="0" t="s">
        <v>63</v>
      </c>
      <c r="E1883" s="2" t="n">
        <v>45484</v>
      </c>
      <c r="F1883" s="3" t="s">
        <v>20</v>
      </c>
      <c r="G1883" s="3" t="s">
        <v>43</v>
      </c>
      <c r="H1883" s="3" t="s">
        <v>48</v>
      </c>
      <c r="I1883" s="3" t="n">
        <f aca="false">YEAR(E1883)</f>
        <v>2024</v>
      </c>
      <c r="J1883" s="3" t="n">
        <f aca="false">MONTH(E1883)</f>
        <v>7</v>
      </c>
      <c r="K1883" s="3" t="n">
        <f aca="false">COUNTIFS($B$2:$B$4077,B1883,$C$2:$C$4077,C1883,$I$2:$I$4077,I1883)</f>
        <v>2</v>
      </c>
      <c r="L1883" s="3" t="n">
        <f aca="false">IF(COUNTIFS($B$2:B1883,B1883,$C$2:C1883,C1883,$I$2:I1883,I1883)=1,1,0)</f>
        <v>0</v>
      </c>
      <c r="M1883" s="3" t="n">
        <f aca="false">IF(K1883&gt;=Parametri!$B$1,1,0)</f>
        <v>1</v>
      </c>
      <c r="N1883" s="3" t="n">
        <f aca="false">L1883*M1883</f>
        <v>0</v>
      </c>
    </row>
    <row r="1884" customFormat="false" ht="15" hidden="false" customHeight="false" outlineLevel="0" collapsed="false">
      <c r="A1884" s="0" t="s">
        <v>3061</v>
      </c>
      <c r="B1884" s="0" t="s">
        <v>24</v>
      </c>
      <c r="C1884" s="0" t="s">
        <v>3062</v>
      </c>
      <c r="D1884" s="0" t="s">
        <v>63</v>
      </c>
      <c r="E1884" s="2" t="n">
        <v>45562</v>
      </c>
      <c r="F1884" s="3" t="s">
        <v>20</v>
      </c>
      <c r="G1884" s="3" t="s">
        <v>72</v>
      </c>
      <c r="H1884" s="3" t="s">
        <v>44</v>
      </c>
      <c r="I1884" s="3" t="n">
        <f aca="false">YEAR(E1884)</f>
        <v>2024</v>
      </c>
      <c r="J1884" s="3" t="n">
        <f aca="false">MONTH(E1884)</f>
        <v>9</v>
      </c>
      <c r="K1884" s="3" t="n">
        <f aca="false">COUNTIFS($B$2:$B$4077,B1884,$C$2:$C$4077,C1884,$I$2:$I$4077,I1884)</f>
        <v>2</v>
      </c>
      <c r="L1884" s="3" t="n">
        <f aca="false">IF(COUNTIFS($B$2:B1884,B1884,$C$2:C1884,C1884,$I$2:I1884,I1884)=1,1,0)</f>
        <v>1</v>
      </c>
      <c r="M1884" s="3" t="n">
        <f aca="false">IF(K1884&gt;=Parametri!$B$1,1,0)</f>
        <v>1</v>
      </c>
      <c r="N1884" s="3" t="n">
        <f aca="false">L1884*M1884</f>
        <v>1</v>
      </c>
    </row>
    <row r="1885" customFormat="false" ht="15" hidden="false" customHeight="false" outlineLevel="0" collapsed="false">
      <c r="A1885" s="0" t="s">
        <v>3063</v>
      </c>
      <c r="B1885" s="0" t="s">
        <v>17</v>
      </c>
      <c r="C1885" s="0" t="s">
        <v>3064</v>
      </c>
      <c r="D1885" s="0" t="s">
        <v>33</v>
      </c>
      <c r="E1885" s="2" t="n">
        <v>45522</v>
      </c>
      <c r="F1885" s="3" t="s">
        <v>34</v>
      </c>
      <c r="G1885" s="3" t="s">
        <v>21</v>
      </c>
      <c r="H1885" s="3" t="s">
        <v>22</v>
      </c>
      <c r="I1885" s="3" t="n">
        <f aca="false">YEAR(E1885)</f>
        <v>2024</v>
      </c>
      <c r="J1885" s="3" t="n">
        <f aca="false">MONTH(E1885)</f>
        <v>8</v>
      </c>
      <c r="K1885" s="3" t="n">
        <f aca="false">COUNTIFS($B$2:$B$4077,B1885,$C$2:$C$4077,C1885,$I$2:$I$4077,I1885)</f>
        <v>2</v>
      </c>
      <c r="L1885" s="3" t="n">
        <f aca="false">IF(COUNTIFS($B$2:B1885,B1885,$C$2:C1885,C1885,$I$2:I1885,I1885)=1,1,0)</f>
        <v>1</v>
      </c>
      <c r="M1885" s="3" t="n">
        <f aca="false">IF(K1885&gt;=Parametri!$B$1,1,0)</f>
        <v>1</v>
      </c>
      <c r="N1885" s="3" t="n">
        <f aca="false">L1885*M1885</f>
        <v>1</v>
      </c>
    </row>
    <row r="1886" customFormat="false" ht="15" hidden="false" customHeight="false" outlineLevel="0" collapsed="false">
      <c r="A1886" s="0" t="s">
        <v>3065</v>
      </c>
      <c r="B1886" s="0" t="s">
        <v>79</v>
      </c>
      <c r="C1886" s="0" t="s">
        <v>116</v>
      </c>
      <c r="D1886" s="0" t="s">
        <v>19</v>
      </c>
      <c r="E1886" s="2" t="n">
        <v>46076</v>
      </c>
      <c r="F1886" s="3" t="s">
        <v>20</v>
      </c>
      <c r="G1886" s="3" t="s">
        <v>43</v>
      </c>
      <c r="H1886" s="3" t="s">
        <v>48</v>
      </c>
      <c r="I1886" s="3" t="n">
        <f aca="false">YEAR(E1886)</f>
        <v>2026</v>
      </c>
      <c r="J1886" s="3" t="n">
        <f aca="false">MONTH(E1886)</f>
        <v>2</v>
      </c>
      <c r="K1886" s="3" t="n">
        <f aca="false">COUNTIFS($B$2:$B$4077,B1886,$C$2:$C$4077,C1886,$I$2:$I$4077,I1886)</f>
        <v>2</v>
      </c>
      <c r="L1886" s="3" t="n">
        <f aca="false">IF(COUNTIFS($B$2:B1886,B1886,$C$2:C1886,C1886,$I$2:I1886,I1886)=1,1,0)</f>
        <v>1</v>
      </c>
      <c r="M1886" s="3" t="n">
        <f aca="false">IF(K1886&gt;=Parametri!$B$1,1,0)</f>
        <v>1</v>
      </c>
      <c r="N1886" s="3" t="n">
        <f aca="false">L1886*M1886</f>
        <v>1</v>
      </c>
    </row>
    <row r="1887" customFormat="false" ht="15" hidden="false" customHeight="false" outlineLevel="0" collapsed="false">
      <c r="A1887" s="0" t="s">
        <v>3066</v>
      </c>
      <c r="B1887" s="0" t="s">
        <v>68</v>
      </c>
      <c r="C1887" s="0" t="s">
        <v>1683</v>
      </c>
      <c r="D1887" s="0" t="s">
        <v>77</v>
      </c>
      <c r="E1887" s="2" t="n">
        <v>45464</v>
      </c>
      <c r="F1887" s="3" t="s">
        <v>20</v>
      </c>
      <c r="G1887" s="3" t="s">
        <v>21</v>
      </c>
      <c r="H1887" s="3" t="s">
        <v>29</v>
      </c>
      <c r="I1887" s="3" t="n">
        <f aca="false">YEAR(E1887)</f>
        <v>2024</v>
      </c>
      <c r="J1887" s="3" t="n">
        <f aca="false">MONTH(E1887)</f>
        <v>6</v>
      </c>
      <c r="K1887" s="3" t="n">
        <f aca="false">COUNTIFS($B$2:$B$4077,B1887,$C$2:$C$4077,C1887,$I$2:$I$4077,I1887)</f>
        <v>1</v>
      </c>
      <c r="L1887" s="3" t="n">
        <f aca="false">IF(COUNTIFS($B$2:B1887,B1887,$C$2:C1887,C1887,$I$2:I1887,I1887)=1,1,0)</f>
        <v>1</v>
      </c>
      <c r="M1887" s="3" t="n">
        <f aca="false">IF(K1887&gt;=Parametri!$B$1,1,0)</f>
        <v>0</v>
      </c>
      <c r="N1887" s="3" t="n">
        <f aca="false">L1887*M1887</f>
        <v>0</v>
      </c>
    </row>
    <row r="1888" customFormat="false" ht="15" hidden="false" customHeight="false" outlineLevel="0" collapsed="false">
      <c r="A1888" s="0" t="s">
        <v>3067</v>
      </c>
      <c r="B1888" s="0" t="s">
        <v>46</v>
      </c>
      <c r="C1888" s="0" t="s">
        <v>3068</v>
      </c>
      <c r="D1888" s="0" t="s">
        <v>63</v>
      </c>
      <c r="E1888" s="2" t="n">
        <v>45400</v>
      </c>
      <c r="F1888" s="3" t="s">
        <v>20</v>
      </c>
      <c r="G1888" s="3" t="s">
        <v>55</v>
      </c>
      <c r="H1888" s="3" t="s">
        <v>22</v>
      </c>
      <c r="I1888" s="3" t="n">
        <f aca="false">YEAR(E1888)</f>
        <v>2024</v>
      </c>
      <c r="J1888" s="3" t="n">
        <f aca="false">MONTH(E1888)</f>
        <v>4</v>
      </c>
      <c r="K1888" s="3" t="n">
        <f aca="false">COUNTIFS($B$2:$B$4077,B1888,$C$2:$C$4077,C1888,$I$2:$I$4077,I1888)</f>
        <v>3</v>
      </c>
      <c r="L1888" s="3" t="n">
        <f aca="false">IF(COUNTIFS($B$2:B1888,B1888,$C$2:C1888,C1888,$I$2:I1888,I1888)=1,1,0)</f>
        <v>1</v>
      </c>
      <c r="M1888" s="3" t="n">
        <f aca="false">IF(K1888&gt;=Parametri!$B$1,1,0)</f>
        <v>1</v>
      </c>
      <c r="N1888" s="3" t="n">
        <f aca="false">L1888*M1888</f>
        <v>1</v>
      </c>
    </row>
    <row r="1889" customFormat="false" ht="15" hidden="false" customHeight="false" outlineLevel="0" collapsed="false">
      <c r="A1889" s="0" t="s">
        <v>3069</v>
      </c>
      <c r="B1889" s="0" t="s">
        <v>79</v>
      </c>
      <c r="C1889" s="0" t="s">
        <v>2714</v>
      </c>
      <c r="D1889" s="0" t="s">
        <v>38</v>
      </c>
      <c r="E1889" s="2" t="n">
        <v>45972</v>
      </c>
      <c r="F1889" s="3" t="s">
        <v>27</v>
      </c>
      <c r="G1889" s="3" t="s">
        <v>21</v>
      </c>
      <c r="H1889" s="3" t="s">
        <v>44</v>
      </c>
      <c r="I1889" s="3" t="n">
        <f aca="false">YEAR(E1889)</f>
        <v>2025</v>
      </c>
      <c r="J1889" s="3" t="n">
        <f aca="false">MONTH(E1889)</f>
        <v>11</v>
      </c>
      <c r="K1889" s="3" t="n">
        <f aca="false">COUNTIFS($B$2:$B$4077,B1889,$C$2:$C$4077,C1889,$I$2:$I$4077,I1889)</f>
        <v>2</v>
      </c>
      <c r="L1889" s="3" t="n">
        <f aca="false">IF(COUNTIFS($B$2:B1889,B1889,$C$2:C1889,C1889,$I$2:I1889,I1889)=1,1,0)</f>
        <v>0</v>
      </c>
      <c r="M1889" s="3" t="n">
        <f aca="false">IF(K1889&gt;=Parametri!$B$1,1,0)</f>
        <v>1</v>
      </c>
      <c r="N1889" s="3" t="n">
        <f aca="false">L1889*M1889</f>
        <v>0</v>
      </c>
    </row>
    <row r="1890" customFormat="false" ht="15" hidden="false" customHeight="false" outlineLevel="0" collapsed="false">
      <c r="A1890" s="0" t="s">
        <v>3070</v>
      </c>
      <c r="B1890" s="0" t="s">
        <v>46</v>
      </c>
      <c r="C1890" s="0" t="s">
        <v>3068</v>
      </c>
      <c r="D1890" s="0" t="s">
        <v>54</v>
      </c>
      <c r="E1890" s="2" t="n">
        <v>45565</v>
      </c>
      <c r="F1890" s="3" t="s">
        <v>27</v>
      </c>
      <c r="G1890" s="3" t="s">
        <v>28</v>
      </c>
      <c r="H1890" s="3" t="s">
        <v>29</v>
      </c>
      <c r="I1890" s="3" t="n">
        <f aca="false">YEAR(E1890)</f>
        <v>2024</v>
      </c>
      <c r="J1890" s="3" t="n">
        <f aca="false">MONTH(E1890)</f>
        <v>9</v>
      </c>
      <c r="K1890" s="3" t="n">
        <f aca="false">COUNTIFS($B$2:$B$4077,B1890,$C$2:$C$4077,C1890,$I$2:$I$4077,I1890)</f>
        <v>3</v>
      </c>
      <c r="L1890" s="3" t="n">
        <f aca="false">IF(COUNTIFS($B$2:B1890,B1890,$C$2:C1890,C1890,$I$2:I1890,I1890)=1,1,0)</f>
        <v>0</v>
      </c>
      <c r="M1890" s="3" t="n">
        <f aca="false">IF(K1890&gt;=Parametri!$B$1,1,0)</f>
        <v>1</v>
      </c>
      <c r="N1890" s="3" t="n">
        <f aca="false">L1890*M1890</f>
        <v>0</v>
      </c>
    </row>
    <row r="1891" customFormat="false" ht="15" hidden="false" customHeight="false" outlineLevel="0" collapsed="false">
      <c r="A1891" s="0" t="s">
        <v>3071</v>
      </c>
      <c r="B1891" s="0" t="s">
        <v>124</v>
      </c>
      <c r="C1891" s="0" t="s">
        <v>3072</v>
      </c>
      <c r="D1891" s="0" t="s">
        <v>38</v>
      </c>
      <c r="E1891" s="2" t="n">
        <v>45655</v>
      </c>
      <c r="F1891" s="3" t="s">
        <v>27</v>
      </c>
      <c r="G1891" s="3" t="s">
        <v>39</v>
      </c>
      <c r="H1891" s="3" t="s">
        <v>44</v>
      </c>
      <c r="I1891" s="3" t="n">
        <f aca="false">YEAR(E1891)</f>
        <v>2024</v>
      </c>
      <c r="J1891" s="3" t="n">
        <f aca="false">MONTH(E1891)</f>
        <v>12</v>
      </c>
      <c r="K1891" s="3" t="n">
        <f aca="false">COUNTIFS($B$2:$B$4077,B1891,$C$2:$C$4077,C1891,$I$2:$I$4077,I1891)</f>
        <v>2</v>
      </c>
      <c r="L1891" s="3" t="n">
        <f aca="false">IF(COUNTIFS($B$2:B1891,B1891,$C$2:C1891,C1891,$I$2:I1891,I1891)=1,1,0)</f>
        <v>1</v>
      </c>
      <c r="M1891" s="3" t="n">
        <f aca="false">IF(K1891&gt;=Parametri!$B$1,1,0)</f>
        <v>1</v>
      </c>
      <c r="N1891" s="3" t="n">
        <f aca="false">L1891*M1891</f>
        <v>1</v>
      </c>
    </row>
    <row r="1892" customFormat="false" ht="15" hidden="false" customHeight="false" outlineLevel="0" collapsed="false">
      <c r="A1892" s="0" t="s">
        <v>3073</v>
      </c>
      <c r="B1892" s="0" t="s">
        <v>50</v>
      </c>
      <c r="C1892" s="0" t="s">
        <v>2362</v>
      </c>
      <c r="D1892" s="0" t="s">
        <v>54</v>
      </c>
      <c r="E1892" s="2" t="n">
        <v>45911</v>
      </c>
      <c r="F1892" s="3" t="s">
        <v>20</v>
      </c>
      <c r="G1892" s="3" t="s">
        <v>39</v>
      </c>
      <c r="H1892" s="3" t="s">
        <v>29</v>
      </c>
      <c r="I1892" s="3" t="n">
        <f aca="false">YEAR(E1892)</f>
        <v>2025</v>
      </c>
      <c r="J1892" s="3" t="n">
        <f aca="false">MONTH(E1892)</f>
        <v>9</v>
      </c>
      <c r="K1892" s="3" t="n">
        <f aca="false">COUNTIFS($B$2:$B$4077,B1892,$C$2:$C$4077,C1892,$I$2:$I$4077,I1892)</f>
        <v>1</v>
      </c>
      <c r="L1892" s="3" t="n">
        <f aca="false">IF(COUNTIFS($B$2:B1892,B1892,$C$2:C1892,C1892,$I$2:I1892,I1892)=1,1,0)</f>
        <v>1</v>
      </c>
      <c r="M1892" s="3" t="n">
        <f aca="false">IF(K1892&gt;=Parametri!$B$1,1,0)</f>
        <v>0</v>
      </c>
      <c r="N1892" s="3" t="n">
        <f aca="false">L1892*M1892</f>
        <v>0</v>
      </c>
    </row>
    <row r="1893" customFormat="false" ht="15" hidden="false" customHeight="false" outlineLevel="0" collapsed="false">
      <c r="A1893" s="0" t="s">
        <v>3074</v>
      </c>
      <c r="B1893" s="0" t="s">
        <v>24</v>
      </c>
      <c r="C1893" s="0" t="s">
        <v>3075</v>
      </c>
      <c r="D1893" s="0" t="s">
        <v>26</v>
      </c>
      <c r="E1893" s="2" t="n">
        <v>46205</v>
      </c>
      <c r="F1893" s="3" t="s">
        <v>34</v>
      </c>
      <c r="G1893" s="3" t="s">
        <v>55</v>
      </c>
      <c r="H1893" s="3" t="s">
        <v>48</v>
      </c>
      <c r="I1893" s="3" t="n">
        <f aca="false">YEAR(E1893)</f>
        <v>2026</v>
      </c>
      <c r="J1893" s="3" t="n">
        <f aca="false">MONTH(E1893)</f>
        <v>7</v>
      </c>
      <c r="K1893" s="3" t="n">
        <f aca="false">COUNTIFS($B$2:$B$4077,B1893,$C$2:$C$4077,C1893,$I$2:$I$4077,I1893)</f>
        <v>1</v>
      </c>
      <c r="L1893" s="3" t="n">
        <f aca="false">IF(COUNTIFS($B$2:B1893,B1893,$C$2:C1893,C1893,$I$2:I1893,I1893)=1,1,0)</f>
        <v>1</v>
      </c>
      <c r="M1893" s="3" t="n">
        <f aca="false">IF(K1893&gt;=Parametri!$B$1,1,0)</f>
        <v>0</v>
      </c>
      <c r="N1893" s="3" t="n">
        <f aca="false">L1893*M1893</f>
        <v>0</v>
      </c>
    </row>
    <row r="1894" customFormat="false" ht="15" hidden="false" customHeight="false" outlineLevel="0" collapsed="false">
      <c r="A1894" s="0" t="s">
        <v>3076</v>
      </c>
      <c r="B1894" s="0" t="s">
        <v>46</v>
      </c>
      <c r="C1894" s="0" t="s">
        <v>3077</v>
      </c>
      <c r="D1894" s="0" t="s">
        <v>33</v>
      </c>
      <c r="E1894" s="2" t="n">
        <v>45650</v>
      </c>
      <c r="F1894" s="3" t="s">
        <v>20</v>
      </c>
      <c r="G1894" s="3" t="s">
        <v>28</v>
      </c>
      <c r="H1894" s="3" t="s">
        <v>22</v>
      </c>
      <c r="I1894" s="3" t="n">
        <f aca="false">YEAR(E1894)</f>
        <v>2024</v>
      </c>
      <c r="J1894" s="3" t="n">
        <f aca="false">MONTH(E1894)</f>
        <v>12</v>
      </c>
      <c r="K1894" s="3" t="n">
        <f aca="false">COUNTIFS($B$2:$B$4077,B1894,$C$2:$C$4077,C1894,$I$2:$I$4077,I1894)</f>
        <v>1</v>
      </c>
      <c r="L1894" s="3" t="n">
        <f aca="false">IF(COUNTIFS($B$2:B1894,B1894,$C$2:C1894,C1894,$I$2:I1894,I1894)=1,1,0)</f>
        <v>1</v>
      </c>
      <c r="M1894" s="3" t="n">
        <f aca="false">IF(K1894&gt;=Parametri!$B$1,1,0)</f>
        <v>0</v>
      </c>
      <c r="N1894" s="3" t="n">
        <f aca="false">L1894*M1894</f>
        <v>0</v>
      </c>
    </row>
    <row r="1895" customFormat="false" ht="15" hidden="false" customHeight="false" outlineLevel="0" collapsed="false">
      <c r="A1895" s="0" t="s">
        <v>3078</v>
      </c>
      <c r="B1895" s="0" t="s">
        <v>24</v>
      </c>
      <c r="C1895" s="0" t="s">
        <v>1302</v>
      </c>
      <c r="D1895" s="0" t="s">
        <v>38</v>
      </c>
      <c r="E1895" s="2" t="n">
        <v>45535</v>
      </c>
      <c r="F1895" s="3" t="s">
        <v>34</v>
      </c>
      <c r="G1895" s="3" t="s">
        <v>28</v>
      </c>
      <c r="H1895" s="3" t="s">
        <v>44</v>
      </c>
      <c r="I1895" s="3" t="n">
        <f aca="false">YEAR(E1895)</f>
        <v>2024</v>
      </c>
      <c r="J1895" s="3" t="n">
        <f aca="false">MONTH(E1895)</f>
        <v>8</v>
      </c>
      <c r="K1895" s="3" t="n">
        <f aca="false">COUNTIFS($B$2:$B$4077,B1895,$C$2:$C$4077,C1895,$I$2:$I$4077,I1895)</f>
        <v>2</v>
      </c>
      <c r="L1895" s="3" t="n">
        <f aca="false">IF(COUNTIFS($B$2:B1895,B1895,$C$2:C1895,C1895,$I$2:I1895,I1895)=1,1,0)</f>
        <v>0</v>
      </c>
      <c r="M1895" s="3" t="n">
        <f aca="false">IF(K1895&gt;=Parametri!$B$1,1,0)</f>
        <v>1</v>
      </c>
      <c r="N1895" s="3" t="n">
        <f aca="false">L1895*M1895</f>
        <v>0</v>
      </c>
    </row>
    <row r="1896" customFormat="false" ht="15" hidden="false" customHeight="false" outlineLevel="0" collapsed="false">
      <c r="A1896" s="0" t="s">
        <v>3079</v>
      </c>
      <c r="B1896" s="0" t="s">
        <v>41</v>
      </c>
      <c r="C1896" s="0" t="s">
        <v>3080</v>
      </c>
      <c r="D1896" s="0" t="s">
        <v>63</v>
      </c>
      <c r="E1896" s="2" t="n">
        <v>45911</v>
      </c>
      <c r="F1896" s="3" t="s">
        <v>20</v>
      </c>
      <c r="G1896" s="3" t="s">
        <v>35</v>
      </c>
      <c r="H1896" s="3" t="s">
        <v>29</v>
      </c>
      <c r="I1896" s="3" t="n">
        <f aca="false">YEAR(E1896)</f>
        <v>2025</v>
      </c>
      <c r="J1896" s="3" t="n">
        <f aca="false">MONTH(E1896)</f>
        <v>9</v>
      </c>
      <c r="K1896" s="3" t="n">
        <f aca="false">COUNTIFS($B$2:$B$4077,B1896,$C$2:$C$4077,C1896,$I$2:$I$4077,I1896)</f>
        <v>1</v>
      </c>
      <c r="L1896" s="3" t="n">
        <f aca="false">IF(COUNTIFS($B$2:B1896,B1896,$C$2:C1896,C1896,$I$2:I1896,I1896)=1,1,0)</f>
        <v>1</v>
      </c>
      <c r="M1896" s="3" t="n">
        <f aca="false">IF(K1896&gt;=Parametri!$B$1,1,0)</f>
        <v>0</v>
      </c>
      <c r="N1896" s="3" t="n">
        <f aca="false">L1896*M1896</f>
        <v>0</v>
      </c>
    </row>
    <row r="1897" customFormat="false" ht="15" hidden="false" customHeight="false" outlineLevel="0" collapsed="false">
      <c r="A1897" s="0" t="s">
        <v>3081</v>
      </c>
      <c r="B1897" s="0" t="s">
        <v>57</v>
      </c>
      <c r="C1897" s="0" t="s">
        <v>2043</v>
      </c>
      <c r="D1897" s="0" t="s">
        <v>19</v>
      </c>
      <c r="E1897" s="2" t="n">
        <v>45895</v>
      </c>
      <c r="F1897" s="3" t="s">
        <v>20</v>
      </c>
      <c r="G1897" s="3" t="s">
        <v>35</v>
      </c>
      <c r="H1897" s="3" t="s">
        <v>29</v>
      </c>
      <c r="I1897" s="3" t="n">
        <f aca="false">YEAR(E1897)</f>
        <v>2025</v>
      </c>
      <c r="J1897" s="3" t="n">
        <f aca="false">MONTH(E1897)</f>
        <v>8</v>
      </c>
      <c r="K1897" s="3" t="n">
        <f aca="false">COUNTIFS($B$2:$B$4077,B1897,$C$2:$C$4077,C1897,$I$2:$I$4077,I1897)</f>
        <v>4</v>
      </c>
      <c r="L1897" s="3" t="n">
        <f aca="false">IF(COUNTIFS($B$2:B1897,B1897,$C$2:C1897,C1897,$I$2:I1897,I1897)=1,1,0)</f>
        <v>0</v>
      </c>
      <c r="M1897" s="3" t="n">
        <f aca="false">IF(K1897&gt;=Parametri!$B$1,1,0)</f>
        <v>1</v>
      </c>
      <c r="N1897" s="3" t="n">
        <f aca="false">L1897*M1897</f>
        <v>0</v>
      </c>
    </row>
    <row r="1898" customFormat="false" ht="15" hidden="false" customHeight="false" outlineLevel="0" collapsed="false">
      <c r="A1898" s="0" t="s">
        <v>3082</v>
      </c>
      <c r="B1898" s="0" t="s">
        <v>31</v>
      </c>
      <c r="C1898" s="0" t="s">
        <v>3083</v>
      </c>
      <c r="D1898" s="0" t="s">
        <v>33</v>
      </c>
      <c r="E1898" s="2" t="n">
        <v>45991</v>
      </c>
      <c r="F1898" s="3" t="s">
        <v>34</v>
      </c>
      <c r="G1898" s="3" t="s">
        <v>89</v>
      </c>
      <c r="H1898" s="3" t="s">
        <v>48</v>
      </c>
      <c r="I1898" s="3" t="n">
        <f aca="false">YEAR(E1898)</f>
        <v>2025</v>
      </c>
      <c r="J1898" s="3" t="n">
        <f aca="false">MONTH(E1898)</f>
        <v>11</v>
      </c>
      <c r="K1898" s="3" t="n">
        <f aca="false">COUNTIFS($B$2:$B$4077,B1898,$C$2:$C$4077,C1898,$I$2:$I$4077,I1898)</f>
        <v>2</v>
      </c>
      <c r="L1898" s="3" t="n">
        <f aca="false">IF(COUNTIFS($B$2:B1898,B1898,$C$2:C1898,C1898,$I$2:I1898,I1898)=1,1,0)</f>
        <v>1</v>
      </c>
      <c r="M1898" s="3" t="n">
        <f aca="false">IF(K1898&gt;=Parametri!$B$1,1,0)</f>
        <v>1</v>
      </c>
      <c r="N1898" s="3" t="n">
        <f aca="false">L1898*M1898</f>
        <v>1</v>
      </c>
    </row>
    <row r="1899" customFormat="false" ht="15" hidden="false" customHeight="false" outlineLevel="0" collapsed="false">
      <c r="A1899" s="0" t="s">
        <v>3084</v>
      </c>
      <c r="B1899" s="0" t="s">
        <v>31</v>
      </c>
      <c r="C1899" s="0" t="s">
        <v>3085</v>
      </c>
      <c r="D1899" s="0" t="s">
        <v>77</v>
      </c>
      <c r="E1899" s="2" t="n">
        <v>45578</v>
      </c>
      <c r="F1899" s="3" t="s">
        <v>20</v>
      </c>
      <c r="G1899" s="3" t="s">
        <v>21</v>
      </c>
      <c r="H1899" s="3" t="s">
        <v>22</v>
      </c>
      <c r="I1899" s="3" t="n">
        <f aca="false">YEAR(E1899)</f>
        <v>2024</v>
      </c>
      <c r="J1899" s="3" t="n">
        <f aca="false">MONTH(E1899)</f>
        <v>10</v>
      </c>
      <c r="K1899" s="3" t="n">
        <f aca="false">COUNTIFS($B$2:$B$4077,B1899,$C$2:$C$4077,C1899,$I$2:$I$4077,I1899)</f>
        <v>1</v>
      </c>
      <c r="L1899" s="3" t="n">
        <f aca="false">IF(COUNTIFS($B$2:B1899,B1899,$C$2:C1899,C1899,$I$2:I1899,I1899)=1,1,0)</f>
        <v>1</v>
      </c>
      <c r="M1899" s="3" t="n">
        <f aca="false">IF(K1899&gt;=Parametri!$B$1,1,0)</f>
        <v>0</v>
      </c>
      <c r="N1899" s="3" t="n">
        <f aca="false">L1899*M1899</f>
        <v>0</v>
      </c>
    </row>
    <row r="1900" customFormat="false" ht="15" hidden="false" customHeight="false" outlineLevel="0" collapsed="false">
      <c r="A1900" s="0" t="s">
        <v>3086</v>
      </c>
      <c r="B1900" s="0" t="s">
        <v>68</v>
      </c>
      <c r="C1900" s="0" t="s">
        <v>3087</v>
      </c>
      <c r="D1900" s="0" t="s">
        <v>54</v>
      </c>
      <c r="E1900" s="2" t="n">
        <v>45714</v>
      </c>
      <c r="F1900" s="3" t="s">
        <v>34</v>
      </c>
      <c r="G1900" s="3" t="s">
        <v>28</v>
      </c>
      <c r="H1900" s="3" t="s">
        <v>29</v>
      </c>
      <c r="I1900" s="3" t="n">
        <f aca="false">YEAR(E1900)</f>
        <v>2025</v>
      </c>
      <c r="J1900" s="3" t="n">
        <f aca="false">MONTH(E1900)</f>
        <v>2</v>
      </c>
      <c r="K1900" s="3" t="n">
        <f aca="false">COUNTIFS($B$2:$B$4077,B1900,$C$2:$C$4077,C1900,$I$2:$I$4077,I1900)</f>
        <v>1</v>
      </c>
      <c r="L1900" s="3" t="n">
        <f aca="false">IF(COUNTIFS($B$2:B1900,B1900,$C$2:C1900,C1900,$I$2:I1900,I1900)=1,1,0)</f>
        <v>1</v>
      </c>
      <c r="M1900" s="3" t="n">
        <f aca="false">IF(K1900&gt;=Parametri!$B$1,1,0)</f>
        <v>0</v>
      </c>
      <c r="N1900" s="3" t="n">
        <f aca="false">L1900*M1900</f>
        <v>0</v>
      </c>
    </row>
    <row r="1901" customFormat="false" ht="15" hidden="false" customHeight="false" outlineLevel="0" collapsed="false">
      <c r="A1901" s="0" t="s">
        <v>3088</v>
      </c>
      <c r="B1901" s="0" t="s">
        <v>124</v>
      </c>
      <c r="C1901" s="0" t="s">
        <v>301</v>
      </c>
      <c r="D1901" s="0" t="s">
        <v>77</v>
      </c>
      <c r="E1901" s="2" t="n">
        <v>45462</v>
      </c>
      <c r="F1901" s="3" t="s">
        <v>20</v>
      </c>
      <c r="G1901" s="3" t="s">
        <v>43</v>
      </c>
      <c r="H1901" s="3" t="s">
        <v>22</v>
      </c>
      <c r="I1901" s="3" t="n">
        <f aca="false">YEAR(E1901)</f>
        <v>2024</v>
      </c>
      <c r="J1901" s="3" t="n">
        <f aca="false">MONTH(E1901)</f>
        <v>6</v>
      </c>
      <c r="K1901" s="3" t="n">
        <f aca="false">COUNTIFS($B$2:$B$4077,B1901,$C$2:$C$4077,C1901,$I$2:$I$4077,I1901)</f>
        <v>2</v>
      </c>
      <c r="L1901" s="3" t="n">
        <f aca="false">IF(COUNTIFS($B$2:B1901,B1901,$C$2:C1901,C1901,$I$2:I1901,I1901)=1,1,0)</f>
        <v>0</v>
      </c>
      <c r="M1901" s="3" t="n">
        <f aca="false">IF(K1901&gt;=Parametri!$B$1,1,0)</f>
        <v>1</v>
      </c>
      <c r="N1901" s="3" t="n">
        <f aca="false">L1901*M1901</f>
        <v>0</v>
      </c>
    </row>
    <row r="1902" customFormat="false" ht="15" hidden="false" customHeight="false" outlineLevel="0" collapsed="false">
      <c r="A1902" s="0" t="s">
        <v>3089</v>
      </c>
      <c r="B1902" s="0" t="s">
        <v>17</v>
      </c>
      <c r="C1902" s="0" t="s">
        <v>1880</v>
      </c>
      <c r="D1902" s="0" t="s">
        <v>33</v>
      </c>
      <c r="E1902" s="2" t="n">
        <v>45795</v>
      </c>
      <c r="F1902" s="3" t="s">
        <v>20</v>
      </c>
      <c r="G1902" s="3" t="s">
        <v>28</v>
      </c>
      <c r="H1902" s="3" t="s">
        <v>22</v>
      </c>
      <c r="I1902" s="3" t="n">
        <f aca="false">YEAR(E1902)</f>
        <v>2025</v>
      </c>
      <c r="J1902" s="3" t="n">
        <f aca="false">MONTH(E1902)</f>
        <v>5</v>
      </c>
      <c r="K1902" s="3" t="n">
        <f aca="false">COUNTIFS($B$2:$B$4077,B1902,$C$2:$C$4077,C1902,$I$2:$I$4077,I1902)</f>
        <v>2</v>
      </c>
      <c r="L1902" s="3" t="n">
        <f aca="false">IF(COUNTIFS($B$2:B1902,B1902,$C$2:C1902,C1902,$I$2:I1902,I1902)=1,1,0)</f>
        <v>0</v>
      </c>
      <c r="M1902" s="3" t="n">
        <f aca="false">IF(K1902&gt;=Parametri!$B$1,1,0)</f>
        <v>1</v>
      </c>
      <c r="N1902" s="3" t="n">
        <f aca="false">L1902*M1902</f>
        <v>0</v>
      </c>
    </row>
    <row r="1903" customFormat="false" ht="15" hidden="false" customHeight="false" outlineLevel="0" collapsed="false">
      <c r="A1903" s="0" t="s">
        <v>3090</v>
      </c>
      <c r="B1903" s="0" t="s">
        <v>50</v>
      </c>
      <c r="C1903" s="0" t="s">
        <v>202</v>
      </c>
      <c r="D1903" s="0" t="s">
        <v>26</v>
      </c>
      <c r="E1903" s="2" t="n">
        <v>45409</v>
      </c>
      <c r="F1903" s="3" t="s">
        <v>20</v>
      </c>
      <c r="G1903" s="3" t="s">
        <v>28</v>
      </c>
      <c r="H1903" s="3" t="s">
        <v>29</v>
      </c>
      <c r="I1903" s="3" t="n">
        <f aca="false">YEAR(E1903)</f>
        <v>2024</v>
      </c>
      <c r="J1903" s="3" t="n">
        <f aca="false">MONTH(E1903)</f>
        <v>4</v>
      </c>
      <c r="K1903" s="3" t="n">
        <f aca="false">COUNTIFS($B$2:$B$4077,B1903,$C$2:$C$4077,C1903,$I$2:$I$4077,I1903)</f>
        <v>2</v>
      </c>
      <c r="L1903" s="3" t="n">
        <f aca="false">IF(COUNTIFS($B$2:B1903,B1903,$C$2:C1903,C1903,$I$2:I1903,I1903)=1,1,0)</f>
        <v>0</v>
      </c>
      <c r="M1903" s="3" t="n">
        <f aca="false">IF(K1903&gt;=Parametri!$B$1,1,0)</f>
        <v>1</v>
      </c>
      <c r="N1903" s="3" t="n">
        <f aca="false">L1903*M1903</f>
        <v>0</v>
      </c>
    </row>
    <row r="1904" customFormat="false" ht="15" hidden="false" customHeight="false" outlineLevel="0" collapsed="false">
      <c r="A1904" s="0" t="s">
        <v>3091</v>
      </c>
      <c r="B1904" s="0" t="s">
        <v>50</v>
      </c>
      <c r="C1904" s="0" t="s">
        <v>954</v>
      </c>
      <c r="D1904" s="0" t="s">
        <v>77</v>
      </c>
      <c r="E1904" s="2" t="n">
        <v>45418</v>
      </c>
      <c r="F1904" s="3" t="s">
        <v>20</v>
      </c>
      <c r="G1904" s="3" t="s">
        <v>72</v>
      </c>
      <c r="H1904" s="3" t="s">
        <v>44</v>
      </c>
      <c r="I1904" s="3" t="n">
        <f aca="false">YEAR(E1904)</f>
        <v>2024</v>
      </c>
      <c r="J1904" s="3" t="n">
        <f aca="false">MONTH(E1904)</f>
        <v>5</v>
      </c>
      <c r="K1904" s="3" t="n">
        <f aca="false">COUNTIFS($B$2:$B$4077,B1904,$C$2:$C$4077,C1904,$I$2:$I$4077,I1904)</f>
        <v>3</v>
      </c>
      <c r="L1904" s="3" t="n">
        <f aca="false">IF(COUNTIFS($B$2:B1904,B1904,$C$2:C1904,C1904,$I$2:I1904,I1904)=1,1,0)</f>
        <v>0</v>
      </c>
      <c r="M1904" s="3" t="n">
        <f aca="false">IF(K1904&gt;=Parametri!$B$1,1,0)</f>
        <v>1</v>
      </c>
      <c r="N1904" s="3" t="n">
        <f aca="false">L1904*M1904</f>
        <v>0</v>
      </c>
    </row>
    <row r="1905" customFormat="false" ht="15" hidden="false" customHeight="false" outlineLevel="0" collapsed="false">
      <c r="A1905" s="0" t="s">
        <v>3092</v>
      </c>
      <c r="B1905" s="0" t="s">
        <v>79</v>
      </c>
      <c r="C1905" s="0" t="s">
        <v>3093</v>
      </c>
      <c r="D1905" s="0" t="s">
        <v>66</v>
      </c>
      <c r="E1905" s="2" t="n">
        <v>45400</v>
      </c>
      <c r="F1905" s="3" t="s">
        <v>27</v>
      </c>
      <c r="G1905" s="3" t="s">
        <v>72</v>
      </c>
      <c r="H1905" s="3" t="s">
        <v>29</v>
      </c>
      <c r="I1905" s="3" t="n">
        <f aca="false">YEAR(E1905)</f>
        <v>2024</v>
      </c>
      <c r="J1905" s="3" t="n">
        <f aca="false">MONTH(E1905)</f>
        <v>4</v>
      </c>
      <c r="K1905" s="3" t="n">
        <f aca="false">COUNTIFS($B$2:$B$4077,B1905,$C$2:$C$4077,C1905,$I$2:$I$4077,I1905)</f>
        <v>2</v>
      </c>
      <c r="L1905" s="3" t="n">
        <f aca="false">IF(COUNTIFS($B$2:B1905,B1905,$C$2:C1905,C1905,$I$2:I1905,I1905)=1,1,0)</f>
        <v>1</v>
      </c>
      <c r="M1905" s="3" t="n">
        <f aca="false">IF(K1905&gt;=Parametri!$B$1,1,0)</f>
        <v>1</v>
      </c>
      <c r="N1905" s="3" t="n">
        <f aca="false">L1905*M1905</f>
        <v>1</v>
      </c>
    </row>
    <row r="1906" customFormat="false" ht="15" hidden="false" customHeight="false" outlineLevel="0" collapsed="false">
      <c r="A1906" s="0" t="s">
        <v>3094</v>
      </c>
      <c r="B1906" s="0" t="s">
        <v>50</v>
      </c>
      <c r="C1906" s="0" t="s">
        <v>3095</v>
      </c>
      <c r="D1906" s="0" t="s">
        <v>66</v>
      </c>
      <c r="E1906" s="2" t="n">
        <v>45513</v>
      </c>
      <c r="F1906" s="3" t="s">
        <v>34</v>
      </c>
      <c r="G1906" s="3" t="s">
        <v>28</v>
      </c>
      <c r="H1906" s="3" t="s">
        <v>44</v>
      </c>
      <c r="I1906" s="3" t="n">
        <f aca="false">YEAR(E1906)</f>
        <v>2024</v>
      </c>
      <c r="J1906" s="3" t="n">
        <f aca="false">MONTH(E1906)</f>
        <v>8</v>
      </c>
      <c r="K1906" s="3" t="n">
        <f aca="false">COUNTIFS($B$2:$B$4077,B1906,$C$2:$C$4077,C1906,$I$2:$I$4077,I1906)</f>
        <v>1</v>
      </c>
      <c r="L1906" s="3" t="n">
        <f aca="false">IF(COUNTIFS($B$2:B1906,B1906,$C$2:C1906,C1906,$I$2:I1906,I1906)=1,1,0)</f>
        <v>1</v>
      </c>
      <c r="M1906" s="3" t="n">
        <f aca="false">IF(K1906&gt;=Parametri!$B$1,1,0)</f>
        <v>0</v>
      </c>
      <c r="N1906" s="3" t="n">
        <f aca="false">L1906*M1906</f>
        <v>0</v>
      </c>
    </row>
    <row r="1907" customFormat="false" ht="15" hidden="false" customHeight="false" outlineLevel="0" collapsed="false">
      <c r="A1907" s="0" t="s">
        <v>3096</v>
      </c>
      <c r="B1907" s="0" t="s">
        <v>46</v>
      </c>
      <c r="C1907" s="0" t="s">
        <v>1883</v>
      </c>
      <c r="D1907" s="0" t="s">
        <v>38</v>
      </c>
      <c r="E1907" s="2" t="n">
        <v>45664</v>
      </c>
      <c r="F1907" s="3" t="s">
        <v>27</v>
      </c>
      <c r="G1907" s="3" t="s">
        <v>28</v>
      </c>
      <c r="H1907" s="3" t="s">
        <v>48</v>
      </c>
      <c r="I1907" s="3" t="n">
        <f aca="false">YEAR(E1907)</f>
        <v>2025</v>
      </c>
      <c r="J1907" s="3" t="n">
        <f aca="false">MONTH(E1907)</f>
        <v>1</v>
      </c>
      <c r="K1907" s="3" t="n">
        <f aca="false">COUNTIFS($B$2:$B$4077,B1907,$C$2:$C$4077,C1907,$I$2:$I$4077,I1907)</f>
        <v>6</v>
      </c>
      <c r="L1907" s="3" t="n">
        <f aca="false">IF(COUNTIFS($B$2:B1907,B1907,$C$2:C1907,C1907,$I$2:I1907,I1907)=1,1,0)</f>
        <v>0</v>
      </c>
      <c r="M1907" s="3" t="n">
        <f aca="false">IF(K1907&gt;=Parametri!$B$1,1,0)</f>
        <v>1</v>
      </c>
      <c r="N1907" s="3" t="n">
        <f aca="false">L1907*M1907</f>
        <v>0</v>
      </c>
    </row>
    <row r="1908" customFormat="false" ht="15" hidden="false" customHeight="false" outlineLevel="0" collapsed="false">
      <c r="A1908" s="0" t="s">
        <v>3097</v>
      </c>
      <c r="B1908" s="0" t="s">
        <v>124</v>
      </c>
      <c r="C1908" s="0" t="s">
        <v>1279</v>
      </c>
      <c r="D1908" s="0" t="s">
        <v>77</v>
      </c>
      <c r="E1908" s="2" t="n">
        <v>45670</v>
      </c>
      <c r="F1908" s="3" t="s">
        <v>20</v>
      </c>
      <c r="G1908" s="3" t="s">
        <v>89</v>
      </c>
      <c r="H1908" s="3" t="s">
        <v>22</v>
      </c>
      <c r="I1908" s="3" t="n">
        <f aca="false">YEAR(E1908)</f>
        <v>2025</v>
      </c>
      <c r="J1908" s="3" t="n">
        <f aca="false">MONTH(E1908)</f>
        <v>1</v>
      </c>
      <c r="K1908" s="3" t="n">
        <f aca="false">COUNTIFS($B$2:$B$4077,B1908,$C$2:$C$4077,C1908,$I$2:$I$4077,I1908)</f>
        <v>8</v>
      </c>
      <c r="L1908" s="3" t="n">
        <f aca="false">IF(COUNTIFS($B$2:B1908,B1908,$C$2:C1908,C1908,$I$2:I1908,I1908)=1,1,0)</f>
        <v>0</v>
      </c>
      <c r="M1908" s="3" t="n">
        <f aca="false">IF(K1908&gt;=Parametri!$B$1,1,0)</f>
        <v>1</v>
      </c>
      <c r="N1908" s="3" t="n">
        <f aca="false">L1908*M1908</f>
        <v>0</v>
      </c>
    </row>
    <row r="1909" customFormat="false" ht="15" hidden="false" customHeight="false" outlineLevel="0" collapsed="false">
      <c r="A1909" s="0" t="s">
        <v>3098</v>
      </c>
      <c r="B1909" s="0" t="s">
        <v>50</v>
      </c>
      <c r="C1909" s="0" t="s">
        <v>88</v>
      </c>
      <c r="D1909" s="0" t="s">
        <v>38</v>
      </c>
      <c r="E1909" s="2" t="n">
        <v>45952</v>
      </c>
      <c r="F1909" s="3" t="s">
        <v>34</v>
      </c>
      <c r="G1909" s="3" t="s">
        <v>28</v>
      </c>
      <c r="H1909" s="3" t="s">
        <v>44</v>
      </c>
      <c r="I1909" s="3" t="n">
        <f aca="false">YEAR(E1909)</f>
        <v>2025</v>
      </c>
      <c r="J1909" s="3" t="n">
        <f aca="false">MONTH(E1909)</f>
        <v>10</v>
      </c>
      <c r="K1909" s="3" t="n">
        <f aca="false">COUNTIFS($B$2:$B$4077,B1909,$C$2:$C$4077,C1909,$I$2:$I$4077,I1909)</f>
        <v>2</v>
      </c>
      <c r="L1909" s="3" t="n">
        <f aca="false">IF(COUNTIFS($B$2:B1909,B1909,$C$2:C1909,C1909,$I$2:I1909,I1909)=1,1,0)</f>
        <v>1</v>
      </c>
      <c r="M1909" s="3" t="n">
        <f aca="false">IF(K1909&gt;=Parametri!$B$1,1,0)</f>
        <v>1</v>
      </c>
      <c r="N1909" s="3" t="n">
        <f aca="false">L1909*M1909</f>
        <v>1</v>
      </c>
    </row>
    <row r="1910" customFormat="false" ht="15" hidden="false" customHeight="false" outlineLevel="0" collapsed="false">
      <c r="A1910" s="0" t="s">
        <v>3099</v>
      </c>
      <c r="B1910" s="0" t="s">
        <v>24</v>
      </c>
      <c r="C1910" s="0" t="s">
        <v>594</v>
      </c>
      <c r="D1910" s="0" t="s">
        <v>77</v>
      </c>
      <c r="E1910" s="2" t="n">
        <v>45758</v>
      </c>
      <c r="F1910" s="3" t="s">
        <v>20</v>
      </c>
      <c r="G1910" s="3" t="s">
        <v>35</v>
      </c>
      <c r="H1910" s="3" t="s">
        <v>22</v>
      </c>
      <c r="I1910" s="3" t="n">
        <f aca="false">YEAR(E1910)</f>
        <v>2025</v>
      </c>
      <c r="J1910" s="3" t="n">
        <f aca="false">MONTH(E1910)</f>
        <v>4</v>
      </c>
      <c r="K1910" s="3" t="n">
        <f aca="false">COUNTIFS($B$2:$B$4077,B1910,$C$2:$C$4077,C1910,$I$2:$I$4077,I1910)</f>
        <v>1</v>
      </c>
      <c r="L1910" s="3" t="n">
        <f aca="false">IF(COUNTIFS($B$2:B1910,B1910,$C$2:C1910,C1910,$I$2:I1910,I1910)=1,1,0)</f>
        <v>1</v>
      </c>
      <c r="M1910" s="3" t="n">
        <f aca="false">IF(K1910&gt;=Parametri!$B$1,1,0)</f>
        <v>0</v>
      </c>
      <c r="N1910" s="3" t="n">
        <f aca="false">L1910*M1910</f>
        <v>0</v>
      </c>
    </row>
    <row r="1911" customFormat="false" ht="15" hidden="false" customHeight="false" outlineLevel="0" collapsed="false">
      <c r="A1911" s="0" t="s">
        <v>3100</v>
      </c>
      <c r="B1911" s="0" t="s">
        <v>124</v>
      </c>
      <c r="C1911" s="0" t="s">
        <v>368</v>
      </c>
      <c r="D1911" s="0" t="s">
        <v>33</v>
      </c>
      <c r="E1911" s="2" t="n">
        <v>45895</v>
      </c>
      <c r="F1911" s="3" t="s">
        <v>20</v>
      </c>
      <c r="G1911" s="3" t="s">
        <v>55</v>
      </c>
      <c r="H1911" s="3" t="s">
        <v>29</v>
      </c>
      <c r="I1911" s="3" t="n">
        <f aca="false">YEAR(E1911)</f>
        <v>2025</v>
      </c>
      <c r="J1911" s="3" t="n">
        <f aca="false">MONTH(E1911)</f>
        <v>8</v>
      </c>
      <c r="K1911" s="3" t="n">
        <f aca="false">COUNTIFS($B$2:$B$4077,B1911,$C$2:$C$4077,C1911,$I$2:$I$4077,I1911)</f>
        <v>1</v>
      </c>
      <c r="L1911" s="3" t="n">
        <f aca="false">IF(COUNTIFS($B$2:B1911,B1911,$C$2:C1911,C1911,$I$2:I1911,I1911)=1,1,0)</f>
        <v>1</v>
      </c>
      <c r="M1911" s="3" t="n">
        <f aca="false">IF(K1911&gt;=Parametri!$B$1,1,0)</f>
        <v>0</v>
      </c>
      <c r="N1911" s="3" t="n">
        <f aca="false">L1911*M1911</f>
        <v>0</v>
      </c>
    </row>
    <row r="1912" customFormat="false" ht="15" hidden="false" customHeight="false" outlineLevel="0" collapsed="false">
      <c r="A1912" s="0" t="s">
        <v>3101</v>
      </c>
      <c r="B1912" s="0" t="s">
        <v>46</v>
      </c>
      <c r="C1912" s="0" t="s">
        <v>3102</v>
      </c>
      <c r="D1912" s="0" t="s">
        <v>63</v>
      </c>
      <c r="E1912" s="2" t="n">
        <v>46221</v>
      </c>
      <c r="F1912" s="3" t="s">
        <v>20</v>
      </c>
      <c r="G1912" s="3" t="s">
        <v>35</v>
      </c>
      <c r="H1912" s="3" t="s">
        <v>48</v>
      </c>
      <c r="I1912" s="3" t="n">
        <f aca="false">YEAR(E1912)</f>
        <v>2026</v>
      </c>
      <c r="J1912" s="3" t="n">
        <f aca="false">MONTH(E1912)</f>
        <v>7</v>
      </c>
      <c r="K1912" s="3" t="n">
        <f aca="false">COUNTIFS($B$2:$B$4077,B1912,$C$2:$C$4077,C1912,$I$2:$I$4077,I1912)</f>
        <v>1</v>
      </c>
      <c r="L1912" s="3" t="n">
        <f aca="false">IF(COUNTIFS($B$2:B1912,B1912,$C$2:C1912,C1912,$I$2:I1912,I1912)=1,1,0)</f>
        <v>1</v>
      </c>
      <c r="M1912" s="3" t="n">
        <f aca="false">IF(K1912&gt;=Parametri!$B$1,1,0)</f>
        <v>0</v>
      </c>
      <c r="N1912" s="3" t="n">
        <f aca="false">L1912*M1912</f>
        <v>0</v>
      </c>
    </row>
    <row r="1913" customFormat="false" ht="15" hidden="false" customHeight="false" outlineLevel="0" collapsed="false">
      <c r="A1913" s="0" t="s">
        <v>3103</v>
      </c>
      <c r="B1913" s="0" t="s">
        <v>41</v>
      </c>
      <c r="C1913" s="0" t="s">
        <v>3104</v>
      </c>
      <c r="D1913" s="0" t="s">
        <v>26</v>
      </c>
      <c r="E1913" s="2" t="n">
        <v>45382</v>
      </c>
      <c r="F1913" s="3" t="s">
        <v>20</v>
      </c>
      <c r="G1913" s="3" t="s">
        <v>39</v>
      </c>
      <c r="H1913" s="3" t="s">
        <v>29</v>
      </c>
      <c r="I1913" s="3" t="n">
        <f aca="false">YEAR(E1913)</f>
        <v>2024</v>
      </c>
      <c r="J1913" s="3" t="n">
        <f aca="false">MONTH(E1913)</f>
        <v>3</v>
      </c>
      <c r="K1913" s="3" t="n">
        <f aca="false">COUNTIFS($B$2:$B$4077,B1913,$C$2:$C$4077,C1913,$I$2:$I$4077,I1913)</f>
        <v>1</v>
      </c>
      <c r="L1913" s="3" t="n">
        <f aca="false">IF(COUNTIFS($B$2:B1913,B1913,$C$2:C1913,C1913,$I$2:I1913,I1913)=1,1,0)</f>
        <v>1</v>
      </c>
      <c r="M1913" s="3" t="n">
        <f aca="false">IF(K1913&gt;=Parametri!$B$1,1,0)</f>
        <v>0</v>
      </c>
      <c r="N1913" s="3" t="n">
        <f aca="false">L1913*M1913</f>
        <v>0</v>
      </c>
    </row>
    <row r="1914" customFormat="false" ht="15" hidden="false" customHeight="false" outlineLevel="0" collapsed="false">
      <c r="A1914" s="0" t="s">
        <v>3105</v>
      </c>
      <c r="B1914" s="0" t="s">
        <v>124</v>
      </c>
      <c r="C1914" s="0" t="s">
        <v>303</v>
      </c>
      <c r="D1914" s="0" t="s">
        <v>77</v>
      </c>
      <c r="E1914" s="2" t="n">
        <v>45509</v>
      </c>
      <c r="F1914" s="3" t="s">
        <v>34</v>
      </c>
      <c r="G1914" s="3" t="s">
        <v>35</v>
      </c>
      <c r="H1914" s="3" t="s">
        <v>48</v>
      </c>
      <c r="I1914" s="3" t="n">
        <f aca="false">YEAR(E1914)</f>
        <v>2024</v>
      </c>
      <c r="J1914" s="3" t="n">
        <f aca="false">MONTH(E1914)</f>
        <v>8</v>
      </c>
      <c r="K1914" s="3" t="n">
        <f aca="false">COUNTIFS($B$2:$B$4077,B1914,$C$2:$C$4077,C1914,$I$2:$I$4077,I1914)</f>
        <v>2</v>
      </c>
      <c r="L1914" s="3" t="n">
        <f aca="false">IF(COUNTIFS($B$2:B1914,B1914,$C$2:C1914,C1914,$I$2:I1914,I1914)=1,1,0)</f>
        <v>0</v>
      </c>
      <c r="M1914" s="3" t="n">
        <f aca="false">IF(K1914&gt;=Parametri!$B$1,1,0)</f>
        <v>1</v>
      </c>
      <c r="N1914" s="3" t="n">
        <f aca="false">L1914*M1914</f>
        <v>0</v>
      </c>
    </row>
    <row r="1915" customFormat="false" ht="15" hidden="false" customHeight="false" outlineLevel="0" collapsed="false">
      <c r="A1915" s="0" t="s">
        <v>3106</v>
      </c>
      <c r="B1915" s="0" t="s">
        <v>31</v>
      </c>
      <c r="C1915" s="0" t="s">
        <v>3107</v>
      </c>
      <c r="D1915" s="0" t="s">
        <v>26</v>
      </c>
      <c r="E1915" s="2" t="n">
        <v>45871</v>
      </c>
      <c r="F1915" s="3" t="s">
        <v>34</v>
      </c>
      <c r="G1915" s="3" t="s">
        <v>28</v>
      </c>
      <c r="H1915" s="3" t="s">
        <v>29</v>
      </c>
      <c r="I1915" s="3" t="n">
        <f aca="false">YEAR(E1915)</f>
        <v>2025</v>
      </c>
      <c r="J1915" s="3" t="n">
        <f aca="false">MONTH(E1915)</f>
        <v>8</v>
      </c>
      <c r="K1915" s="3" t="n">
        <f aca="false">COUNTIFS($B$2:$B$4077,B1915,$C$2:$C$4077,C1915,$I$2:$I$4077,I1915)</f>
        <v>2</v>
      </c>
      <c r="L1915" s="3" t="n">
        <f aca="false">IF(COUNTIFS($B$2:B1915,B1915,$C$2:C1915,C1915,$I$2:I1915,I1915)=1,1,0)</f>
        <v>1</v>
      </c>
      <c r="M1915" s="3" t="n">
        <f aca="false">IF(K1915&gt;=Parametri!$B$1,1,0)</f>
        <v>1</v>
      </c>
      <c r="N1915" s="3" t="n">
        <f aca="false">L1915*M1915</f>
        <v>1</v>
      </c>
    </row>
    <row r="1916" customFormat="false" ht="15" hidden="false" customHeight="false" outlineLevel="0" collapsed="false">
      <c r="A1916" s="0" t="s">
        <v>3108</v>
      </c>
      <c r="B1916" s="0" t="s">
        <v>46</v>
      </c>
      <c r="C1916" s="0" t="s">
        <v>3109</v>
      </c>
      <c r="D1916" s="0" t="s">
        <v>33</v>
      </c>
      <c r="E1916" s="2" t="n">
        <v>45521</v>
      </c>
      <c r="F1916" s="3" t="s">
        <v>20</v>
      </c>
      <c r="G1916" s="3" t="s">
        <v>104</v>
      </c>
      <c r="H1916" s="3" t="s">
        <v>29</v>
      </c>
      <c r="I1916" s="3" t="n">
        <f aca="false">YEAR(E1916)</f>
        <v>2024</v>
      </c>
      <c r="J1916" s="3" t="n">
        <f aca="false">MONTH(E1916)</f>
        <v>8</v>
      </c>
      <c r="K1916" s="3" t="n">
        <f aca="false">COUNTIFS($B$2:$B$4077,B1916,$C$2:$C$4077,C1916,$I$2:$I$4077,I1916)</f>
        <v>1</v>
      </c>
      <c r="L1916" s="3" t="n">
        <f aca="false">IF(COUNTIFS($B$2:B1916,B1916,$C$2:C1916,C1916,$I$2:I1916,I1916)=1,1,0)</f>
        <v>1</v>
      </c>
      <c r="M1916" s="3" t="n">
        <f aca="false">IF(K1916&gt;=Parametri!$B$1,1,0)</f>
        <v>0</v>
      </c>
      <c r="N1916" s="3" t="n">
        <f aca="false">L1916*M1916</f>
        <v>0</v>
      </c>
    </row>
    <row r="1917" customFormat="false" ht="15" hidden="false" customHeight="false" outlineLevel="0" collapsed="false">
      <c r="A1917" s="0" t="s">
        <v>3110</v>
      </c>
      <c r="B1917" s="0" t="s">
        <v>50</v>
      </c>
      <c r="C1917" s="0" t="s">
        <v>533</v>
      </c>
      <c r="D1917" s="0" t="s">
        <v>63</v>
      </c>
      <c r="E1917" s="2" t="n">
        <v>46257</v>
      </c>
      <c r="F1917" s="3" t="s">
        <v>27</v>
      </c>
      <c r="G1917" s="3" t="s">
        <v>21</v>
      </c>
      <c r="H1917" s="3" t="s">
        <v>29</v>
      </c>
      <c r="I1917" s="3" t="n">
        <f aca="false">YEAR(E1917)</f>
        <v>2026</v>
      </c>
      <c r="J1917" s="3" t="n">
        <f aca="false">MONTH(E1917)</f>
        <v>8</v>
      </c>
      <c r="K1917" s="3" t="n">
        <f aca="false">COUNTIFS($B$2:$B$4077,B1917,$C$2:$C$4077,C1917,$I$2:$I$4077,I1917)</f>
        <v>3</v>
      </c>
      <c r="L1917" s="3" t="n">
        <f aca="false">IF(COUNTIFS($B$2:B1917,B1917,$C$2:C1917,C1917,$I$2:I1917,I1917)=1,1,0)</f>
        <v>0</v>
      </c>
      <c r="M1917" s="3" t="n">
        <f aca="false">IF(K1917&gt;=Parametri!$B$1,1,0)</f>
        <v>1</v>
      </c>
      <c r="N1917" s="3" t="n">
        <f aca="false">L1917*M1917</f>
        <v>0</v>
      </c>
    </row>
    <row r="1918" customFormat="false" ht="15" hidden="false" customHeight="false" outlineLevel="0" collapsed="false">
      <c r="A1918" s="0" t="s">
        <v>3111</v>
      </c>
      <c r="B1918" s="0" t="s">
        <v>50</v>
      </c>
      <c r="C1918" s="0" t="s">
        <v>3112</v>
      </c>
      <c r="D1918" s="0" t="s">
        <v>77</v>
      </c>
      <c r="E1918" s="2" t="n">
        <v>46035</v>
      </c>
      <c r="F1918" s="3" t="s">
        <v>20</v>
      </c>
      <c r="G1918" s="3" t="s">
        <v>43</v>
      </c>
      <c r="H1918" s="3" t="s">
        <v>22</v>
      </c>
      <c r="I1918" s="3" t="n">
        <f aca="false">YEAR(E1918)</f>
        <v>2026</v>
      </c>
      <c r="J1918" s="3" t="n">
        <f aca="false">MONTH(E1918)</f>
        <v>1</v>
      </c>
      <c r="K1918" s="3" t="n">
        <f aca="false">COUNTIFS($B$2:$B$4077,B1918,$C$2:$C$4077,C1918,$I$2:$I$4077,I1918)</f>
        <v>1</v>
      </c>
      <c r="L1918" s="3" t="n">
        <f aca="false">IF(COUNTIFS($B$2:B1918,B1918,$C$2:C1918,C1918,$I$2:I1918,I1918)=1,1,0)</f>
        <v>1</v>
      </c>
      <c r="M1918" s="3" t="n">
        <f aca="false">IF(K1918&gt;=Parametri!$B$1,1,0)</f>
        <v>0</v>
      </c>
      <c r="N1918" s="3" t="n">
        <f aca="false">L1918*M1918</f>
        <v>0</v>
      </c>
    </row>
    <row r="1919" customFormat="false" ht="15" hidden="false" customHeight="false" outlineLevel="0" collapsed="false">
      <c r="A1919" s="0" t="s">
        <v>3113</v>
      </c>
      <c r="B1919" s="0" t="s">
        <v>79</v>
      </c>
      <c r="C1919" s="0" t="s">
        <v>1521</v>
      </c>
      <c r="D1919" s="0" t="s">
        <v>19</v>
      </c>
      <c r="E1919" s="2" t="n">
        <v>45536</v>
      </c>
      <c r="F1919" s="3" t="s">
        <v>20</v>
      </c>
      <c r="G1919" s="3" t="s">
        <v>21</v>
      </c>
      <c r="H1919" s="3" t="s">
        <v>29</v>
      </c>
      <c r="I1919" s="3" t="n">
        <f aca="false">YEAR(E1919)</f>
        <v>2024</v>
      </c>
      <c r="J1919" s="3" t="n">
        <f aca="false">MONTH(E1919)</f>
        <v>9</v>
      </c>
      <c r="K1919" s="3" t="n">
        <f aca="false">COUNTIFS($B$2:$B$4077,B1919,$C$2:$C$4077,C1919,$I$2:$I$4077,I1919)</f>
        <v>2</v>
      </c>
      <c r="L1919" s="3" t="n">
        <f aca="false">IF(COUNTIFS($B$2:B1919,B1919,$C$2:C1919,C1919,$I$2:I1919,I1919)=1,1,0)</f>
        <v>0</v>
      </c>
      <c r="M1919" s="3" t="n">
        <f aca="false">IF(K1919&gt;=Parametri!$B$1,1,0)</f>
        <v>1</v>
      </c>
      <c r="N1919" s="3" t="n">
        <f aca="false">L1919*M1919</f>
        <v>0</v>
      </c>
    </row>
    <row r="1920" customFormat="false" ht="15" hidden="false" customHeight="false" outlineLevel="0" collapsed="false">
      <c r="A1920" s="0" t="s">
        <v>3114</v>
      </c>
      <c r="B1920" s="0" t="s">
        <v>46</v>
      </c>
      <c r="C1920" s="0" t="s">
        <v>3115</v>
      </c>
      <c r="D1920" s="0" t="s">
        <v>33</v>
      </c>
      <c r="E1920" s="2" t="n">
        <v>45661</v>
      </c>
      <c r="F1920" s="3" t="s">
        <v>20</v>
      </c>
      <c r="G1920" s="3" t="s">
        <v>89</v>
      </c>
      <c r="H1920" s="3" t="s">
        <v>29</v>
      </c>
      <c r="I1920" s="3" t="n">
        <f aca="false">YEAR(E1920)</f>
        <v>2025</v>
      </c>
      <c r="J1920" s="3" t="n">
        <f aca="false">MONTH(E1920)</f>
        <v>1</v>
      </c>
      <c r="K1920" s="3" t="n">
        <f aca="false">COUNTIFS($B$2:$B$4077,B1920,$C$2:$C$4077,C1920,$I$2:$I$4077,I1920)</f>
        <v>1</v>
      </c>
      <c r="L1920" s="3" t="n">
        <f aca="false">IF(COUNTIFS($B$2:B1920,B1920,$C$2:C1920,C1920,$I$2:I1920,I1920)=1,1,0)</f>
        <v>1</v>
      </c>
      <c r="M1920" s="3" t="n">
        <f aca="false">IF(K1920&gt;=Parametri!$B$1,1,0)</f>
        <v>0</v>
      </c>
      <c r="N1920" s="3" t="n">
        <f aca="false">L1920*M1920</f>
        <v>0</v>
      </c>
    </row>
    <row r="1921" customFormat="false" ht="15" hidden="false" customHeight="false" outlineLevel="0" collapsed="false">
      <c r="A1921" s="0" t="s">
        <v>3116</v>
      </c>
      <c r="B1921" s="0" t="s">
        <v>50</v>
      </c>
      <c r="C1921" s="0" t="s">
        <v>3117</v>
      </c>
      <c r="D1921" s="0" t="s">
        <v>26</v>
      </c>
      <c r="E1921" s="2" t="n">
        <v>46145</v>
      </c>
      <c r="F1921" s="3" t="s">
        <v>27</v>
      </c>
      <c r="G1921" s="3" t="s">
        <v>39</v>
      </c>
      <c r="H1921" s="3" t="s">
        <v>44</v>
      </c>
      <c r="I1921" s="3" t="n">
        <f aca="false">YEAR(E1921)</f>
        <v>2026</v>
      </c>
      <c r="J1921" s="3" t="n">
        <f aca="false">MONTH(E1921)</f>
        <v>5</v>
      </c>
      <c r="K1921" s="3" t="n">
        <f aca="false">COUNTIFS($B$2:$B$4077,B1921,$C$2:$C$4077,C1921,$I$2:$I$4077,I1921)</f>
        <v>1</v>
      </c>
      <c r="L1921" s="3" t="n">
        <f aca="false">IF(COUNTIFS($B$2:B1921,B1921,$C$2:C1921,C1921,$I$2:I1921,I1921)=1,1,0)</f>
        <v>1</v>
      </c>
      <c r="M1921" s="3" t="n">
        <f aca="false">IF(K1921&gt;=Parametri!$B$1,1,0)</f>
        <v>0</v>
      </c>
      <c r="N1921" s="3" t="n">
        <f aca="false">L1921*M1921</f>
        <v>0</v>
      </c>
    </row>
    <row r="1922" customFormat="false" ht="15" hidden="false" customHeight="false" outlineLevel="0" collapsed="false">
      <c r="A1922" s="0" t="s">
        <v>3118</v>
      </c>
      <c r="B1922" s="0" t="s">
        <v>50</v>
      </c>
      <c r="C1922" s="0" t="s">
        <v>3119</v>
      </c>
      <c r="D1922" s="0" t="s">
        <v>63</v>
      </c>
      <c r="E1922" s="2" t="n">
        <v>45893</v>
      </c>
      <c r="F1922" s="3" t="s">
        <v>20</v>
      </c>
      <c r="G1922" s="3" t="s">
        <v>43</v>
      </c>
      <c r="H1922" s="3" t="s">
        <v>48</v>
      </c>
      <c r="I1922" s="3" t="n">
        <f aca="false">YEAR(E1922)</f>
        <v>2025</v>
      </c>
      <c r="J1922" s="3" t="n">
        <f aca="false">MONTH(E1922)</f>
        <v>8</v>
      </c>
      <c r="K1922" s="3" t="n">
        <f aca="false">COUNTIFS($B$2:$B$4077,B1922,$C$2:$C$4077,C1922,$I$2:$I$4077,I1922)</f>
        <v>1</v>
      </c>
      <c r="L1922" s="3" t="n">
        <f aca="false">IF(COUNTIFS($B$2:B1922,B1922,$C$2:C1922,C1922,$I$2:I1922,I1922)=1,1,0)</f>
        <v>1</v>
      </c>
      <c r="M1922" s="3" t="n">
        <f aca="false">IF(K1922&gt;=Parametri!$B$1,1,0)</f>
        <v>0</v>
      </c>
      <c r="N1922" s="3" t="n">
        <f aca="false">L1922*M1922</f>
        <v>0</v>
      </c>
    </row>
    <row r="1923" customFormat="false" ht="15" hidden="false" customHeight="false" outlineLevel="0" collapsed="false">
      <c r="A1923" s="0" t="s">
        <v>3120</v>
      </c>
      <c r="B1923" s="0" t="s">
        <v>17</v>
      </c>
      <c r="C1923" s="0" t="s">
        <v>3121</v>
      </c>
      <c r="D1923" s="0" t="s">
        <v>19</v>
      </c>
      <c r="E1923" s="2" t="n">
        <v>45995</v>
      </c>
      <c r="F1923" s="3" t="s">
        <v>20</v>
      </c>
      <c r="G1923" s="3" t="s">
        <v>21</v>
      </c>
      <c r="H1923" s="3" t="s">
        <v>22</v>
      </c>
      <c r="I1923" s="3" t="n">
        <f aca="false">YEAR(E1923)</f>
        <v>2025</v>
      </c>
      <c r="J1923" s="3" t="n">
        <f aca="false">MONTH(E1923)</f>
        <v>12</v>
      </c>
      <c r="K1923" s="3" t="n">
        <f aca="false">COUNTIFS($B$2:$B$4077,B1923,$C$2:$C$4077,C1923,$I$2:$I$4077,I1923)</f>
        <v>1</v>
      </c>
      <c r="L1923" s="3" t="n">
        <f aca="false">IF(COUNTIFS($B$2:B1923,B1923,$C$2:C1923,C1923,$I$2:I1923,I1923)=1,1,0)</f>
        <v>1</v>
      </c>
      <c r="M1923" s="3" t="n">
        <f aca="false">IF(K1923&gt;=Parametri!$B$1,1,0)</f>
        <v>0</v>
      </c>
      <c r="N1923" s="3" t="n">
        <f aca="false">L1923*M1923</f>
        <v>0</v>
      </c>
    </row>
    <row r="1924" customFormat="false" ht="15" hidden="false" customHeight="false" outlineLevel="0" collapsed="false">
      <c r="A1924" s="0" t="s">
        <v>3122</v>
      </c>
      <c r="B1924" s="0" t="s">
        <v>57</v>
      </c>
      <c r="C1924" s="0" t="s">
        <v>133</v>
      </c>
      <c r="D1924" s="0" t="s">
        <v>38</v>
      </c>
      <c r="E1924" s="2" t="n">
        <v>45742</v>
      </c>
      <c r="F1924" s="3" t="s">
        <v>20</v>
      </c>
      <c r="G1924" s="3" t="s">
        <v>35</v>
      </c>
      <c r="H1924" s="3" t="s">
        <v>44</v>
      </c>
      <c r="I1924" s="3" t="n">
        <f aca="false">YEAR(E1924)</f>
        <v>2025</v>
      </c>
      <c r="J1924" s="3" t="n">
        <f aca="false">MONTH(E1924)</f>
        <v>3</v>
      </c>
      <c r="K1924" s="3" t="n">
        <f aca="false">COUNTIFS($B$2:$B$4077,B1924,$C$2:$C$4077,C1924,$I$2:$I$4077,I1924)</f>
        <v>2</v>
      </c>
      <c r="L1924" s="3" t="n">
        <f aca="false">IF(COUNTIFS($B$2:B1924,B1924,$C$2:C1924,C1924,$I$2:I1924,I1924)=1,1,0)</f>
        <v>0</v>
      </c>
      <c r="M1924" s="3" t="n">
        <f aca="false">IF(K1924&gt;=Parametri!$B$1,1,0)</f>
        <v>1</v>
      </c>
      <c r="N1924" s="3" t="n">
        <f aca="false">L1924*M1924</f>
        <v>0</v>
      </c>
    </row>
    <row r="1925" customFormat="false" ht="15" hidden="false" customHeight="false" outlineLevel="0" collapsed="false">
      <c r="A1925" s="0" t="s">
        <v>3123</v>
      </c>
      <c r="B1925" s="0" t="s">
        <v>50</v>
      </c>
      <c r="C1925" s="0" t="s">
        <v>1847</v>
      </c>
      <c r="D1925" s="0" t="s">
        <v>38</v>
      </c>
      <c r="E1925" s="2" t="n">
        <v>45631</v>
      </c>
      <c r="F1925" s="3" t="s">
        <v>27</v>
      </c>
      <c r="G1925" s="3" t="s">
        <v>43</v>
      </c>
      <c r="H1925" s="3" t="s">
        <v>29</v>
      </c>
      <c r="I1925" s="3" t="n">
        <f aca="false">YEAR(E1925)</f>
        <v>2024</v>
      </c>
      <c r="J1925" s="3" t="n">
        <f aca="false">MONTH(E1925)</f>
        <v>12</v>
      </c>
      <c r="K1925" s="3" t="n">
        <f aca="false">COUNTIFS($B$2:$B$4077,B1925,$C$2:$C$4077,C1925,$I$2:$I$4077,I1925)</f>
        <v>1</v>
      </c>
      <c r="L1925" s="3" t="n">
        <f aca="false">IF(COUNTIFS($B$2:B1925,B1925,$C$2:C1925,C1925,$I$2:I1925,I1925)=1,1,0)</f>
        <v>1</v>
      </c>
      <c r="M1925" s="3" t="n">
        <f aca="false">IF(K1925&gt;=Parametri!$B$1,1,0)</f>
        <v>0</v>
      </c>
      <c r="N1925" s="3" t="n">
        <f aca="false">L1925*M1925</f>
        <v>0</v>
      </c>
    </row>
    <row r="1926" customFormat="false" ht="15" hidden="false" customHeight="false" outlineLevel="0" collapsed="false">
      <c r="A1926" s="0" t="s">
        <v>3124</v>
      </c>
      <c r="B1926" s="0" t="s">
        <v>57</v>
      </c>
      <c r="C1926" s="0" t="s">
        <v>1531</v>
      </c>
      <c r="D1926" s="0" t="s">
        <v>26</v>
      </c>
      <c r="E1926" s="2" t="n">
        <v>46172</v>
      </c>
      <c r="F1926" s="3" t="s">
        <v>20</v>
      </c>
      <c r="G1926" s="3" t="s">
        <v>55</v>
      </c>
      <c r="H1926" s="3" t="s">
        <v>48</v>
      </c>
      <c r="I1926" s="3" t="n">
        <f aca="false">YEAR(E1926)</f>
        <v>2026</v>
      </c>
      <c r="J1926" s="3" t="n">
        <f aca="false">MONTH(E1926)</f>
        <v>5</v>
      </c>
      <c r="K1926" s="3" t="n">
        <f aca="false">COUNTIFS($B$2:$B$4077,B1926,$C$2:$C$4077,C1926,$I$2:$I$4077,I1926)</f>
        <v>4</v>
      </c>
      <c r="L1926" s="3" t="n">
        <f aca="false">IF(COUNTIFS($B$2:B1926,B1926,$C$2:C1926,C1926,$I$2:I1926,I1926)=1,1,0)</f>
        <v>0</v>
      </c>
      <c r="M1926" s="3" t="n">
        <f aca="false">IF(K1926&gt;=Parametri!$B$1,1,0)</f>
        <v>1</v>
      </c>
      <c r="N1926" s="3" t="n">
        <f aca="false">L1926*M1926</f>
        <v>0</v>
      </c>
    </row>
    <row r="1927" customFormat="false" ht="15" hidden="false" customHeight="false" outlineLevel="0" collapsed="false">
      <c r="A1927" s="0" t="s">
        <v>3125</v>
      </c>
      <c r="B1927" s="0" t="s">
        <v>79</v>
      </c>
      <c r="C1927" s="0" t="s">
        <v>323</v>
      </c>
      <c r="D1927" s="0" t="s">
        <v>33</v>
      </c>
      <c r="E1927" s="2" t="n">
        <v>46089</v>
      </c>
      <c r="F1927" s="3" t="s">
        <v>104</v>
      </c>
      <c r="G1927" s="3" t="s">
        <v>104</v>
      </c>
      <c r="H1927" s="3" t="s">
        <v>104</v>
      </c>
      <c r="I1927" s="3" t="n">
        <f aca="false">YEAR(E1927)</f>
        <v>2026</v>
      </c>
      <c r="J1927" s="3" t="n">
        <f aca="false">MONTH(E1927)</f>
        <v>3</v>
      </c>
      <c r="K1927" s="3" t="n">
        <f aca="false">COUNTIFS($B$2:$B$4077,B1927,$C$2:$C$4077,C1927,$I$2:$I$4077,I1927)</f>
        <v>1</v>
      </c>
      <c r="L1927" s="3" t="n">
        <f aca="false">IF(COUNTIFS($B$2:B1927,B1927,$C$2:C1927,C1927,$I$2:I1927,I1927)=1,1,0)</f>
        <v>1</v>
      </c>
      <c r="M1927" s="3" t="n">
        <f aca="false">IF(K1927&gt;=Parametri!$B$1,1,0)</f>
        <v>0</v>
      </c>
      <c r="N1927" s="3" t="n">
        <f aca="false">L1927*M1927</f>
        <v>0</v>
      </c>
    </row>
    <row r="1928" customFormat="false" ht="15" hidden="false" customHeight="false" outlineLevel="0" collapsed="false">
      <c r="A1928" s="0" t="s">
        <v>3126</v>
      </c>
      <c r="B1928" s="0" t="s">
        <v>68</v>
      </c>
      <c r="C1928" s="0" t="s">
        <v>730</v>
      </c>
      <c r="D1928" s="0" t="s">
        <v>63</v>
      </c>
      <c r="E1928" s="2" t="n">
        <v>45712</v>
      </c>
      <c r="F1928" s="3" t="s">
        <v>34</v>
      </c>
      <c r="G1928" s="3" t="s">
        <v>35</v>
      </c>
      <c r="H1928" s="3" t="s">
        <v>44</v>
      </c>
      <c r="I1928" s="3" t="n">
        <f aca="false">YEAR(E1928)</f>
        <v>2025</v>
      </c>
      <c r="J1928" s="3" t="n">
        <f aca="false">MONTH(E1928)</f>
        <v>2</v>
      </c>
      <c r="K1928" s="3" t="n">
        <f aca="false">COUNTIFS($B$2:$B$4077,B1928,$C$2:$C$4077,C1928,$I$2:$I$4077,I1928)</f>
        <v>4</v>
      </c>
      <c r="L1928" s="3" t="n">
        <f aca="false">IF(COUNTIFS($B$2:B1928,B1928,$C$2:C1928,C1928,$I$2:I1928,I1928)=1,1,0)</f>
        <v>1</v>
      </c>
      <c r="M1928" s="3" t="n">
        <f aca="false">IF(K1928&gt;=Parametri!$B$1,1,0)</f>
        <v>1</v>
      </c>
      <c r="N1928" s="3" t="n">
        <f aca="false">L1928*M1928</f>
        <v>1</v>
      </c>
    </row>
    <row r="1929" customFormat="false" ht="15" hidden="false" customHeight="false" outlineLevel="0" collapsed="false">
      <c r="A1929" s="0" t="s">
        <v>3127</v>
      </c>
      <c r="B1929" s="0" t="s">
        <v>31</v>
      </c>
      <c r="C1929" s="0" t="s">
        <v>778</v>
      </c>
      <c r="D1929" s="0" t="s">
        <v>19</v>
      </c>
      <c r="E1929" s="2" t="n">
        <v>45905</v>
      </c>
      <c r="F1929" s="3" t="s">
        <v>20</v>
      </c>
      <c r="G1929" s="3" t="s">
        <v>55</v>
      </c>
      <c r="H1929" s="3" t="s">
        <v>48</v>
      </c>
      <c r="I1929" s="3" t="n">
        <f aca="false">YEAR(E1929)</f>
        <v>2025</v>
      </c>
      <c r="J1929" s="3" t="n">
        <f aca="false">MONTH(E1929)</f>
        <v>9</v>
      </c>
      <c r="K1929" s="3" t="n">
        <f aca="false">COUNTIFS($B$2:$B$4077,B1929,$C$2:$C$4077,C1929,$I$2:$I$4077,I1929)</f>
        <v>6</v>
      </c>
      <c r="L1929" s="3" t="n">
        <f aca="false">IF(COUNTIFS($B$2:B1929,B1929,$C$2:C1929,C1929,$I$2:I1929,I1929)=1,1,0)</f>
        <v>0</v>
      </c>
      <c r="M1929" s="3" t="n">
        <f aca="false">IF(K1929&gt;=Parametri!$B$1,1,0)</f>
        <v>1</v>
      </c>
      <c r="N1929" s="3" t="n">
        <f aca="false">L1929*M1929</f>
        <v>0</v>
      </c>
    </row>
    <row r="1930" customFormat="false" ht="15" hidden="false" customHeight="false" outlineLevel="0" collapsed="false">
      <c r="A1930" s="0" t="s">
        <v>3128</v>
      </c>
      <c r="B1930" s="0" t="s">
        <v>50</v>
      </c>
      <c r="C1930" s="0" t="s">
        <v>3129</v>
      </c>
      <c r="D1930" s="0" t="s">
        <v>19</v>
      </c>
      <c r="E1930" s="2" t="n">
        <v>45453</v>
      </c>
      <c r="F1930" s="3" t="s">
        <v>27</v>
      </c>
      <c r="G1930" s="3" t="s">
        <v>104</v>
      </c>
      <c r="H1930" s="3" t="s">
        <v>104</v>
      </c>
      <c r="I1930" s="3" t="n">
        <f aca="false">YEAR(E1930)</f>
        <v>2024</v>
      </c>
      <c r="J1930" s="3" t="n">
        <f aca="false">MONTH(E1930)</f>
        <v>6</v>
      </c>
      <c r="K1930" s="3" t="n">
        <f aca="false">COUNTIFS($B$2:$B$4077,B1930,$C$2:$C$4077,C1930,$I$2:$I$4077,I1930)</f>
        <v>1</v>
      </c>
      <c r="L1930" s="3" t="n">
        <f aca="false">IF(COUNTIFS($B$2:B1930,B1930,$C$2:C1930,C1930,$I$2:I1930,I1930)=1,1,0)</f>
        <v>1</v>
      </c>
      <c r="M1930" s="3" t="n">
        <f aca="false">IF(K1930&gt;=Parametri!$B$1,1,0)</f>
        <v>0</v>
      </c>
      <c r="N1930" s="3" t="n">
        <f aca="false">L1930*M1930</f>
        <v>0</v>
      </c>
    </row>
    <row r="1931" customFormat="false" ht="15" hidden="false" customHeight="false" outlineLevel="0" collapsed="false">
      <c r="A1931" s="0" t="s">
        <v>3130</v>
      </c>
      <c r="B1931" s="0" t="s">
        <v>17</v>
      </c>
      <c r="C1931" s="0" t="s">
        <v>3131</v>
      </c>
      <c r="D1931" s="0" t="s">
        <v>38</v>
      </c>
      <c r="E1931" s="2" t="n">
        <v>45466</v>
      </c>
      <c r="F1931" s="3" t="s">
        <v>20</v>
      </c>
      <c r="G1931" s="3" t="s">
        <v>43</v>
      </c>
      <c r="H1931" s="3" t="s">
        <v>29</v>
      </c>
      <c r="I1931" s="3" t="n">
        <f aca="false">YEAR(E1931)</f>
        <v>2024</v>
      </c>
      <c r="J1931" s="3" t="n">
        <f aca="false">MONTH(E1931)</f>
        <v>6</v>
      </c>
      <c r="K1931" s="3" t="n">
        <f aca="false">COUNTIFS($B$2:$B$4077,B1931,$C$2:$C$4077,C1931,$I$2:$I$4077,I1931)</f>
        <v>1</v>
      </c>
      <c r="L1931" s="3" t="n">
        <f aca="false">IF(COUNTIFS($B$2:B1931,B1931,$C$2:C1931,C1931,$I$2:I1931,I1931)=1,1,0)</f>
        <v>1</v>
      </c>
      <c r="M1931" s="3" t="n">
        <f aca="false">IF(K1931&gt;=Parametri!$B$1,1,0)</f>
        <v>0</v>
      </c>
      <c r="N1931" s="3" t="n">
        <f aca="false">L1931*M1931</f>
        <v>0</v>
      </c>
    </row>
    <row r="1932" customFormat="false" ht="15" hidden="false" customHeight="false" outlineLevel="0" collapsed="false">
      <c r="A1932" s="0" t="s">
        <v>3132</v>
      </c>
      <c r="B1932" s="0" t="s">
        <v>68</v>
      </c>
      <c r="C1932" s="0" t="s">
        <v>3133</v>
      </c>
      <c r="D1932" s="0" t="s">
        <v>54</v>
      </c>
      <c r="E1932" s="2" t="n">
        <v>45469</v>
      </c>
      <c r="F1932" s="3" t="s">
        <v>27</v>
      </c>
      <c r="G1932" s="3" t="s">
        <v>89</v>
      </c>
      <c r="H1932" s="3" t="s">
        <v>22</v>
      </c>
      <c r="I1932" s="3" t="n">
        <f aca="false">YEAR(E1932)</f>
        <v>2024</v>
      </c>
      <c r="J1932" s="3" t="n">
        <f aca="false">MONTH(E1932)</f>
        <v>6</v>
      </c>
      <c r="K1932" s="3" t="n">
        <f aca="false">COUNTIFS($B$2:$B$4077,B1932,$C$2:$C$4077,C1932,$I$2:$I$4077,I1932)</f>
        <v>1</v>
      </c>
      <c r="L1932" s="3" t="n">
        <f aca="false">IF(COUNTIFS($B$2:B1932,B1932,$C$2:C1932,C1932,$I$2:I1932,I1932)=1,1,0)</f>
        <v>1</v>
      </c>
      <c r="M1932" s="3" t="n">
        <f aca="false">IF(K1932&gt;=Parametri!$B$1,1,0)</f>
        <v>0</v>
      </c>
      <c r="N1932" s="3" t="n">
        <f aca="false">L1932*M1932</f>
        <v>0</v>
      </c>
    </row>
    <row r="1933" customFormat="false" ht="15" hidden="false" customHeight="false" outlineLevel="0" collapsed="false">
      <c r="A1933" s="0" t="s">
        <v>3134</v>
      </c>
      <c r="B1933" s="0" t="s">
        <v>57</v>
      </c>
      <c r="C1933" s="0" t="s">
        <v>329</v>
      </c>
      <c r="D1933" s="0" t="s">
        <v>33</v>
      </c>
      <c r="E1933" s="2" t="n">
        <v>46240</v>
      </c>
      <c r="F1933" s="3" t="s">
        <v>20</v>
      </c>
      <c r="G1933" s="3" t="s">
        <v>55</v>
      </c>
      <c r="H1933" s="3" t="s">
        <v>29</v>
      </c>
      <c r="I1933" s="3" t="n">
        <f aca="false">YEAR(E1933)</f>
        <v>2026</v>
      </c>
      <c r="J1933" s="3" t="n">
        <f aca="false">MONTH(E1933)</f>
        <v>8</v>
      </c>
      <c r="K1933" s="3" t="n">
        <f aca="false">COUNTIFS($B$2:$B$4077,B1933,$C$2:$C$4077,C1933,$I$2:$I$4077,I1933)</f>
        <v>1</v>
      </c>
      <c r="L1933" s="3" t="n">
        <f aca="false">IF(COUNTIFS($B$2:B1933,B1933,$C$2:C1933,C1933,$I$2:I1933,I1933)=1,1,0)</f>
        <v>1</v>
      </c>
      <c r="M1933" s="3" t="n">
        <f aca="false">IF(K1933&gt;=Parametri!$B$1,1,0)</f>
        <v>0</v>
      </c>
      <c r="N1933" s="3" t="n">
        <f aca="false">L1933*M1933</f>
        <v>0</v>
      </c>
    </row>
    <row r="1934" customFormat="false" ht="15" hidden="false" customHeight="false" outlineLevel="0" collapsed="false">
      <c r="A1934" s="0" t="s">
        <v>3135</v>
      </c>
      <c r="B1934" s="0" t="s">
        <v>50</v>
      </c>
      <c r="C1934" s="0" t="s">
        <v>819</v>
      </c>
      <c r="D1934" s="0" t="s">
        <v>33</v>
      </c>
      <c r="E1934" s="2" t="n">
        <v>46165</v>
      </c>
      <c r="F1934" s="3" t="s">
        <v>34</v>
      </c>
      <c r="G1934" s="3" t="s">
        <v>43</v>
      </c>
      <c r="H1934" s="3" t="s">
        <v>44</v>
      </c>
      <c r="I1934" s="3" t="n">
        <f aca="false">YEAR(E1934)</f>
        <v>2026</v>
      </c>
      <c r="J1934" s="3" t="n">
        <f aca="false">MONTH(E1934)</f>
        <v>5</v>
      </c>
      <c r="K1934" s="3" t="n">
        <f aca="false">COUNTIFS($B$2:$B$4077,B1934,$C$2:$C$4077,C1934,$I$2:$I$4077,I1934)</f>
        <v>2</v>
      </c>
      <c r="L1934" s="3" t="n">
        <f aca="false">IF(COUNTIFS($B$2:B1934,B1934,$C$2:C1934,C1934,$I$2:I1934,I1934)=1,1,0)</f>
        <v>0</v>
      </c>
      <c r="M1934" s="3" t="n">
        <f aca="false">IF(K1934&gt;=Parametri!$B$1,1,0)</f>
        <v>1</v>
      </c>
      <c r="N1934" s="3" t="n">
        <f aca="false">L1934*M1934</f>
        <v>0</v>
      </c>
    </row>
    <row r="1935" customFormat="false" ht="15" hidden="false" customHeight="false" outlineLevel="0" collapsed="false">
      <c r="A1935" s="0" t="s">
        <v>3136</v>
      </c>
      <c r="B1935" s="0" t="s">
        <v>124</v>
      </c>
      <c r="C1935" s="0" t="s">
        <v>2509</v>
      </c>
      <c r="D1935" s="0" t="s">
        <v>38</v>
      </c>
      <c r="E1935" s="2" t="n">
        <v>45829</v>
      </c>
      <c r="F1935" s="3" t="s">
        <v>20</v>
      </c>
      <c r="G1935" s="3" t="s">
        <v>72</v>
      </c>
      <c r="H1935" s="3" t="s">
        <v>48</v>
      </c>
      <c r="I1935" s="3" t="n">
        <f aca="false">YEAR(E1935)</f>
        <v>2025</v>
      </c>
      <c r="J1935" s="3" t="n">
        <f aca="false">MONTH(E1935)</f>
        <v>6</v>
      </c>
      <c r="K1935" s="3" t="n">
        <f aca="false">COUNTIFS($B$2:$B$4077,B1935,$C$2:$C$4077,C1935,$I$2:$I$4077,I1935)</f>
        <v>1</v>
      </c>
      <c r="L1935" s="3" t="n">
        <f aca="false">IF(COUNTIFS($B$2:B1935,B1935,$C$2:C1935,C1935,$I$2:I1935,I1935)=1,1,0)</f>
        <v>1</v>
      </c>
      <c r="M1935" s="3" t="n">
        <f aca="false">IF(K1935&gt;=Parametri!$B$1,1,0)</f>
        <v>0</v>
      </c>
      <c r="N1935" s="3" t="n">
        <f aca="false">L1935*M1935</f>
        <v>0</v>
      </c>
    </row>
    <row r="1936" customFormat="false" ht="15" hidden="false" customHeight="false" outlineLevel="0" collapsed="false">
      <c r="A1936" s="0" t="s">
        <v>3137</v>
      </c>
      <c r="B1936" s="0" t="s">
        <v>57</v>
      </c>
      <c r="C1936" s="0" t="s">
        <v>3138</v>
      </c>
      <c r="D1936" s="0" t="s">
        <v>33</v>
      </c>
      <c r="E1936" s="2" t="n">
        <v>45699</v>
      </c>
      <c r="F1936" s="3" t="s">
        <v>34</v>
      </c>
      <c r="G1936" s="3" t="s">
        <v>28</v>
      </c>
      <c r="H1936" s="3" t="s">
        <v>29</v>
      </c>
      <c r="I1936" s="3" t="n">
        <f aca="false">YEAR(E1936)</f>
        <v>2025</v>
      </c>
      <c r="J1936" s="3" t="n">
        <f aca="false">MONTH(E1936)</f>
        <v>2</v>
      </c>
      <c r="K1936" s="3" t="n">
        <f aca="false">COUNTIFS($B$2:$B$4077,B1936,$C$2:$C$4077,C1936,$I$2:$I$4077,I1936)</f>
        <v>1</v>
      </c>
      <c r="L1936" s="3" t="n">
        <f aca="false">IF(COUNTIFS($B$2:B1936,B1936,$C$2:C1936,C1936,$I$2:I1936,I1936)=1,1,0)</f>
        <v>1</v>
      </c>
      <c r="M1936" s="3" t="n">
        <f aca="false">IF(K1936&gt;=Parametri!$B$1,1,0)</f>
        <v>0</v>
      </c>
      <c r="N1936" s="3" t="n">
        <f aca="false">L1936*M1936</f>
        <v>0</v>
      </c>
    </row>
    <row r="1937" customFormat="false" ht="15" hidden="false" customHeight="false" outlineLevel="0" collapsed="false">
      <c r="A1937" s="0" t="s">
        <v>3139</v>
      </c>
      <c r="B1937" s="0" t="s">
        <v>31</v>
      </c>
      <c r="C1937" s="0" t="s">
        <v>2077</v>
      </c>
      <c r="D1937" s="0" t="s">
        <v>19</v>
      </c>
      <c r="E1937" s="2" t="n">
        <v>45616</v>
      </c>
      <c r="F1937" s="3" t="s">
        <v>34</v>
      </c>
      <c r="G1937" s="3" t="s">
        <v>55</v>
      </c>
      <c r="H1937" s="3" t="s">
        <v>22</v>
      </c>
      <c r="I1937" s="3" t="n">
        <f aca="false">YEAR(E1937)</f>
        <v>2024</v>
      </c>
      <c r="J1937" s="3" t="n">
        <f aca="false">MONTH(E1937)</f>
        <v>11</v>
      </c>
      <c r="K1937" s="3" t="n">
        <f aca="false">COUNTIFS($B$2:$B$4077,B1937,$C$2:$C$4077,C1937,$I$2:$I$4077,I1937)</f>
        <v>3</v>
      </c>
      <c r="L1937" s="3" t="n">
        <f aca="false">IF(COUNTIFS($B$2:B1937,B1937,$C$2:C1937,C1937,$I$2:I1937,I1937)=1,1,0)</f>
        <v>1</v>
      </c>
      <c r="M1937" s="3" t="n">
        <f aca="false">IF(K1937&gt;=Parametri!$B$1,1,0)</f>
        <v>1</v>
      </c>
      <c r="N1937" s="3" t="n">
        <f aca="false">L1937*M1937</f>
        <v>1</v>
      </c>
    </row>
    <row r="1938" customFormat="false" ht="15" hidden="false" customHeight="false" outlineLevel="0" collapsed="false">
      <c r="A1938" s="0" t="s">
        <v>3140</v>
      </c>
      <c r="B1938" s="0" t="s">
        <v>46</v>
      </c>
      <c r="C1938" s="0" t="s">
        <v>3141</v>
      </c>
      <c r="D1938" s="0" t="s">
        <v>63</v>
      </c>
      <c r="E1938" s="2" t="n">
        <v>45870</v>
      </c>
      <c r="F1938" s="3" t="s">
        <v>20</v>
      </c>
      <c r="G1938" s="3" t="s">
        <v>43</v>
      </c>
      <c r="H1938" s="3" t="s">
        <v>44</v>
      </c>
      <c r="I1938" s="3" t="n">
        <f aca="false">YEAR(E1938)</f>
        <v>2025</v>
      </c>
      <c r="J1938" s="3" t="n">
        <f aca="false">MONTH(E1938)</f>
        <v>8</v>
      </c>
      <c r="K1938" s="3" t="n">
        <f aca="false">COUNTIFS($B$2:$B$4077,B1938,$C$2:$C$4077,C1938,$I$2:$I$4077,I1938)</f>
        <v>1</v>
      </c>
      <c r="L1938" s="3" t="n">
        <f aca="false">IF(COUNTIFS($B$2:B1938,B1938,$C$2:C1938,C1938,$I$2:I1938,I1938)=1,1,0)</f>
        <v>1</v>
      </c>
      <c r="M1938" s="3" t="n">
        <f aca="false">IF(K1938&gt;=Parametri!$B$1,1,0)</f>
        <v>0</v>
      </c>
      <c r="N1938" s="3" t="n">
        <f aca="false">L1938*M1938</f>
        <v>0</v>
      </c>
    </row>
    <row r="1939" customFormat="false" ht="15" hidden="false" customHeight="false" outlineLevel="0" collapsed="false">
      <c r="A1939" s="0" t="s">
        <v>3142</v>
      </c>
      <c r="B1939" s="0" t="s">
        <v>17</v>
      </c>
      <c r="C1939" s="0" t="s">
        <v>556</v>
      </c>
      <c r="D1939" s="0" t="s">
        <v>19</v>
      </c>
      <c r="E1939" s="2" t="n">
        <v>45613</v>
      </c>
      <c r="F1939" s="3" t="s">
        <v>34</v>
      </c>
      <c r="G1939" s="3" t="s">
        <v>72</v>
      </c>
      <c r="H1939" s="3" t="s">
        <v>22</v>
      </c>
      <c r="I1939" s="3" t="n">
        <f aca="false">YEAR(E1939)</f>
        <v>2024</v>
      </c>
      <c r="J1939" s="3" t="n">
        <f aca="false">MONTH(E1939)</f>
        <v>11</v>
      </c>
      <c r="K1939" s="3" t="n">
        <f aca="false">COUNTIFS($B$2:$B$4077,B1939,$C$2:$C$4077,C1939,$I$2:$I$4077,I1939)</f>
        <v>2</v>
      </c>
      <c r="L1939" s="3" t="n">
        <f aca="false">IF(COUNTIFS($B$2:B1939,B1939,$C$2:C1939,C1939,$I$2:I1939,I1939)=1,1,0)</f>
        <v>0</v>
      </c>
      <c r="M1939" s="3" t="n">
        <f aca="false">IF(K1939&gt;=Parametri!$B$1,1,0)</f>
        <v>1</v>
      </c>
      <c r="N1939" s="3" t="n">
        <f aca="false">L1939*M1939</f>
        <v>0</v>
      </c>
    </row>
    <row r="1940" customFormat="false" ht="15" hidden="false" customHeight="false" outlineLevel="0" collapsed="false">
      <c r="A1940" s="0" t="s">
        <v>3143</v>
      </c>
      <c r="B1940" s="0" t="s">
        <v>41</v>
      </c>
      <c r="C1940" s="0" t="s">
        <v>1878</v>
      </c>
      <c r="D1940" s="0" t="s">
        <v>26</v>
      </c>
      <c r="E1940" s="2" t="n">
        <v>45336</v>
      </c>
      <c r="F1940" s="3" t="s">
        <v>20</v>
      </c>
      <c r="G1940" s="3" t="s">
        <v>43</v>
      </c>
      <c r="H1940" s="3" t="s">
        <v>22</v>
      </c>
      <c r="I1940" s="3" t="n">
        <f aca="false">YEAR(E1940)</f>
        <v>2024</v>
      </c>
      <c r="J1940" s="3" t="n">
        <f aca="false">MONTH(E1940)</f>
        <v>2</v>
      </c>
      <c r="K1940" s="3" t="n">
        <f aca="false">COUNTIFS($B$2:$B$4077,B1940,$C$2:$C$4077,C1940,$I$2:$I$4077,I1940)</f>
        <v>1</v>
      </c>
      <c r="L1940" s="3" t="n">
        <f aca="false">IF(COUNTIFS($B$2:B1940,B1940,$C$2:C1940,C1940,$I$2:I1940,I1940)=1,1,0)</f>
        <v>1</v>
      </c>
      <c r="M1940" s="3" t="n">
        <f aca="false">IF(K1940&gt;=Parametri!$B$1,1,0)</f>
        <v>0</v>
      </c>
      <c r="N1940" s="3" t="n">
        <f aca="false">L1940*M1940</f>
        <v>0</v>
      </c>
    </row>
    <row r="1941" customFormat="false" ht="15" hidden="false" customHeight="false" outlineLevel="0" collapsed="false">
      <c r="A1941" s="0" t="s">
        <v>3144</v>
      </c>
      <c r="B1941" s="0" t="s">
        <v>41</v>
      </c>
      <c r="C1941" s="0" t="s">
        <v>3145</v>
      </c>
      <c r="D1941" s="0" t="s">
        <v>77</v>
      </c>
      <c r="E1941" s="2" t="n">
        <v>45847</v>
      </c>
      <c r="F1941" s="3" t="s">
        <v>20</v>
      </c>
      <c r="G1941" s="3" t="s">
        <v>55</v>
      </c>
      <c r="H1941" s="3" t="s">
        <v>29</v>
      </c>
      <c r="I1941" s="3" t="n">
        <f aca="false">YEAR(E1941)</f>
        <v>2025</v>
      </c>
      <c r="J1941" s="3" t="n">
        <f aca="false">MONTH(E1941)</f>
        <v>7</v>
      </c>
      <c r="K1941" s="3" t="n">
        <f aca="false">COUNTIFS($B$2:$B$4077,B1941,$C$2:$C$4077,C1941,$I$2:$I$4077,I1941)</f>
        <v>1</v>
      </c>
      <c r="L1941" s="3" t="n">
        <f aca="false">IF(COUNTIFS($B$2:B1941,B1941,$C$2:C1941,C1941,$I$2:I1941,I1941)=1,1,0)</f>
        <v>1</v>
      </c>
      <c r="M1941" s="3" t="n">
        <f aca="false">IF(K1941&gt;=Parametri!$B$1,1,0)</f>
        <v>0</v>
      </c>
      <c r="N1941" s="3" t="n">
        <f aca="false">L1941*M1941</f>
        <v>0</v>
      </c>
    </row>
    <row r="1942" customFormat="false" ht="15" hidden="false" customHeight="false" outlineLevel="0" collapsed="false">
      <c r="A1942" s="0" t="s">
        <v>3146</v>
      </c>
      <c r="B1942" s="0" t="s">
        <v>79</v>
      </c>
      <c r="C1942" s="0" t="s">
        <v>463</v>
      </c>
      <c r="D1942" s="0" t="s">
        <v>54</v>
      </c>
      <c r="E1942" s="2" t="n">
        <v>45318</v>
      </c>
      <c r="F1942" s="3" t="s">
        <v>27</v>
      </c>
      <c r="G1942" s="3" t="s">
        <v>89</v>
      </c>
      <c r="H1942" s="3" t="s">
        <v>22</v>
      </c>
      <c r="I1942" s="3" t="n">
        <f aca="false">YEAR(E1942)</f>
        <v>2024</v>
      </c>
      <c r="J1942" s="3" t="n">
        <f aca="false">MONTH(E1942)</f>
        <v>1</v>
      </c>
      <c r="K1942" s="3" t="n">
        <f aca="false">COUNTIFS($B$2:$B$4077,B1942,$C$2:$C$4077,C1942,$I$2:$I$4077,I1942)</f>
        <v>3</v>
      </c>
      <c r="L1942" s="3" t="n">
        <f aca="false">IF(COUNTIFS($B$2:B1942,B1942,$C$2:C1942,C1942,$I$2:I1942,I1942)=1,1,0)</f>
        <v>1</v>
      </c>
      <c r="M1942" s="3" t="n">
        <f aca="false">IF(K1942&gt;=Parametri!$B$1,1,0)</f>
        <v>1</v>
      </c>
      <c r="N1942" s="3" t="n">
        <f aca="false">L1942*M1942</f>
        <v>1</v>
      </c>
    </row>
    <row r="1943" customFormat="false" ht="15" hidden="false" customHeight="false" outlineLevel="0" collapsed="false">
      <c r="A1943" s="0" t="s">
        <v>3147</v>
      </c>
      <c r="B1943" s="0" t="s">
        <v>41</v>
      </c>
      <c r="C1943" s="0" t="s">
        <v>3020</v>
      </c>
      <c r="D1943" s="0" t="s">
        <v>38</v>
      </c>
      <c r="E1943" s="2" t="n">
        <v>45666</v>
      </c>
      <c r="F1943" s="3" t="s">
        <v>34</v>
      </c>
      <c r="G1943" s="3" t="s">
        <v>28</v>
      </c>
      <c r="H1943" s="3" t="s">
        <v>22</v>
      </c>
      <c r="I1943" s="3" t="n">
        <f aca="false">YEAR(E1943)</f>
        <v>2025</v>
      </c>
      <c r="J1943" s="3" t="n">
        <f aca="false">MONTH(E1943)</f>
        <v>1</v>
      </c>
      <c r="K1943" s="3" t="n">
        <f aca="false">COUNTIFS($B$2:$B$4077,B1943,$C$2:$C$4077,C1943,$I$2:$I$4077,I1943)</f>
        <v>1</v>
      </c>
      <c r="L1943" s="3" t="n">
        <f aca="false">IF(COUNTIFS($B$2:B1943,B1943,$C$2:C1943,C1943,$I$2:I1943,I1943)=1,1,0)</f>
        <v>1</v>
      </c>
      <c r="M1943" s="3" t="n">
        <f aca="false">IF(K1943&gt;=Parametri!$B$1,1,0)</f>
        <v>0</v>
      </c>
      <c r="N1943" s="3" t="n">
        <f aca="false">L1943*M1943</f>
        <v>0</v>
      </c>
    </row>
    <row r="1944" customFormat="false" ht="15" hidden="false" customHeight="false" outlineLevel="0" collapsed="false">
      <c r="A1944" s="0" t="s">
        <v>3148</v>
      </c>
      <c r="B1944" s="0" t="s">
        <v>24</v>
      </c>
      <c r="C1944" s="0" t="s">
        <v>875</v>
      </c>
      <c r="D1944" s="0" t="s">
        <v>26</v>
      </c>
      <c r="E1944" s="2" t="n">
        <v>46208</v>
      </c>
      <c r="F1944" s="3" t="s">
        <v>20</v>
      </c>
      <c r="G1944" s="3" t="s">
        <v>28</v>
      </c>
      <c r="H1944" s="3" t="s">
        <v>48</v>
      </c>
      <c r="I1944" s="3" t="n">
        <f aca="false">YEAR(E1944)</f>
        <v>2026</v>
      </c>
      <c r="J1944" s="3" t="n">
        <f aca="false">MONTH(E1944)</f>
        <v>7</v>
      </c>
      <c r="K1944" s="3" t="n">
        <f aca="false">COUNTIFS($B$2:$B$4077,B1944,$C$2:$C$4077,C1944,$I$2:$I$4077,I1944)</f>
        <v>1</v>
      </c>
      <c r="L1944" s="3" t="n">
        <f aca="false">IF(COUNTIFS($B$2:B1944,B1944,$C$2:C1944,C1944,$I$2:I1944,I1944)=1,1,0)</f>
        <v>1</v>
      </c>
      <c r="M1944" s="3" t="n">
        <f aca="false">IF(K1944&gt;=Parametri!$B$1,1,0)</f>
        <v>0</v>
      </c>
      <c r="N1944" s="3" t="n">
        <f aca="false">L1944*M1944</f>
        <v>0</v>
      </c>
    </row>
    <row r="1945" customFormat="false" ht="15" hidden="false" customHeight="false" outlineLevel="0" collapsed="false">
      <c r="A1945" s="0" t="s">
        <v>3149</v>
      </c>
      <c r="B1945" s="0" t="s">
        <v>31</v>
      </c>
      <c r="C1945" s="0" t="s">
        <v>3150</v>
      </c>
      <c r="D1945" s="0" t="s">
        <v>38</v>
      </c>
      <c r="E1945" s="2" t="n">
        <v>45739</v>
      </c>
      <c r="F1945" s="3" t="s">
        <v>34</v>
      </c>
      <c r="G1945" s="3" t="s">
        <v>55</v>
      </c>
      <c r="H1945" s="3" t="s">
        <v>44</v>
      </c>
      <c r="I1945" s="3" t="n">
        <f aca="false">YEAR(E1945)</f>
        <v>2025</v>
      </c>
      <c r="J1945" s="3" t="n">
        <f aca="false">MONTH(E1945)</f>
        <v>3</v>
      </c>
      <c r="K1945" s="3" t="n">
        <f aca="false">COUNTIFS($B$2:$B$4077,B1945,$C$2:$C$4077,C1945,$I$2:$I$4077,I1945)</f>
        <v>1</v>
      </c>
      <c r="L1945" s="3" t="n">
        <f aca="false">IF(COUNTIFS($B$2:B1945,B1945,$C$2:C1945,C1945,$I$2:I1945,I1945)=1,1,0)</f>
        <v>1</v>
      </c>
      <c r="M1945" s="3" t="n">
        <f aca="false">IF(K1945&gt;=Parametri!$B$1,1,0)</f>
        <v>0</v>
      </c>
      <c r="N1945" s="3" t="n">
        <f aca="false">L1945*M1945</f>
        <v>0</v>
      </c>
    </row>
    <row r="1946" customFormat="false" ht="15" hidden="false" customHeight="false" outlineLevel="0" collapsed="false">
      <c r="A1946" s="0" t="s">
        <v>3151</v>
      </c>
      <c r="B1946" s="0" t="s">
        <v>68</v>
      </c>
      <c r="C1946" s="0" t="s">
        <v>3152</v>
      </c>
      <c r="D1946" s="0" t="s">
        <v>38</v>
      </c>
      <c r="E1946" s="2" t="n">
        <v>45983</v>
      </c>
      <c r="F1946" s="3" t="s">
        <v>20</v>
      </c>
      <c r="G1946" s="3" t="s">
        <v>21</v>
      </c>
      <c r="H1946" s="3" t="s">
        <v>22</v>
      </c>
      <c r="I1946" s="3" t="n">
        <f aca="false">YEAR(E1946)</f>
        <v>2025</v>
      </c>
      <c r="J1946" s="3" t="n">
        <f aca="false">MONTH(E1946)</f>
        <v>11</v>
      </c>
      <c r="K1946" s="3" t="n">
        <f aca="false">COUNTIFS($B$2:$B$4077,B1946,$C$2:$C$4077,C1946,$I$2:$I$4077,I1946)</f>
        <v>1</v>
      </c>
      <c r="L1946" s="3" t="n">
        <f aca="false">IF(COUNTIFS($B$2:B1946,B1946,$C$2:C1946,C1946,$I$2:I1946,I1946)=1,1,0)</f>
        <v>1</v>
      </c>
      <c r="M1946" s="3" t="n">
        <f aca="false">IF(K1946&gt;=Parametri!$B$1,1,0)</f>
        <v>0</v>
      </c>
      <c r="N1946" s="3" t="n">
        <f aca="false">L1946*M1946</f>
        <v>0</v>
      </c>
    </row>
    <row r="1947" customFormat="false" ht="15" hidden="false" customHeight="false" outlineLevel="0" collapsed="false">
      <c r="A1947" s="0" t="s">
        <v>3153</v>
      </c>
      <c r="B1947" s="0" t="s">
        <v>46</v>
      </c>
      <c r="C1947" s="0" t="s">
        <v>1572</v>
      </c>
      <c r="D1947" s="0" t="s">
        <v>33</v>
      </c>
      <c r="E1947" s="2" t="n">
        <v>45523</v>
      </c>
      <c r="F1947" s="3" t="s">
        <v>20</v>
      </c>
      <c r="G1947" s="3" t="s">
        <v>55</v>
      </c>
      <c r="H1947" s="3" t="s">
        <v>22</v>
      </c>
      <c r="I1947" s="3" t="n">
        <f aca="false">YEAR(E1947)</f>
        <v>2024</v>
      </c>
      <c r="J1947" s="3" t="n">
        <f aca="false">MONTH(E1947)</f>
        <v>8</v>
      </c>
      <c r="K1947" s="3" t="n">
        <f aca="false">COUNTIFS($B$2:$B$4077,B1947,$C$2:$C$4077,C1947,$I$2:$I$4077,I1947)</f>
        <v>1</v>
      </c>
      <c r="L1947" s="3" t="n">
        <f aca="false">IF(COUNTIFS($B$2:B1947,B1947,$C$2:C1947,C1947,$I$2:I1947,I1947)=1,1,0)</f>
        <v>1</v>
      </c>
      <c r="M1947" s="3" t="n">
        <f aca="false">IF(K1947&gt;=Parametri!$B$1,1,0)</f>
        <v>0</v>
      </c>
      <c r="N1947" s="3" t="n">
        <f aca="false">L1947*M1947</f>
        <v>0</v>
      </c>
    </row>
    <row r="1948" customFormat="false" ht="15" hidden="false" customHeight="false" outlineLevel="0" collapsed="false">
      <c r="A1948" s="0" t="s">
        <v>3154</v>
      </c>
      <c r="B1948" s="0" t="s">
        <v>46</v>
      </c>
      <c r="C1948" s="0" t="s">
        <v>2502</v>
      </c>
      <c r="D1948" s="0" t="s">
        <v>33</v>
      </c>
      <c r="E1948" s="2" t="n">
        <v>46197</v>
      </c>
      <c r="F1948" s="3" t="s">
        <v>34</v>
      </c>
      <c r="G1948" s="3" t="s">
        <v>55</v>
      </c>
      <c r="H1948" s="3" t="s">
        <v>44</v>
      </c>
      <c r="I1948" s="3" t="n">
        <f aca="false">YEAR(E1948)</f>
        <v>2026</v>
      </c>
      <c r="J1948" s="3" t="n">
        <f aca="false">MONTH(E1948)</f>
        <v>6</v>
      </c>
      <c r="K1948" s="3" t="n">
        <f aca="false">COUNTIFS($B$2:$B$4077,B1948,$C$2:$C$4077,C1948,$I$2:$I$4077,I1948)</f>
        <v>2</v>
      </c>
      <c r="L1948" s="3" t="n">
        <f aca="false">IF(COUNTIFS($B$2:B1948,B1948,$C$2:C1948,C1948,$I$2:I1948,I1948)=1,1,0)</f>
        <v>0</v>
      </c>
      <c r="M1948" s="3" t="n">
        <f aca="false">IF(K1948&gt;=Parametri!$B$1,1,0)</f>
        <v>1</v>
      </c>
      <c r="N1948" s="3" t="n">
        <f aca="false">L1948*M1948</f>
        <v>0</v>
      </c>
    </row>
    <row r="1949" customFormat="false" ht="15" hidden="false" customHeight="false" outlineLevel="0" collapsed="false">
      <c r="A1949" s="0" t="s">
        <v>3155</v>
      </c>
      <c r="B1949" s="0" t="s">
        <v>57</v>
      </c>
      <c r="C1949" s="0" t="s">
        <v>702</v>
      </c>
      <c r="D1949" s="0" t="s">
        <v>77</v>
      </c>
      <c r="E1949" s="2" t="n">
        <v>45943</v>
      </c>
      <c r="F1949" s="3" t="s">
        <v>34</v>
      </c>
      <c r="G1949" s="3" t="s">
        <v>55</v>
      </c>
      <c r="H1949" s="3" t="s">
        <v>44</v>
      </c>
      <c r="I1949" s="3" t="n">
        <f aca="false">YEAR(E1949)</f>
        <v>2025</v>
      </c>
      <c r="J1949" s="3" t="n">
        <f aca="false">MONTH(E1949)</f>
        <v>10</v>
      </c>
      <c r="K1949" s="3" t="n">
        <f aca="false">COUNTIFS($B$2:$B$4077,B1949,$C$2:$C$4077,C1949,$I$2:$I$4077,I1949)</f>
        <v>3</v>
      </c>
      <c r="L1949" s="3" t="n">
        <f aca="false">IF(COUNTIFS($B$2:B1949,B1949,$C$2:C1949,C1949,$I$2:I1949,I1949)=1,1,0)</f>
        <v>0</v>
      </c>
      <c r="M1949" s="3" t="n">
        <f aca="false">IF(K1949&gt;=Parametri!$B$1,1,0)</f>
        <v>1</v>
      </c>
      <c r="N1949" s="3" t="n">
        <f aca="false">L1949*M1949</f>
        <v>0</v>
      </c>
    </row>
    <row r="1950" customFormat="false" ht="15" hidden="false" customHeight="false" outlineLevel="0" collapsed="false">
      <c r="A1950" s="0" t="s">
        <v>3156</v>
      </c>
      <c r="B1950" s="0" t="s">
        <v>31</v>
      </c>
      <c r="C1950" s="0" t="s">
        <v>3107</v>
      </c>
      <c r="D1950" s="0" t="s">
        <v>77</v>
      </c>
      <c r="E1950" s="2" t="n">
        <v>45729</v>
      </c>
      <c r="F1950" s="3" t="s">
        <v>34</v>
      </c>
      <c r="G1950" s="3" t="s">
        <v>21</v>
      </c>
      <c r="H1950" s="3" t="s">
        <v>22</v>
      </c>
      <c r="I1950" s="3" t="n">
        <f aca="false">YEAR(E1950)</f>
        <v>2025</v>
      </c>
      <c r="J1950" s="3" t="n">
        <f aca="false">MONTH(E1950)</f>
        <v>3</v>
      </c>
      <c r="K1950" s="3" t="n">
        <f aca="false">COUNTIFS($B$2:$B$4077,B1950,$C$2:$C$4077,C1950,$I$2:$I$4077,I1950)</f>
        <v>2</v>
      </c>
      <c r="L1950" s="3" t="n">
        <f aca="false">IF(COUNTIFS($B$2:B1950,B1950,$C$2:C1950,C1950,$I$2:I1950,I1950)=1,1,0)</f>
        <v>0</v>
      </c>
      <c r="M1950" s="3" t="n">
        <f aca="false">IF(K1950&gt;=Parametri!$B$1,1,0)</f>
        <v>1</v>
      </c>
      <c r="N1950" s="3" t="n">
        <f aca="false">L1950*M1950</f>
        <v>0</v>
      </c>
    </row>
    <row r="1951" customFormat="false" ht="15" hidden="false" customHeight="false" outlineLevel="0" collapsed="false">
      <c r="A1951" s="0" t="s">
        <v>3157</v>
      </c>
      <c r="B1951" s="0" t="s">
        <v>68</v>
      </c>
      <c r="C1951" s="0" t="s">
        <v>3158</v>
      </c>
      <c r="D1951" s="0" t="s">
        <v>19</v>
      </c>
      <c r="E1951" s="2" t="n">
        <v>46132</v>
      </c>
      <c r="F1951" s="3" t="s">
        <v>20</v>
      </c>
      <c r="G1951" s="3" t="s">
        <v>39</v>
      </c>
      <c r="H1951" s="3" t="s">
        <v>22</v>
      </c>
      <c r="I1951" s="3" t="n">
        <f aca="false">YEAR(E1951)</f>
        <v>2026</v>
      </c>
      <c r="J1951" s="3" t="n">
        <f aca="false">MONTH(E1951)</f>
        <v>4</v>
      </c>
      <c r="K1951" s="3" t="n">
        <f aca="false">COUNTIFS($B$2:$B$4077,B1951,$C$2:$C$4077,C1951,$I$2:$I$4077,I1951)</f>
        <v>1</v>
      </c>
      <c r="L1951" s="3" t="n">
        <f aca="false">IF(COUNTIFS($B$2:B1951,B1951,$C$2:C1951,C1951,$I$2:I1951,I1951)=1,1,0)</f>
        <v>1</v>
      </c>
      <c r="M1951" s="3" t="n">
        <f aca="false">IF(K1951&gt;=Parametri!$B$1,1,0)</f>
        <v>0</v>
      </c>
      <c r="N1951" s="3" t="n">
        <f aca="false">L1951*M1951</f>
        <v>0</v>
      </c>
    </row>
    <row r="1952" customFormat="false" ht="15" hidden="false" customHeight="false" outlineLevel="0" collapsed="false">
      <c r="A1952" s="0" t="s">
        <v>3159</v>
      </c>
      <c r="B1952" s="0" t="s">
        <v>79</v>
      </c>
      <c r="C1952" s="0" t="s">
        <v>1789</v>
      </c>
      <c r="D1952" s="0" t="s">
        <v>26</v>
      </c>
      <c r="E1952" s="2" t="n">
        <v>45804</v>
      </c>
      <c r="F1952" s="3" t="s">
        <v>27</v>
      </c>
      <c r="G1952" s="3" t="s">
        <v>89</v>
      </c>
      <c r="H1952" s="3" t="s">
        <v>22</v>
      </c>
      <c r="I1952" s="3" t="n">
        <f aca="false">YEAR(E1952)</f>
        <v>2025</v>
      </c>
      <c r="J1952" s="3" t="n">
        <f aca="false">MONTH(E1952)</f>
        <v>5</v>
      </c>
      <c r="K1952" s="3" t="n">
        <f aca="false">COUNTIFS($B$2:$B$4077,B1952,$C$2:$C$4077,C1952,$I$2:$I$4077,I1952)</f>
        <v>1</v>
      </c>
      <c r="L1952" s="3" t="n">
        <f aca="false">IF(COUNTIFS($B$2:B1952,B1952,$C$2:C1952,C1952,$I$2:I1952,I1952)=1,1,0)</f>
        <v>1</v>
      </c>
      <c r="M1952" s="3" t="n">
        <f aca="false">IF(K1952&gt;=Parametri!$B$1,1,0)</f>
        <v>0</v>
      </c>
      <c r="N1952" s="3" t="n">
        <f aca="false">L1952*M1952</f>
        <v>0</v>
      </c>
    </row>
    <row r="1953" customFormat="false" ht="15" hidden="false" customHeight="false" outlineLevel="0" collapsed="false">
      <c r="A1953" s="0" t="s">
        <v>3160</v>
      </c>
      <c r="B1953" s="0" t="s">
        <v>46</v>
      </c>
      <c r="C1953" s="0" t="s">
        <v>3161</v>
      </c>
      <c r="D1953" s="0" t="s">
        <v>63</v>
      </c>
      <c r="E1953" s="2" t="n">
        <v>45974</v>
      </c>
      <c r="F1953" s="3" t="s">
        <v>34</v>
      </c>
      <c r="G1953" s="3" t="s">
        <v>39</v>
      </c>
      <c r="H1953" s="3" t="s">
        <v>22</v>
      </c>
      <c r="I1953" s="3" t="n">
        <f aca="false">YEAR(E1953)</f>
        <v>2025</v>
      </c>
      <c r="J1953" s="3" t="n">
        <f aca="false">MONTH(E1953)</f>
        <v>11</v>
      </c>
      <c r="K1953" s="3" t="n">
        <f aca="false">COUNTIFS($B$2:$B$4077,B1953,$C$2:$C$4077,C1953,$I$2:$I$4077,I1953)</f>
        <v>2</v>
      </c>
      <c r="L1953" s="3" t="n">
        <f aca="false">IF(COUNTIFS($B$2:B1953,B1953,$C$2:C1953,C1953,$I$2:I1953,I1953)=1,1,0)</f>
        <v>1</v>
      </c>
      <c r="M1953" s="3" t="n">
        <f aca="false">IF(K1953&gt;=Parametri!$B$1,1,0)</f>
        <v>1</v>
      </c>
      <c r="N1953" s="3" t="n">
        <f aca="false">L1953*M1953</f>
        <v>1</v>
      </c>
    </row>
    <row r="1954" customFormat="false" ht="15" hidden="false" customHeight="false" outlineLevel="0" collapsed="false">
      <c r="A1954" s="0" t="s">
        <v>3162</v>
      </c>
      <c r="B1954" s="0" t="s">
        <v>41</v>
      </c>
      <c r="C1954" s="0" t="s">
        <v>3163</v>
      </c>
      <c r="D1954" s="0" t="s">
        <v>26</v>
      </c>
      <c r="E1954" s="2" t="n">
        <v>45786</v>
      </c>
      <c r="F1954" s="3" t="s">
        <v>27</v>
      </c>
      <c r="G1954" s="3" t="s">
        <v>39</v>
      </c>
      <c r="H1954" s="3" t="s">
        <v>48</v>
      </c>
      <c r="I1954" s="3" t="n">
        <f aca="false">YEAR(E1954)</f>
        <v>2025</v>
      </c>
      <c r="J1954" s="3" t="n">
        <f aca="false">MONTH(E1954)</f>
        <v>5</v>
      </c>
      <c r="K1954" s="3" t="n">
        <f aca="false">COUNTIFS($B$2:$B$4077,B1954,$C$2:$C$4077,C1954,$I$2:$I$4077,I1954)</f>
        <v>3</v>
      </c>
      <c r="L1954" s="3" t="n">
        <f aca="false">IF(COUNTIFS($B$2:B1954,B1954,$C$2:C1954,C1954,$I$2:I1954,I1954)=1,1,0)</f>
        <v>1</v>
      </c>
      <c r="M1954" s="3" t="n">
        <f aca="false">IF(K1954&gt;=Parametri!$B$1,1,0)</f>
        <v>1</v>
      </c>
      <c r="N1954" s="3" t="n">
        <f aca="false">L1954*M1954</f>
        <v>1</v>
      </c>
    </row>
    <row r="1955" customFormat="false" ht="15" hidden="false" customHeight="false" outlineLevel="0" collapsed="false">
      <c r="A1955" s="0" t="s">
        <v>3164</v>
      </c>
      <c r="B1955" s="0" t="s">
        <v>79</v>
      </c>
      <c r="C1955" s="0" t="s">
        <v>463</v>
      </c>
      <c r="D1955" s="0" t="s">
        <v>26</v>
      </c>
      <c r="E1955" s="2" t="n">
        <v>45592</v>
      </c>
      <c r="F1955" s="3" t="s">
        <v>20</v>
      </c>
      <c r="G1955" s="3" t="s">
        <v>72</v>
      </c>
      <c r="H1955" s="3" t="s">
        <v>22</v>
      </c>
      <c r="I1955" s="3" t="n">
        <f aca="false">YEAR(E1955)</f>
        <v>2024</v>
      </c>
      <c r="J1955" s="3" t="n">
        <f aca="false">MONTH(E1955)</f>
        <v>10</v>
      </c>
      <c r="K1955" s="3" t="n">
        <f aca="false">COUNTIFS($B$2:$B$4077,B1955,$C$2:$C$4077,C1955,$I$2:$I$4077,I1955)</f>
        <v>3</v>
      </c>
      <c r="L1955" s="3" t="n">
        <f aca="false">IF(COUNTIFS($B$2:B1955,B1955,$C$2:C1955,C1955,$I$2:I1955,I1955)=1,1,0)</f>
        <v>0</v>
      </c>
      <c r="M1955" s="3" t="n">
        <f aca="false">IF(K1955&gt;=Parametri!$B$1,1,0)</f>
        <v>1</v>
      </c>
      <c r="N1955" s="3" t="n">
        <f aca="false">L1955*M1955</f>
        <v>0</v>
      </c>
    </row>
    <row r="1956" customFormat="false" ht="15" hidden="false" customHeight="false" outlineLevel="0" collapsed="false">
      <c r="A1956" s="0" t="s">
        <v>3165</v>
      </c>
      <c r="B1956" s="0" t="s">
        <v>124</v>
      </c>
      <c r="C1956" s="0" t="s">
        <v>657</v>
      </c>
      <c r="D1956" s="0" t="s">
        <v>19</v>
      </c>
      <c r="E1956" s="2" t="n">
        <v>46155</v>
      </c>
      <c r="F1956" s="3" t="s">
        <v>34</v>
      </c>
      <c r="G1956" s="3" t="s">
        <v>43</v>
      </c>
      <c r="H1956" s="3" t="s">
        <v>44</v>
      </c>
      <c r="I1956" s="3" t="n">
        <f aca="false">YEAR(E1956)</f>
        <v>2026</v>
      </c>
      <c r="J1956" s="3" t="n">
        <f aca="false">MONTH(E1956)</f>
        <v>5</v>
      </c>
      <c r="K1956" s="3" t="n">
        <f aca="false">COUNTIFS($B$2:$B$4077,B1956,$C$2:$C$4077,C1956,$I$2:$I$4077,I1956)</f>
        <v>2</v>
      </c>
      <c r="L1956" s="3" t="n">
        <f aca="false">IF(COUNTIFS($B$2:B1956,B1956,$C$2:C1956,C1956,$I$2:I1956,I1956)=1,1,0)</f>
        <v>0</v>
      </c>
      <c r="M1956" s="3" t="n">
        <f aca="false">IF(K1956&gt;=Parametri!$B$1,1,0)</f>
        <v>1</v>
      </c>
      <c r="N1956" s="3" t="n">
        <f aca="false">L1956*M1956</f>
        <v>0</v>
      </c>
    </row>
    <row r="1957" customFormat="false" ht="15" hidden="false" customHeight="false" outlineLevel="0" collapsed="false">
      <c r="A1957" s="0" t="s">
        <v>3166</v>
      </c>
      <c r="B1957" s="0" t="s">
        <v>41</v>
      </c>
      <c r="C1957" s="0" t="s">
        <v>3167</v>
      </c>
      <c r="D1957" s="0" t="s">
        <v>66</v>
      </c>
      <c r="E1957" s="2" t="n">
        <v>45510</v>
      </c>
      <c r="F1957" s="3" t="s">
        <v>20</v>
      </c>
      <c r="G1957" s="3" t="s">
        <v>39</v>
      </c>
      <c r="H1957" s="3" t="s">
        <v>22</v>
      </c>
      <c r="I1957" s="3" t="n">
        <f aca="false">YEAR(E1957)</f>
        <v>2024</v>
      </c>
      <c r="J1957" s="3" t="n">
        <f aca="false">MONTH(E1957)</f>
        <v>8</v>
      </c>
      <c r="K1957" s="3" t="n">
        <f aca="false">COUNTIFS($B$2:$B$4077,B1957,$C$2:$C$4077,C1957,$I$2:$I$4077,I1957)</f>
        <v>1</v>
      </c>
      <c r="L1957" s="3" t="n">
        <f aca="false">IF(COUNTIFS($B$2:B1957,B1957,$C$2:C1957,C1957,$I$2:I1957,I1957)=1,1,0)</f>
        <v>1</v>
      </c>
      <c r="M1957" s="3" t="n">
        <f aca="false">IF(K1957&gt;=Parametri!$B$1,1,0)</f>
        <v>0</v>
      </c>
      <c r="N1957" s="3" t="n">
        <f aca="false">L1957*M1957</f>
        <v>0</v>
      </c>
    </row>
    <row r="1958" customFormat="false" ht="15" hidden="false" customHeight="false" outlineLevel="0" collapsed="false">
      <c r="A1958" s="0" t="s">
        <v>3168</v>
      </c>
      <c r="B1958" s="0" t="s">
        <v>24</v>
      </c>
      <c r="C1958" s="0" t="s">
        <v>3062</v>
      </c>
      <c r="D1958" s="0" t="s">
        <v>77</v>
      </c>
      <c r="E1958" s="2" t="n">
        <v>45426</v>
      </c>
      <c r="F1958" s="3" t="s">
        <v>34</v>
      </c>
      <c r="G1958" s="3" t="s">
        <v>43</v>
      </c>
      <c r="H1958" s="3" t="s">
        <v>44</v>
      </c>
      <c r="I1958" s="3" t="n">
        <f aca="false">YEAR(E1958)</f>
        <v>2024</v>
      </c>
      <c r="J1958" s="3" t="n">
        <f aca="false">MONTH(E1958)</f>
        <v>5</v>
      </c>
      <c r="K1958" s="3" t="n">
        <f aca="false">COUNTIFS($B$2:$B$4077,B1958,$C$2:$C$4077,C1958,$I$2:$I$4077,I1958)</f>
        <v>2</v>
      </c>
      <c r="L1958" s="3" t="n">
        <f aca="false">IF(COUNTIFS($B$2:B1958,B1958,$C$2:C1958,C1958,$I$2:I1958,I1958)=1,1,0)</f>
        <v>0</v>
      </c>
      <c r="M1958" s="3" t="n">
        <f aca="false">IF(K1958&gt;=Parametri!$B$1,1,0)</f>
        <v>1</v>
      </c>
      <c r="N1958" s="3" t="n">
        <f aca="false">L1958*M1958</f>
        <v>0</v>
      </c>
    </row>
    <row r="1959" customFormat="false" ht="15" hidden="false" customHeight="false" outlineLevel="0" collapsed="false">
      <c r="A1959" s="0" t="s">
        <v>3169</v>
      </c>
      <c r="B1959" s="0" t="s">
        <v>31</v>
      </c>
      <c r="C1959" s="0" t="s">
        <v>3170</v>
      </c>
      <c r="D1959" s="0" t="s">
        <v>26</v>
      </c>
      <c r="E1959" s="2" t="n">
        <v>45670</v>
      </c>
      <c r="F1959" s="3" t="s">
        <v>20</v>
      </c>
      <c r="G1959" s="3" t="s">
        <v>35</v>
      </c>
      <c r="H1959" s="3" t="s">
        <v>44</v>
      </c>
      <c r="I1959" s="3" t="n">
        <f aca="false">YEAR(E1959)</f>
        <v>2025</v>
      </c>
      <c r="J1959" s="3" t="n">
        <f aca="false">MONTH(E1959)</f>
        <v>1</v>
      </c>
      <c r="K1959" s="3" t="n">
        <f aca="false">COUNTIFS($B$2:$B$4077,B1959,$C$2:$C$4077,C1959,$I$2:$I$4077,I1959)</f>
        <v>2</v>
      </c>
      <c r="L1959" s="3" t="n">
        <f aca="false">IF(COUNTIFS($B$2:B1959,B1959,$C$2:C1959,C1959,$I$2:I1959,I1959)=1,1,0)</f>
        <v>1</v>
      </c>
      <c r="M1959" s="3" t="n">
        <f aca="false">IF(K1959&gt;=Parametri!$B$1,1,0)</f>
        <v>1</v>
      </c>
      <c r="N1959" s="3" t="n">
        <f aca="false">L1959*M1959</f>
        <v>1</v>
      </c>
    </row>
    <row r="1960" customFormat="false" ht="15" hidden="false" customHeight="false" outlineLevel="0" collapsed="false">
      <c r="A1960" s="0" t="s">
        <v>3171</v>
      </c>
      <c r="B1960" s="0" t="s">
        <v>41</v>
      </c>
      <c r="C1960" s="0" t="s">
        <v>1162</v>
      </c>
      <c r="D1960" s="0" t="s">
        <v>66</v>
      </c>
      <c r="E1960" s="2" t="n">
        <v>45556</v>
      </c>
      <c r="F1960" s="3" t="s">
        <v>20</v>
      </c>
      <c r="G1960" s="3" t="s">
        <v>35</v>
      </c>
      <c r="H1960" s="3" t="s">
        <v>48</v>
      </c>
      <c r="I1960" s="3" t="n">
        <f aca="false">YEAR(E1960)</f>
        <v>2024</v>
      </c>
      <c r="J1960" s="3" t="n">
        <f aca="false">MONTH(E1960)</f>
        <v>9</v>
      </c>
      <c r="K1960" s="3" t="n">
        <f aca="false">COUNTIFS($B$2:$B$4077,B1960,$C$2:$C$4077,C1960,$I$2:$I$4077,I1960)</f>
        <v>2</v>
      </c>
      <c r="L1960" s="3" t="n">
        <f aca="false">IF(COUNTIFS($B$2:B1960,B1960,$C$2:C1960,C1960,$I$2:I1960,I1960)=1,1,0)</f>
        <v>1</v>
      </c>
      <c r="M1960" s="3" t="n">
        <f aca="false">IF(K1960&gt;=Parametri!$B$1,1,0)</f>
        <v>1</v>
      </c>
      <c r="N1960" s="3" t="n">
        <f aca="false">L1960*M1960</f>
        <v>1</v>
      </c>
    </row>
    <row r="1961" customFormat="false" ht="15" hidden="false" customHeight="false" outlineLevel="0" collapsed="false">
      <c r="A1961" s="0" t="s">
        <v>3172</v>
      </c>
      <c r="B1961" s="0" t="s">
        <v>79</v>
      </c>
      <c r="C1961" s="0" t="s">
        <v>673</v>
      </c>
      <c r="D1961" s="0" t="s">
        <v>19</v>
      </c>
      <c r="E1961" s="2" t="n">
        <v>45559</v>
      </c>
      <c r="F1961" s="3" t="s">
        <v>27</v>
      </c>
      <c r="G1961" s="3" t="s">
        <v>55</v>
      </c>
      <c r="H1961" s="3" t="s">
        <v>48</v>
      </c>
      <c r="I1961" s="3" t="n">
        <f aca="false">YEAR(E1961)</f>
        <v>2024</v>
      </c>
      <c r="J1961" s="3" t="n">
        <f aca="false">MONTH(E1961)</f>
        <v>9</v>
      </c>
      <c r="K1961" s="3" t="n">
        <f aca="false">COUNTIFS($B$2:$B$4077,B1961,$C$2:$C$4077,C1961,$I$2:$I$4077,I1961)</f>
        <v>2</v>
      </c>
      <c r="L1961" s="3" t="n">
        <f aca="false">IF(COUNTIFS($B$2:B1961,B1961,$C$2:C1961,C1961,$I$2:I1961,I1961)=1,1,0)</f>
        <v>0</v>
      </c>
      <c r="M1961" s="3" t="n">
        <f aca="false">IF(K1961&gt;=Parametri!$B$1,1,0)</f>
        <v>1</v>
      </c>
      <c r="N1961" s="3" t="n">
        <f aca="false">L1961*M1961</f>
        <v>0</v>
      </c>
    </row>
    <row r="1962" customFormat="false" ht="15" hidden="false" customHeight="false" outlineLevel="0" collapsed="false">
      <c r="A1962" s="0" t="s">
        <v>3173</v>
      </c>
      <c r="B1962" s="0" t="s">
        <v>124</v>
      </c>
      <c r="C1962" s="0" t="s">
        <v>3174</v>
      </c>
      <c r="D1962" s="0" t="s">
        <v>54</v>
      </c>
      <c r="E1962" s="2" t="n">
        <v>45553</v>
      </c>
      <c r="F1962" s="3" t="s">
        <v>34</v>
      </c>
      <c r="G1962" s="3" t="s">
        <v>21</v>
      </c>
      <c r="H1962" s="3" t="s">
        <v>44</v>
      </c>
      <c r="I1962" s="3" t="n">
        <f aca="false">YEAR(E1962)</f>
        <v>2024</v>
      </c>
      <c r="J1962" s="3" t="n">
        <f aca="false">MONTH(E1962)</f>
        <v>9</v>
      </c>
      <c r="K1962" s="3" t="n">
        <f aca="false">COUNTIFS($B$2:$B$4077,B1962,$C$2:$C$4077,C1962,$I$2:$I$4077,I1962)</f>
        <v>1</v>
      </c>
      <c r="L1962" s="3" t="n">
        <f aca="false">IF(COUNTIFS($B$2:B1962,B1962,$C$2:C1962,C1962,$I$2:I1962,I1962)=1,1,0)</f>
        <v>1</v>
      </c>
      <c r="M1962" s="3" t="n">
        <f aca="false">IF(K1962&gt;=Parametri!$B$1,1,0)</f>
        <v>0</v>
      </c>
      <c r="N1962" s="3" t="n">
        <f aca="false">L1962*M1962</f>
        <v>0</v>
      </c>
    </row>
    <row r="1963" customFormat="false" ht="15" hidden="false" customHeight="false" outlineLevel="0" collapsed="false">
      <c r="A1963" s="0" t="s">
        <v>3175</v>
      </c>
      <c r="B1963" s="0" t="s">
        <v>24</v>
      </c>
      <c r="C1963" s="0" t="s">
        <v>907</v>
      </c>
      <c r="D1963" s="0" t="s">
        <v>66</v>
      </c>
      <c r="E1963" s="2" t="n">
        <v>46004</v>
      </c>
      <c r="F1963" s="3" t="s">
        <v>27</v>
      </c>
      <c r="G1963" s="3" t="s">
        <v>89</v>
      </c>
      <c r="H1963" s="3" t="s">
        <v>44</v>
      </c>
      <c r="I1963" s="3" t="n">
        <f aca="false">YEAR(E1963)</f>
        <v>2025</v>
      </c>
      <c r="J1963" s="3" t="n">
        <f aca="false">MONTH(E1963)</f>
        <v>12</v>
      </c>
      <c r="K1963" s="3" t="n">
        <f aca="false">COUNTIFS($B$2:$B$4077,B1963,$C$2:$C$4077,C1963,$I$2:$I$4077,I1963)</f>
        <v>1</v>
      </c>
      <c r="L1963" s="3" t="n">
        <f aca="false">IF(COUNTIFS($B$2:B1963,B1963,$C$2:C1963,C1963,$I$2:I1963,I1963)=1,1,0)</f>
        <v>1</v>
      </c>
      <c r="M1963" s="3" t="n">
        <f aca="false">IF(K1963&gt;=Parametri!$B$1,1,0)</f>
        <v>0</v>
      </c>
      <c r="N1963" s="3" t="n">
        <f aca="false">L1963*M1963</f>
        <v>0</v>
      </c>
    </row>
    <row r="1964" customFormat="false" ht="15" hidden="false" customHeight="false" outlineLevel="0" collapsed="false">
      <c r="A1964" s="0" t="s">
        <v>3176</v>
      </c>
      <c r="B1964" s="0" t="s">
        <v>79</v>
      </c>
      <c r="C1964" s="0" t="s">
        <v>3177</v>
      </c>
      <c r="D1964" s="0" t="s">
        <v>19</v>
      </c>
      <c r="E1964" s="2" t="n">
        <v>45658</v>
      </c>
      <c r="F1964" s="3" t="s">
        <v>27</v>
      </c>
      <c r="G1964" s="3" t="s">
        <v>21</v>
      </c>
      <c r="H1964" s="3" t="s">
        <v>29</v>
      </c>
      <c r="I1964" s="3" t="n">
        <f aca="false">YEAR(E1964)</f>
        <v>2025</v>
      </c>
      <c r="J1964" s="3" t="n">
        <f aca="false">MONTH(E1964)</f>
        <v>1</v>
      </c>
      <c r="K1964" s="3" t="n">
        <f aca="false">COUNTIFS($B$2:$B$4077,B1964,$C$2:$C$4077,C1964,$I$2:$I$4077,I1964)</f>
        <v>2</v>
      </c>
      <c r="L1964" s="3" t="n">
        <f aca="false">IF(COUNTIFS($B$2:B1964,B1964,$C$2:C1964,C1964,$I$2:I1964,I1964)=1,1,0)</f>
        <v>1</v>
      </c>
      <c r="M1964" s="3" t="n">
        <f aca="false">IF(K1964&gt;=Parametri!$B$1,1,0)</f>
        <v>1</v>
      </c>
      <c r="N1964" s="3" t="n">
        <f aca="false">L1964*M1964</f>
        <v>1</v>
      </c>
    </row>
    <row r="1965" customFormat="false" ht="15" hidden="false" customHeight="false" outlineLevel="0" collapsed="false">
      <c r="A1965" s="0" t="s">
        <v>3178</v>
      </c>
      <c r="B1965" s="0" t="s">
        <v>50</v>
      </c>
      <c r="C1965" s="0" t="s">
        <v>3179</v>
      </c>
      <c r="D1965" s="0" t="s">
        <v>38</v>
      </c>
      <c r="E1965" s="2" t="n">
        <v>45311</v>
      </c>
      <c r="F1965" s="3" t="s">
        <v>20</v>
      </c>
      <c r="G1965" s="3" t="s">
        <v>55</v>
      </c>
      <c r="H1965" s="3" t="s">
        <v>48</v>
      </c>
      <c r="I1965" s="3" t="n">
        <f aca="false">YEAR(E1965)</f>
        <v>2024</v>
      </c>
      <c r="J1965" s="3" t="n">
        <f aca="false">MONTH(E1965)</f>
        <v>1</v>
      </c>
      <c r="K1965" s="3" t="n">
        <f aca="false">COUNTIFS($B$2:$B$4077,B1965,$C$2:$C$4077,C1965,$I$2:$I$4077,I1965)</f>
        <v>1</v>
      </c>
      <c r="L1965" s="3" t="n">
        <f aca="false">IF(COUNTIFS($B$2:B1965,B1965,$C$2:C1965,C1965,$I$2:I1965,I1965)=1,1,0)</f>
        <v>1</v>
      </c>
      <c r="M1965" s="3" t="n">
        <f aca="false">IF(K1965&gt;=Parametri!$B$1,1,0)</f>
        <v>0</v>
      </c>
      <c r="N1965" s="3" t="n">
        <f aca="false">L1965*M1965</f>
        <v>0</v>
      </c>
    </row>
    <row r="1966" customFormat="false" ht="15" hidden="false" customHeight="false" outlineLevel="0" collapsed="false">
      <c r="A1966" s="0" t="s">
        <v>3180</v>
      </c>
      <c r="B1966" s="0" t="s">
        <v>79</v>
      </c>
      <c r="C1966" s="0" t="s">
        <v>463</v>
      </c>
      <c r="D1966" s="0" t="s">
        <v>19</v>
      </c>
      <c r="E1966" s="2" t="n">
        <v>45450</v>
      </c>
      <c r="F1966" s="3" t="s">
        <v>27</v>
      </c>
      <c r="G1966" s="3" t="s">
        <v>28</v>
      </c>
      <c r="H1966" s="3" t="s">
        <v>22</v>
      </c>
      <c r="I1966" s="3" t="n">
        <f aca="false">YEAR(E1966)</f>
        <v>2024</v>
      </c>
      <c r="J1966" s="3" t="n">
        <f aca="false">MONTH(E1966)</f>
        <v>6</v>
      </c>
      <c r="K1966" s="3" t="n">
        <f aca="false">COUNTIFS($B$2:$B$4077,B1966,$C$2:$C$4077,C1966,$I$2:$I$4077,I1966)</f>
        <v>3</v>
      </c>
      <c r="L1966" s="3" t="n">
        <f aca="false">IF(COUNTIFS($B$2:B1966,B1966,$C$2:C1966,C1966,$I$2:I1966,I1966)=1,1,0)</f>
        <v>0</v>
      </c>
      <c r="M1966" s="3" t="n">
        <f aca="false">IF(K1966&gt;=Parametri!$B$1,1,0)</f>
        <v>1</v>
      </c>
      <c r="N1966" s="3" t="n">
        <f aca="false">L1966*M1966</f>
        <v>0</v>
      </c>
    </row>
    <row r="1967" customFormat="false" ht="15" hidden="false" customHeight="false" outlineLevel="0" collapsed="false">
      <c r="A1967" s="0" t="s">
        <v>3181</v>
      </c>
      <c r="B1967" s="0" t="s">
        <v>68</v>
      </c>
      <c r="C1967" s="0" t="s">
        <v>3182</v>
      </c>
      <c r="D1967" s="0" t="s">
        <v>38</v>
      </c>
      <c r="E1967" s="2" t="n">
        <v>45634</v>
      </c>
      <c r="F1967" s="3" t="s">
        <v>20</v>
      </c>
      <c r="G1967" s="3" t="s">
        <v>55</v>
      </c>
      <c r="H1967" s="3" t="s">
        <v>48</v>
      </c>
      <c r="I1967" s="3" t="n">
        <f aca="false">YEAR(E1967)</f>
        <v>2024</v>
      </c>
      <c r="J1967" s="3" t="n">
        <f aca="false">MONTH(E1967)</f>
        <v>12</v>
      </c>
      <c r="K1967" s="3" t="n">
        <f aca="false">COUNTIFS($B$2:$B$4077,B1967,$C$2:$C$4077,C1967,$I$2:$I$4077,I1967)</f>
        <v>1</v>
      </c>
      <c r="L1967" s="3" t="n">
        <f aca="false">IF(COUNTIFS($B$2:B1967,B1967,$C$2:C1967,C1967,$I$2:I1967,I1967)=1,1,0)</f>
        <v>1</v>
      </c>
      <c r="M1967" s="3" t="n">
        <f aca="false">IF(K1967&gt;=Parametri!$B$1,1,0)</f>
        <v>0</v>
      </c>
      <c r="N1967" s="3" t="n">
        <f aca="false">L1967*M1967</f>
        <v>0</v>
      </c>
    </row>
    <row r="1968" customFormat="false" ht="15" hidden="false" customHeight="false" outlineLevel="0" collapsed="false">
      <c r="A1968" s="0" t="s">
        <v>3183</v>
      </c>
      <c r="B1968" s="0" t="s">
        <v>50</v>
      </c>
      <c r="C1968" s="0" t="s">
        <v>3184</v>
      </c>
      <c r="D1968" s="0" t="s">
        <v>66</v>
      </c>
      <c r="E1968" s="2" t="n">
        <v>45590</v>
      </c>
      <c r="F1968" s="3" t="s">
        <v>27</v>
      </c>
      <c r="G1968" s="3" t="s">
        <v>21</v>
      </c>
      <c r="H1968" s="3" t="s">
        <v>22</v>
      </c>
      <c r="I1968" s="3" t="n">
        <f aca="false">YEAR(E1968)</f>
        <v>2024</v>
      </c>
      <c r="J1968" s="3" t="n">
        <f aca="false">MONTH(E1968)</f>
        <v>10</v>
      </c>
      <c r="K1968" s="3" t="n">
        <f aca="false">COUNTIFS($B$2:$B$4077,B1968,$C$2:$C$4077,C1968,$I$2:$I$4077,I1968)</f>
        <v>1</v>
      </c>
      <c r="L1968" s="3" t="n">
        <f aca="false">IF(COUNTIFS($B$2:B1968,B1968,$C$2:C1968,C1968,$I$2:I1968,I1968)=1,1,0)</f>
        <v>1</v>
      </c>
      <c r="M1968" s="3" t="n">
        <f aca="false">IF(K1968&gt;=Parametri!$B$1,1,0)</f>
        <v>0</v>
      </c>
      <c r="N1968" s="3" t="n">
        <f aca="false">L1968*M1968</f>
        <v>0</v>
      </c>
    </row>
    <row r="1969" customFormat="false" ht="15" hidden="false" customHeight="false" outlineLevel="0" collapsed="false">
      <c r="A1969" s="0" t="s">
        <v>3185</v>
      </c>
      <c r="B1969" s="0" t="s">
        <v>68</v>
      </c>
      <c r="C1969" s="0" t="s">
        <v>3186</v>
      </c>
      <c r="D1969" s="0" t="s">
        <v>77</v>
      </c>
      <c r="E1969" s="2" t="n">
        <v>45830</v>
      </c>
      <c r="F1969" s="3" t="s">
        <v>34</v>
      </c>
      <c r="G1969" s="3" t="s">
        <v>43</v>
      </c>
      <c r="H1969" s="3" t="s">
        <v>22</v>
      </c>
      <c r="I1969" s="3" t="n">
        <f aca="false">YEAR(E1969)</f>
        <v>2025</v>
      </c>
      <c r="J1969" s="3" t="n">
        <f aca="false">MONTH(E1969)</f>
        <v>6</v>
      </c>
      <c r="K1969" s="3" t="n">
        <f aca="false">COUNTIFS($B$2:$B$4077,B1969,$C$2:$C$4077,C1969,$I$2:$I$4077,I1969)</f>
        <v>1</v>
      </c>
      <c r="L1969" s="3" t="n">
        <f aca="false">IF(COUNTIFS($B$2:B1969,B1969,$C$2:C1969,C1969,$I$2:I1969,I1969)=1,1,0)</f>
        <v>1</v>
      </c>
      <c r="M1969" s="3" t="n">
        <f aca="false">IF(K1969&gt;=Parametri!$B$1,1,0)</f>
        <v>0</v>
      </c>
      <c r="N1969" s="3" t="n">
        <f aca="false">L1969*M1969</f>
        <v>0</v>
      </c>
    </row>
    <row r="1970" customFormat="false" ht="15" hidden="false" customHeight="false" outlineLevel="0" collapsed="false">
      <c r="A1970" s="0" t="s">
        <v>3187</v>
      </c>
      <c r="B1970" s="0" t="s">
        <v>124</v>
      </c>
      <c r="C1970" s="0" t="s">
        <v>2402</v>
      </c>
      <c r="D1970" s="0" t="s">
        <v>54</v>
      </c>
      <c r="E1970" s="2" t="n">
        <v>46018</v>
      </c>
      <c r="F1970" s="3" t="s">
        <v>20</v>
      </c>
      <c r="G1970" s="3" t="s">
        <v>104</v>
      </c>
      <c r="H1970" s="3" t="s">
        <v>29</v>
      </c>
      <c r="I1970" s="3" t="n">
        <f aca="false">YEAR(E1970)</f>
        <v>2025</v>
      </c>
      <c r="J1970" s="3" t="n">
        <f aca="false">MONTH(E1970)</f>
        <v>12</v>
      </c>
      <c r="K1970" s="3" t="n">
        <f aca="false">COUNTIFS($B$2:$B$4077,B1970,$C$2:$C$4077,C1970,$I$2:$I$4077,I1970)</f>
        <v>1</v>
      </c>
      <c r="L1970" s="3" t="n">
        <f aca="false">IF(COUNTIFS($B$2:B1970,B1970,$C$2:C1970,C1970,$I$2:I1970,I1970)=1,1,0)</f>
        <v>1</v>
      </c>
      <c r="M1970" s="3" t="n">
        <f aca="false">IF(K1970&gt;=Parametri!$B$1,1,0)</f>
        <v>0</v>
      </c>
      <c r="N1970" s="3" t="n">
        <f aca="false">L1970*M1970</f>
        <v>0</v>
      </c>
    </row>
    <row r="1971" customFormat="false" ht="15" hidden="false" customHeight="false" outlineLevel="0" collapsed="false">
      <c r="A1971" s="0" t="s">
        <v>3188</v>
      </c>
      <c r="B1971" s="0" t="s">
        <v>68</v>
      </c>
      <c r="C1971" s="0" t="s">
        <v>1260</v>
      </c>
      <c r="D1971" s="0" t="s">
        <v>33</v>
      </c>
      <c r="E1971" s="2" t="n">
        <v>45869</v>
      </c>
      <c r="F1971" s="3" t="s">
        <v>20</v>
      </c>
      <c r="G1971" s="3" t="s">
        <v>39</v>
      </c>
      <c r="H1971" s="3" t="s">
        <v>48</v>
      </c>
      <c r="I1971" s="3" t="n">
        <f aca="false">YEAR(E1971)</f>
        <v>2025</v>
      </c>
      <c r="J1971" s="3" t="n">
        <f aca="false">MONTH(E1971)</f>
        <v>7</v>
      </c>
      <c r="K1971" s="3" t="n">
        <f aca="false">COUNTIFS($B$2:$B$4077,B1971,$C$2:$C$4077,C1971,$I$2:$I$4077,I1971)</f>
        <v>3</v>
      </c>
      <c r="L1971" s="3" t="n">
        <f aca="false">IF(COUNTIFS($B$2:B1971,B1971,$C$2:C1971,C1971,$I$2:I1971,I1971)=1,1,0)</f>
        <v>0</v>
      </c>
      <c r="M1971" s="3" t="n">
        <f aca="false">IF(K1971&gt;=Parametri!$B$1,1,0)</f>
        <v>1</v>
      </c>
      <c r="N1971" s="3" t="n">
        <f aca="false">L1971*M1971</f>
        <v>0</v>
      </c>
    </row>
    <row r="1972" customFormat="false" ht="15" hidden="false" customHeight="false" outlineLevel="0" collapsed="false">
      <c r="A1972" s="0" t="s">
        <v>3189</v>
      </c>
      <c r="B1972" s="0" t="s">
        <v>68</v>
      </c>
      <c r="C1972" s="0" t="s">
        <v>1763</v>
      </c>
      <c r="D1972" s="0" t="s">
        <v>63</v>
      </c>
      <c r="E1972" s="2" t="n">
        <v>46139</v>
      </c>
      <c r="F1972" s="3" t="s">
        <v>20</v>
      </c>
      <c r="G1972" s="3" t="s">
        <v>43</v>
      </c>
      <c r="H1972" s="3" t="s">
        <v>44</v>
      </c>
      <c r="I1972" s="3" t="n">
        <f aca="false">YEAR(E1972)</f>
        <v>2026</v>
      </c>
      <c r="J1972" s="3" t="n">
        <f aca="false">MONTH(E1972)</f>
        <v>4</v>
      </c>
      <c r="K1972" s="3" t="n">
        <f aca="false">COUNTIFS($B$2:$B$4077,B1972,$C$2:$C$4077,C1972,$I$2:$I$4077,I1972)</f>
        <v>1</v>
      </c>
      <c r="L1972" s="3" t="n">
        <f aca="false">IF(COUNTIFS($B$2:B1972,B1972,$C$2:C1972,C1972,$I$2:I1972,I1972)=1,1,0)</f>
        <v>1</v>
      </c>
      <c r="M1972" s="3" t="n">
        <f aca="false">IF(K1972&gt;=Parametri!$B$1,1,0)</f>
        <v>0</v>
      </c>
      <c r="N1972" s="3" t="n">
        <f aca="false">L1972*M1972</f>
        <v>0</v>
      </c>
    </row>
    <row r="1973" customFormat="false" ht="15" hidden="false" customHeight="false" outlineLevel="0" collapsed="false">
      <c r="A1973" s="0" t="s">
        <v>3190</v>
      </c>
      <c r="B1973" s="0" t="s">
        <v>17</v>
      </c>
      <c r="C1973" s="0" t="s">
        <v>3191</v>
      </c>
      <c r="D1973" s="0" t="s">
        <v>19</v>
      </c>
      <c r="E1973" s="2" t="n">
        <v>45309</v>
      </c>
      <c r="F1973" s="3" t="s">
        <v>20</v>
      </c>
      <c r="G1973" s="3" t="s">
        <v>39</v>
      </c>
      <c r="H1973" s="3" t="s">
        <v>22</v>
      </c>
      <c r="I1973" s="3" t="n">
        <f aca="false">YEAR(E1973)</f>
        <v>2024</v>
      </c>
      <c r="J1973" s="3" t="n">
        <f aca="false">MONTH(E1973)</f>
        <v>1</v>
      </c>
      <c r="K1973" s="3" t="n">
        <f aca="false">COUNTIFS($B$2:$B$4077,B1973,$C$2:$C$4077,C1973,$I$2:$I$4077,I1973)</f>
        <v>1</v>
      </c>
      <c r="L1973" s="3" t="n">
        <f aca="false">IF(COUNTIFS($B$2:B1973,B1973,$C$2:C1973,C1973,$I$2:I1973,I1973)=1,1,0)</f>
        <v>1</v>
      </c>
      <c r="M1973" s="3" t="n">
        <f aca="false">IF(K1973&gt;=Parametri!$B$1,1,0)</f>
        <v>0</v>
      </c>
      <c r="N1973" s="3" t="n">
        <f aca="false">L1973*M1973</f>
        <v>0</v>
      </c>
    </row>
    <row r="1974" customFormat="false" ht="15" hidden="false" customHeight="false" outlineLevel="0" collapsed="false">
      <c r="A1974" s="0" t="s">
        <v>3192</v>
      </c>
      <c r="B1974" s="0" t="s">
        <v>79</v>
      </c>
      <c r="C1974" s="0" t="s">
        <v>1052</v>
      </c>
      <c r="D1974" s="0" t="s">
        <v>63</v>
      </c>
      <c r="E1974" s="2" t="n">
        <v>45754</v>
      </c>
      <c r="F1974" s="3" t="s">
        <v>20</v>
      </c>
      <c r="G1974" s="3" t="s">
        <v>43</v>
      </c>
      <c r="H1974" s="3" t="s">
        <v>48</v>
      </c>
      <c r="I1974" s="3" t="n">
        <f aca="false">YEAR(E1974)</f>
        <v>2025</v>
      </c>
      <c r="J1974" s="3" t="n">
        <f aca="false">MONTH(E1974)</f>
        <v>4</v>
      </c>
      <c r="K1974" s="3" t="n">
        <f aca="false">COUNTIFS($B$2:$B$4077,B1974,$C$2:$C$4077,C1974,$I$2:$I$4077,I1974)</f>
        <v>1</v>
      </c>
      <c r="L1974" s="3" t="n">
        <f aca="false">IF(COUNTIFS($B$2:B1974,B1974,$C$2:C1974,C1974,$I$2:I1974,I1974)=1,1,0)</f>
        <v>1</v>
      </c>
      <c r="M1974" s="3" t="n">
        <f aca="false">IF(K1974&gt;=Parametri!$B$1,1,0)</f>
        <v>0</v>
      </c>
      <c r="N1974" s="3" t="n">
        <f aca="false">L1974*M1974</f>
        <v>0</v>
      </c>
    </row>
    <row r="1975" customFormat="false" ht="15" hidden="false" customHeight="false" outlineLevel="0" collapsed="false">
      <c r="A1975" s="0" t="s">
        <v>3193</v>
      </c>
      <c r="B1975" s="0" t="s">
        <v>68</v>
      </c>
      <c r="C1975" s="0" t="s">
        <v>563</v>
      </c>
      <c r="D1975" s="0" t="s">
        <v>33</v>
      </c>
      <c r="E1975" s="2" t="n">
        <v>46047</v>
      </c>
      <c r="F1975" s="3" t="s">
        <v>27</v>
      </c>
      <c r="G1975" s="3" t="s">
        <v>21</v>
      </c>
      <c r="H1975" s="3" t="s">
        <v>29</v>
      </c>
      <c r="I1975" s="3" t="n">
        <f aca="false">YEAR(E1975)</f>
        <v>2026</v>
      </c>
      <c r="J1975" s="3" t="n">
        <f aca="false">MONTH(E1975)</f>
        <v>1</v>
      </c>
      <c r="K1975" s="3" t="n">
        <f aca="false">COUNTIFS($B$2:$B$4077,B1975,$C$2:$C$4077,C1975,$I$2:$I$4077,I1975)</f>
        <v>3</v>
      </c>
      <c r="L1975" s="3" t="n">
        <f aca="false">IF(COUNTIFS($B$2:B1975,B1975,$C$2:C1975,C1975,$I$2:I1975,I1975)=1,1,0)</f>
        <v>1</v>
      </c>
      <c r="M1975" s="3" t="n">
        <f aca="false">IF(K1975&gt;=Parametri!$B$1,1,0)</f>
        <v>1</v>
      </c>
      <c r="N1975" s="3" t="n">
        <f aca="false">L1975*M1975</f>
        <v>1</v>
      </c>
    </row>
    <row r="1976" customFormat="false" ht="15" hidden="false" customHeight="false" outlineLevel="0" collapsed="false">
      <c r="A1976" s="0" t="s">
        <v>3194</v>
      </c>
      <c r="B1976" s="0" t="s">
        <v>17</v>
      </c>
      <c r="C1976" s="0" t="s">
        <v>3195</v>
      </c>
      <c r="D1976" s="0" t="s">
        <v>63</v>
      </c>
      <c r="E1976" s="2" t="n">
        <v>45623</v>
      </c>
      <c r="F1976" s="3" t="s">
        <v>34</v>
      </c>
      <c r="G1976" s="3" t="s">
        <v>35</v>
      </c>
      <c r="H1976" s="3" t="s">
        <v>44</v>
      </c>
      <c r="I1976" s="3" t="n">
        <f aca="false">YEAR(E1976)</f>
        <v>2024</v>
      </c>
      <c r="J1976" s="3" t="n">
        <f aca="false">MONTH(E1976)</f>
        <v>11</v>
      </c>
      <c r="K1976" s="3" t="n">
        <f aca="false">COUNTIFS($B$2:$B$4077,B1976,$C$2:$C$4077,C1976,$I$2:$I$4077,I1976)</f>
        <v>1</v>
      </c>
      <c r="L1976" s="3" t="n">
        <f aca="false">IF(COUNTIFS($B$2:B1976,B1976,$C$2:C1976,C1976,$I$2:I1976,I1976)=1,1,0)</f>
        <v>1</v>
      </c>
      <c r="M1976" s="3" t="n">
        <f aca="false">IF(K1976&gt;=Parametri!$B$1,1,0)</f>
        <v>0</v>
      </c>
      <c r="N1976" s="3" t="n">
        <f aca="false">L1976*M1976</f>
        <v>0</v>
      </c>
    </row>
    <row r="1977" customFormat="false" ht="15" hidden="false" customHeight="false" outlineLevel="0" collapsed="false">
      <c r="A1977" s="0" t="s">
        <v>3196</v>
      </c>
      <c r="B1977" s="0" t="s">
        <v>46</v>
      </c>
      <c r="C1977" s="0" t="s">
        <v>3197</v>
      </c>
      <c r="D1977" s="0" t="s">
        <v>77</v>
      </c>
      <c r="E1977" s="2" t="n">
        <v>45750</v>
      </c>
      <c r="F1977" s="3" t="s">
        <v>20</v>
      </c>
      <c r="G1977" s="3" t="s">
        <v>43</v>
      </c>
      <c r="H1977" s="3" t="s">
        <v>22</v>
      </c>
      <c r="I1977" s="3" t="n">
        <f aca="false">YEAR(E1977)</f>
        <v>2025</v>
      </c>
      <c r="J1977" s="3" t="n">
        <f aca="false">MONTH(E1977)</f>
        <v>4</v>
      </c>
      <c r="K1977" s="3" t="n">
        <f aca="false">COUNTIFS($B$2:$B$4077,B1977,$C$2:$C$4077,C1977,$I$2:$I$4077,I1977)</f>
        <v>1</v>
      </c>
      <c r="L1977" s="3" t="n">
        <f aca="false">IF(COUNTIFS($B$2:B1977,B1977,$C$2:C1977,C1977,$I$2:I1977,I1977)=1,1,0)</f>
        <v>1</v>
      </c>
      <c r="M1977" s="3" t="n">
        <f aca="false">IF(K1977&gt;=Parametri!$B$1,1,0)</f>
        <v>0</v>
      </c>
      <c r="N1977" s="3" t="n">
        <f aca="false">L1977*M1977</f>
        <v>0</v>
      </c>
    </row>
    <row r="1978" customFormat="false" ht="15" hidden="false" customHeight="false" outlineLevel="0" collapsed="false">
      <c r="A1978" s="0" t="s">
        <v>3198</v>
      </c>
      <c r="B1978" s="0" t="s">
        <v>57</v>
      </c>
      <c r="C1978" s="0" t="s">
        <v>1220</v>
      </c>
      <c r="D1978" s="0" t="s">
        <v>33</v>
      </c>
      <c r="E1978" s="2" t="n">
        <v>46003</v>
      </c>
      <c r="F1978" s="3" t="s">
        <v>27</v>
      </c>
      <c r="G1978" s="3" t="s">
        <v>39</v>
      </c>
      <c r="H1978" s="3" t="s">
        <v>48</v>
      </c>
      <c r="I1978" s="3" t="n">
        <f aca="false">YEAR(E1978)</f>
        <v>2025</v>
      </c>
      <c r="J1978" s="3" t="n">
        <f aca="false">MONTH(E1978)</f>
        <v>12</v>
      </c>
      <c r="K1978" s="3" t="n">
        <f aca="false">COUNTIFS($B$2:$B$4077,B1978,$C$2:$C$4077,C1978,$I$2:$I$4077,I1978)</f>
        <v>2</v>
      </c>
      <c r="L1978" s="3" t="n">
        <f aca="false">IF(COUNTIFS($B$2:B1978,B1978,$C$2:C1978,C1978,$I$2:I1978,I1978)=1,1,0)</f>
        <v>0</v>
      </c>
      <c r="M1978" s="3" t="n">
        <f aca="false">IF(K1978&gt;=Parametri!$B$1,1,0)</f>
        <v>1</v>
      </c>
      <c r="N1978" s="3" t="n">
        <f aca="false">L1978*M1978</f>
        <v>0</v>
      </c>
    </row>
    <row r="1979" customFormat="false" ht="15" hidden="false" customHeight="false" outlineLevel="0" collapsed="false">
      <c r="A1979" s="0" t="s">
        <v>3199</v>
      </c>
      <c r="B1979" s="0" t="s">
        <v>124</v>
      </c>
      <c r="C1979" s="0" t="s">
        <v>3200</v>
      </c>
      <c r="D1979" s="0" t="s">
        <v>63</v>
      </c>
      <c r="E1979" s="2" t="n">
        <v>45879</v>
      </c>
      <c r="F1979" s="3" t="s">
        <v>27</v>
      </c>
      <c r="G1979" s="3" t="s">
        <v>28</v>
      </c>
      <c r="H1979" s="3" t="s">
        <v>29</v>
      </c>
      <c r="I1979" s="3" t="n">
        <f aca="false">YEAR(E1979)</f>
        <v>2025</v>
      </c>
      <c r="J1979" s="3" t="n">
        <f aca="false">MONTH(E1979)</f>
        <v>8</v>
      </c>
      <c r="K1979" s="3" t="n">
        <f aca="false">COUNTIFS($B$2:$B$4077,B1979,$C$2:$C$4077,C1979,$I$2:$I$4077,I1979)</f>
        <v>1</v>
      </c>
      <c r="L1979" s="3" t="n">
        <f aca="false">IF(COUNTIFS($B$2:B1979,B1979,$C$2:C1979,C1979,$I$2:I1979,I1979)=1,1,0)</f>
        <v>1</v>
      </c>
      <c r="M1979" s="3" t="n">
        <f aca="false">IF(K1979&gt;=Parametri!$B$1,1,0)</f>
        <v>0</v>
      </c>
      <c r="N1979" s="3" t="n">
        <f aca="false">L1979*M1979</f>
        <v>0</v>
      </c>
    </row>
    <row r="1980" customFormat="false" ht="15" hidden="false" customHeight="false" outlineLevel="0" collapsed="false">
      <c r="A1980" s="0" t="s">
        <v>3201</v>
      </c>
      <c r="B1980" s="0" t="s">
        <v>68</v>
      </c>
      <c r="C1980" s="0" t="s">
        <v>438</v>
      </c>
      <c r="D1980" s="0" t="s">
        <v>77</v>
      </c>
      <c r="E1980" s="2" t="n">
        <v>45397</v>
      </c>
      <c r="F1980" s="3" t="s">
        <v>20</v>
      </c>
      <c r="G1980" s="3" t="s">
        <v>21</v>
      </c>
      <c r="H1980" s="3" t="s">
        <v>48</v>
      </c>
      <c r="I1980" s="3" t="n">
        <f aca="false">YEAR(E1980)</f>
        <v>2024</v>
      </c>
      <c r="J1980" s="3" t="n">
        <f aca="false">MONTH(E1980)</f>
        <v>4</v>
      </c>
      <c r="K1980" s="3" t="n">
        <f aca="false">COUNTIFS($B$2:$B$4077,B1980,$C$2:$C$4077,C1980,$I$2:$I$4077,I1980)</f>
        <v>5</v>
      </c>
      <c r="L1980" s="3" t="n">
        <f aca="false">IF(COUNTIFS($B$2:B1980,B1980,$C$2:C1980,C1980,$I$2:I1980,I1980)=1,1,0)</f>
        <v>0</v>
      </c>
      <c r="M1980" s="3" t="n">
        <f aca="false">IF(K1980&gt;=Parametri!$B$1,1,0)</f>
        <v>1</v>
      </c>
      <c r="N1980" s="3" t="n">
        <f aca="false">L1980*M1980</f>
        <v>0</v>
      </c>
    </row>
    <row r="1981" customFormat="false" ht="15" hidden="false" customHeight="false" outlineLevel="0" collapsed="false">
      <c r="A1981" s="0" t="s">
        <v>3202</v>
      </c>
      <c r="B1981" s="0" t="s">
        <v>79</v>
      </c>
      <c r="C1981" s="0" t="s">
        <v>2227</v>
      </c>
      <c r="D1981" s="0" t="s">
        <v>63</v>
      </c>
      <c r="E1981" s="2" t="n">
        <v>45820</v>
      </c>
      <c r="F1981" s="3" t="s">
        <v>20</v>
      </c>
      <c r="G1981" s="3" t="s">
        <v>21</v>
      </c>
      <c r="H1981" s="3" t="s">
        <v>44</v>
      </c>
      <c r="I1981" s="3" t="n">
        <f aca="false">YEAR(E1981)</f>
        <v>2025</v>
      </c>
      <c r="J1981" s="3" t="n">
        <f aca="false">MONTH(E1981)</f>
        <v>6</v>
      </c>
      <c r="K1981" s="3" t="n">
        <f aca="false">COUNTIFS($B$2:$B$4077,B1981,$C$2:$C$4077,C1981,$I$2:$I$4077,I1981)</f>
        <v>3</v>
      </c>
      <c r="L1981" s="3" t="n">
        <f aca="false">IF(COUNTIFS($B$2:B1981,B1981,$C$2:C1981,C1981,$I$2:I1981,I1981)=1,1,0)</f>
        <v>0</v>
      </c>
      <c r="M1981" s="3" t="n">
        <f aca="false">IF(K1981&gt;=Parametri!$B$1,1,0)</f>
        <v>1</v>
      </c>
      <c r="N1981" s="3" t="n">
        <f aca="false">L1981*M1981</f>
        <v>0</v>
      </c>
    </row>
    <row r="1982" customFormat="false" ht="15" hidden="false" customHeight="false" outlineLevel="0" collapsed="false">
      <c r="A1982" s="0" t="s">
        <v>3203</v>
      </c>
      <c r="B1982" s="0" t="s">
        <v>46</v>
      </c>
      <c r="C1982" s="0" t="s">
        <v>1359</v>
      </c>
      <c r="D1982" s="0" t="s">
        <v>33</v>
      </c>
      <c r="E1982" s="2" t="n">
        <v>45657</v>
      </c>
      <c r="F1982" s="3" t="s">
        <v>20</v>
      </c>
      <c r="G1982" s="3" t="s">
        <v>21</v>
      </c>
      <c r="H1982" s="3" t="s">
        <v>44</v>
      </c>
      <c r="I1982" s="3" t="n">
        <f aca="false">YEAR(E1982)</f>
        <v>2024</v>
      </c>
      <c r="J1982" s="3" t="n">
        <f aca="false">MONTH(E1982)</f>
        <v>12</v>
      </c>
      <c r="K1982" s="3" t="n">
        <f aca="false">COUNTIFS($B$2:$B$4077,B1982,$C$2:$C$4077,C1982,$I$2:$I$4077,I1982)</f>
        <v>1</v>
      </c>
      <c r="L1982" s="3" t="n">
        <f aca="false">IF(COUNTIFS($B$2:B1982,B1982,$C$2:C1982,C1982,$I$2:I1982,I1982)=1,1,0)</f>
        <v>1</v>
      </c>
      <c r="M1982" s="3" t="n">
        <f aca="false">IF(K1982&gt;=Parametri!$B$1,1,0)</f>
        <v>0</v>
      </c>
      <c r="N1982" s="3" t="n">
        <f aca="false">L1982*M1982</f>
        <v>0</v>
      </c>
    </row>
    <row r="1983" customFormat="false" ht="15" hidden="false" customHeight="false" outlineLevel="0" collapsed="false">
      <c r="A1983" s="0" t="s">
        <v>3204</v>
      </c>
      <c r="B1983" s="0" t="s">
        <v>31</v>
      </c>
      <c r="C1983" s="0" t="s">
        <v>3205</v>
      </c>
      <c r="D1983" s="0" t="s">
        <v>33</v>
      </c>
      <c r="E1983" s="2" t="n">
        <v>45824</v>
      </c>
      <c r="F1983" s="3" t="s">
        <v>34</v>
      </c>
      <c r="G1983" s="3" t="s">
        <v>28</v>
      </c>
      <c r="H1983" s="3" t="s">
        <v>29</v>
      </c>
      <c r="I1983" s="3" t="n">
        <f aca="false">YEAR(E1983)</f>
        <v>2025</v>
      </c>
      <c r="J1983" s="3" t="n">
        <f aca="false">MONTH(E1983)</f>
        <v>6</v>
      </c>
      <c r="K1983" s="3" t="n">
        <f aca="false">COUNTIFS($B$2:$B$4077,B1983,$C$2:$C$4077,C1983,$I$2:$I$4077,I1983)</f>
        <v>1</v>
      </c>
      <c r="L1983" s="3" t="n">
        <f aca="false">IF(COUNTIFS($B$2:B1983,B1983,$C$2:C1983,C1983,$I$2:I1983,I1983)=1,1,0)</f>
        <v>1</v>
      </c>
      <c r="M1983" s="3" t="n">
        <f aca="false">IF(K1983&gt;=Parametri!$B$1,1,0)</f>
        <v>0</v>
      </c>
      <c r="N1983" s="3" t="n">
        <f aca="false">L1983*M1983</f>
        <v>0</v>
      </c>
    </row>
    <row r="1984" customFormat="false" ht="15" hidden="false" customHeight="false" outlineLevel="0" collapsed="false">
      <c r="A1984" s="0" t="s">
        <v>3206</v>
      </c>
      <c r="B1984" s="0" t="s">
        <v>24</v>
      </c>
      <c r="C1984" s="0" t="s">
        <v>3207</v>
      </c>
      <c r="D1984" s="0" t="s">
        <v>54</v>
      </c>
      <c r="E1984" s="2" t="n">
        <v>46255</v>
      </c>
      <c r="F1984" s="3" t="s">
        <v>20</v>
      </c>
      <c r="G1984" s="3" t="s">
        <v>89</v>
      </c>
      <c r="H1984" s="3" t="s">
        <v>22</v>
      </c>
      <c r="I1984" s="3" t="n">
        <f aca="false">YEAR(E1984)</f>
        <v>2026</v>
      </c>
      <c r="J1984" s="3" t="n">
        <f aca="false">MONTH(E1984)</f>
        <v>8</v>
      </c>
      <c r="K1984" s="3" t="n">
        <f aca="false">COUNTIFS($B$2:$B$4077,B1984,$C$2:$C$4077,C1984,$I$2:$I$4077,I1984)</f>
        <v>1</v>
      </c>
      <c r="L1984" s="3" t="n">
        <f aca="false">IF(COUNTIFS($B$2:B1984,B1984,$C$2:C1984,C1984,$I$2:I1984,I1984)=1,1,0)</f>
        <v>1</v>
      </c>
      <c r="M1984" s="3" t="n">
        <f aca="false">IF(K1984&gt;=Parametri!$B$1,1,0)</f>
        <v>0</v>
      </c>
      <c r="N1984" s="3" t="n">
        <f aca="false">L1984*M1984</f>
        <v>0</v>
      </c>
    </row>
    <row r="1985" customFormat="false" ht="15" hidden="false" customHeight="false" outlineLevel="0" collapsed="false">
      <c r="A1985" s="0" t="s">
        <v>3208</v>
      </c>
      <c r="B1985" s="0" t="s">
        <v>24</v>
      </c>
      <c r="C1985" s="0" t="s">
        <v>325</v>
      </c>
      <c r="D1985" s="0" t="s">
        <v>63</v>
      </c>
      <c r="E1985" s="2" t="n">
        <v>46151</v>
      </c>
      <c r="F1985" s="3" t="s">
        <v>20</v>
      </c>
      <c r="G1985" s="3" t="s">
        <v>89</v>
      </c>
      <c r="H1985" s="3" t="s">
        <v>22</v>
      </c>
      <c r="I1985" s="3" t="n">
        <f aca="false">YEAR(E1985)</f>
        <v>2026</v>
      </c>
      <c r="J1985" s="3" t="n">
        <f aca="false">MONTH(E1985)</f>
        <v>5</v>
      </c>
      <c r="K1985" s="3" t="n">
        <f aca="false">COUNTIFS($B$2:$B$4077,B1985,$C$2:$C$4077,C1985,$I$2:$I$4077,I1985)</f>
        <v>3</v>
      </c>
      <c r="L1985" s="3" t="n">
        <f aca="false">IF(COUNTIFS($B$2:B1985,B1985,$C$2:C1985,C1985,$I$2:I1985,I1985)=1,1,0)</f>
        <v>0</v>
      </c>
      <c r="M1985" s="3" t="n">
        <f aca="false">IF(K1985&gt;=Parametri!$B$1,1,0)</f>
        <v>1</v>
      </c>
      <c r="N1985" s="3" t="n">
        <f aca="false">L1985*M1985</f>
        <v>0</v>
      </c>
    </row>
    <row r="1986" customFormat="false" ht="15" hidden="false" customHeight="false" outlineLevel="0" collapsed="false">
      <c r="A1986" s="0" t="s">
        <v>3209</v>
      </c>
      <c r="B1986" s="0" t="s">
        <v>57</v>
      </c>
      <c r="C1986" s="0" t="s">
        <v>911</v>
      </c>
      <c r="D1986" s="0" t="s">
        <v>26</v>
      </c>
      <c r="E1986" s="2" t="n">
        <v>45859</v>
      </c>
      <c r="F1986" s="3" t="s">
        <v>20</v>
      </c>
      <c r="G1986" s="3" t="s">
        <v>89</v>
      </c>
      <c r="H1986" s="3" t="s">
        <v>29</v>
      </c>
      <c r="I1986" s="3" t="n">
        <f aca="false">YEAR(E1986)</f>
        <v>2025</v>
      </c>
      <c r="J1986" s="3" t="n">
        <f aca="false">MONTH(E1986)</f>
        <v>7</v>
      </c>
      <c r="K1986" s="3" t="n">
        <f aca="false">COUNTIFS($B$2:$B$4077,B1986,$C$2:$C$4077,C1986,$I$2:$I$4077,I1986)</f>
        <v>2</v>
      </c>
      <c r="L1986" s="3" t="n">
        <f aca="false">IF(COUNTIFS($B$2:B1986,B1986,$C$2:C1986,C1986,$I$2:I1986,I1986)=1,1,0)</f>
        <v>0</v>
      </c>
      <c r="M1986" s="3" t="n">
        <f aca="false">IF(K1986&gt;=Parametri!$B$1,1,0)</f>
        <v>1</v>
      </c>
      <c r="N1986" s="3" t="n">
        <f aca="false">L1986*M1986</f>
        <v>0</v>
      </c>
    </row>
    <row r="1987" customFormat="false" ht="15" hidden="false" customHeight="false" outlineLevel="0" collapsed="false">
      <c r="A1987" s="0" t="s">
        <v>3210</v>
      </c>
      <c r="B1987" s="0" t="s">
        <v>124</v>
      </c>
      <c r="C1987" s="0" t="s">
        <v>3211</v>
      </c>
      <c r="D1987" s="0" t="s">
        <v>38</v>
      </c>
      <c r="E1987" s="2" t="n">
        <v>46041</v>
      </c>
      <c r="F1987" s="3" t="s">
        <v>20</v>
      </c>
      <c r="G1987" s="3" t="s">
        <v>72</v>
      </c>
      <c r="H1987" s="3" t="s">
        <v>44</v>
      </c>
      <c r="I1987" s="3" t="n">
        <f aca="false">YEAR(E1987)</f>
        <v>2026</v>
      </c>
      <c r="J1987" s="3" t="n">
        <f aca="false">MONTH(E1987)</f>
        <v>1</v>
      </c>
      <c r="K1987" s="3" t="n">
        <f aca="false">COUNTIFS($B$2:$B$4077,B1987,$C$2:$C$4077,C1987,$I$2:$I$4077,I1987)</f>
        <v>1</v>
      </c>
      <c r="L1987" s="3" t="n">
        <f aca="false">IF(COUNTIFS($B$2:B1987,B1987,$C$2:C1987,C1987,$I$2:I1987,I1987)=1,1,0)</f>
        <v>1</v>
      </c>
      <c r="M1987" s="3" t="n">
        <f aca="false">IF(K1987&gt;=Parametri!$B$1,1,0)</f>
        <v>0</v>
      </c>
      <c r="N1987" s="3" t="n">
        <f aca="false">L1987*M1987</f>
        <v>0</v>
      </c>
    </row>
    <row r="1988" customFormat="false" ht="15" hidden="false" customHeight="false" outlineLevel="0" collapsed="false">
      <c r="A1988" s="0" t="s">
        <v>3212</v>
      </c>
      <c r="B1988" s="0" t="s">
        <v>46</v>
      </c>
      <c r="C1988" s="0" t="s">
        <v>1186</v>
      </c>
      <c r="D1988" s="0" t="s">
        <v>19</v>
      </c>
      <c r="E1988" s="2" t="n">
        <v>45380</v>
      </c>
      <c r="F1988" s="3" t="s">
        <v>20</v>
      </c>
      <c r="G1988" s="3" t="s">
        <v>72</v>
      </c>
      <c r="H1988" s="3" t="s">
        <v>29</v>
      </c>
      <c r="I1988" s="3" t="n">
        <f aca="false">YEAR(E1988)</f>
        <v>2024</v>
      </c>
      <c r="J1988" s="3" t="n">
        <f aca="false">MONTH(E1988)</f>
        <v>3</v>
      </c>
      <c r="K1988" s="3" t="n">
        <f aca="false">COUNTIFS($B$2:$B$4077,B1988,$C$2:$C$4077,C1988,$I$2:$I$4077,I1988)</f>
        <v>1</v>
      </c>
      <c r="L1988" s="3" t="n">
        <f aca="false">IF(COUNTIFS($B$2:B1988,B1988,$C$2:C1988,C1988,$I$2:I1988,I1988)=1,1,0)</f>
        <v>1</v>
      </c>
      <c r="M1988" s="3" t="n">
        <f aca="false">IF(K1988&gt;=Parametri!$B$1,1,0)</f>
        <v>0</v>
      </c>
      <c r="N1988" s="3" t="n">
        <f aca="false">L1988*M1988</f>
        <v>0</v>
      </c>
    </row>
    <row r="1989" customFormat="false" ht="15" hidden="false" customHeight="false" outlineLevel="0" collapsed="false">
      <c r="A1989" s="0" t="s">
        <v>3213</v>
      </c>
      <c r="B1989" s="0" t="s">
        <v>46</v>
      </c>
      <c r="C1989" s="0" t="s">
        <v>3214</v>
      </c>
      <c r="D1989" s="0" t="s">
        <v>19</v>
      </c>
      <c r="E1989" s="2" t="n">
        <v>45946</v>
      </c>
      <c r="F1989" s="3" t="s">
        <v>27</v>
      </c>
      <c r="G1989" s="3" t="s">
        <v>43</v>
      </c>
      <c r="H1989" s="3" t="s">
        <v>44</v>
      </c>
      <c r="I1989" s="3" t="n">
        <f aca="false">YEAR(E1989)</f>
        <v>2025</v>
      </c>
      <c r="J1989" s="3" t="n">
        <f aca="false">MONTH(E1989)</f>
        <v>10</v>
      </c>
      <c r="K1989" s="3" t="n">
        <f aca="false">COUNTIFS($B$2:$B$4077,B1989,$C$2:$C$4077,C1989,$I$2:$I$4077,I1989)</f>
        <v>1</v>
      </c>
      <c r="L1989" s="3" t="n">
        <f aca="false">IF(COUNTIFS($B$2:B1989,B1989,$C$2:C1989,C1989,$I$2:I1989,I1989)=1,1,0)</f>
        <v>1</v>
      </c>
      <c r="M1989" s="3" t="n">
        <f aca="false">IF(K1989&gt;=Parametri!$B$1,1,0)</f>
        <v>0</v>
      </c>
      <c r="N1989" s="3" t="n">
        <f aca="false">L1989*M1989</f>
        <v>0</v>
      </c>
    </row>
    <row r="1990" customFormat="false" ht="15" hidden="false" customHeight="false" outlineLevel="0" collapsed="false">
      <c r="A1990" s="0" t="s">
        <v>3215</v>
      </c>
      <c r="B1990" s="0" t="s">
        <v>79</v>
      </c>
      <c r="C1990" s="0" t="s">
        <v>3216</v>
      </c>
      <c r="D1990" s="0" t="s">
        <v>66</v>
      </c>
      <c r="E1990" s="2" t="n">
        <v>46226</v>
      </c>
      <c r="F1990" s="3" t="s">
        <v>34</v>
      </c>
      <c r="G1990" s="3" t="s">
        <v>72</v>
      </c>
      <c r="H1990" s="3" t="s">
        <v>44</v>
      </c>
      <c r="I1990" s="3" t="n">
        <f aca="false">YEAR(E1990)</f>
        <v>2026</v>
      </c>
      <c r="J1990" s="3" t="n">
        <f aca="false">MONTH(E1990)</f>
        <v>7</v>
      </c>
      <c r="K1990" s="3" t="n">
        <f aca="false">COUNTIFS($B$2:$B$4077,B1990,$C$2:$C$4077,C1990,$I$2:$I$4077,I1990)</f>
        <v>2</v>
      </c>
      <c r="L1990" s="3" t="n">
        <f aca="false">IF(COUNTIFS($B$2:B1990,B1990,$C$2:C1990,C1990,$I$2:I1990,I1990)=1,1,0)</f>
        <v>1</v>
      </c>
      <c r="M1990" s="3" t="n">
        <f aca="false">IF(K1990&gt;=Parametri!$B$1,1,0)</f>
        <v>1</v>
      </c>
      <c r="N1990" s="3" t="n">
        <f aca="false">L1990*M1990</f>
        <v>1</v>
      </c>
    </row>
    <row r="1991" customFormat="false" ht="15" hidden="false" customHeight="false" outlineLevel="0" collapsed="false">
      <c r="A1991" s="0" t="s">
        <v>3217</v>
      </c>
      <c r="B1991" s="0" t="s">
        <v>79</v>
      </c>
      <c r="C1991" s="0" t="s">
        <v>149</v>
      </c>
      <c r="D1991" s="0" t="s">
        <v>19</v>
      </c>
      <c r="E1991" s="2" t="n">
        <v>45344</v>
      </c>
      <c r="F1991" s="3" t="s">
        <v>27</v>
      </c>
      <c r="G1991" s="3" t="s">
        <v>39</v>
      </c>
      <c r="H1991" s="3" t="s">
        <v>44</v>
      </c>
      <c r="I1991" s="3" t="n">
        <f aca="false">YEAR(E1991)</f>
        <v>2024</v>
      </c>
      <c r="J1991" s="3" t="n">
        <f aca="false">MONTH(E1991)</f>
        <v>2</v>
      </c>
      <c r="K1991" s="3" t="n">
        <f aca="false">COUNTIFS($B$2:$B$4077,B1991,$C$2:$C$4077,C1991,$I$2:$I$4077,I1991)</f>
        <v>2</v>
      </c>
      <c r="L1991" s="3" t="n">
        <f aca="false">IF(COUNTIFS($B$2:B1991,B1991,$C$2:C1991,C1991,$I$2:I1991,I1991)=1,1,0)</f>
        <v>1</v>
      </c>
      <c r="M1991" s="3" t="n">
        <f aca="false">IF(K1991&gt;=Parametri!$B$1,1,0)</f>
        <v>1</v>
      </c>
      <c r="N1991" s="3" t="n">
        <f aca="false">L1991*M1991</f>
        <v>1</v>
      </c>
    </row>
    <row r="1992" customFormat="false" ht="15" hidden="false" customHeight="false" outlineLevel="0" collapsed="false">
      <c r="A1992" s="0" t="s">
        <v>3218</v>
      </c>
      <c r="B1992" s="0" t="s">
        <v>50</v>
      </c>
      <c r="C1992" s="0" t="s">
        <v>3219</v>
      </c>
      <c r="D1992" s="0" t="s">
        <v>38</v>
      </c>
      <c r="E1992" s="2" t="n">
        <v>45499</v>
      </c>
      <c r="F1992" s="3" t="s">
        <v>20</v>
      </c>
      <c r="G1992" s="3" t="s">
        <v>72</v>
      </c>
      <c r="H1992" s="3" t="s">
        <v>48</v>
      </c>
      <c r="I1992" s="3" t="n">
        <f aca="false">YEAR(E1992)</f>
        <v>2024</v>
      </c>
      <c r="J1992" s="3" t="n">
        <f aca="false">MONTH(E1992)</f>
        <v>7</v>
      </c>
      <c r="K1992" s="3" t="n">
        <f aca="false">COUNTIFS($B$2:$B$4077,B1992,$C$2:$C$4077,C1992,$I$2:$I$4077,I1992)</f>
        <v>1</v>
      </c>
      <c r="L1992" s="3" t="n">
        <f aca="false">IF(COUNTIFS($B$2:B1992,B1992,$C$2:C1992,C1992,$I$2:I1992,I1992)=1,1,0)</f>
        <v>1</v>
      </c>
      <c r="M1992" s="3" t="n">
        <f aca="false">IF(K1992&gt;=Parametri!$B$1,1,0)</f>
        <v>0</v>
      </c>
      <c r="N1992" s="3" t="n">
        <f aca="false">L1992*M1992</f>
        <v>0</v>
      </c>
    </row>
    <row r="1993" customFormat="false" ht="15" hidden="false" customHeight="false" outlineLevel="0" collapsed="false">
      <c r="A1993" s="0" t="s">
        <v>3220</v>
      </c>
      <c r="B1993" s="0" t="s">
        <v>31</v>
      </c>
      <c r="C1993" s="0" t="s">
        <v>3221</v>
      </c>
      <c r="D1993" s="0" t="s">
        <v>33</v>
      </c>
      <c r="E1993" s="2" t="n">
        <v>45313</v>
      </c>
      <c r="F1993" s="3" t="s">
        <v>20</v>
      </c>
      <c r="G1993" s="3" t="s">
        <v>43</v>
      </c>
      <c r="H1993" s="3" t="s">
        <v>29</v>
      </c>
      <c r="I1993" s="3" t="n">
        <f aca="false">YEAR(E1993)</f>
        <v>2024</v>
      </c>
      <c r="J1993" s="3" t="n">
        <f aca="false">MONTH(E1993)</f>
        <v>1</v>
      </c>
      <c r="K1993" s="3" t="n">
        <f aca="false">COUNTIFS($B$2:$B$4077,B1993,$C$2:$C$4077,C1993,$I$2:$I$4077,I1993)</f>
        <v>1</v>
      </c>
      <c r="L1993" s="3" t="n">
        <f aca="false">IF(COUNTIFS($B$2:B1993,B1993,$C$2:C1993,C1993,$I$2:I1993,I1993)=1,1,0)</f>
        <v>1</v>
      </c>
      <c r="M1993" s="3" t="n">
        <f aca="false">IF(K1993&gt;=Parametri!$B$1,1,0)</f>
        <v>0</v>
      </c>
      <c r="N1993" s="3" t="n">
        <f aca="false">L1993*M1993</f>
        <v>0</v>
      </c>
    </row>
    <row r="1994" customFormat="false" ht="15" hidden="false" customHeight="false" outlineLevel="0" collapsed="false">
      <c r="A1994" s="0" t="s">
        <v>3222</v>
      </c>
      <c r="B1994" s="0" t="s">
        <v>41</v>
      </c>
      <c r="C1994" s="0" t="s">
        <v>3223</v>
      </c>
      <c r="D1994" s="0" t="s">
        <v>77</v>
      </c>
      <c r="E1994" s="2" t="n">
        <v>45431</v>
      </c>
      <c r="F1994" s="3" t="s">
        <v>20</v>
      </c>
      <c r="G1994" s="3" t="s">
        <v>89</v>
      </c>
      <c r="H1994" s="3" t="s">
        <v>48</v>
      </c>
      <c r="I1994" s="3" t="n">
        <f aca="false">YEAR(E1994)</f>
        <v>2024</v>
      </c>
      <c r="J1994" s="3" t="n">
        <f aca="false">MONTH(E1994)</f>
        <v>5</v>
      </c>
      <c r="K1994" s="3" t="n">
        <f aca="false">COUNTIFS($B$2:$B$4077,B1994,$C$2:$C$4077,C1994,$I$2:$I$4077,I1994)</f>
        <v>1</v>
      </c>
      <c r="L1994" s="3" t="n">
        <f aca="false">IF(COUNTIFS($B$2:B1994,B1994,$C$2:C1994,C1994,$I$2:I1994,I1994)=1,1,0)</f>
        <v>1</v>
      </c>
      <c r="M1994" s="3" t="n">
        <f aca="false">IF(K1994&gt;=Parametri!$B$1,1,0)</f>
        <v>0</v>
      </c>
      <c r="N1994" s="3" t="n">
        <f aca="false">L1994*M1994</f>
        <v>0</v>
      </c>
    </row>
    <row r="1995" customFormat="false" ht="15" hidden="false" customHeight="false" outlineLevel="0" collapsed="false">
      <c r="A1995" s="0" t="s">
        <v>3224</v>
      </c>
      <c r="B1995" s="0" t="s">
        <v>68</v>
      </c>
      <c r="C1995" s="0" t="s">
        <v>243</v>
      </c>
      <c r="D1995" s="0" t="s">
        <v>66</v>
      </c>
      <c r="E1995" s="2" t="n">
        <v>46103</v>
      </c>
      <c r="F1995" s="3" t="s">
        <v>20</v>
      </c>
      <c r="G1995" s="3" t="s">
        <v>35</v>
      </c>
      <c r="H1995" s="3" t="s">
        <v>44</v>
      </c>
      <c r="I1995" s="3" t="n">
        <f aca="false">YEAR(E1995)</f>
        <v>2026</v>
      </c>
      <c r="J1995" s="3" t="n">
        <f aca="false">MONTH(E1995)</f>
        <v>3</v>
      </c>
      <c r="K1995" s="3" t="n">
        <f aca="false">COUNTIFS($B$2:$B$4077,B1995,$C$2:$C$4077,C1995,$I$2:$I$4077,I1995)</f>
        <v>3</v>
      </c>
      <c r="L1995" s="3" t="n">
        <f aca="false">IF(COUNTIFS($B$2:B1995,B1995,$C$2:C1995,C1995,$I$2:I1995,I1995)=1,1,0)</f>
        <v>0</v>
      </c>
      <c r="M1995" s="3" t="n">
        <f aca="false">IF(K1995&gt;=Parametri!$B$1,1,0)</f>
        <v>1</v>
      </c>
      <c r="N1995" s="3" t="n">
        <f aca="false">L1995*M1995</f>
        <v>0</v>
      </c>
    </row>
    <row r="1996" customFormat="false" ht="15" hidden="false" customHeight="false" outlineLevel="0" collapsed="false">
      <c r="A1996" s="0" t="s">
        <v>3225</v>
      </c>
      <c r="B1996" s="0" t="s">
        <v>17</v>
      </c>
      <c r="C1996" s="0" t="s">
        <v>844</v>
      </c>
      <c r="D1996" s="0" t="s">
        <v>63</v>
      </c>
      <c r="E1996" s="2" t="n">
        <v>45759</v>
      </c>
      <c r="F1996" s="3" t="s">
        <v>27</v>
      </c>
      <c r="G1996" s="3" t="s">
        <v>72</v>
      </c>
      <c r="H1996" s="3" t="s">
        <v>29</v>
      </c>
      <c r="I1996" s="3" t="n">
        <f aca="false">YEAR(E1996)</f>
        <v>2025</v>
      </c>
      <c r="J1996" s="3" t="n">
        <f aca="false">MONTH(E1996)</f>
        <v>4</v>
      </c>
      <c r="K1996" s="3" t="n">
        <f aca="false">COUNTIFS($B$2:$B$4077,B1996,$C$2:$C$4077,C1996,$I$2:$I$4077,I1996)</f>
        <v>2</v>
      </c>
      <c r="L1996" s="3" t="n">
        <f aca="false">IF(COUNTIFS($B$2:B1996,B1996,$C$2:C1996,C1996,$I$2:I1996,I1996)=1,1,0)</f>
        <v>0</v>
      </c>
      <c r="M1996" s="3" t="n">
        <f aca="false">IF(K1996&gt;=Parametri!$B$1,1,0)</f>
        <v>1</v>
      </c>
      <c r="N1996" s="3" t="n">
        <f aca="false">L1996*M1996</f>
        <v>0</v>
      </c>
    </row>
    <row r="1997" customFormat="false" ht="15" hidden="false" customHeight="false" outlineLevel="0" collapsed="false">
      <c r="A1997" s="0" t="s">
        <v>3226</v>
      </c>
      <c r="B1997" s="0" t="s">
        <v>124</v>
      </c>
      <c r="C1997" s="0" t="s">
        <v>1330</v>
      </c>
      <c r="D1997" s="0" t="s">
        <v>38</v>
      </c>
      <c r="E1997" s="2" t="n">
        <v>45292</v>
      </c>
      <c r="F1997" s="3" t="s">
        <v>20</v>
      </c>
      <c r="G1997" s="3" t="s">
        <v>89</v>
      </c>
      <c r="H1997" s="3" t="s">
        <v>29</v>
      </c>
      <c r="I1997" s="3" t="n">
        <f aca="false">YEAR(E1997)</f>
        <v>2024</v>
      </c>
      <c r="J1997" s="3" t="n">
        <f aca="false">MONTH(E1997)</f>
        <v>1</v>
      </c>
      <c r="K1997" s="3" t="n">
        <f aca="false">COUNTIFS($B$2:$B$4077,B1997,$C$2:$C$4077,C1997,$I$2:$I$4077,I1997)</f>
        <v>2</v>
      </c>
      <c r="L1997" s="3" t="n">
        <f aca="false">IF(COUNTIFS($B$2:B1997,B1997,$C$2:C1997,C1997,$I$2:I1997,I1997)=1,1,0)</f>
        <v>1</v>
      </c>
      <c r="M1997" s="3" t="n">
        <f aca="false">IF(K1997&gt;=Parametri!$B$1,1,0)</f>
        <v>1</v>
      </c>
      <c r="N1997" s="3" t="n">
        <f aca="false">L1997*M1997</f>
        <v>1</v>
      </c>
    </row>
    <row r="1998" customFormat="false" ht="15" hidden="false" customHeight="false" outlineLevel="0" collapsed="false">
      <c r="A1998" s="0" t="s">
        <v>3227</v>
      </c>
      <c r="B1998" s="0" t="s">
        <v>68</v>
      </c>
      <c r="C1998" s="0" t="s">
        <v>730</v>
      </c>
      <c r="D1998" s="0" t="s">
        <v>33</v>
      </c>
      <c r="E1998" s="2" t="n">
        <v>46100</v>
      </c>
      <c r="F1998" s="3" t="s">
        <v>20</v>
      </c>
      <c r="G1998" s="3" t="s">
        <v>39</v>
      </c>
      <c r="H1998" s="3" t="s">
        <v>48</v>
      </c>
      <c r="I1998" s="3" t="n">
        <f aca="false">YEAR(E1998)</f>
        <v>2026</v>
      </c>
      <c r="J1998" s="3" t="n">
        <f aca="false">MONTH(E1998)</f>
        <v>3</v>
      </c>
      <c r="K1998" s="3" t="n">
        <f aca="false">COUNTIFS($B$2:$B$4077,B1998,$C$2:$C$4077,C1998,$I$2:$I$4077,I1998)</f>
        <v>4</v>
      </c>
      <c r="L1998" s="3" t="n">
        <f aca="false">IF(COUNTIFS($B$2:B1998,B1998,$C$2:C1998,C1998,$I$2:I1998,I1998)=1,1,0)</f>
        <v>0</v>
      </c>
      <c r="M1998" s="3" t="n">
        <f aca="false">IF(K1998&gt;=Parametri!$B$1,1,0)</f>
        <v>1</v>
      </c>
      <c r="N1998" s="3" t="n">
        <f aca="false">L1998*M1998</f>
        <v>0</v>
      </c>
    </row>
    <row r="1999" customFormat="false" ht="15" hidden="false" customHeight="false" outlineLevel="0" collapsed="false">
      <c r="A1999" s="0" t="s">
        <v>3228</v>
      </c>
      <c r="B1999" s="0" t="s">
        <v>50</v>
      </c>
      <c r="C1999" s="0" t="s">
        <v>3229</v>
      </c>
      <c r="D1999" s="0" t="s">
        <v>63</v>
      </c>
      <c r="E1999" s="2" t="n">
        <v>45752</v>
      </c>
      <c r="F1999" s="3" t="s">
        <v>34</v>
      </c>
      <c r="G1999" s="3" t="s">
        <v>55</v>
      </c>
      <c r="H1999" s="3" t="s">
        <v>29</v>
      </c>
      <c r="I1999" s="3" t="n">
        <f aca="false">YEAR(E1999)</f>
        <v>2025</v>
      </c>
      <c r="J1999" s="3" t="n">
        <f aca="false">MONTH(E1999)</f>
        <v>4</v>
      </c>
      <c r="K1999" s="3" t="n">
        <f aca="false">COUNTIFS($B$2:$B$4077,B1999,$C$2:$C$4077,C1999,$I$2:$I$4077,I1999)</f>
        <v>2</v>
      </c>
      <c r="L1999" s="3" t="n">
        <f aca="false">IF(COUNTIFS($B$2:B1999,B1999,$C$2:C1999,C1999,$I$2:I1999,I1999)=1,1,0)</f>
        <v>1</v>
      </c>
      <c r="M1999" s="3" t="n">
        <f aca="false">IF(K1999&gt;=Parametri!$B$1,1,0)</f>
        <v>1</v>
      </c>
      <c r="N1999" s="3" t="n">
        <f aca="false">L1999*M1999</f>
        <v>1</v>
      </c>
    </row>
    <row r="2000" customFormat="false" ht="15" hidden="false" customHeight="false" outlineLevel="0" collapsed="false">
      <c r="A2000" s="0" t="s">
        <v>3230</v>
      </c>
      <c r="B2000" s="0" t="s">
        <v>68</v>
      </c>
      <c r="C2000" s="0" t="s">
        <v>3231</v>
      </c>
      <c r="D2000" s="0" t="s">
        <v>63</v>
      </c>
      <c r="E2000" s="2" t="n">
        <v>45333</v>
      </c>
      <c r="F2000" s="3" t="s">
        <v>34</v>
      </c>
      <c r="G2000" s="3" t="s">
        <v>104</v>
      </c>
      <c r="H2000" s="3" t="s">
        <v>44</v>
      </c>
      <c r="I2000" s="3" t="n">
        <f aca="false">YEAR(E2000)</f>
        <v>2024</v>
      </c>
      <c r="J2000" s="3" t="n">
        <f aca="false">MONTH(E2000)</f>
        <v>2</v>
      </c>
      <c r="K2000" s="3" t="n">
        <f aca="false">COUNTIFS($B$2:$B$4077,B2000,$C$2:$C$4077,C2000,$I$2:$I$4077,I2000)</f>
        <v>1</v>
      </c>
      <c r="L2000" s="3" t="n">
        <f aca="false">IF(COUNTIFS($B$2:B2000,B2000,$C$2:C2000,C2000,$I$2:I2000,I2000)=1,1,0)</f>
        <v>1</v>
      </c>
      <c r="M2000" s="3" t="n">
        <f aca="false">IF(K2000&gt;=Parametri!$B$1,1,0)</f>
        <v>0</v>
      </c>
      <c r="N2000" s="3" t="n">
        <f aca="false">L2000*M2000</f>
        <v>0</v>
      </c>
    </row>
    <row r="2001" customFormat="false" ht="15" hidden="false" customHeight="false" outlineLevel="0" collapsed="false">
      <c r="A2001" s="0" t="s">
        <v>3232</v>
      </c>
      <c r="B2001" s="0" t="s">
        <v>31</v>
      </c>
      <c r="C2001" s="0" t="s">
        <v>3170</v>
      </c>
      <c r="D2001" s="0" t="s">
        <v>63</v>
      </c>
      <c r="E2001" s="2" t="n">
        <v>45638</v>
      </c>
      <c r="F2001" s="3" t="s">
        <v>20</v>
      </c>
      <c r="G2001" s="3" t="s">
        <v>21</v>
      </c>
      <c r="H2001" s="3" t="s">
        <v>48</v>
      </c>
      <c r="I2001" s="3" t="n">
        <f aca="false">YEAR(E2001)</f>
        <v>2024</v>
      </c>
      <c r="J2001" s="3" t="n">
        <f aca="false">MONTH(E2001)</f>
        <v>12</v>
      </c>
      <c r="K2001" s="3" t="n">
        <f aca="false">COUNTIFS($B$2:$B$4077,B2001,$C$2:$C$4077,C2001,$I$2:$I$4077,I2001)</f>
        <v>1</v>
      </c>
      <c r="L2001" s="3" t="n">
        <f aca="false">IF(COUNTIFS($B$2:B2001,B2001,$C$2:C2001,C2001,$I$2:I2001,I2001)=1,1,0)</f>
        <v>1</v>
      </c>
      <c r="M2001" s="3" t="n">
        <f aca="false">IF(K2001&gt;=Parametri!$B$1,1,0)</f>
        <v>0</v>
      </c>
      <c r="N2001" s="3" t="n">
        <f aca="false">L2001*M2001</f>
        <v>0</v>
      </c>
    </row>
    <row r="2002" customFormat="false" ht="15" hidden="false" customHeight="false" outlineLevel="0" collapsed="false">
      <c r="A2002" s="0" t="s">
        <v>3233</v>
      </c>
      <c r="B2002" s="0" t="s">
        <v>57</v>
      </c>
      <c r="C2002" s="0" t="s">
        <v>288</v>
      </c>
      <c r="D2002" s="0" t="s">
        <v>19</v>
      </c>
      <c r="E2002" s="2" t="n">
        <v>45615</v>
      </c>
      <c r="F2002" s="3" t="s">
        <v>20</v>
      </c>
      <c r="G2002" s="3" t="s">
        <v>39</v>
      </c>
      <c r="H2002" s="3" t="s">
        <v>48</v>
      </c>
      <c r="I2002" s="3" t="n">
        <f aca="false">YEAR(E2002)</f>
        <v>2024</v>
      </c>
      <c r="J2002" s="3" t="n">
        <f aca="false">MONTH(E2002)</f>
        <v>11</v>
      </c>
      <c r="K2002" s="3" t="n">
        <f aca="false">COUNTIFS($B$2:$B$4077,B2002,$C$2:$C$4077,C2002,$I$2:$I$4077,I2002)</f>
        <v>7</v>
      </c>
      <c r="L2002" s="3" t="n">
        <f aca="false">IF(COUNTIFS($B$2:B2002,B2002,$C$2:C2002,C2002,$I$2:I2002,I2002)=1,1,0)</f>
        <v>0</v>
      </c>
      <c r="M2002" s="3" t="n">
        <f aca="false">IF(K2002&gt;=Parametri!$B$1,1,0)</f>
        <v>1</v>
      </c>
      <c r="N2002" s="3" t="n">
        <f aca="false">L2002*M2002</f>
        <v>0</v>
      </c>
    </row>
    <row r="2003" customFormat="false" ht="15" hidden="false" customHeight="false" outlineLevel="0" collapsed="false">
      <c r="A2003" s="0" t="s">
        <v>3234</v>
      </c>
      <c r="B2003" s="0" t="s">
        <v>46</v>
      </c>
      <c r="C2003" s="0" t="s">
        <v>2244</v>
      </c>
      <c r="D2003" s="0" t="s">
        <v>38</v>
      </c>
      <c r="E2003" s="2" t="n">
        <v>46034</v>
      </c>
      <c r="F2003" s="3" t="s">
        <v>27</v>
      </c>
      <c r="G2003" s="3" t="s">
        <v>72</v>
      </c>
      <c r="H2003" s="3" t="s">
        <v>44</v>
      </c>
      <c r="I2003" s="3" t="n">
        <f aca="false">YEAR(E2003)</f>
        <v>2026</v>
      </c>
      <c r="J2003" s="3" t="n">
        <f aca="false">MONTH(E2003)</f>
        <v>1</v>
      </c>
      <c r="K2003" s="3" t="n">
        <f aca="false">COUNTIFS($B$2:$B$4077,B2003,$C$2:$C$4077,C2003,$I$2:$I$4077,I2003)</f>
        <v>2</v>
      </c>
      <c r="L2003" s="3" t="n">
        <f aca="false">IF(COUNTIFS($B$2:B2003,B2003,$C$2:C2003,C2003,$I$2:I2003,I2003)=1,1,0)</f>
        <v>0</v>
      </c>
      <c r="M2003" s="3" t="n">
        <f aca="false">IF(K2003&gt;=Parametri!$B$1,1,0)</f>
        <v>1</v>
      </c>
      <c r="N2003" s="3" t="n">
        <f aca="false">L2003*M2003</f>
        <v>0</v>
      </c>
    </row>
    <row r="2004" customFormat="false" ht="15" hidden="false" customHeight="false" outlineLevel="0" collapsed="false">
      <c r="A2004" s="0" t="s">
        <v>3235</v>
      </c>
      <c r="B2004" s="0" t="s">
        <v>24</v>
      </c>
      <c r="C2004" s="0" t="s">
        <v>3236</v>
      </c>
      <c r="D2004" s="0" t="s">
        <v>63</v>
      </c>
      <c r="E2004" s="2" t="n">
        <v>45507</v>
      </c>
      <c r="F2004" s="3" t="s">
        <v>20</v>
      </c>
      <c r="G2004" s="3" t="s">
        <v>55</v>
      </c>
      <c r="H2004" s="3" t="s">
        <v>29</v>
      </c>
      <c r="I2004" s="3" t="n">
        <f aca="false">YEAR(E2004)</f>
        <v>2024</v>
      </c>
      <c r="J2004" s="3" t="n">
        <f aca="false">MONTH(E2004)</f>
        <v>8</v>
      </c>
      <c r="K2004" s="3" t="n">
        <f aca="false">COUNTIFS($B$2:$B$4077,B2004,$C$2:$C$4077,C2004,$I$2:$I$4077,I2004)</f>
        <v>1</v>
      </c>
      <c r="L2004" s="3" t="n">
        <f aca="false">IF(COUNTIFS($B$2:B2004,B2004,$C$2:C2004,C2004,$I$2:I2004,I2004)=1,1,0)</f>
        <v>1</v>
      </c>
      <c r="M2004" s="3" t="n">
        <f aca="false">IF(K2004&gt;=Parametri!$B$1,1,0)</f>
        <v>0</v>
      </c>
      <c r="N2004" s="3" t="n">
        <f aca="false">L2004*M2004</f>
        <v>0</v>
      </c>
    </row>
    <row r="2005" customFormat="false" ht="15" hidden="false" customHeight="false" outlineLevel="0" collapsed="false">
      <c r="A2005" s="0" t="s">
        <v>3237</v>
      </c>
      <c r="B2005" s="0" t="s">
        <v>124</v>
      </c>
      <c r="C2005" s="0" t="s">
        <v>3238</v>
      </c>
      <c r="D2005" s="0" t="s">
        <v>77</v>
      </c>
      <c r="E2005" s="2" t="n">
        <v>46062</v>
      </c>
      <c r="F2005" s="3" t="s">
        <v>20</v>
      </c>
      <c r="G2005" s="3" t="s">
        <v>21</v>
      </c>
      <c r="H2005" s="3" t="s">
        <v>29</v>
      </c>
      <c r="I2005" s="3" t="n">
        <f aca="false">YEAR(E2005)</f>
        <v>2026</v>
      </c>
      <c r="J2005" s="3" t="n">
        <f aca="false">MONTH(E2005)</f>
        <v>2</v>
      </c>
      <c r="K2005" s="3" t="n">
        <f aca="false">COUNTIFS($B$2:$B$4077,B2005,$C$2:$C$4077,C2005,$I$2:$I$4077,I2005)</f>
        <v>1</v>
      </c>
      <c r="L2005" s="3" t="n">
        <f aca="false">IF(COUNTIFS($B$2:B2005,B2005,$C$2:C2005,C2005,$I$2:I2005,I2005)=1,1,0)</f>
        <v>1</v>
      </c>
      <c r="M2005" s="3" t="n">
        <f aca="false">IF(K2005&gt;=Parametri!$B$1,1,0)</f>
        <v>0</v>
      </c>
      <c r="N2005" s="3" t="n">
        <f aca="false">L2005*M2005</f>
        <v>0</v>
      </c>
    </row>
    <row r="2006" customFormat="false" ht="15" hidden="false" customHeight="false" outlineLevel="0" collapsed="false">
      <c r="A2006" s="0" t="s">
        <v>3239</v>
      </c>
      <c r="B2006" s="0" t="s">
        <v>41</v>
      </c>
      <c r="C2006" s="0" t="s">
        <v>3240</v>
      </c>
      <c r="D2006" s="0" t="s">
        <v>38</v>
      </c>
      <c r="E2006" s="2" t="n">
        <v>46049</v>
      </c>
      <c r="F2006" s="3" t="s">
        <v>104</v>
      </c>
      <c r="G2006" s="3" t="s">
        <v>104</v>
      </c>
      <c r="H2006" s="3" t="s">
        <v>104</v>
      </c>
      <c r="I2006" s="3" t="n">
        <f aca="false">YEAR(E2006)</f>
        <v>2026</v>
      </c>
      <c r="J2006" s="3" t="n">
        <f aca="false">MONTH(E2006)</f>
        <v>1</v>
      </c>
      <c r="K2006" s="3" t="n">
        <f aca="false">COUNTIFS($B$2:$B$4077,B2006,$C$2:$C$4077,C2006,$I$2:$I$4077,I2006)</f>
        <v>1</v>
      </c>
      <c r="L2006" s="3" t="n">
        <f aca="false">IF(COUNTIFS($B$2:B2006,B2006,$C$2:C2006,C2006,$I$2:I2006,I2006)=1,1,0)</f>
        <v>1</v>
      </c>
      <c r="M2006" s="3" t="n">
        <f aca="false">IF(K2006&gt;=Parametri!$B$1,1,0)</f>
        <v>0</v>
      </c>
      <c r="N2006" s="3" t="n">
        <f aca="false">L2006*M2006</f>
        <v>0</v>
      </c>
    </row>
    <row r="2007" customFormat="false" ht="15" hidden="false" customHeight="false" outlineLevel="0" collapsed="false">
      <c r="A2007" s="0" t="s">
        <v>3241</v>
      </c>
      <c r="B2007" s="0" t="s">
        <v>46</v>
      </c>
      <c r="C2007" s="0" t="s">
        <v>3242</v>
      </c>
      <c r="D2007" s="0" t="s">
        <v>63</v>
      </c>
      <c r="E2007" s="2" t="n">
        <v>45376</v>
      </c>
      <c r="F2007" s="3" t="s">
        <v>20</v>
      </c>
      <c r="G2007" s="3" t="s">
        <v>72</v>
      </c>
      <c r="H2007" s="3" t="s">
        <v>29</v>
      </c>
      <c r="I2007" s="3" t="n">
        <f aca="false">YEAR(E2007)</f>
        <v>2024</v>
      </c>
      <c r="J2007" s="3" t="n">
        <f aca="false">MONTH(E2007)</f>
        <v>3</v>
      </c>
      <c r="K2007" s="3" t="n">
        <f aca="false">COUNTIFS($B$2:$B$4077,B2007,$C$2:$C$4077,C2007,$I$2:$I$4077,I2007)</f>
        <v>1</v>
      </c>
      <c r="L2007" s="3" t="n">
        <f aca="false">IF(COUNTIFS($B$2:B2007,B2007,$C$2:C2007,C2007,$I$2:I2007,I2007)=1,1,0)</f>
        <v>1</v>
      </c>
      <c r="M2007" s="3" t="n">
        <f aca="false">IF(K2007&gt;=Parametri!$B$1,1,0)</f>
        <v>0</v>
      </c>
      <c r="N2007" s="3" t="n">
        <f aca="false">L2007*M2007</f>
        <v>0</v>
      </c>
    </row>
    <row r="2008" customFormat="false" ht="15" hidden="false" customHeight="false" outlineLevel="0" collapsed="false">
      <c r="A2008" s="0" t="s">
        <v>3243</v>
      </c>
      <c r="B2008" s="0" t="s">
        <v>31</v>
      </c>
      <c r="C2008" s="0" t="s">
        <v>3244</v>
      </c>
      <c r="D2008" s="0" t="s">
        <v>77</v>
      </c>
      <c r="E2008" s="2" t="n">
        <v>46052</v>
      </c>
      <c r="F2008" s="3" t="s">
        <v>20</v>
      </c>
      <c r="G2008" s="3" t="s">
        <v>21</v>
      </c>
      <c r="H2008" s="3" t="s">
        <v>29</v>
      </c>
      <c r="I2008" s="3" t="n">
        <f aca="false">YEAR(E2008)</f>
        <v>2026</v>
      </c>
      <c r="J2008" s="3" t="n">
        <f aca="false">MONTH(E2008)</f>
        <v>1</v>
      </c>
      <c r="K2008" s="3" t="n">
        <f aca="false">COUNTIFS($B$2:$B$4077,B2008,$C$2:$C$4077,C2008,$I$2:$I$4077,I2008)</f>
        <v>1</v>
      </c>
      <c r="L2008" s="3" t="n">
        <f aca="false">IF(COUNTIFS($B$2:B2008,B2008,$C$2:C2008,C2008,$I$2:I2008,I2008)=1,1,0)</f>
        <v>1</v>
      </c>
      <c r="M2008" s="3" t="n">
        <f aca="false">IF(K2008&gt;=Parametri!$B$1,1,0)</f>
        <v>0</v>
      </c>
      <c r="N2008" s="3" t="n">
        <f aca="false">L2008*M2008</f>
        <v>0</v>
      </c>
    </row>
    <row r="2009" customFormat="false" ht="15" hidden="false" customHeight="false" outlineLevel="0" collapsed="false">
      <c r="A2009" s="0" t="s">
        <v>3245</v>
      </c>
      <c r="B2009" s="0" t="s">
        <v>50</v>
      </c>
      <c r="C2009" s="0" t="s">
        <v>3246</v>
      </c>
      <c r="D2009" s="0" t="s">
        <v>66</v>
      </c>
      <c r="E2009" s="2" t="n">
        <v>45801</v>
      </c>
      <c r="F2009" s="3" t="s">
        <v>34</v>
      </c>
      <c r="G2009" s="3" t="s">
        <v>39</v>
      </c>
      <c r="H2009" s="3" t="s">
        <v>44</v>
      </c>
      <c r="I2009" s="3" t="n">
        <f aca="false">YEAR(E2009)</f>
        <v>2025</v>
      </c>
      <c r="J2009" s="3" t="n">
        <f aca="false">MONTH(E2009)</f>
        <v>5</v>
      </c>
      <c r="K2009" s="3" t="n">
        <f aca="false">COUNTIFS($B$2:$B$4077,B2009,$C$2:$C$4077,C2009,$I$2:$I$4077,I2009)</f>
        <v>3</v>
      </c>
      <c r="L2009" s="3" t="n">
        <f aca="false">IF(COUNTIFS($B$2:B2009,B2009,$C$2:C2009,C2009,$I$2:I2009,I2009)=1,1,0)</f>
        <v>1</v>
      </c>
      <c r="M2009" s="3" t="n">
        <f aca="false">IF(K2009&gt;=Parametri!$B$1,1,0)</f>
        <v>1</v>
      </c>
      <c r="N2009" s="3" t="n">
        <f aca="false">L2009*M2009</f>
        <v>1</v>
      </c>
    </row>
    <row r="2010" customFormat="false" ht="15" hidden="false" customHeight="false" outlineLevel="0" collapsed="false">
      <c r="A2010" s="0" t="s">
        <v>3247</v>
      </c>
      <c r="B2010" s="0" t="s">
        <v>68</v>
      </c>
      <c r="C2010" s="0" t="s">
        <v>3248</v>
      </c>
      <c r="D2010" s="0" t="s">
        <v>77</v>
      </c>
      <c r="E2010" s="2" t="n">
        <v>45638</v>
      </c>
      <c r="F2010" s="3" t="s">
        <v>20</v>
      </c>
      <c r="G2010" s="3" t="s">
        <v>35</v>
      </c>
      <c r="H2010" s="3" t="s">
        <v>29</v>
      </c>
      <c r="I2010" s="3" t="n">
        <f aca="false">YEAR(E2010)</f>
        <v>2024</v>
      </c>
      <c r="J2010" s="3" t="n">
        <f aca="false">MONTH(E2010)</f>
        <v>12</v>
      </c>
      <c r="K2010" s="3" t="n">
        <f aca="false">COUNTIFS($B$2:$B$4077,B2010,$C$2:$C$4077,C2010,$I$2:$I$4077,I2010)</f>
        <v>1</v>
      </c>
      <c r="L2010" s="3" t="n">
        <f aca="false">IF(COUNTIFS($B$2:B2010,B2010,$C$2:C2010,C2010,$I$2:I2010,I2010)=1,1,0)</f>
        <v>1</v>
      </c>
      <c r="M2010" s="3" t="n">
        <f aca="false">IF(K2010&gt;=Parametri!$B$1,1,0)</f>
        <v>0</v>
      </c>
      <c r="N2010" s="3" t="n">
        <f aca="false">L2010*M2010</f>
        <v>0</v>
      </c>
    </row>
    <row r="2011" customFormat="false" ht="15" hidden="false" customHeight="false" outlineLevel="0" collapsed="false">
      <c r="A2011" s="0" t="s">
        <v>3249</v>
      </c>
      <c r="B2011" s="0" t="s">
        <v>24</v>
      </c>
      <c r="C2011" s="0" t="s">
        <v>3062</v>
      </c>
      <c r="D2011" s="0" t="s">
        <v>63</v>
      </c>
      <c r="E2011" s="2" t="n">
        <v>46091</v>
      </c>
      <c r="F2011" s="3" t="s">
        <v>20</v>
      </c>
      <c r="G2011" s="3" t="s">
        <v>21</v>
      </c>
      <c r="H2011" s="3" t="s">
        <v>48</v>
      </c>
      <c r="I2011" s="3" t="n">
        <f aca="false">YEAR(E2011)</f>
        <v>2026</v>
      </c>
      <c r="J2011" s="3" t="n">
        <f aca="false">MONTH(E2011)</f>
        <v>3</v>
      </c>
      <c r="K2011" s="3" t="n">
        <f aca="false">COUNTIFS($B$2:$B$4077,B2011,$C$2:$C$4077,C2011,$I$2:$I$4077,I2011)</f>
        <v>2</v>
      </c>
      <c r="L2011" s="3" t="n">
        <f aca="false">IF(COUNTIFS($B$2:B2011,B2011,$C$2:C2011,C2011,$I$2:I2011,I2011)=1,1,0)</f>
        <v>1</v>
      </c>
      <c r="M2011" s="3" t="n">
        <f aca="false">IF(K2011&gt;=Parametri!$B$1,1,0)</f>
        <v>1</v>
      </c>
      <c r="N2011" s="3" t="n">
        <f aca="false">L2011*M2011</f>
        <v>1</v>
      </c>
    </row>
    <row r="2012" customFormat="false" ht="15" hidden="false" customHeight="false" outlineLevel="0" collapsed="false">
      <c r="A2012" s="0" t="s">
        <v>3250</v>
      </c>
      <c r="B2012" s="0" t="s">
        <v>50</v>
      </c>
      <c r="C2012" s="0" t="s">
        <v>3251</v>
      </c>
      <c r="D2012" s="0" t="s">
        <v>38</v>
      </c>
      <c r="E2012" s="2" t="n">
        <v>45895</v>
      </c>
      <c r="F2012" s="3" t="s">
        <v>20</v>
      </c>
      <c r="G2012" s="3" t="s">
        <v>39</v>
      </c>
      <c r="H2012" s="3" t="s">
        <v>48</v>
      </c>
      <c r="I2012" s="3" t="n">
        <f aca="false">YEAR(E2012)</f>
        <v>2025</v>
      </c>
      <c r="J2012" s="3" t="n">
        <f aca="false">MONTH(E2012)</f>
        <v>8</v>
      </c>
      <c r="K2012" s="3" t="n">
        <f aca="false">COUNTIFS($B$2:$B$4077,B2012,$C$2:$C$4077,C2012,$I$2:$I$4077,I2012)</f>
        <v>1</v>
      </c>
      <c r="L2012" s="3" t="n">
        <f aca="false">IF(COUNTIFS($B$2:B2012,B2012,$C$2:C2012,C2012,$I$2:I2012,I2012)=1,1,0)</f>
        <v>1</v>
      </c>
      <c r="M2012" s="3" t="n">
        <f aca="false">IF(K2012&gt;=Parametri!$B$1,1,0)</f>
        <v>0</v>
      </c>
      <c r="N2012" s="3" t="n">
        <f aca="false">L2012*M2012</f>
        <v>0</v>
      </c>
    </row>
    <row r="2013" customFormat="false" ht="15" hidden="false" customHeight="false" outlineLevel="0" collapsed="false">
      <c r="A2013" s="0" t="s">
        <v>3252</v>
      </c>
      <c r="B2013" s="0" t="s">
        <v>79</v>
      </c>
      <c r="C2013" s="0" t="s">
        <v>116</v>
      </c>
      <c r="D2013" s="0" t="s">
        <v>54</v>
      </c>
      <c r="E2013" s="2" t="n">
        <v>45595</v>
      </c>
      <c r="F2013" s="3" t="s">
        <v>20</v>
      </c>
      <c r="G2013" s="3" t="s">
        <v>39</v>
      </c>
      <c r="H2013" s="3" t="s">
        <v>29</v>
      </c>
      <c r="I2013" s="3" t="n">
        <f aca="false">YEAR(E2013)</f>
        <v>2024</v>
      </c>
      <c r="J2013" s="3" t="n">
        <f aca="false">MONTH(E2013)</f>
        <v>10</v>
      </c>
      <c r="K2013" s="3" t="n">
        <f aca="false">COUNTIFS($B$2:$B$4077,B2013,$C$2:$C$4077,C2013,$I$2:$I$4077,I2013)</f>
        <v>6</v>
      </c>
      <c r="L2013" s="3" t="n">
        <f aca="false">IF(COUNTIFS($B$2:B2013,B2013,$C$2:C2013,C2013,$I$2:I2013,I2013)=1,1,0)</f>
        <v>0</v>
      </c>
      <c r="M2013" s="3" t="n">
        <f aca="false">IF(K2013&gt;=Parametri!$B$1,1,0)</f>
        <v>1</v>
      </c>
      <c r="N2013" s="3" t="n">
        <f aca="false">L2013*M2013</f>
        <v>0</v>
      </c>
    </row>
    <row r="2014" customFormat="false" ht="15" hidden="false" customHeight="false" outlineLevel="0" collapsed="false">
      <c r="A2014" s="0" t="s">
        <v>3253</v>
      </c>
      <c r="B2014" s="0" t="s">
        <v>24</v>
      </c>
      <c r="C2014" s="0" t="s">
        <v>2488</v>
      </c>
      <c r="D2014" s="0" t="s">
        <v>66</v>
      </c>
      <c r="E2014" s="2" t="n">
        <v>45875</v>
      </c>
      <c r="F2014" s="3" t="s">
        <v>20</v>
      </c>
      <c r="G2014" s="3" t="s">
        <v>39</v>
      </c>
      <c r="H2014" s="3" t="s">
        <v>29</v>
      </c>
      <c r="I2014" s="3" t="n">
        <f aca="false">YEAR(E2014)</f>
        <v>2025</v>
      </c>
      <c r="J2014" s="3" t="n">
        <f aca="false">MONTH(E2014)</f>
        <v>8</v>
      </c>
      <c r="K2014" s="3" t="n">
        <f aca="false">COUNTIFS($B$2:$B$4077,B2014,$C$2:$C$4077,C2014,$I$2:$I$4077,I2014)</f>
        <v>2</v>
      </c>
      <c r="L2014" s="3" t="n">
        <f aca="false">IF(COUNTIFS($B$2:B2014,B2014,$C$2:C2014,C2014,$I$2:I2014,I2014)=1,1,0)</f>
        <v>0</v>
      </c>
      <c r="M2014" s="3" t="n">
        <f aca="false">IF(K2014&gt;=Parametri!$B$1,1,0)</f>
        <v>1</v>
      </c>
      <c r="N2014" s="3" t="n">
        <f aca="false">L2014*M2014</f>
        <v>0</v>
      </c>
    </row>
    <row r="2015" customFormat="false" ht="15" hidden="false" customHeight="false" outlineLevel="0" collapsed="false">
      <c r="A2015" s="0" t="s">
        <v>3254</v>
      </c>
      <c r="B2015" s="0" t="s">
        <v>57</v>
      </c>
      <c r="C2015" s="0" t="s">
        <v>2434</v>
      </c>
      <c r="D2015" s="0" t="s">
        <v>54</v>
      </c>
      <c r="E2015" s="2" t="n">
        <v>45980</v>
      </c>
      <c r="F2015" s="3" t="s">
        <v>20</v>
      </c>
      <c r="G2015" s="3" t="s">
        <v>39</v>
      </c>
      <c r="H2015" s="3" t="s">
        <v>44</v>
      </c>
      <c r="I2015" s="3" t="n">
        <f aca="false">YEAR(E2015)</f>
        <v>2025</v>
      </c>
      <c r="J2015" s="3" t="n">
        <f aca="false">MONTH(E2015)</f>
        <v>11</v>
      </c>
      <c r="K2015" s="3" t="n">
        <f aca="false">COUNTIFS($B$2:$B$4077,B2015,$C$2:$C$4077,C2015,$I$2:$I$4077,I2015)</f>
        <v>3</v>
      </c>
      <c r="L2015" s="3" t="n">
        <f aca="false">IF(COUNTIFS($B$2:B2015,B2015,$C$2:C2015,C2015,$I$2:I2015,I2015)=1,1,0)</f>
        <v>1</v>
      </c>
      <c r="M2015" s="3" t="n">
        <f aca="false">IF(K2015&gt;=Parametri!$B$1,1,0)</f>
        <v>1</v>
      </c>
      <c r="N2015" s="3" t="n">
        <f aca="false">L2015*M2015</f>
        <v>1</v>
      </c>
    </row>
    <row r="2016" customFormat="false" ht="15" hidden="false" customHeight="false" outlineLevel="0" collapsed="false">
      <c r="A2016" s="0" t="s">
        <v>3255</v>
      </c>
      <c r="B2016" s="0" t="s">
        <v>68</v>
      </c>
      <c r="C2016" s="0" t="s">
        <v>2145</v>
      </c>
      <c r="D2016" s="0" t="s">
        <v>66</v>
      </c>
      <c r="E2016" s="2" t="n">
        <v>45317</v>
      </c>
      <c r="F2016" s="3" t="s">
        <v>20</v>
      </c>
      <c r="G2016" s="3" t="s">
        <v>39</v>
      </c>
      <c r="H2016" s="3" t="s">
        <v>44</v>
      </c>
      <c r="I2016" s="3" t="n">
        <f aca="false">YEAR(E2016)</f>
        <v>2024</v>
      </c>
      <c r="J2016" s="3" t="n">
        <f aca="false">MONTH(E2016)</f>
        <v>1</v>
      </c>
      <c r="K2016" s="3" t="n">
        <f aca="false">COUNTIFS($B$2:$B$4077,B2016,$C$2:$C$4077,C2016,$I$2:$I$4077,I2016)</f>
        <v>2</v>
      </c>
      <c r="L2016" s="3" t="n">
        <f aca="false">IF(COUNTIFS($B$2:B2016,B2016,$C$2:C2016,C2016,$I$2:I2016,I2016)=1,1,0)</f>
        <v>0</v>
      </c>
      <c r="M2016" s="3" t="n">
        <f aca="false">IF(K2016&gt;=Parametri!$B$1,1,0)</f>
        <v>1</v>
      </c>
      <c r="N2016" s="3" t="n">
        <f aca="false">L2016*M2016</f>
        <v>0</v>
      </c>
    </row>
    <row r="2017" customFormat="false" ht="15" hidden="false" customHeight="false" outlineLevel="0" collapsed="false">
      <c r="A2017" s="0" t="s">
        <v>3256</v>
      </c>
      <c r="B2017" s="0" t="s">
        <v>41</v>
      </c>
      <c r="C2017" s="0" t="s">
        <v>598</v>
      </c>
      <c r="D2017" s="0" t="s">
        <v>19</v>
      </c>
      <c r="E2017" s="2" t="n">
        <v>45579</v>
      </c>
      <c r="F2017" s="3" t="s">
        <v>20</v>
      </c>
      <c r="G2017" s="3" t="s">
        <v>89</v>
      </c>
      <c r="H2017" s="3" t="s">
        <v>29</v>
      </c>
      <c r="I2017" s="3" t="n">
        <f aca="false">YEAR(E2017)</f>
        <v>2024</v>
      </c>
      <c r="J2017" s="3" t="n">
        <f aca="false">MONTH(E2017)</f>
        <v>10</v>
      </c>
      <c r="K2017" s="3" t="n">
        <f aca="false">COUNTIFS($B$2:$B$4077,B2017,$C$2:$C$4077,C2017,$I$2:$I$4077,I2017)</f>
        <v>3</v>
      </c>
      <c r="L2017" s="3" t="n">
        <f aca="false">IF(COUNTIFS($B$2:B2017,B2017,$C$2:C2017,C2017,$I$2:I2017,I2017)=1,1,0)</f>
        <v>1</v>
      </c>
      <c r="M2017" s="3" t="n">
        <f aca="false">IF(K2017&gt;=Parametri!$B$1,1,0)</f>
        <v>1</v>
      </c>
      <c r="N2017" s="3" t="n">
        <f aca="false">L2017*M2017</f>
        <v>1</v>
      </c>
    </row>
    <row r="2018" customFormat="false" ht="15" hidden="false" customHeight="false" outlineLevel="0" collapsed="false">
      <c r="A2018" s="0" t="s">
        <v>3257</v>
      </c>
      <c r="B2018" s="0" t="s">
        <v>46</v>
      </c>
      <c r="C2018" s="0" t="s">
        <v>3258</v>
      </c>
      <c r="D2018" s="0" t="s">
        <v>38</v>
      </c>
      <c r="E2018" s="2" t="n">
        <v>45857</v>
      </c>
      <c r="F2018" s="3" t="s">
        <v>20</v>
      </c>
      <c r="G2018" s="3" t="s">
        <v>35</v>
      </c>
      <c r="H2018" s="3" t="s">
        <v>48</v>
      </c>
      <c r="I2018" s="3" t="n">
        <f aca="false">YEAR(E2018)</f>
        <v>2025</v>
      </c>
      <c r="J2018" s="3" t="n">
        <f aca="false">MONTH(E2018)</f>
        <v>7</v>
      </c>
      <c r="K2018" s="3" t="n">
        <f aca="false">COUNTIFS($B$2:$B$4077,B2018,$C$2:$C$4077,C2018,$I$2:$I$4077,I2018)</f>
        <v>1</v>
      </c>
      <c r="L2018" s="3" t="n">
        <f aca="false">IF(COUNTIFS($B$2:B2018,B2018,$C$2:C2018,C2018,$I$2:I2018,I2018)=1,1,0)</f>
        <v>1</v>
      </c>
      <c r="M2018" s="3" t="n">
        <f aca="false">IF(K2018&gt;=Parametri!$B$1,1,0)</f>
        <v>0</v>
      </c>
      <c r="N2018" s="3" t="n">
        <f aca="false">L2018*M2018</f>
        <v>0</v>
      </c>
    </row>
    <row r="2019" customFormat="false" ht="15" hidden="false" customHeight="false" outlineLevel="0" collapsed="false">
      <c r="A2019" s="0" t="s">
        <v>3259</v>
      </c>
      <c r="B2019" s="0" t="s">
        <v>79</v>
      </c>
      <c r="C2019" s="0" t="s">
        <v>471</v>
      </c>
      <c r="D2019" s="0" t="s">
        <v>38</v>
      </c>
      <c r="E2019" s="2" t="n">
        <v>46177</v>
      </c>
      <c r="F2019" s="3" t="s">
        <v>27</v>
      </c>
      <c r="G2019" s="3" t="s">
        <v>35</v>
      </c>
      <c r="H2019" s="3" t="s">
        <v>44</v>
      </c>
      <c r="I2019" s="3" t="n">
        <f aca="false">YEAR(E2019)</f>
        <v>2026</v>
      </c>
      <c r="J2019" s="3" t="n">
        <f aca="false">MONTH(E2019)</f>
        <v>6</v>
      </c>
      <c r="K2019" s="3" t="n">
        <f aca="false">COUNTIFS($B$2:$B$4077,B2019,$C$2:$C$4077,C2019,$I$2:$I$4077,I2019)</f>
        <v>4</v>
      </c>
      <c r="L2019" s="3" t="n">
        <f aca="false">IF(COUNTIFS($B$2:B2019,B2019,$C$2:C2019,C2019,$I$2:I2019,I2019)=1,1,0)</f>
        <v>0</v>
      </c>
      <c r="M2019" s="3" t="n">
        <f aca="false">IF(K2019&gt;=Parametri!$B$1,1,0)</f>
        <v>1</v>
      </c>
      <c r="N2019" s="3" t="n">
        <f aca="false">L2019*M2019</f>
        <v>0</v>
      </c>
    </row>
    <row r="2020" customFormat="false" ht="15" hidden="false" customHeight="false" outlineLevel="0" collapsed="false">
      <c r="A2020" s="0" t="s">
        <v>3260</v>
      </c>
      <c r="B2020" s="0" t="s">
        <v>31</v>
      </c>
      <c r="C2020" s="0" t="s">
        <v>3261</v>
      </c>
      <c r="D2020" s="0" t="s">
        <v>33</v>
      </c>
      <c r="E2020" s="2" t="n">
        <v>45309</v>
      </c>
      <c r="F2020" s="3" t="s">
        <v>20</v>
      </c>
      <c r="G2020" s="3" t="s">
        <v>35</v>
      </c>
      <c r="H2020" s="3" t="s">
        <v>22</v>
      </c>
      <c r="I2020" s="3" t="n">
        <f aca="false">YEAR(E2020)</f>
        <v>2024</v>
      </c>
      <c r="J2020" s="3" t="n">
        <f aca="false">MONTH(E2020)</f>
        <v>1</v>
      </c>
      <c r="K2020" s="3" t="n">
        <f aca="false">COUNTIFS($B$2:$B$4077,B2020,$C$2:$C$4077,C2020,$I$2:$I$4077,I2020)</f>
        <v>1</v>
      </c>
      <c r="L2020" s="3" t="n">
        <f aca="false">IF(COUNTIFS($B$2:B2020,B2020,$C$2:C2020,C2020,$I$2:I2020,I2020)=1,1,0)</f>
        <v>1</v>
      </c>
      <c r="M2020" s="3" t="n">
        <f aca="false">IF(K2020&gt;=Parametri!$B$1,1,0)</f>
        <v>0</v>
      </c>
      <c r="N2020" s="3" t="n">
        <f aca="false">L2020*M2020</f>
        <v>0</v>
      </c>
    </row>
    <row r="2021" customFormat="false" ht="15" hidden="false" customHeight="false" outlineLevel="0" collapsed="false">
      <c r="A2021" s="0" t="s">
        <v>3262</v>
      </c>
      <c r="B2021" s="0" t="s">
        <v>17</v>
      </c>
      <c r="C2021" s="0" t="s">
        <v>91</v>
      </c>
      <c r="D2021" s="0" t="s">
        <v>19</v>
      </c>
      <c r="E2021" s="2" t="n">
        <v>45362</v>
      </c>
      <c r="F2021" s="3" t="s">
        <v>20</v>
      </c>
      <c r="G2021" s="3" t="s">
        <v>104</v>
      </c>
      <c r="H2021" s="3" t="s">
        <v>22</v>
      </c>
      <c r="I2021" s="3" t="n">
        <f aca="false">YEAR(E2021)</f>
        <v>2024</v>
      </c>
      <c r="J2021" s="3" t="n">
        <f aca="false">MONTH(E2021)</f>
        <v>3</v>
      </c>
      <c r="K2021" s="3" t="n">
        <f aca="false">COUNTIFS($B$2:$B$4077,B2021,$C$2:$C$4077,C2021,$I$2:$I$4077,I2021)</f>
        <v>1</v>
      </c>
      <c r="L2021" s="3" t="n">
        <f aca="false">IF(COUNTIFS($B$2:B2021,B2021,$C$2:C2021,C2021,$I$2:I2021,I2021)=1,1,0)</f>
        <v>1</v>
      </c>
      <c r="M2021" s="3" t="n">
        <f aca="false">IF(K2021&gt;=Parametri!$B$1,1,0)</f>
        <v>0</v>
      </c>
      <c r="N2021" s="3" t="n">
        <f aca="false">L2021*M2021</f>
        <v>0</v>
      </c>
    </row>
    <row r="2022" customFormat="false" ht="15" hidden="false" customHeight="false" outlineLevel="0" collapsed="false">
      <c r="A2022" s="0" t="s">
        <v>3263</v>
      </c>
      <c r="B2022" s="0" t="s">
        <v>41</v>
      </c>
      <c r="C2022" s="0" t="s">
        <v>776</v>
      </c>
      <c r="D2022" s="0" t="s">
        <v>38</v>
      </c>
      <c r="E2022" s="2" t="n">
        <v>45863</v>
      </c>
      <c r="F2022" s="3" t="s">
        <v>20</v>
      </c>
      <c r="G2022" s="3" t="s">
        <v>21</v>
      </c>
      <c r="H2022" s="3" t="s">
        <v>44</v>
      </c>
      <c r="I2022" s="3" t="n">
        <f aca="false">YEAR(E2022)</f>
        <v>2025</v>
      </c>
      <c r="J2022" s="3" t="n">
        <f aca="false">MONTH(E2022)</f>
        <v>7</v>
      </c>
      <c r="K2022" s="3" t="n">
        <f aca="false">COUNTIFS($B$2:$B$4077,B2022,$C$2:$C$4077,C2022,$I$2:$I$4077,I2022)</f>
        <v>2</v>
      </c>
      <c r="L2022" s="3" t="n">
        <f aca="false">IF(COUNTIFS($B$2:B2022,B2022,$C$2:C2022,C2022,$I$2:I2022,I2022)=1,1,0)</f>
        <v>1</v>
      </c>
      <c r="M2022" s="3" t="n">
        <f aca="false">IF(K2022&gt;=Parametri!$B$1,1,0)</f>
        <v>1</v>
      </c>
      <c r="N2022" s="3" t="n">
        <f aca="false">L2022*M2022</f>
        <v>1</v>
      </c>
    </row>
    <row r="2023" customFormat="false" ht="15" hidden="false" customHeight="false" outlineLevel="0" collapsed="false">
      <c r="A2023" s="0" t="s">
        <v>3264</v>
      </c>
      <c r="B2023" s="0" t="s">
        <v>46</v>
      </c>
      <c r="C2023" s="0" t="s">
        <v>212</v>
      </c>
      <c r="D2023" s="0" t="s">
        <v>33</v>
      </c>
      <c r="E2023" s="2" t="n">
        <v>45748</v>
      </c>
      <c r="F2023" s="3" t="s">
        <v>27</v>
      </c>
      <c r="G2023" s="3" t="s">
        <v>28</v>
      </c>
      <c r="H2023" s="3" t="s">
        <v>29</v>
      </c>
      <c r="I2023" s="3" t="n">
        <f aca="false">YEAR(E2023)</f>
        <v>2025</v>
      </c>
      <c r="J2023" s="3" t="n">
        <f aca="false">MONTH(E2023)</f>
        <v>4</v>
      </c>
      <c r="K2023" s="3" t="n">
        <f aca="false">COUNTIFS($B$2:$B$4077,B2023,$C$2:$C$4077,C2023,$I$2:$I$4077,I2023)</f>
        <v>1</v>
      </c>
      <c r="L2023" s="3" t="n">
        <f aca="false">IF(COUNTIFS($B$2:B2023,B2023,$C$2:C2023,C2023,$I$2:I2023,I2023)=1,1,0)</f>
        <v>1</v>
      </c>
      <c r="M2023" s="3" t="n">
        <f aca="false">IF(K2023&gt;=Parametri!$B$1,1,0)</f>
        <v>0</v>
      </c>
      <c r="N2023" s="3" t="n">
        <f aca="false">L2023*M2023</f>
        <v>0</v>
      </c>
    </row>
    <row r="2024" customFormat="false" ht="15" hidden="false" customHeight="false" outlineLevel="0" collapsed="false">
      <c r="A2024" s="0" t="s">
        <v>3265</v>
      </c>
      <c r="B2024" s="0" t="s">
        <v>17</v>
      </c>
      <c r="C2024" s="0" t="s">
        <v>3266</v>
      </c>
      <c r="D2024" s="0" t="s">
        <v>54</v>
      </c>
      <c r="E2024" s="2" t="n">
        <v>45334</v>
      </c>
      <c r="F2024" s="3" t="s">
        <v>34</v>
      </c>
      <c r="G2024" s="3" t="s">
        <v>21</v>
      </c>
      <c r="H2024" s="3" t="s">
        <v>44</v>
      </c>
      <c r="I2024" s="3" t="n">
        <f aca="false">YEAR(E2024)</f>
        <v>2024</v>
      </c>
      <c r="J2024" s="3" t="n">
        <f aca="false">MONTH(E2024)</f>
        <v>2</v>
      </c>
      <c r="K2024" s="3" t="n">
        <f aca="false">COUNTIFS($B$2:$B$4077,B2024,$C$2:$C$4077,C2024,$I$2:$I$4077,I2024)</f>
        <v>3</v>
      </c>
      <c r="L2024" s="3" t="n">
        <f aca="false">IF(COUNTIFS($B$2:B2024,B2024,$C$2:C2024,C2024,$I$2:I2024,I2024)=1,1,0)</f>
        <v>1</v>
      </c>
      <c r="M2024" s="3" t="n">
        <f aca="false">IF(K2024&gt;=Parametri!$B$1,1,0)</f>
        <v>1</v>
      </c>
      <c r="N2024" s="3" t="n">
        <f aca="false">L2024*M2024</f>
        <v>1</v>
      </c>
    </row>
    <row r="2025" customFormat="false" ht="15" hidden="false" customHeight="false" outlineLevel="0" collapsed="false">
      <c r="A2025" s="0" t="s">
        <v>3267</v>
      </c>
      <c r="B2025" s="0" t="s">
        <v>24</v>
      </c>
      <c r="C2025" s="0" t="s">
        <v>770</v>
      </c>
      <c r="D2025" s="0" t="s">
        <v>54</v>
      </c>
      <c r="E2025" s="2" t="n">
        <v>46027</v>
      </c>
      <c r="F2025" s="3" t="s">
        <v>20</v>
      </c>
      <c r="G2025" s="3" t="s">
        <v>55</v>
      </c>
      <c r="H2025" s="3" t="s">
        <v>48</v>
      </c>
      <c r="I2025" s="3" t="n">
        <f aca="false">YEAR(E2025)</f>
        <v>2026</v>
      </c>
      <c r="J2025" s="3" t="n">
        <f aca="false">MONTH(E2025)</f>
        <v>1</v>
      </c>
      <c r="K2025" s="3" t="n">
        <f aca="false">COUNTIFS($B$2:$B$4077,B2025,$C$2:$C$4077,C2025,$I$2:$I$4077,I2025)</f>
        <v>3</v>
      </c>
      <c r="L2025" s="3" t="n">
        <f aca="false">IF(COUNTIFS($B$2:B2025,B2025,$C$2:C2025,C2025,$I$2:I2025,I2025)=1,1,0)</f>
        <v>0</v>
      </c>
      <c r="M2025" s="3" t="n">
        <f aca="false">IF(K2025&gt;=Parametri!$B$1,1,0)</f>
        <v>1</v>
      </c>
      <c r="N2025" s="3" t="n">
        <f aca="false">L2025*M2025</f>
        <v>0</v>
      </c>
    </row>
    <row r="2026" customFormat="false" ht="15" hidden="false" customHeight="false" outlineLevel="0" collapsed="false">
      <c r="A2026" s="0" t="s">
        <v>3268</v>
      </c>
      <c r="B2026" s="0" t="s">
        <v>41</v>
      </c>
      <c r="C2026" s="0" t="s">
        <v>3269</v>
      </c>
      <c r="D2026" s="0" t="s">
        <v>63</v>
      </c>
      <c r="E2026" s="2" t="n">
        <v>45683</v>
      </c>
      <c r="F2026" s="3" t="s">
        <v>20</v>
      </c>
      <c r="G2026" s="3" t="s">
        <v>43</v>
      </c>
      <c r="H2026" s="3" t="s">
        <v>22</v>
      </c>
      <c r="I2026" s="3" t="n">
        <f aca="false">YEAR(E2026)</f>
        <v>2025</v>
      </c>
      <c r="J2026" s="3" t="n">
        <f aca="false">MONTH(E2026)</f>
        <v>1</v>
      </c>
      <c r="K2026" s="3" t="n">
        <f aca="false">COUNTIFS($B$2:$B$4077,B2026,$C$2:$C$4077,C2026,$I$2:$I$4077,I2026)</f>
        <v>1</v>
      </c>
      <c r="L2026" s="3" t="n">
        <f aca="false">IF(COUNTIFS($B$2:B2026,B2026,$C$2:C2026,C2026,$I$2:I2026,I2026)=1,1,0)</f>
        <v>1</v>
      </c>
      <c r="M2026" s="3" t="n">
        <f aca="false">IF(K2026&gt;=Parametri!$B$1,1,0)</f>
        <v>0</v>
      </c>
      <c r="N2026" s="3" t="n">
        <f aca="false">L2026*M2026</f>
        <v>0</v>
      </c>
    </row>
    <row r="2027" customFormat="false" ht="15" hidden="false" customHeight="false" outlineLevel="0" collapsed="false">
      <c r="A2027" s="0" t="s">
        <v>3270</v>
      </c>
      <c r="B2027" s="0" t="s">
        <v>31</v>
      </c>
      <c r="C2027" s="0" t="s">
        <v>778</v>
      </c>
      <c r="D2027" s="0" t="s">
        <v>77</v>
      </c>
      <c r="E2027" s="2" t="n">
        <v>45742</v>
      </c>
      <c r="F2027" s="3" t="s">
        <v>27</v>
      </c>
      <c r="G2027" s="3" t="s">
        <v>39</v>
      </c>
      <c r="H2027" s="3" t="s">
        <v>29</v>
      </c>
      <c r="I2027" s="3" t="n">
        <f aca="false">YEAR(E2027)</f>
        <v>2025</v>
      </c>
      <c r="J2027" s="3" t="n">
        <f aca="false">MONTH(E2027)</f>
        <v>3</v>
      </c>
      <c r="K2027" s="3" t="n">
        <f aca="false">COUNTIFS($B$2:$B$4077,B2027,$C$2:$C$4077,C2027,$I$2:$I$4077,I2027)</f>
        <v>6</v>
      </c>
      <c r="L2027" s="3" t="n">
        <f aca="false">IF(COUNTIFS($B$2:B2027,B2027,$C$2:C2027,C2027,$I$2:I2027,I2027)=1,1,0)</f>
        <v>0</v>
      </c>
      <c r="M2027" s="3" t="n">
        <f aca="false">IF(K2027&gt;=Parametri!$B$1,1,0)</f>
        <v>1</v>
      </c>
      <c r="N2027" s="3" t="n">
        <f aca="false">L2027*M2027</f>
        <v>0</v>
      </c>
    </row>
    <row r="2028" customFormat="false" ht="15" hidden="false" customHeight="false" outlineLevel="0" collapsed="false">
      <c r="A2028" s="0" t="s">
        <v>3271</v>
      </c>
      <c r="B2028" s="0" t="s">
        <v>31</v>
      </c>
      <c r="C2028" s="0" t="s">
        <v>2404</v>
      </c>
      <c r="D2028" s="0" t="s">
        <v>77</v>
      </c>
      <c r="E2028" s="2" t="n">
        <v>45420</v>
      </c>
      <c r="F2028" s="3" t="s">
        <v>27</v>
      </c>
      <c r="G2028" s="3" t="s">
        <v>21</v>
      </c>
      <c r="H2028" s="3" t="s">
        <v>48</v>
      </c>
      <c r="I2028" s="3" t="n">
        <f aca="false">YEAR(E2028)</f>
        <v>2024</v>
      </c>
      <c r="J2028" s="3" t="n">
        <f aca="false">MONTH(E2028)</f>
        <v>5</v>
      </c>
      <c r="K2028" s="3" t="n">
        <f aca="false">COUNTIFS($B$2:$B$4077,B2028,$C$2:$C$4077,C2028,$I$2:$I$4077,I2028)</f>
        <v>3</v>
      </c>
      <c r="L2028" s="3" t="n">
        <f aca="false">IF(COUNTIFS($B$2:B2028,B2028,$C$2:C2028,C2028,$I$2:I2028,I2028)=1,1,0)</f>
        <v>0</v>
      </c>
      <c r="M2028" s="3" t="n">
        <f aca="false">IF(K2028&gt;=Parametri!$B$1,1,0)</f>
        <v>1</v>
      </c>
      <c r="N2028" s="3" t="n">
        <f aca="false">L2028*M2028</f>
        <v>0</v>
      </c>
    </row>
    <row r="2029" customFormat="false" ht="15" hidden="false" customHeight="false" outlineLevel="0" collapsed="false">
      <c r="A2029" s="0" t="s">
        <v>3272</v>
      </c>
      <c r="B2029" s="0" t="s">
        <v>124</v>
      </c>
      <c r="C2029" s="0" t="s">
        <v>3273</v>
      </c>
      <c r="D2029" s="0" t="s">
        <v>19</v>
      </c>
      <c r="E2029" s="2" t="n">
        <v>45296</v>
      </c>
      <c r="F2029" s="3" t="s">
        <v>20</v>
      </c>
      <c r="G2029" s="3" t="s">
        <v>28</v>
      </c>
      <c r="H2029" s="3" t="s">
        <v>44</v>
      </c>
      <c r="I2029" s="3" t="n">
        <f aca="false">YEAR(E2029)</f>
        <v>2024</v>
      </c>
      <c r="J2029" s="3" t="n">
        <f aca="false">MONTH(E2029)</f>
        <v>1</v>
      </c>
      <c r="K2029" s="3" t="n">
        <f aca="false">COUNTIFS($B$2:$B$4077,B2029,$C$2:$C$4077,C2029,$I$2:$I$4077,I2029)</f>
        <v>1</v>
      </c>
      <c r="L2029" s="3" t="n">
        <f aca="false">IF(COUNTIFS($B$2:B2029,B2029,$C$2:C2029,C2029,$I$2:I2029,I2029)=1,1,0)</f>
        <v>1</v>
      </c>
      <c r="M2029" s="3" t="n">
        <f aca="false">IF(K2029&gt;=Parametri!$B$1,1,0)</f>
        <v>0</v>
      </c>
      <c r="N2029" s="3" t="n">
        <f aca="false">L2029*M2029</f>
        <v>0</v>
      </c>
    </row>
    <row r="2030" customFormat="false" ht="15" hidden="false" customHeight="false" outlineLevel="0" collapsed="false">
      <c r="A2030" s="0" t="s">
        <v>3274</v>
      </c>
      <c r="B2030" s="0" t="s">
        <v>41</v>
      </c>
      <c r="C2030" s="0" t="s">
        <v>685</v>
      </c>
      <c r="D2030" s="0" t="s">
        <v>26</v>
      </c>
      <c r="E2030" s="2" t="n">
        <v>45815</v>
      </c>
      <c r="F2030" s="3" t="s">
        <v>20</v>
      </c>
      <c r="G2030" s="3" t="s">
        <v>39</v>
      </c>
      <c r="H2030" s="3" t="s">
        <v>22</v>
      </c>
      <c r="I2030" s="3" t="n">
        <f aca="false">YEAR(E2030)</f>
        <v>2025</v>
      </c>
      <c r="J2030" s="3" t="n">
        <f aca="false">MONTH(E2030)</f>
        <v>6</v>
      </c>
      <c r="K2030" s="3" t="n">
        <f aca="false">COUNTIFS($B$2:$B$4077,B2030,$C$2:$C$4077,C2030,$I$2:$I$4077,I2030)</f>
        <v>2</v>
      </c>
      <c r="L2030" s="3" t="n">
        <f aca="false">IF(COUNTIFS($B$2:B2030,B2030,$C$2:C2030,C2030,$I$2:I2030,I2030)=1,1,0)</f>
        <v>0</v>
      </c>
      <c r="M2030" s="3" t="n">
        <f aca="false">IF(K2030&gt;=Parametri!$B$1,1,0)</f>
        <v>1</v>
      </c>
      <c r="N2030" s="3" t="n">
        <f aca="false">L2030*M2030</f>
        <v>0</v>
      </c>
    </row>
    <row r="2031" customFormat="false" ht="15" hidden="false" customHeight="false" outlineLevel="0" collapsed="false">
      <c r="A2031" s="0" t="s">
        <v>3275</v>
      </c>
      <c r="B2031" s="0" t="s">
        <v>46</v>
      </c>
      <c r="C2031" s="0" t="s">
        <v>885</v>
      </c>
      <c r="D2031" s="0" t="s">
        <v>26</v>
      </c>
      <c r="E2031" s="2" t="n">
        <v>45431</v>
      </c>
      <c r="F2031" s="3" t="s">
        <v>20</v>
      </c>
      <c r="G2031" s="3" t="s">
        <v>43</v>
      </c>
      <c r="H2031" s="3" t="s">
        <v>48</v>
      </c>
      <c r="I2031" s="3" t="n">
        <f aca="false">YEAR(E2031)</f>
        <v>2024</v>
      </c>
      <c r="J2031" s="3" t="n">
        <f aca="false">MONTH(E2031)</f>
        <v>5</v>
      </c>
      <c r="K2031" s="3" t="n">
        <f aca="false">COUNTIFS($B$2:$B$4077,B2031,$C$2:$C$4077,C2031,$I$2:$I$4077,I2031)</f>
        <v>2</v>
      </c>
      <c r="L2031" s="3" t="n">
        <f aca="false">IF(COUNTIFS($B$2:B2031,B2031,$C$2:C2031,C2031,$I$2:I2031,I2031)=1,1,0)</f>
        <v>0</v>
      </c>
      <c r="M2031" s="3" t="n">
        <f aca="false">IF(K2031&gt;=Parametri!$B$1,1,0)</f>
        <v>1</v>
      </c>
      <c r="N2031" s="3" t="n">
        <f aca="false">L2031*M2031</f>
        <v>0</v>
      </c>
    </row>
    <row r="2032" customFormat="false" ht="15" hidden="false" customHeight="false" outlineLevel="0" collapsed="false">
      <c r="A2032" s="0" t="s">
        <v>3276</v>
      </c>
      <c r="B2032" s="0" t="s">
        <v>50</v>
      </c>
      <c r="C2032" s="0" t="s">
        <v>3229</v>
      </c>
      <c r="D2032" s="0" t="s">
        <v>26</v>
      </c>
      <c r="E2032" s="2" t="n">
        <v>46000</v>
      </c>
      <c r="F2032" s="3" t="s">
        <v>20</v>
      </c>
      <c r="G2032" s="3" t="s">
        <v>43</v>
      </c>
      <c r="H2032" s="3" t="s">
        <v>44</v>
      </c>
      <c r="I2032" s="3" t="n">
        <f aca="false">YEAR(E2032)</f>
        <v>2025</v>
      </c>
      <c r="J2032" s="3" t="n">
        <f aca="false">MONTH(E2032)</f>
        <v>12</v>
      </c>
      <c r="K2032" s="3" t="n">
        <f aca="false">COUNTIFS($B$2:$B$4077,B2032,$C$2:$C$4077,C2032,$I$2:$I$4077,I2032)</f>
        <v>2</v>
      </c>
      <c r="L2032" s="3" t="n">
        <f aca="false">IF(COUNTIFS($B$2:B2032,B2032,$C$2:C2032,C2032,$I$2:I2032,I2032)=1,1,0)</f>
        <v>0</v>
      </c>
      <c r="M2032" s="3" t="n">
        <f aca="false">IF(K2032&gt;=Parametri!$B$1,1,0)</f>
        <v>1</v>
      </c>
      <c r="N2032" s="3" t="n">
        <f aca="false">L2032*M2032</f>
        <v>0</v>
      </c>
    </row>
    <row r="2033" customFormat="false" ht="15" hidden="false" customHeight="false" outlineLevel="0" collapsed="false">
      <c r="A2033" s="0" t="s">
        <v>3277</v>
      </c>
      <c r="B2033" s="0" t="s">
        <v>50</v>
      </c>
      <c r="C2033" s="0" t="s">
        <v>3278</v>
      </c>
      <c r="D2033" s="0" t="s">
        <v>26</v>
      </c>
      <c r="E2033" s="2" t="n">
        <v>45382</v>
      </c>
      <c r="F2033" s="3" t="s">
        <v>34</v>
      </c>
      <c r="G2033" s="3" t="s">
        <v>89</v>
      </c>
      <c r="H2033" s="3" t="s">
        <v>48</v>
      </c>
      <c r="I2033" s="3" t="n">
        <f aca="false">YEAR(E2033)</f>
        <v>2024</v>
      </c>
      <c r="J2033" s="3" t="n">
        <f aca="false">MONTH(E2033)</f>
        <v>3</v>
      </c>
      <c r="K2033" s="3" t="n">
        <f aca="false">COUNTIFS($B$2:$B$4077,B2033,$C$2:$C$4077,C2033,$I$2:$I$4077,I2033)</f>
        <v>1</v>
      </c>
      <c r="L2033" s="3" t="n">
        <f aca="false">IF(COUNTIFS($B$2:B2033,B2033,$C$2:C2033,C2033,$I$2:I2033,I2033)=1,1,0)</f>
        <v>1</v>
      </c>
      <c r="M2033" s="3" t="n">
        <f aca="false">IF(K2033&gt;=Parametri!$B$1,1,0)</f>
        <v>0</v>
      </c>
      <c r="N2033" s="3" t="n">
        <f aca="false">L2033*M2033</f>
        <v>0</v>
      </c>
    </row>
    <row r="2034" customFormat="false" ht="15" hidden="false" customHeight="false" outlineLevel="0" collapsed="false">
      <c r="A2034" s="0" t="s">
        <v>3279</v>
      </c>
      <c r="B2034" s="0" t="s">
        <v>31</v>
      </c>
      <c r="C2034" s="0" t="s">
        <v>3244</v>
      </c>
      <c r="D2034" s="0" t="s">
        <v>66</v>
      </c>
      <c r="E2034" s="2" t="n">
        <v>45969</v>
      </c>
      <c r="F2034" s="3" t="s">
        <v>20</v>
      </c>
      <c r="G2034" s="3" t="s">
        <v>72</v>
      </c>
      <c r="H2034" s="3" t="s">
        <v>29</v>
      </c>
      <c r="I2034" s="3" t="n">
        <f aca="false">YEAR(E2034)</f>
        <v>2025</v>
      </c>
      <c r="J2034" s="3" t="n">
        <f aca="false">MONTH(E2034)</f>
        <v>11</v>
      </c>
      <c r="K2034" s="3" t="n">
        <f aca="false">COUNTIFS($B$2:$B$4077,B2034,$C$2:$C$4077,C2034,$I$2:$I$4077,I2034)</f>
        <v>1</v>
      </c>
      <c r="L2034" s="3" t="n">
        <f aca="false">IF(COUNTIFS($B$2:B2034,B2034,$C$2:C2034,C2034,$I$2:I2034,I2034)=1,1,0)</f>
        <v>1</v>
      </c>
      <c r="M2034" s="3" t="n">
        <f aca="false">IF(K2034&gt;=Parametri!$B$1,1,0)</f>
        <v>0</v>
      </c>
      <c r="N2034" s="3" t="n">
        <f aca="false">L2034*M2034</f>
        <v>0</v>
      </c>
    </row>
    <row r="2035" customFormat="false" ht="15" hidden="false" customHeight="false" outlineLevel="0" collapsed="false">
      <c r="A2035" s="0" t="s">
        <v>3280</v>
      </c>
      <c r="B2035" s="0" t="s">
        <v>79</v>
      </c>
      <c r="C2035" s="0" t="s">
        <v>352</v>
      </c>
      <c r="D2035" s="0" t="s">
        <v>33</v>
      </c>
      <c r="E2035" s="2" t="n">
        <v>45481</v>
      </c>
      <c r="F2035" s="3" t="s">
        <v>20</v>
      </c>
      <c r="G2035" s="3" t="s">
        <v>28</v>
      </c>
      <c r="H2035" s="3" t="s">
        <v>44</v>
      </c>
      <c r="I2035" s="3" t="n">
        <f aca="false">YEAR(E2035)</f>
        <v>2024</v>
      </c>
      <c r="J2035" s="3" t="n">
        <f aca="false">MONTH(E2035)</f>
        <v>7</v>
      </c>
      <c r="K2035" s="3" t="n">
        <f aca="false">COUNTIFS($B$2:$B$4077,B2035,$C$2:$C$4077,C2035,$I$2:$I$4077,I2035)</f>
        <v>3</v>
      </c>
      <c r="L2035" s="3" t="n">
        <f aca="false">IF(COUNTIFS($B$2:B2035,B2035,$C$2:C2035,C2035,$I$2:I2035,I2035)=1,1,0)</f>
        <v>0</v>
      </c>
      <c r="M2035" s="3" t="n">
        <f aca="false">IF(K2035&gt;=Parametri!$B$1,1,0)</f>
        <v>1</v>
      </c>
      <c r="N2035" s="3" t="n">
        <f aca="false">L2035*M2035</f>
        <v>0</v>
      </c>
    </row>
    <row r="2036" customFormat="false" ht="15" hidden="false" customHeight="false" outlineLevel="0" collapsed="false">
      <c r="A2036" s="0" t="s">
        <v>3281</v>
      </c>
      <c r="B2036" s="0" t="s">
        <v>124</v>
      </c>
      <c r="C2036" s="0" t="s">
        <v>125</v>
      </c>
      <c r="D2036" s="0" t="s">
        <v>33</v>
      </c>
      <c r="E2036" s="2" t="n">
        <v>46162</v>
      </c>
      <c r="F2036" s="3" t="s">
        <v>27</v>
      </c>
      <c r="G2036" s="3" t="s">
        <v>43</v>
      </c>
      <c r="H2036" s="3" t="s">
        <v>22</v>
      </c>
      <c r="I2036" s="3" t="n">
        <f aca="false">YEAR(E2036)</f>
        <v>2026</v>
      </c>
      <c r="J2036" s="3" t="n">
        <f aca="false">MONTH(E2036)</f>
        <v>5</v>
      </c>
      <c r="K2036" s="3" t="n">
        <f aca="false">COUNTIFS($B$2:$B$4077,B2036,$C$2:$C$4077,C2036,$I$2:$I$4077,I2036)</f>
        <v>2</v>
      </c>
      <c r="L2036" s="3" t="n">
        <f aca="false">IF(COUNTIFS($B$2:B2036,B2036,$C$2:C2036,C2036,$I$2:I2036,I2036)=1,1,0)</f>
        <v>1</v>
      </c>
      <c r="M2036" s="3" t="n">
        <f aca="false">IF(K2036&gt;=Parametri!$B$1,1,0)</f>
        <v>1</v>
      </c>
      <c r="N2036" s="3" t="n">
        <f aca="false">L2036*M2036</f>
        <v>1</v>
      </c>
    </row>
    <row r="2037" customFormat="false" ht="15" hidden="false" customHeight="false" outlineLevel="0" collapsed="false">
      <c r="A2037" s="0" t="s">
        <v>3282</v>
      </c>
      <c r="B2037" s="0" t="s">
        <v>124</v>
      </c>
      <c r="C2037" s="0" t="s">
        <v>3283</v>
      </c>
      <c r="D2037" s="0" t="s">
        <v>26</v>
      </c>
      <c r="E2037" s="2" t="n">
        <v>45979</v>
      </c>
      <c r="F2037" s="3" t="s">
        <v>20</v>
      </c>
      <c r="G2037" s="3" t="s">
        <v>43</v>
      </c>
      <c r="H2037" s="3" t="s">
        <v>29</v>
      </c>
      <c r="I2037" s="3" t="n">
        <f aca="false">YEAR(E2037)</f>
        <v>2025</v>
      </c>
      <c r="J2037" s="3" t="n">
        <f aca="false">MONTH(E2037)</f>
        <v>11</v>
      </c>
      <c r="K2037" s="3" t="n">
        <f aca="false">COUNTIFS($B$2:$B$4077,B2037,$C$2:$C$4077,C2037,$I$2:$I$4077,I2037)</f>
        <v>2</v>
      </c>
      <c r="L2037" s="3" t="n">
        <f aca="false">IF(COUNTIFS($B$2:B2037,B2037,$C$2:C2037,C2037,$I$2:I2037,I2037)=1,1,0)</f>
        <v>1</v>
      </c>
      <c r="M2037" s="3" t="n">
        <f aca="false">IF(K2037&gt;=Parametri!$B$1,1,0)</f>
        <v>1</v>
      </c>
      <c r="N2037" s="3" t="n">
        <f aca="false">L2037*M2037</f>
        <v>1</v>
      </c>
    </row>
    <row r="2038" customFormat="false" ht="15" hidden="false" customHeight="false" outlineLevel="0" collapsed="false">
      <c r="A2038" s="0" t="s">
        <v>3284</v>
      </c>
      <c r="B2038" s="0" t="s">
        <v>68</v>
      </c>
      <c r="C2038" s="0" t="s">
        <v>1201</v>
      </c>
      <c r="D2038" s="0" t="s">
        <v>19</v>
      </c>
      <c r="E2038" s="2" t="n">
        <v>45977</v>
      </c>
      <c r="F2038" s="3" t="s">
        <v>34</v>
      </c>
      <c r="G2038" s="3" t="s">
        <v>35</v>
      </c>
      <c r="H2038" s="3" t="s">
        <v>48</v>
      </c>
      <c r="I2038" s="3" t="n">
        <f aca="false">YEAR(E2038)</f>
        <v>2025</v>
      </c>
      <c r="J2038" s="3" t="n">
        <f aca="false">MONTH(E2038)</f>
        <v>11</v>
      </c>
      <c r="K2038" s="3" t="n">
        <f aca="false">COUNTIFS($B$2:$B$4077,B2038,$C$2:$C$4077,C2038,$I$2:$I$4077,I2038)</f>
        <v>1</v>
      </c>
      <c r="L2038" s="3" t="n">
        <f aca="false">IF(COUNTIFS($B$2:B2038,B2038,$C$2:C2038,C2038,$I$2:I2038,I2038)=1,1,0)</f>
        <v>1</v>
      </c>
      <c r="M2038" s="3" t="n">
        <f aca="false">IF(K2038&gt;=Parametri!$B$1,1,0)</f>
        <v>0</v>
      </c>
      <c r="N2038" s="3" t="n">
        <f aca="false">L2038*M2038</f>
        <v>0</v>
      </c>
    </row>
    <row r="2039" customFormat="false" ht="15" hidden="false" customHeight="false" outlineLevel="0" collapsed="false">
      <c r="A2039" s="0" t="s">
        <v>3285</v>
      </c>
      <c r="B2039" s="0" t="s">
        <v>24</v>
      </c>
      <c r="C2039" s="0" t="s">
        <v>3286</v>
      </c>
      <c r="D2039" s="0" t="s">
        <v>77</v>
      </c>
      <c r="E2039" s="2" t="n">
        <v>46245</v>
      </c>
      <c r="F2039" s="3" t="s">
        <v>34</v>
      </c>
      <c r="G2039" s="3" t="s">
        <v>35</v>
      </c>
      <c r="H2039" s="3" t="s">
        <v>29</v>
      </c>
      <c r="I2039" s="3" t="n">
        <f aca="false">YEAR(E2039)</f>
        <v>2026</v>
      </c>
      <c r="J2039" s="3" t="n">
        <f aca="false">MONTH(E2039)</f>
        <v>8</v>
      </c>
      <c r="K2039" s="3" t="n">
        <f aca="false">COUNTIFS($B$2:$B$4077,B2039,$C$2:$C$4077,C2039,$I$2:$I$4077,I2039)</f>
        <v>1</v>
      </c>
      <c r="L2039" s="3" t="n">
        <f aca="false">IF(COUNTIFS($B$2:B2039,B2039,$C$2:C2039,C2039,$I$2:I2039,I2039)=1,1,0)</f>
        <v>1</v>
      </c>
      <c r="M2039" s="3" t="n">
        <f aca="false">IF(K2039&gt;=Parametri!$B$1,1,0)</f>
        <v>0</v>
      </c>
      <c r="N2039" s="3" t="n">
        <f aca="false">L2039*M2039</f>
        <v>0</v>
      </c>
    </row>
    <row r="2040" customFormat="false" ht="15" hidden="false" customHeight="false" outlineLevel="0" collapsed="false">
      <c r="A2040" s="0" t="s">
        <v>3287</v>
      </c>
      <c r="B2040" s="0" t="s">
        <v>124</v>
      </c>
      <c r="C2040" s="0" t="s">
        <v>710</v>
      </c>
      <c r="D2040" s="0" t="s">
        <v>38</v>
      </c>
      <c r="E2040" s="2" t="n">
        <v>45949</v>
      </c>
      <c r="F2040" s="3" t="s">
        <v>20</v>
      </c>
      <c r="G2040" s="3" t="s">
        <v>39</v>
      </c>
      <c r="H2040" s="3" t="s">
        <v>22</v>
      </c>
      <c r="I2040" s="3" t="n">
        <f aca="false">YEAR(E2040)</f>
        <v>2025</v>
      </c>
      <c r="J2040" s="3" t="n">
        <f aca="false">MONTH(E2040)</f>
        <v>10</v>
      </c>
      <c r="K2040" s="3" t="n">
        <f aca="false">COUNTIFS($B$2:$B$4077,B2040,$C$2:$C$4077,C2040,$I$2:$I$4077,I2040)</f>
        <v>8</v>
      </c>
      <c r="L2040" s="3" t="n">
        <f aca="false">IF(COUNTIFS($B$2:B2040,B2040,$C$2:C2040,C2040,$I$2:I2040,I2040)=1,1,0)</f>
        <v>0</v>
      </c>
      <c r="M2040" s="3" t="n">
        <f aca="false">IF(K2040&gt;=Parametri!$B$1,1,0)</f>
        <v>1</v>
      </c>
      <c r="N2040" s="3" t="n">
        <f aca="false">L2040*M2040</f>
        <v>0</v>
      </c>
    </row>
    <row r="2041" customFormat="false" ht="15" hidden="false" customHeight="false" outlineLevel="0" collapsed="false">
      <c r="A2041" s="0" t="s">
        <v>3288</v>
      </c>
      <c r="B2041" s="0" t="s">
        <v>41</v>
      </c>
      <c r="C2041" s="0" t="s">
        <v>3289</v>
      </c>
      <c r="D2041" s="0" t="s">
        <v>33</v>
      </c>
      <c r="E2041" s="2" t="n">
        <v>45653</v>
      </c>
      <c r="F2041" s="3" t="s">
        <v>20</v>
      </c>
      <c r="G2041" s="3" t="s">
        <v>89</v>
      </c>
      <c r="H2041" s="3" t="s">
        <v>48</v>
      </c>
      <c r="I2041" s="3" t="n">
        <f aca="false">YEAR(E2041)</f>
        <v>2024</v>
      </c>
      <c r="J2041" s="3" t="n">
        <f aca="false">MONTH(E2041)</f>
        <v>12</v>
      </c>
      <c r="K2041" s="3" t="n">
        <f aca="false">COUNTIFS($B$2:$B$4077,B2041,$C$2:$C$4077,C2041,$I$2:$I$4077,I2041)</f>
        <v>1</v>
      </c>
      <c r="L2041" s="3" t="n">
        <f aca="false">IF(COUNTIFS($B$2:B2041,B2041,$C$2:C2041,C2041,$I$2:I2041,I2041)=1,1,0)</f>
        <v>1</v>
      </c>
      <c r="M2041" s="3" t="n">
        <f aca="false">IF(K2041&gt;=Parametri!$B$1,1,0)</f>
        <v>0</v>
      </c>
      <c r="N2041" s="3" t="n">
        <f aca="false">L2041*M2041</f>
        <v>0</v>
      </c>
    </row>
    <row r="2042" customFormat="false" ht="15" hidden="false" customHeight="false" outlineLevel="0" collapsed="false">
      <c r="A2042" s="0" t="s">
        <v>3290</v>
      </c>
      <c r="B2042" s="0" t="s">
        <v>31</v>
      </c>
      <c r="C2042" s="0" t="s">
        <v>712</v>
      </c>
      <c r="D2042" s="0" t="s">
        <v>33</v>
      </c>
      <c r="E2042" s="2" t="n">
        <v>45733</v>
      </c>
      <c r="F2042" s="3" t="s">
        <v>20</v>
      </c>
      <c r="G2042" s="3" t="s">
        <v>35</v>
      </c>
      <c r="H2042" s="3" t="s">
        <v>48</v>
      </c>
      <c r="I2042" s="3" t="n">
        <f aca="false">YEAR(E2042)</f>
        <v>2025</v>
      </c>
      <c r="J2042" s="3" t="n">
        <f aca="false">MONTH(E2042)</f>
        <v>3</v>
      </c>
      <c r="K2042" s="3" t="n">
        <f aca="false">COUNTIFS($B$2:$B$4077,B2042,$C$2:$C$4077,C2042,$I$2:$I$4077,I2042)</f>
        <v>6</v>
      </c>
      <c r="L2042" s="3" t="n">
        <f aca="false">IF(COUNTIFS($B$2:B2042,B2042,$C$2:C2042,C2042,$I$2:I2042,I2042)=1,1,0)</f>
        <v>0</v>
      </c>
      <c r="M2042" s="3" t="n">
        <f aca="false">IF(K2042&gt;=Parametri!$B$1,1,0)</f>
        <v>1</v>
      </c>
      <c r="N2042" s="3" t="n">
        <f aca="false">L2042*M2042</f>
        <v>0</v>
      </c>
    </row>
    <row r="2043" customFormat="false" ht="15" hidden="false" customHeight="false" outlineLevel="0" collapsed="false">
      <c r="A2043" s="0" t="s">
        <v>3291</v>
      </c>
      <c r="B2043" s="0" t="s">
        <v>17</v>
      </c>
      <c r="C2043" s="0" t="s">
        <v>1482</v>
      </c>
      <c r="D2043" s="0" t="s">
        <v>77</v>
      </c>
      <c r="E2043" s="2" t="n">
        <v>45720</v>
      </c>
      <c r="F2043" s="3" t="s">
        <v>20</v>
      </c>
      <c r="G2043" s="3" t="s">
        <v>89</v>
      </c>
      <c r="H2043" s="3" t="s">
        <v>44</v>
      </c>
      <c r="I2043" s="3" t="n">
        <f aca="false">YEAR(E2043)</f>
        <v>2025</v>
      </c>
      <c r="J2043" s="3" t="n">
        <f aca="false">MONTH(E2043)</f>
        <v>3</v>
      </c>
      <c r="K2043" s="3" t="n">
        <f aca="false">COUNTIFS($B$2:$B$4077,B2043,$C$2:$C$4077,C2043,$I$2:$I$4077,I2043)</f>
        <v>1</v>
      </c>
      <c r="L2043" s="3" t="n">
        <f aca="false">IF(COUNTIFS($B$2:B2043,B2043,$C$2:C2043,C2043,$I$2:I2043,I2043)=1,1,0)</f>
        <v>1</v>
      </c>
      <c r="M2043" s="3" t="n">
        <f aca="false">IF(K2043&gt;=Parametri!$B$1,1,0)</f>
        <v>0</v>
      </c>
      <c r="N2043" s="3" t="n">
        <f aca="false">L2043*M2043</f>
        <v>0</v>
      </c>
    </row>
    <row r="2044" customFormat="false" ht="15" hidden="false" customHeight="false" outlineLevel="0" collapsed="false">
      <c r="A2044" s="0" t="s">
        <v>3292</v>
      </c>
      <c r="B2044" s="0" t="s">
        <v>41</v>
      </c>
      <c r="C2044" s="0" t="s">
        <v>675</v>
      </c>
      <c r="D2044" s="0" t="s">
        <v>54</v>
      </c>
      <c r="E2044" s="2" t="n">
        <v>45733</v>
      </c>
      <c r="F2044" s="3" t="s">
        <v>20</v>
      </c>
      <c r="G2044" s="3" t="s">
        <v>72</v>
      </c>
      <c r="H2044" s="3" t="s">
        <v>22</v>
      </c>
      <c r="I2044" s="3" t="n">
        <f aca="false">YEAR(E2044)</f>
        <v>2025</v>
      </c>
      <c r="J2044" s="3" t="n">
        <f aca="false">MONTH(E2044)</f>
        <v>3</v>
      </c>
      <c r="K2044" s="3" t="n">
        <f aca="false">COUNTIFS($B$2:$B$4077,B2044,$C$2:$C$4077,C2044,$I$2:$I$4077,I2044)</f>
        <v>5</v>
      </c>
      <c r="L2044" s="3" t="n">
        <f aca="false">IF(COUNTIFS($B$2:B2044,B2044,$C$2:C2044,C2044,$I$2:I2044,I2044)=1,1,0)</f>
        <v>0</v>
      </c>
      <c r="M2044" s="3" t="n">
        <f aca="false">IF(K2044&gt;=Parametri!$B$1,1,0)</f>
        <v>1</v>
      </c>
      <c r="N2044" s="3" t="n">
        <f aca="false">L2044*M2044</f>
        <v>0</v>
      </c>
    </row>
    <row r="2045" customFormat="false" ht="15" hidden="false" customHeight="false" outlineLevel="0" collapsed="false">
      <c r="A2045" s="0" t="s">
        <v>3293</v>
      </c>
      <c r="B2045" s="0" t="s">
        <v>79</v>
      </c>
      <c r="C2045" s="0" t="s">
        <v>190</v>
      </c>
      <c r="D2045" s="0" t="s">
        <v>26</v>
      </c>
      <c r="E2045" s="2" t="n">
        <v>46162</v>
      </c>
      <c r="F2045" s="3" t="s">
        <v>20</v>
      </c>
      <c r="G2045" s="3" t="s">
        <v>89</v>
      </c>
      <c r="H2045" s="3" t="s">
        <v>44</v>
      </c>
      <c r="I2045" s="3" t="n">
        <f aca="false">YEAR(E2045)</f>
        <v>2026</v>
      </c>
      <c r="J2045" s="3" t="n">
        <f aca="false">MONTH(E2045)</f>
        <v>5</v>
      </c>
      <c r="K2045" s="3" t="n">
        <f aca="false">COUNTIFS($B$2:$B$4077,B2045,$C$2:$C$4077,C2045,$I$2:$I$4077,I2045)</f>
        <v>3</v>
      </c>
      <c r="L2045" s="3" t="n">
        <f aca="false">IF(COUNTIFS($B$2:B2045,B2045,$C$2:C2045,C2045,$I$2:I2045,I2045)=1,1,0)</f>
        <v>1</v>
      </c>
      <c r="M2045" s="3" t="n">
        <f aca="false">IF(K2045&gt;=Parametri!$B$1,1,0)</f>
        <v>1</v>
      </c>
      <c r="N2045" s="3" t="n">
        <f aca="false">L2045*M2045</f>
        <v>1</v>
      </c>
    </row>
    <row r="2046" customFormat="false" ht="15" hidden="false" customHeight="false" outlineLevel="0" collapsed="false">
      <c r="A2046" s="0" t="s">
        <v>3294</v>
      </c>
      <c r="B2046" s="0" t="s">
        <v>50</v>
      </c>
      <c r="C2046" s="0" t="s">
        <v>3295</v>
      </c>
      <c r="D2046" s="0" t="s">
        <v>54</v>
      </c>
      <c r="E2046" s="2" t="n">
        <v>45867</v>
      </c>
      <c r="F2046" s="3" t="s">
        <v>104</v>
      </c>
      <c r="G2046" s="3" t="s">
        <v>104</v>
      </c>
      <c r="H2046" s="3" t="s">
        <v>104</v>
      </c>
      <c r="I2046" s="3" t="n">
        <f aca="false">YEAR(E2046)</f>
        <v>2025</v>
      </c>
      <c r="J2046" s="3" t="n">
        <f aca="false">MONTH(E2046)</f>
        <v>7</v>
      </c>
      <c r="K2046" s="3" t="n">
        <f aca="false">COUNTIFS($B$2:$B$4077,B2046,$C$2:$C$4077,C2046,$I$2:$I$4077,I2046)</f>
        <v>1</v>
      </c>
      <c r="L2046" s="3" t="n">
        <f aca="false">IF(COUNTIFS($B$2:B2046,B2046,$C$2:C2046,C2046,$I$2:I2046,I2046)=1,1,0)</f>
        <v>1</v>
      </c>
      <c r="M2046" s="3" t="n">
        <f aca="false">IF(K2046&gt;=Parametri!$B$1,1,0)</f>
        <v>0</v>
      </c>
      <c r="N2046" s="3" t="n">
        <f aca="false">L2046*M2046</f>
        <v>0</v>
      </c>
    </row>
    <row r="2047" customFormat="false" ht="15" hidden="false" customHeight="false" outlineLevel="0" collapsed="false">
      <c r="A2047" s="0" t="s">
        <v>3296</v>
      </c>
      <c r="B2047" s="0" t="s">
        <v>79</v>
      </c>
      <c r="C2047" s="0" t="s">
        <v>909</v>
      </c>
      <c r="D2047" s="0" t="s">
        <v>66</v>
      </c>
      <c r="E2047" s="2" t="n">
        <v>45455</v>
      </c>
      <c r="F2047" s="3" t="s">
        <v>34</v>
      </c>
      <c r="G2047" s="3" t="s">
        <v>89</v>
      </c>
      <c r="H2047" s="3" t="s">
        <v>29</v>
      </c>
      <c r="I2047" s="3" t="n">
        <f aca="false">YEAR(E2047)</f>
        <v>2024</v>
      </c>
      <c r="J2047" s="3" t="n">
        <f aca="false">MONTH(E2047)</f>
        <v>6</v>
      </c>
      <c r="K2047" s="3" t="n">
        <f aca="false">COUNTIFS($B$2:$B$4077,B2047,$C$2:$C$4077,C2047,$I$2:$I$4077,I2047)</f>
        <v>4</v>
      </c>
      <c r="L2047" s="3" t="n">
        <f aca="false">IF(COUNTIFS($B$2:B2047,B2047,$C$2:C2047,C2047,$I$2:I2047,I2047)=1,1,0)</f>
        <v>0</v>
      </c>
      <c r="M2047" s="3" t="n">
        <f aca="false">IF(K2047&gt;=Parametri!$B$1,1,0)</f>
        <v>1</v>
      </c>
      <c r="N2047" s="3" t="n">
        <f aca="false">L2047*M2047</f>
        <v>0</v>
      </c>
    </row>
    <row r="2048" customFormat="false" ht="15" hidden="false" customHeight="false" outlineLevel="0" collapsed="false">
      <c r="A2048" s="0" t="s">
        <v>3297</v>
      </c>
      <c r="B2048" s="0" t="s">
        <v>57</v>
      </c>
      <c r="C2048" s="0" t="s">
        <v>465</v>
      </c>
      <c r="D2048" s="0" t="s">
        <v>66</v>
      </c>
      <c r="E2048" s="2" t="n">
        <v>45558</v>
      </c>
      <c r="F2048" s="3" t="s">
        <v>34</v>
      </c>
      <c r="G2048" s="3" t="s">
        <v>72</v>
      </c>
      <c r="H2048" s="3" t="s">
        <v>29</v>
      </c>
      <c r="I2048" s="3" t="n">
        <f aca="false">YEAR(E2048)</f>
        <v>2024</v>
      </c>
      <c r="J2048" s="3" t="n">
        <f aca="false">MONTH(E2048)</f>
        <v>9</v>
      </c>
      <c r="K2048" s="3" t="n">
        <f aca="false">COUNTIFS($B$2:$B$4077,B2048,$C$2:$C$4077,C2048,$I$2:$I$4077,I2048)</f>
        <v>2</v>
      </c>
      <c r="L2048" s="3" t="n">
        <f aca="false">IF(COUNTIFS($B$2:B2048,B2048,$C$2:C2048,C2048,$I$2:I2048,I2048)=1,1,0)</f>
        <v>0</v>
      </c>
      <c r="M2048" s="3" t="n">
        <f aca="false">IF(K2048&gt;=Parametri!$B$1,1,0)</f>
        <v>1</v>
      </c>
      <c r="N2048" s="3" t="n">
        <f aca="false">L2048*M2048</f>
        <v>0</v>
      </c>
    </row>
    <row r="2049" customFormat="false" ht="15" hidden="false" customHeight="false" outlineLevel="0" collapsed="false">
      <c r="A2049" s="0" t="s">
        <v>3298</v>
      </c>
      <c r="B2049" s="0" t="s">
        <v>79</v>
      </c>
      <c r="C2049" s="0" t="s">
        <v>1461</v>
      </c>
      <c r="D2049" s="0" t="s">
        <v>66</v>
      </c>
      <c r="E2049" s="2" t="n">
        <v>46101</v>
      </c>
      <c r="F2049" s="3" t="s">
        <v>34</v>
      </c>
      <c r="G2049" s="3" t="s">
        <v>28</v>
      </c>
      <c r="H2049" s="3" t="s">
        <v>48</v>
      </c>
      <c r="I2049" s="3" t="n">
        <f aca="false">YEAR(E2049)</f>
        <v>2026</v>
      </c>
      <c r="J2049" s="3" t="n">
        <f aca="false">MONTH(E2049)</f>
        <v>3</v>
      </c>
      <c r="K2049" s="3" t="n">
        <f aca="false">COUNTIFS($B$2:$B$4077,B2049,$C$2:$C$4077,C2049,$I$2:$I$4077,I2049)</f>
        <v>2</v>
      </c>
      <c r="L2049" s="3" t="n">
        <f aca="false">IF(COUNTIFS($B$2:B2049,B2049,$C$2:C2049,C2049,$I$2:I2049,I2049)=1,1,0)</f>
        <v>0</v>
      </c>
      <c r="M2049" s="3" t="n">
        <f aca="false">IF(K2049&gt;=Parametri!$B$1,1,0)</f>
        <v>1</v>
      </c>
      <c r="N2049" s="3" t="n">
        <f aca="false">L2049*M2049</f>
        <v>0</v>
      </c>
    </row>
    <row r="2050" customFormat="false" ht="15" hidden="false" customHeight="false" outlineLevel="0" collapsed="false">
      <c r="A2050" s="0" t="s">
        <v>3299</v>
      </c>
      <c r="B2050" s="0" t="s">
        <v>17</v>
      </c>
      <c r="C2050" s="0" t="s">
        <v>1237</v>
      </c>
      <c r="D2050" s="0" t="s">
        <v>63</v>
      </c>
      <c r="E2050" s="2" t="n">
        <v>46213</v>
      </c>
      <c r="F2050" s="3" t="s">
        <v>20</v>
      </c>
      <c r="G2050" s="3" t="s">
        <v>21</v>
      </c>
      <c r="H2050" s="3" t="s">
        <v>22</v>
      </c>
      <c r="I2050" s="3" t="n">
        <f aca="false">YEAR(E2050)</f>
        <v>2026</v>
      </c>
      <c r="J2050" s="3" t="n">
        <f aca="false">MONTH(E2050)</f>
        <v>7</v>
      </c>
      <c r="K2050" s="3" t="n">
        <f aca="false">COUNTIFS($B$2:$B$4077,B2050,$C$2:$C$4077,C2050,$I$2:$I$4077,I2050)</f>
        <v>1</v>
      </c>
      <c r="L2050" s="3" t="n">
        <f aca="false">IF(COUNTIFS($B$2:B2050,B2050,$C$2:C2050,C2050,$I$2:I2050,I2050)=1,1,0)</f>
        <v>1</v>
      </c>
      <c r="M2050" s="3" t="n">
        <f aca="false">IF(K2050&gt;=Parametri!$B$1,1,0)</f>
        <v>0</v>
      </c>
      <c r="N2050" s="3" t="n">
        <f aca="false">L2050*M2050</f>
        <v>0</v>
      </c>
    </row>
    <row r="2051" customFormat="false" ht="15" hidden="false" customHeight="false" outlineLevel="0" collapsed="false">
      <c r="A2051" s="0" t="s">
        <v>3300</v>
      </c>
      <c r="B2051" s="0" t="s">
        <v>68</v>
      </c>
      <c r="C2051" s="0" t="s">
        <v>2184</v>
      </c>
      <c r="D2051" s="0" t="s">
        <v>19</v>
      </c>
      <c r="E2051" s="2" t="n">
        <v>45305</v>
      </c>
      <c r="F2051" s="3" t="s">
        <v>27</v>
      </c>
      <c r="G2051" s="3" t="s">
        <v>104</v>
      </c>
      <c r="H2051" s="3" t="s">
        <v>29</v>
      </c>
      <c r="I2051" s="3" t="n">
        <f aca="false">YEAR(E2051)</f>
        <v>2024</v>
      </c>
      <c r="J2051" s="3" t="n">
        <f aca="false">MONTH(E2051)</f>
        <v>1</v>
      </c>
      <c r="K2051" s="3" t="n">
        <f aca="false">COUNTIFS($B$2:$B$4077,B2051,$C$2:$C$4077,C2051,$I$2:$I$4077,I2051)</f>
        <v>2</v>
      </c>
      <c r="L2051" s="3" t="n">
        <f aca="false">IF(COUNTIFS($B$2:B2051,B2051,$C$2:C2051,C2051,$I$2:I2051,I2051)=1,1,0)</f>
        <v>0</v>
      </c>
      <c r="M2051" s="3" t="n">
        <f aca="false">IF(K2051&gt;=Parametri!$B$1,1,0)</f>
        <v>1</v>
      </c>
      <c r="N2051" s="3" t="n">
        <f aca="false">L2051*M2051</f>
        <v>0</v>
      </c>
    </row>
    <row r="2052" customFormat="false" ht="15" hidden="false" customHeight="false" outlineLevel="0" collapsed="false">
      <c r="A2052" s="0" t="s">
        <v>3301</v>
      </c>
      <c r="B2052" s="0" t="s">
        <v>31</v>
      </c>
      <c r="C2052" s="0" t="s">
        <v>475</v>
      </c>
      <c r="D2052" s="0" t="s">
        <v>33</v>
      </c>
      <c r="E2052" s="2" t="n">
        <v>45649</v>
      </c>
      <c r="F2052" s="3" t="s">
        <v>34</v>
      </c>
      <c r="G2052" s="3" t="s">
        <v>21</v>
      </c>
      <c r="H2052" s="3" t="s">
        <v>44</v>
      </c>
      <c r="I2052" s="3" t="n">
        <f aca="false">YEAR(E2052)</f>
        <v>2024</v>
      </c>
      <c r="J2052" s="3" t="n">
        <f aca="false">MONTH(E2052)</f>
        <v>12</v>
      </c>
      <c r="K2052" s="3" t="n">
        <f aca="false">COUNTIFS($B$2:$B$4077,B2052,$C$2:$C$4077,C2052,$I$2:$I$4077,I2052)</f>
        <v>3</v>
      </c>
      <c r="L2052" s="3" t="n">
        <f aca="false">IF(COUNTIFS($B$2:B2052,B2052,$C$2:C2052,C2052,$I$2:I2052,I2052)=1,1,0)</f>
        <v>0</v>
      </c>
      <c r="M2052" s="3" t="n">
        <f aca="false">IF(K2052&gt;=Parametri!$B$1,1,0)</f>
        <v>1</v>
      </c>
      <c r="N2052" s="3" t="n">
        <f aca="false">L2052*M2052</f>
        <v>0</v>
      </c>
    </row>
    <row r="2053" customFormat="false" ht="15" hidden="false" customHeight="false" outlineLevel="0" collapsed="false">
      <c r="A2053" s="0" t="s">
        <v>3302</v>
      </c>
      <c r="B2053" s="0" t="s">
        <v>124</v>
      </c>
      <c r="C2053" s="0" t="s">
        <v>621</v>
      </c>
      <c r="D2053" s="0" t="s">
        <v>19</v>
      </c>
      <c r="E2053" s="2" t="n">
        <v>45702</v>
      </c>
      <c r="F2053" s="3" t="s">
        <v>20</v>
      </c>
      <c r="G2053" s="3" t="s">
        <v>89</v>
      </c>
      <c r="H2053" s="3" t="s">
        <v>22</v>
      </c>
      <c r="I2053" s="3" t="n">
        <f aca="false">YEAR(E2053)</f>
        <v>2025</v>
      </c>
      <c r="J2053" s="3" t="n">
        <f aca="false">MONTH(E2053)</f>
        <v>2</v>
      </c>
      <c r="K2053" s="3" t="n">
        <f aca="false">COUNTIFS($B$2:$B$4077,B2053,$C$2:$C$4077,C2053,$I$2:$I$4077,I2053)</f>
        <v>4</v>
      </c>
      <c r="L2053" s="3" t="n">
        <f aca="false">IF(COUNTIFS($B$2:B2053,B2053,$C$2:C2053,C2053,$I$2:I2053,I2053)=1,1,0)</f>
        <v>0</v>
      </c>
      <c r="M2053" s="3" t="n">
        <f aca="false">IF(K2053&gt;=Parametri!$B$1,1,0)</f>
        <v>1</v>
      </c>
      <c r="N2053" s="3" t="n">
        <f aca="false">L2053*M2053</f>
        <v>0</v>
      </c>
    </row>
    <row r="2054" customFormat="false" ht="15" hidden="false" customHeight="false" outlineLevel="0" collapsed="false">
      <c r="A2054" s="0" t="s">
        <v>3303</v>
      </c>
      <c r="B2054" s="0" t="s">
        <v>79</v>
      </c>
      <c r="C2054" s="0" t="s">
        <v>3304</v>
      </c>
      <c r="D2054" s="0" t="s">
        <v>26</v>
      </c>
      <c r="E2054" s="2" t="n">
        <v>45992</v>
      </c>
      <c r="F2054" s="3" t="s">
        <v>20</v>
      </c>
      <c r="G2054" s="3" t="s">
        <v>55</v>
      </c>
      <c r="H2054" s="3" t="s">
        <v>44</v>
      </c>
      <c r="I2054" s="3" t="n">
        <f aca="false">YEAR(E2054)</f>
        <v>2025</v>
      </c>
      <c r="J2054" s="3" t="n">
        <f aca="false">MONTH(E2054)</f>
        <v>12</v>
      </c>
      <c r="K2054" s="3" t="n">
        <f aca="false">COUNTIFS($B$2:$B$4077,B2054,$C$2:$C$4077,C2054,$I$2:$I$4077,I2054)</f>
        <v>1</v>
      </c>
      <c r="L2054" s="3" t="n">
        <f aca="false">IF(COUNTIFS($B$2:B2054,B2054,$C$2:C2054,C2054,$I$2:I2054,I2054)=1,1,0)</f>
        <v>1</v>
      </c>
      <c r="M2054" s="3" t="n">
        <f aca="false">IF(K2054&gt;=Parametri!$B$1,1,0)</f>
        <v>0</v>
      </c>
      <c r="N2054" s="3" t="n">
        <f aca="false">L2054*M2054</f>
        <v>0</v>
      </c>
    </row>
    <row r="2055" customFormat="false" ht="15" hidden="false" customHeight="false" outlineLevel="0" collapsed="false">
      <c r="A2055" s="0" t="s">
        <v>3305</v>
      </c>
      <c r="B2055" s="0" t="s">
        <v>46</v>
      </c>
      <c r="C2055" s="0" t="s">
        <v>2825</v>
      </c>
      <c r="D2055" s="0" t="s">
        <v>19</v>
      </c>
      <c r="E2055" s="2" t="n">
        <v>45396</v>
      </c>
      <c r="F2055" s="3" t="s">
        <v>20</v>
      </c>
      <c r="G2055" s="3" t="s">
        <v>72</v>
      </c>
      <c r="H2055" s="3" t="s">
        <v>22</v>
      </c>
      <c r="I2055" s="3" t="n">
        <f aca="false">YEAR(E2055)</f>
        <v>2024</v>
      </c>
      <c r="J2055" s="3" t="n">
        <f aca="false">MONTH(E2055)</f>
        <v>4</v>
      </c>
      <c r="K2055" s="3" t="n">
        <f aca="false">COUNTIFS($B$2:$B$4077,B2055,$C$2:$C$4077,C2055,$I$2:$I$4077,I2055)</f>
        <v>2</v>
      </c>
      <c r="L2055" s="3" t="n">
        <f aca="false">IF(COUNTIFS($B$2:B2055,B2055,$C$2:C2055,C2055,$I$2:I2055,I2055)=1,1,0)</f>
        <v>0</v>
      </c>
      <c r="M2055" s="3" t="n">
        <f aca="false">IF(K2055&gt;=Parametri!$B$1,1,0)</f>
        <v>1</v>
      </c>
      <c r="N2055" s="3" t="n">
        <f aca="false">L2055*M2055</f>
        <v>0</v>
      </c>
    </row>
    <row r="2056" customFormat="false" ht="15" hidden="false" customHeight="false" outlineLevel="0" collapsed="false">
      <c r="A2056" s="0" t="s">
        <v>3306</v>
      </c>
      <c r="B2056" s="0" t="s">
        <v>68</v>
      </c>
      <c r="C2056" s="0" t="s">
        <v>3307</v>
      </c>
      <c r="D2056" s="0" t="s">
        <v>66</v>
      </c>
      <c r="E2056" s="2" t="n">
        <v>45439</v>
      </c>
      <c r="F2056" s="3" t="s">
        <v>104</v>
      </c>
      <c r="G2056" s="3" t="s">
        <v>104</v>
      </c>
      <c r="H2056" s="3" t="s">
        <v>104</v>
      </c>
      <c r="I2056" s="3" t="n">
        <f aca="false">YEAR(E2056)</f>
        <v>2024</v>
      </c>
      <c r="J2056" s="3" t="n">
        <f aca="false">MONTH(E2056)</f>
        <v>5</v>
      </c>
      <c r="K2056" s="3" t="n">
        <f aca="false">COUNTIFS($B$2:$B$4077,B2056,$C$2:$C$4077,C2056,$I$2:$I$4077,I2056)</f>
        <v>1</v>
      </c>
      <c r="L2056" s="3" t="n">
        <f aca="false">IF(COUNTIFS($B$2:B2056,B2056,$C$2:C2056,C2056,$I$2:I2056,I2056)=1,1,0)</f>
        <v>1</v>
      </c>
      <c r="M2056" s="3" t="n">
        <f aca="false">IF(K2056&gt;=Parametri!$B$1,1,0)</f>
        <v>0</v>
      </c>
      <c r="N2056" s="3" t="n">
        <f aca="false">L2056*M2056</f>
        <v>0</v>
      </c>
    </row>
    <row r="2057" customFormat="false" ht="15" hidden="false" customHeight="false" outlineLevel="0" collapsed="false">
      <c r="A2057" s="0" t="s">
        <v>3308</v>
      </c>
      <c r="B2057" s="0" t="s">
        <v>17</v>
      </c>
      <c r="C2057" s="0" t="s">
        <v>3309</v>
      </c>
      <c r="D2057" s="0" t="s">
        <v>66</v>
      </c>
      <c r="E2057" s="2" t="n">
        <v>45853</v>
      </c>
      <c r="F2057" s="3" t="s">
        <v>27</v>
      </c>
      <c r="G2057" s="3" t="s">
        <v>21</v>
      </c>
      <c r="H2057" s="3" t="s">
        <v>29</v>
      </c>
      <c r="I2057" s="3" t="n">
        <f aca="false">YEAR(E2057)</f>
        <v>2025</v>
      </c>
      <c r="J2057" s="3" t="n">
        <f aca="false">MONTH(E2057)</f>
        <v>7</v>
      </c>
      <c r="K2057" s="3" t="n">
        <f aca="false">COUNTIFS($B$2:$B$4077,B2057,$C$2:$C$4077,C2057,$I$2:$I$4077,I2057)</f>
        <v>1</v>
      </c>
      <c r="L2057" s="3" t="n">
        <f aca="false">IF(COUNTIFS($B$2:B2057,B2057,$C$2:C2057,C2057,$I$2:I2057,I2057)=1,1,0)</f>
        <v>1</v>
      </c>
      <c r="M2057" s="3" t="n">
        <f aca="false">IF(K2057&gt;=Parametri!$B$1,1,0)</f>
        <v>0</v>
      </c>
      <c r="N2057" s="3" t="n">
        <f aca="false">L2057*M2057</f>
        <v>0</v>
      </c>
    </row>
    <row r="2058" customFormat="false" ht="15" hidden="false" customHeight="false" outlineLevel="0" collapsed="false">
      <c r="A2058" s="0" t="s">
        <v>3310</v>
      </c>
      <c r="B2058" s="0" t="s">
        <v>50</v>
      </c>
      <c r="C2058" s="0" t="s">
        <v>1656</v>
      </c>
      <c r="D2058" s="0" t="s">
        <v>66</v>
      </c>
      <c r="E2058" s="2" t="n">
        <v>46224</v>
      </c>
      <c r="F2058" s="3" t="s">
        <v>20</v>
      </c>
      <c r="G2058" s="3" t="s">
        <v>28</v>
      </c>
      <c r="H2058" s="3" t="s">
        <v>44</v>
      </c>
      <c r="I2058" s="3" t="n">
        <f aca="false">YEAR(E2058)</f>
        <v>2026</v>
      </c>
      <c r="J2058" s="3" t="n">
        <f aca="false">MONTH(E2058)</f>
        <v>7</v>
      </c>
      <c r="K2058" s="3" t="n">
        <f aca="false">COUNTIFS($B$2:$B$4077,B2058,$C$2:$C$4077,C2058,$I$2:$I$4077,I2058)</f>
        <v>1</v>
      </c>
      <c r="L2058" s="3" t="n">
        <f aca="false">IF(COUNTIFS($B$2:B2058,B2058,$C$2:C2058,C2058,$I$2:I2058,I2058)=1,1,0)</f>
        <v>1</v>
      </c>
      <c r="M2058" s="3" t="n">
        <f aca="false">IF(K2058&gt;=Parametri!$B$1,1,0)</f>
        <v>0</v>
      </c>
      <c r="N2058" s="3" t="n">
        <f aca="false">L2058*M2058</f>
        <v>0</v>
      </c>
    </row>
    <row r="2059" customFormat="false" ht="15" hidden="false" customHeight="false" outlineLevel="0" collapsed="false">
      <c r="A2059" s="0" t="s">
        <v>3311</v>
      </c>
      <c r="B2059" s="0" t="s">
        <v>124</v>
      </c>
      <c r="C2059" s="0" t="s">
        <v>1283</v>
      </c>
      <c r="D2059" s="0" t="s">
        <v>54</v>
      </c>
      <c r="E2059" s="2" t="n">
        <v>45497</v>
      </c>
      <c r="F2059" s="3" t="s">
        <v>34</v>
      </c>
      <c r="G2059" s="3" t="s">
        <v>21</v>
      </c>
      <c r="H2059" s="3" t="s">
        <v>29</v>
      </c>
      <c r="I2059" s="3" t="n">
        <f aca="false">YEAR(E2059)</f>
        <v>2024</v>
      </c>
      <c r="J2059" s="3" t="n">
        <f aca="false">MONTH(E2059)</f>
        <v>7</v>
      </c>
      <c r="K2059" s="3" t="n">
        <f aca="false">COUNTIFS($B$2:$B$4077,B2059,$C$2:$C$4077,C2059,$I$2:$I$4077,I2059)</f>
        <v>2</v>
      </c>
      <c r="L2059" s="3" t="n">
        <f aca="false">IF(COUNTIFS($B$2:B2059,B2059,$C$2:C2059,C2059,$I$2:I2059,I2059)=1,1,0)</f>
        <v>1</v>
      </c>
      <c r="M2059" s="3" t="n">
        <f aca="false">IF(K2059&gt;=Parametri!$B$1,1,0)</f>
        <v>1</v>
      </c>
      <c r="N2059" s="3" t="n">
        <f aca="false">L2059*M2059</f>
        <v>1</v>
      </c>
    </row>
    <row r="2060" customFormat="false" ht="15" hidden="false" customHeight="false" outlineLevel="0" collapsed="false">
      <c r="A2060" s="0" t="s">
        <v>3312</v>
      </c>
      <c r="B2060" s="0" t="s">
        <v>79</v>
      </c>
      <c r="C2060" s="0" t="s">
        <v>2233</v>
      </c>
      <c r="D2060" s="0" t="s">
        <v>63</v>
      </c>
      <c r="E2060" s="2" t="n">
        <v>46016</v>
      </c>
      <c r="F2060" s="3" t="s">
        <v>27</v>
      </c>
      <c r="G2060" s="3" t="s">
        <v>43</v>
      </c>
      <c r="H2060" s="3" t="s">
        <v>29</v>
      </c>
      <c r="I2060" s="3" t="n">
        <f aca="false">YEAR(E2060)</f>
        <v>2025</v>
      </c>
      <c r="J2060" s="3" t="n">
        <f aca="false">MONTH(E2060)</f>
        <v>12</v>
      </c>
      <c r="K2060" s="3" t="n">
        <f aca="false">COUNTIFS($B$2:$B$4077,B2060,$C$2:$C$4077,C2060,$I$2:$I$4077,I2060)</f>
        <v>2</v>
      </c>
      <c r="L2060" s="3" t="n">
        <f aca="false">IF(COUNTIFS($B$2:B2060,B2060,$C$2:C2060,C2060,$I$2:I2060,I2060)=1,1,0)</f>
        <v>0</v>
      </c>
      <c r="M2060" s="3" t="n">
        <f aca="false">IF(K2060&gt;=Parametri!$B$1,1,0)</f>
        <v>1</v>
      </c>
      <c r="N2060" s="3" t="n">
        <f aca="false">L2060*M2060</f>
        <v>0</v>
      </c>
    </row>
    <row r="2061" customFormat="false" ht="15" hidden="false" customHeight="false" outlineLevel="0" collapsed="false">
      <c r="A2061" s="0" t="s">
        <v>3313</v>
      </c>
      <c r="B2061" s="0" t="s">
        <v>31</v>
      </c>
      <c r="C2061" s="0" t="s">
        <v>37</v>
      </c>
      <c r="D2061" s="0" t="s">
        <v>33</v>
      </c>
      <c r="E2061" s="2" t="n">
        <v>45741</v>
      </c>
      <c r="F2061" s="3" t="s">
        <v>27</v>
      </c>
      <c r="G2061" s="3" t="s">
        <v>21</v>
      </c>
      <c r="H2061" s="3" t="s">
        <v>22</v>
      </c>
      <c r="I2061" s="3" t="n">
        <f aca="false">YEAR(E2061)</f>
        <v>2025</v>
      </c>
      <c r="J2061" s="3" t="n">
        <f aca="false">MONTH(E2061)</f>
        <v>3</v>
      </c>
      <c r="K2061" s="3" t="n">
        <f aca="false">COUNTIFS($B$2:$B$4077,B2061,$C$2:$C$4077,C2061,$I$2:$I$4077,I2061)</f>
        <v>2</v>
      </c>
      <c r="L2061" s="3" t="n">
        <f aca="false">IF(COUNTIFS($B$2:B2061,B2061,$C$2:C2061,C2061,$I$2:I2061,I2061)=1,1,0)</f>
        <v>0</v>
      </c>
      <c r="M2061" s="3" t="n">
        <f aca="false">IF(K2061&gt;=Parametri!$B$1,1,0)</f>
        <v>1</v>
      </c>
      <c r="N2061" s="3" t="n">
        <f aca="false">L2061*M2061</f>
        <v>0</v>
      </c>
    </row>
    <row r="2062" customFormat="false" ht="15" hidden="false" customHeight="false" outlineLevel="0" collapsed="false">
      <c r="A2062" s="0" t="s">
        <v>3314</v>
      </c>
      <c r="B2062" s="0" t="s">
        <v>68</v>
      </c>
      <c r="C2062" s="0" t="s">
        <v>2644</v>
      </c>
      <c r="D2062" s="0" t="s">
        <v>26</v>
      </c>
      <c r="E2062" s="2" t="n">
        <v>46119</v>
      </c>
      <c r="F2062" s="3" t="s">
        <v>20</v>
      </c>
      <c r="G2062" s="3" t="s">
        <v>72</v>
      </c>
      <c r="H2062" s="3" t="s">
        <v>48</v>
      </c>
      <c r="I2062" s="3" t="n">
        <f aca="false">YEAR(E2062)</f>
        <v>2026</v>
      </c>
      <c r="J2062" s="3" t="n">
        <f aca="false">MONTH(E2062)</f>
        <v>4</v>
      </c>
      <c r="K2062" s="3" t="n">
        <f aca="false">COUNTIFS($B$2:$B$4077,B2062,$C$2:$C$4077,C2062,$I$2:$I$4077,I2062)</f>
        <v>1</v>
      </c>
      <c r="L2062" s="3" t="n">
        <f aca="false">IF(COUNTIFS($B$2:B2062,B2062,$C$2:C2062,C2062,$I$2:I2062,I2062)=1,1,0)</f>
        <v>1</v>
      </c>
      <c r="M2062" s="3" t="n">
        <f aca="false">IF(K2062&gt;=Parametri!$B$1,1,0)</f>
        <v>0</v>
      </c>
      <c r="N2062" s="3" t="n">
        <f aca="false">L2062*M2062</f>
        <v>0</v>
      </c>
    </row>
    <row r="2063" customFormat="false" ht="15" hidden="false" customHeight="false" outlineLevel="0" collapsed="false">
      <c r="A2063" s="0" t="s">
        <v>3315</v>
      </c>
      <c r="B2063" s="0" t="s">
        <v>24</v>
      </c>
      <c r="C2063" s="0" t="s">
        <v>1093</v>
      </c>
      <c r="D2063" s="0" t="s">
        <v>77</v>
      </c>
      <c r="E2063" s="2" t="n">
        <v>46167</v>
      </c>
      <c r="F2063" s="3" t="s">
        <v>20</v>
      </c>
      <c r="G2063" s="3" t="s">
        <v>28</v>
      </c>
      <c r="H2063" s="3" t="s">
        <v>29</v>
      </c>
      <c r="I2063" s="3" t="n">
        <f aca="false">YEAR(E2063)</f>
        <v>2026</v>
      </c>
      <c r="J2063" s="3" t="n">
        <f aca="false">MONTH(E2063)</f>
        <v>5</v>
      </c>
      <c r="K2063" s="3" t="n">
        <f aca="false">COUNTIFS($B$2:$B$4077,B2063,$C$2:$C$4077,C2063,$I$2:$I$4077,I2063)</f>
        <v>2</v>
      </c>
      <c r="L2063" s="3" t="n">
        <f aca="false">IF(COUNTIFS($B$2:B2063,B2063,$C$2:C2063,C2063,$I$2:I2063,I2063)=1,1,0)</f>
        <v>0</v>
      </c>
      <c r="M2063" s="3" t="n">
        <f aca="false">IF(K2063&gt;=Parametri!$B$1,1,0)</f>
        <v>1</v>
      </c>
      <c r="N2063" s="3" t="n">
        <f aca="false">L2063*M2063</f>
        <v>0</v>
      </c>
    </row>
    <row r="2064" customFormat="false" ht="15" hidden="false" customHeight="false" outlineLevel="0" collapsed="false">
      <c r="A2064" s="0" t="s">
        <v>3316</v>
      </c>
      <c r="B2064" s="0" t="s">
        <v>68</v>
      </c>
      <c r="C2064" s="0" t="s">
        <v>3317</v>
      </c>
      <c r="D2064" s="0" t="s">
        <v>63</v>
      </c>
      <c r="E2064" s="2" t="n">
        <v>45315</v>
      </c>
      <c r="F2064" s="3" t="s">
        <v>20</v>
      </c>
      <c r="G2064" s="3" t="s">
        <v>39</v>
      </c>
      <c r="H2064" s="3" t="s">
        <v>29</v>
      </c>
      <c r="I2064" s="3" t="n">
        <f aca="false">YEAR(E2064)</f>
        <v>2024</v>
      </c>
      <c r="J2064" s="3" t="n">
        <f aca="false">MONTH(E2064)</f>
        <v>1</v>
      </c>
      <c r="K2064" s="3" t="n">
        <f aca="false">COUNTIFS($B$2:$B$4077,B2064,$C$2:$C$4077,C2064,$I$2:$I$4077,I2064)</f>
        <v>1</v>
      </c>
      <c r="L2064" s="3" t="n">
        <f aca="false">IF(COUNTIFS($B$2:B2064,B2064,$C$2:C2064,C2064,$I$2:I2064,I2064)=1,1,0)</f>
        <v>1</v>
      </c>
      <c r="M2064" s="3" t="n">
        <f aca="false">IF(K2064&gt;=Parametri!$B$1,1,0)</f>
        <v>0</v>
      </c>
      <c r="N2064" s="3" t="n">
        <f aca="false">L2064*M2064</f>
        <v>0</v>
      </c>
    </row>
    <row r="2065" customFormat="false" ht="15" hidden="false" customHeight="false" outlineLevel="0" collapsed="false">
      <c r="A2065" s="0" t="s">
        <v>3318</v>
      </c>
      <c r="B2065" s="0" t="s">
        <v>46</v>
      </c>
      <c r="C2065" s="0" t="s">
        <v>1839</v>
      </c>
      <c r="D2065" s="0" t="s">
        <v>66</v>
      </c>
      <c r="E2065" s="2" t="n">
        <v>46128</v>
      </c>
      <c r="F2065" s="3" t="s">
        <v>20</v>
      </c>
      <c r="G2065" s="3" t="s">
        <v>55</v>
      </c>
      <c r="H2065" s="3" t="s">
        <v>48</v>
      </c>
      <c r="I2065" s="3" t="n">
        <f aca="false">YEAR(E2065)</f>
        <v>2026</v>
      </c>
      <c r="J2065" s="3" t="n">
        <f aca="false">MONTH(E2065)</f>
        <v>4</v>
      </c>
      <c r="K2065" s="3" t="n">
        <f aca="false">COUNTIFS($B$2:$B$4077,B2065,$C$2:$C$4077,C2065,$I$2:$I$4077,I2065)</f>
        <v>1</v>
      </c>
      <c r="L2065" s="3" t="n">
        <f aca="false">IF(COUNTIFS($B$2:B2065,B2065,$C$2:C2065,C2065,$I$2:I2065,I2065)=1,1,0)</f>
        <v>1</v>
      </c>
      <c r="M2065" s="3" t="n">
        <f aca="false">IF(K2065&gt;=Parametri!$B$1,1,0)</f>
        <v>0</v>
      </c>
      <c r="N2065" s="3" t="n">
        <f aca="false">L2065*M2065</f>
        <v>0</v>
      </c>
    </row>
    <row r="2066" customFormat="false" ht="15" hidden="false" customHeight="false" outlineLevel="0" collapsed="false">
      <c r="A2066" s="0" t="s">
        <v>3319</v>
      </c>
      <c r="B2066" s="0" t="s">
        <v>124</v>
      </c>
      <c r="C2066" s="0" t="s">
        <v>3320</v>
      </c>
      <c r="D2066" s="0" t="s">
        <v>26</v>
      </c>
      <c r="E2066" s="2" t="n">
        <v>45666</v>
      </c>
      <c r="F2066" s="3" t="s">
        <v>20</v>
      </c>
      <c r="G2066" s="3" t="s">
        <v>72</v>
      </c>
      <c r="H2066" s="3" t="s">
        <v>48</v>
      </c>
      <c r="I2066" s="3" t="n">
        <f aca="false">YEAR(E2066)</f>
        <v>2025</v>
      </c>
      <c r="J2066" s="3" t="n">
        <f aca="false">MONTH(E2066)</f>
        <v>1</v>
      </c>
      <c r="K2066" s="3" t="n">
        <f aca="false">COUNTIFS($B$2:$B$4077,B2066,$C$2:$C$4077,C2066,$I$2:$I$4077,I2066)</f>
        <v>2</v>
      </c>
      <c r="L2066" s="3" t="n">
        <f aca="false">IF(COUNTIFS($B$2:B2066,B2066,$C$2:C2066,C2066,$I$2:I2066,I2066)=1,1,0)</f>
        <v>1</v>
      </c>
      <c r="M2066" s="3" t="n">
        <f aca="false">IF(K2066&gt;=Parametri!$B$1,1,0)</f>
        <v>1</v>
      </c>
      <c r="N2066" s="3" t="n">
        <f aca="false">L2066*M2066</f>
        <v>1</v>
      </c>
    </row>
    <row r="2067" customFormat="false" ht="15" hidden="false" customHeight="false" outlineLevel="0" collapsed="false">
      <c r="A2067" s="0" t="s">
        <v>3321</v>
      </c>
      <c r="B2067" s="0" t="s">
        <v>50</v>
      </c>
      <c r="C2067" s="0" t="s">
        <v>1218</v>
      </c>
      <c r="D2067" s="0" t="s">
        <v>77</v>
      </c>
      <c r="E2067" s="2" t="n">
        <v>46178</v>
      </c>
      <c r="F2067" s="3" t="s">
        <v>20</v>
      </c>
      <c r="G2067" s="3" t="s">
        <v>43</v>
      </c>
      <c r="H2067" s="3" t="s">
        <v>44</v>
      </c>
      <c r="I2067" s="3" t="n">
        <f aca="false">YEAR(E2067)</f>
        <v>2026</v>
      </c>
      <c r="J2067" s="3" t="n">
        <f aca="false">MONTH(E2067)</f>
        <v>6</v>
      </c>
      <c r="K2067" s="3" t="n">
        <f aca="false">COUNTIFS($B$2:$B$4077,B2067,$C$2:$C$4077,C2067,$I$2:$I$4077,I2067)</f>
        <v>1</v>
      </c>
      <c r="L2067" s="3" t="n">
        <f aca="false">IF(COUNTIFS($B$2:B2067,B2067,$C$2:C2067,C2067,$I$2:I2067,I2067)=1,1,0)</f>
        <v>1</v>
      </c>
      <c r="M2067" s="3" t="n">
        <f aca="false">IF(K2067&gt;=Parametri!$B$1,1,0)</f>
        <v>0</v>
      </c>
      <c r="N2067" s="3" t="n">
        <f aca="false">L2067*M2067</f>
        <v>0</v>
      </c>
    </row>
    <row r="2068" customFormat="false" ht="15" hidden="false" customHeight="false" outlineLevel="0" collapsed="false">
      <c r="A2068" s="0" t="s">
        <v>3322</v>
      </c>
      <c r="B2068" s="0" t="s">
        <v>124</v>
      </c>
      <c r="C2068" s="0" t="s">
        <v>1040</v>
      </c>
      <c r="D2068" s="0" t="s">
        <v>19</v>
      </c>
      <c r="E2068" s="2" t="n">
        <v>45445</v>
      </c>
      <c r="F2068" s="3" t="s">
        <v>20</v>
      </c>
      <c r="G2068" s="3" t="s">
        <v>35</v>
      </c>
      <c r="H2068" s="3" t="s">
        <v>44</v>
      </c>
      <c r="I2068" s="3" t="n">
        <f aca="false">YEAR(E2068)</f>
        <v>2024</v>
      </c>
      <c r="J2068" s="3" t="n">
        <f aca="false">MONTH(E2068)</f>
        <v>6</v>
      </c>
      <c r="K2068" s="3" t="n">
        <f aca="false">COUNTIFS($B$2:$B$4077,B2068,$C$2:$C$4077,C2068,$I$2:$I$4077,I2068)</f>
        <v>4</v>
      </c>
      <c r="L2068" s="3" t="n">
        <f aca="false">IF(COUNTIFS($B$2:B2068,B2068,$C$2:C2068,C2068,$I$2:I2068,I2068)=1,1,0)</f>
        <v>0</v>
      </c>
      <c r="M2068" s="3" t="n">
        <f aca="false">IF(K2068&gt;=Parametri!$B$1,1,0)</f>
        <v>1</v>
      </c>
      <c r="N2068" s="3" t="n">
        <f aca="false">L2068*M2068</f>
        <v>0</v>
      </c>
    </row>
    <row r="2069" customFormat="false" ht="15" hidden="false" customHeight="false" outlineLevel="0" collapsed="false">
      <c r="A2069" s="0" t="s">
        <v>3323</v>
      </c>
      <c r="B2069" s="0" t="s">
        <v>17</v>
      </c>
      <c r="C2069" s="0" t="s">
        <v>176</v>
      </c>
      <c r="D2069" s="0" t="s">
        <v>63</v>
      </c>
      <c r="E2069" s="2" t="n">
        <v>45626</v>
      </c>
      <c r="F2069" s="3" t="s">
        <v>20</v>
      </c>
      <c r="G2069" s="3" t="s">
        <v>55</v>
      </c>
      <c r="H2069" s="3" t="s">
        <v>44</v>
      </c>
      <c r="I2069" s="3" t="n">
        <f aca="false">YEAR(E2069)</f>
        <v>2024</v>
      </c>
      <c r="J2069" s="3" t="n">
        <f aca="false">MONTH(E2069)</f>
        <v>11</v>
      </c>
      <c r="K2069" s="3" t="n">
        <f aca="false">COUNTIFS($B$2:$B$4077,B2069,$C$2:$C$4077,C2069,$I$2:$I$4077,I2069)</f>
        <v>1</v>
      </c>
      <c r="L2069" s="3" t="n">
        <f aca="false">IF(COUNTIFS($B$2:B2069,B2069,$C$2:C2069,C2069,$I$2:I2069,I2069)=1,1,0)</f>
        <v>1</v>
      </c>
      <c r="M2069" s="3" t="n">
        <f aca="false">IF(K2069&gt;=Parametri!$B$1,1,0)</f>
        <v>0</v>
      </c>
      <c r="N2069" s="3" t="n">
        <f aca="false">L2069*M2069</f>
        <v>0</v>
      </c>
    </row>
    <row r="2070" customFormat="false" ht="15" hidden="false" customHeight="false" outlineLevel="0" collapsed="false">
      <c r="A2070" s="0" t="s">
        <v>3324</v>
      </c>
      <c r="B2070" s="0" t="s">
        <v>57</v>
      </c>
      <c r="C2070" s="0" t="s">
        <v>1711</v>
      </c>
      <c r="D2070" s="0" t="s">
        <v>77</v>
      </c>
      <c r="E2070" s="2" t="n">
        <v>45545</v>
      </c>
      <c r="F2070" s="3" t="s">
        <v>34</v>
      </c>
      <c r="G2070" s="3" t="s">
        <v>21</v>
      </c>
      <c r="H2070" s="3" t="s">
        <v>22</v>
      </c>
      <c r="I2070" s="3" t="n">
        <f aca="false">YEAR(E2070)</f>
        <v>2024</v>
      </c>
      <c r="J2070" s="3" t="n">
        <f aca="false">MONTH(E2070)</f>
        <v>9</v>
      </c>
      <c r="K2070" s="3" t="n">
        <f aca="false">COUNTIFS($B$2:$B$4077,B2070,$C$2:$C$4077,C2070,$I$2:$I$4077,I2070)</f>
        <v>2</v>
      </c>
      <c r="L2070" s="3" t="n">
        <f aca="false">IF(COUNTIFS($B$2:B2070,B2070,$C$2:C2070,C2070,$I$2:I2070,I2070)=1,1,0)</f>
        <v>1</v>
      </c>
      <c r="M2070" s="3" t="n">
        <f aca="false">IF(K2070&gt;=Parametri!$B$1,1,0)</f>
        <v>1</v>
      </c>
      <c r="N2070" s="3" t="n">
        <f aca="false">L2070*M2070</f>
        <v>1</v>
      </c>
    </row>
    <row r="2071" customFormat="false" ht="15" hidden="false" customHeight="false" outlineLevel="0" collapsed="false">
      <c r="A2071" s="0" t="s">
        <v>3325</v>
      </c>
      <c r="B2071" s="0" t="s">
        <v>124</v>
      </c>
      <c r="C2071" s="0" t="s">
        <v>129</v>
      </c>
      <c r="D2071" s="0" t="s">
        <v>77</v>
      </c>
      <c r="E2071" s="2" t="n">
        <v>46086</v>
      </c>
      <c r="F2071" s="3" t="s">
        <v>27</v>
      </c>
      <c r="G2071" s="3" t="s">
        <v>21</v>
      </c>
      <c r="H2071" s="3" t="s">
        <v>22</v>
      </c>
      <c r="I2071" s="3" t="n">
        <f aca="false">YEAR(E2071)</f>
        <v>2026</v>
      </c>
      <c r="J2071" s="3" t="n">
        <f aca="false">MONTH(E2071)</f>
        <v>3</v>
      </c>
      <c r="K2071" s="3" t="n">
        <f aca="false">COUNTIFS($B$2:$B$4077,B2071,$C$2:$C$4077,C2071,$I$2:$I$4077,I2071)</f>
        <v>2</v>
      </c>
      <c r="L2071" s="3" t="n">
        <f aca="false">IF(COUNTIFS($B$2:B2071,B2071,$C$2:C2071,C2071,$I$2:I2071,I2071)=1,1,0)</f>
        <v>0</v>
      </c>
      <c r="M2071" s="3" t="n">
        <f aca="false">IF(K2071&gt;=Parametri!$B$1,1,0)</f>
        <v>1</v>
      </c>
      <c r="N2071" s="3" t="n">
        <f aca="false">L2071*M2071</f>
        <v>0</v>
      </c>
    </row>
    <row r="2072" customFormat="false" ht="15" hidden="false" customHeight="false" outlineLevel="0" collapsed="false">
      <c r="A2072" s="0" t="s">
        <v>3326</v>
      </c>
      <c r="B2072" s="0" t="s">
        <v>41</v>
      </c>
      <c r="C2072" s="0" t="s">
        <v>3327</v>
      </c>
      <c r="D2072" s="0" t="s">
        <v>54</v>
      </c>
      <c r="E2072" s="2" t="n">
        <v>45371</v>
      </c>
      <c r="F2072" s="3" t="s">
        <v>20</v>
      </c>
      <c r="G2072" s="3" t="s">
        <v>72</v>
      </c>
      <c r="H2072" s="3" t="s">
        <v>44</v>
      </c>
      <c r="I2072" s="3" t="n">
        <f aca="false">YEAR(E2072)</f>
        <v>2024</v>
      </c>
      <c r="J2072" s="3" t="n">
        <f aca="false">MONTH(E2072)</f>
        <v>3</v>
      </c>
      <c r="K2072" s="3" t="n">
        <f aca="false">COUNTIFS($B$2:$B$4077,B2072,$C$2:$C$4077,C2072,$I$2:$I$4077,I2072)</f>
        <v>2</v>
      </c>
      <c r="L2072" s="3" t="n">
        <f aca="false">IF(COUNTIFS($B$2:B2072,B2072,$C$2:C2072,C2072,$I$2:I2072,I2072)=1,1,0)</f>
        <v>1</v>
      </c>
      <c r="M2072" s="3" t="n">
        <f aca="false">IF(K2072&gt;=Parametri!$B$1,1,0)</f>
        <v>1</v>
      </c>
      <c r="N2072" s="3" t="n">
        <f aca="false">L2072*M2072</f>
        <v>1</v>
      </c>
    </row>
    <row r="2073" customFormat="false" ht="15" hidden="false" customHeight="false" outlineLevel="0" collapsed="false">
      <c r="A2073" s="0" t="s">
        <v>3328</v>
      </c>
      <c r="B2073" s="0" t="s">
        <v>24</v>
      </c>
      <c r="C2073" s="0" t="s">
        <v>3329</v>
      </c>
      <c r="D2073" s="0" t="s">
        <v>38</v>
      </c>
      <c r="E2073" s="2" t="n">
        <v>46174</v>
      </c>
      <c r="F2073" s="3" t="s">
        <v>20</v>
      </c>
      <c r="G2073" s="3" t="s">
        <v>21</v>
      </c>
      <c r="H2073" s="3" t="s">
        <v>22</v>
      </c>
      <c r="I2073" s="3" t="n">
        <f aca="false">YEAR(E2073)</f>
        <v>2026</v>
      </c>
      <c r="J2073" s="3" t="n">
        <f aca="false">MONTH(E2073)</f>
        <v>6</v>
      </c>
      <c r="K2073" s="3" t="n">
        <f aca="false">COUNTIFS($B$2:$B$4077,B2073,$C$2:$C$4077,C2073,$I$2:$I$4077,I2073)</f>
        <v>1</v>
      </c>
      <c r="L2073" s="3" t="n">
        <f aca="false">IF(COUNTIFS($B$2:B2073,B2073,$C$2:C2073,C2073,$I$2:I2073,I2073)=1,1,0)</f>
        <v>1</v>
      </c>
      <c r="M2073" s="3" t="n">
        <f aca="false">IF(K2073&gt;=Parametri!$B$1,1,0)</f>
        <v>0</v>
      </c>
      <c r="N2073" s="3" t="n">
        <f aca="false">L2073*M2073</f>
        <v>0</v>
      </c>
    </row>
    <row r="2074" customFormat="false" ht="15" hidden="false" customHeight="false" outlineLevel="0" collapsed="false">
      <c r="A2074" s="0" t="s">
        <v>3330</v>
      </c>
      <c r="B2074" s="0" t="s">
        <v>50</v>
      </c>
      <c r="C2074" s="0" t="s">
        <v>3331</v>
      </c>
      <c r="D2074" s="0" t="s">
        <v>19</v>
      </c>
      <c r="E2074" s="2" t="n">
        <v>45836</v>
      </c>
      <c r="F2074" s="3" t="s">
        <v>27</v>
      </c>
      <c r="G2074" s="3" t="s">
        <v>43</v>
      </c>
      <c r="H2074" s="3" t="s">
        <v>44</v>
      </c>
      <c r="I2074" s="3" t="n">
        <f aca="false">YEAR(E2074)</f>
        <v>2025</v>
      </c>
      <c r="J2074" s="3" t="n">
        <f aca="false">MONTH(E2074)</f>
        <v>6</v>
      </c>
      <c r="K2074" s="3" t="n">
        <f aca="false">COUNTIFS($B$2:$B$4077,B2074,$C$2:$C$4077,C2074,$I$2:$I$4077,I2074)</f>
        <v>1</v>
      </c>
      <c r="L2074" s="3" t="n">
        <f aca="false">IF(COUNTIFS($B$2:B2074,B2074,$C$2:C2074,C2074,$I$2:I2074,I2074)=1,1,0)</f>
        <v>1</v>
      </c>
      <c r="M2074" s="3" t="n">
        <f aca="false">IF(K2074&gt;=Parametri!$B$1,1,0)</f>
        <v>0</v>
      </c>
      <c r="N2074" s="3" t="n">
        <f aca="false">L2074*M2074</f>
        <v>0</v>
      </c>
    </row>
    <row r="2075" customFormat="false" ht="15" hidden="false" customHeight="false" outlineLevel="0" collapsed="false">
      <c r="A2075" s="0" t="s">
        <v>3332</v>
      </c>
      <c r="B2075" s="0" t="s">
        <v>24</v>
      </c>
      <c r="C2075" s="0" t="s">
        <v>2280</v>
      </c>
      <c r="D2075" s="0" t="s">
        <v>63</v>
      </c>
      <c r="E2075" s="2" t="n">
        <v>45746</v>
      </c>
      <c r="F2075" s="3" t="s">
        <v>20</v>
      </c>
      <c r="G2075" s="3" t="s">
        <v>28</v>
      </c>
      <c r="H2075" s="3" t="s">
        <v>44</v>
      </c>
      <c r="I2075" s="3" t="n">
        <f aca="false">YEAR(E2075)</f>
        <v>2025</v>
      </c>
      <c r="J2075" s="3" t="n">
        <f aca="false">MONTH(E2075)</f>
        <v>3</v>
      </c>
      <c r="K2075" s="3" t="n">
        <f aca="false">COUNTIFS($B$2:$B$4077,B2075,$C$2:$C$4077,C2075,$I$2:$I$4077,I2075)</f>
        <v>1</v>
      </c>
      <c r="L2075" s="3" t="n">
        <f aca="false">IF(COUNTIFS($B$2:B2075,B2075,$C$2:C2075,C2075,$I$2:I2075,I2075)=1,1,0)</f>
        <v>1</v>
      </c>
      <c r="M2075" s="3" t="n">
        <f aca="false">IF(K2075&gt;=Parametri!$B$1,1,0)</f>
        <v>0</v>
      </c>
      <c r="N2075" s="3" t="n">
        <f aca="false">L2075*M2075</f>
        <v>0</v>
      </c>
    </row>
    <row r="2076" customFormat="false" ht="15" hidden="false" customHeight="false" outlineLevel="0" collapsed="false">
      <c r="A2076" s="0" t="s">
        <v>3333</v>
      </c>
      <c r="B2076" s="0" t="s">
        <v>24</v>
      </c>
      <c r="C2076" s="0" t="s">
        <v>3334</v>
      </c>
      <c r="D2076" s="0" t="s">
        <v>26</v>
      </c>
      <c r="E2076" s="2" t="n">
        <v>45741</v>
      </c>
      <c r="F2076" s="3" t="s">
        <v>20</v>
      </c>
      <c r="G2076" s="3" t="s">
        <v>35</v>
      </c>
      <c r="H2076" s="3" t="s">
        <v>22</v>
      </c>
      <c r="I2076" s="3" t="n">
        <f aca="false">YEAR(E2076)</f>
        <v>2025</v>
      </c>
      <c r="J2076" s="3" t="n">
        <f aca="false">MONTH(E2076)</f>
        <v>3</v>
      </c>
      <c r="K2076" s="3" t="n">
        <f aca="false">COUNTIFS($B$2:$B$4077,B2076,$C$2:$C$4077,C2076,$I$2:$I$4077,I2076)</f>
        <v>1</v>
      </c>
      <c r="L2076" s="3" t="n">
        <f aca="false">IF(COUNTIFS($B$2:B2076,B2076,$C$2:C2076,C2076,$I$2:I2076,I2076)=1,1,0)</f>
        <v>1</v>
      </c>
      <c r="M2076" s="3" t="n">
        <f aca="false">IF(K2076&gt;=Parametri!$B$1,1,0)</f>
        <v>0</v>
      </c>
      <c r="N2076" s="3" t="n">
        <f aca="false">L2076*M2076</f>
        <v>0</v>
      </c>
    </row>
    <row r="2077" customFormat="false" ht="15" hidden="false" customHeight="false" outlineLevel="0" collapsed="false">
      <c r="A2077" s="0" t="s">
        <v>3335</v>
      </c>
      <c r="B2077" s="0" t="s">
        <v>68</v>
      </c>
      <c r="C2077" s="0" t="s">
        <v>3336</v>
      </c>
      <c r="D2077" s="0" t="s">
        <v>26</v>
      </c>
      <c r="E2077" s="2" t="n">
        <v>45326</v>
      </c>
      <c r="F2077" s="3" t="s">
        <v>34</v>
      </c>
      <c r="G2077" s="3" t="s">
        <v>39</v>
      </c>
      <c r="H2077" s="3" t="s">
        <v>29</v>
      </c>
      <c r="I2077" s="3" t="n">
        <f aca="false">YEAR(E2077)</f>
        <v>2024</v>
      </c>
      <c r="J2077" s="3" t="n">
        <f aca="false">MONTH(E2077)</f>
        <v>2</v>
      </c>
      <c r="K2077" s="3" t="n">
        <f aca="false">COUNTIFS($B$2:$B$4077,B2077,$C$2:$C$4077,C2077,$I$2:$I$4077,I2077)</f>
        <v>1</v>
      </c>
      <c r="L2077" s="3" t="n">
        <f aca="false">IF(COUNTIFS($B$2:B2077,B2077,$C$2:C2077,C2077,$I$2:I2077,I2077)=1,1,0)</f>
        <v>1</v>
      </c>
      <c r="M2077" s="3" t="n">
        <f aca="false">IF(K2077&gt;=Parametri!$B$1,1,0)</f>
        <v>0</v>
      </c>
      <c r="N2077" s="3" t="n">
        <f aca="false">L2077*M2077</f>
        <v>0</v>
      </c>
    </row>
    <row r="2078" customFormat="false" ht="15" hidden="false" customHeight="false" outlineLevel="0" collapsed="false">
      <c r="A2078" s="0" t="s">
        <v>3337</v>
      </c>
      <c r="B2078" s="0" t="s">
        <v>31</v>
      </c>
      <c r="C2078" s="0" t="s">
        <v>3338</v>
      </c>
      <c r="D2078" s="0" t="s">
        <v>33</v>
      </c>
      <c r="E2078" s="2" t="n">
        <v>46193</v>
      </c>
      <c r="F2078" s="3" t="s">
        <v>20</v>
      </c>
      <c r="G2078" s="3" t="s">
        <v>55</v>
      </c>
      <c r="H2078" s="3" t="s">
        <v>48</v>
      </c>
      <c r="I2078" s="3" t="n">
        <f aca="false">YEAR(E2078)</f>
        <v>2026</v>
      </c>
      <c r="J2078" s="3" t="n">
        <f aca="false">MONTH(E2078)</f>
        <v>6</v>
      </c>
      <c r="K2078" s="3" t="n">
        <f aca="false">COUNTIFS($B$2:$B$4077,B2078,$C$2:$C$4077,C2078,$I$2:$I$4077,I2078)</f>
        <v>1</v>
      </c>
      <c r="L2078" s="3" t="n">
        <f aca="false">IF(COUNTIFS($B$2:B2078,B2078,$C$2:C2078,C2078,$I$2:I2078,I2078)=1,1,0)</f>
        <v>1</v>
      </c>
      <c r="M2078" s="3" t="n">
        <f aca="false">IF(K2078&gt;=Parametri!$B$1,1,0)</f>
        <v>0</v>
      </c>
      <c r="N2078" s="3" t="n">
        <f aca="false">L2078*M2078</f>
        <v>0</v>
      </c>
    </row>
    <row r="2079" customFormat="false" ht="15" hidden="false" customHeight="false" outlineLevel="0" collapsed="false">
      <c r="A2079" s="0" t="s">
        <v>3339</v>
      </c>
      <c r="B2079" s="0" t="s">
        <v>57</v>
      </c>
      <c r="C2079" s="0" t="s">
        <v>2043</v>
      </c>
      <c r="D2079" s="0" t="s">
        <v>33</v>
      </c>
      <c r="E2079" s="2" t="n">
        <v>45401</v>
      </c>
      <c r="F2079" s="3" t="s">
        <v>20</v>
      </c>
      <c r="G2079" s="3" t="s">
        <v>55</v>
      </c>
      <c r="H2079" s="3" t="s">
        <v>44</v>
      </c>
      <c r="I2079" s="3" t="n">
        <f aca="false">YEAR(E2079)</f>
        <v>2024</v>
      </c>
      <c r="J2079" s="3" t="n">
        <f aca="false">MONTH(E2079)</f>
        <v>4</v>
      </c>
      <c r="K2079" s="3" t="n">
        <f aca="false">COUNTIFS($B$2:$B$4077,B2079,$C$2:$C$4077,C2079,$I$2:$I$4077,I2079)</f>
        <v>1</v>
      </c>
      <c r="L2079" s="3" t="n">
        <f aca="false">IF(COUNTIFS($B$2:B2079,B2079,$C$2:C2079,C2079,$I$2:I2079,I2079)=1,1,0)</f>
        <v>1</v>
      </c>
      <c r="M2079" s="3" t="n">
        <f aca="false">IF(K2079&gt;=Parametri!$B$1,1,0)</f>
        <v>0</v>
      </c>
      <c r="N2079" s="3" t="n">
        <f aca="false">L2079*M2079</f>
        <v>0</v>
      </c>
    </row>
    <row r="2080" customFormat="false" ht="15" hidden="false" customHeight="false" outlineLevel="0" collapsed="false">
      <c r="A2080" s="0" t="s">
        <v>3340</v>
      </c>
      <c r="B2080" s="0" t="s">
        <v>17</v>
      </c>
      <c r="C2080" s="0" t="s">
        <v>3341</v>
      </c>
      <c r="D2080" s="0" t="s">
        <v>63</v>
      </c>
      <c r="E2080" s="2" t="n">
        <v>45552</v>
      </c>
      <c r="F2080" s="3" t="s">
        <v>20</v>
      </c>
      <c r="G2080" s="3" t="s">
        <v>72</v>
      </c>
      <c r="H2080" s="3" t="s">
        <v>48</v>
      </c>
      <c r="I2080" s="3" t="n">
        <f aca="false">YEAR(E2080)</f>
        <v>2024</v>
      </c>
      <c r="J2080" s="3" t="n">
        <f aca="false">MONTH(E2080)</f>
        <v>9</v>
      </c>
      <c r="K2080" s="3" t="n">
        <f aca="false">COUNTIFS($B$2:$B$4077,B2080,$C$2:$C$4077,C2080,$I$2:$I$4077,I2080)</f>
        <v>1</v>
      </c>
      <c r="L2080" s="3" t="n">
        <f aca="false">IF(COUNTIFS($B$2:B2080,B2080,$C$2:C2080,C2080,$I$2:I2080,I2080)=1,1,0)</f>
        <v>1</v>
      </c>
      <c r="M2080" s="3" t="n">
        <f aca="false">IF(K2080&gt;=Parametri!$B$1,1,0)</f>
        <v>0</v>
      </c>
      <c r="N2080" s="3" t="n">
        <f aca="false">L2080*M2080</f>
        <v>0</v>
      </c>
    </row>
    <row r="2081" customFormat="false" ht="15" hidden="false" customHeight="false" outlineLevel="0" collapsed="false">
      <c r="A2081" s="0" t="s">
        <v>3342</v>
      </c>
      <c r="B2081" s="0" t="s">
        <v>46</v>
      </c>
      <c r="C2081" s="0" t="s">
        <v>3343</v>
      </c>
      <c r="D2081" s="0" t="s">
        <v>66</v>
      </c>
      <c r="E2081" s="2" t="n">
        <v>45444</v>
      </c>
      <c r="F2081" s="3" t="s">
        <v>34</v>
      </c>
      <c r="G2081" s="3" t="s">
        <v>72</v>
      </c>
      <c r="H2081" s="3" t="s">
        <v>48</v>
      </c>
      <c r="I2081" s="3" t="n">
        <f aca="false">YEAR(E2081)</f>
        <v>2024</v>
      </c>
      <c r="J2081" s="3" t="n">
        <f aca="false">MONTH(E2081)</f>
        <v>6</v>
      </c>
      <c r="K2081" s="3" t="n">
        <f aca="false">COUNTIFS($B$2:$B$4077,B2081,$C$2:$C$4077,C2081,$I$2:$I$4077,I2081)</f>
        <v>1</v>
      </c>
      <c r="L2081" s="3" t="n">
        <f aca="false">IF(COUNTIFS($B$2:B2081,B2081,$C$2:C2081,C2081,$I$2:I2081,I2081)=1,1,0)</f>
        <v>1</v>
      </c>
      <c r="M2081" s="3" t="n">
        <f aca="false">IF(K2081&gt;=Parametri!$B$1,1,0)</f>
        <v>0</v>
      </c>
      <c r="N2081" s="3" t="n">
        <f aca="false">L2081*M2081</f>
        <v>0</v>
      </c>
    </row>
    <row r="2082" customFormat="false" ht="15" hidden="false" customHeight="false" outlineLevel="0" collapsed="false">
      <c r="A2082" s="0" t="s">
        <v>3344</v>
      </c>
      <c r="B2082" s="0" t="s">
        <v>79</v>
      </c>
      <c r="C2082" s="0" t="s">
        <v>86</v>
      </c>
      <c r="D2082" s="0" t="s">
        <v>54</v>
      </c>
      <c r="E2082" s="2" t="n">
        <v>45502</v>
      </c>
      <c r="F2082" s="3" t="s">
        <v>20</v>
      </c>
      <c r="G2082" s="3" t="s">
        <v>28</v>
      </c>
      <c r="H2082" s="3" t="s">
        <v>22</v>
      </c>
      <c r="I2082" s="3" t="n">
        <f aca="false">YEAR(E2082)</f>
        <v>2024</v>
      </c>
      <c r="J2082" s="3" t="n">
        <f aca="false">MONTH(E2082)</f>
        <v>7</v>
      </c>
      <c r="K2082" s="3" t="n">
        <f aca="false">COUNTIFS($B$2:$B$4077,B2082,$C$2:$C$4077,C2082,$I$2:$I$4077,I2082)</f>
        <v>3</v>
      </c>
      <c r="L2082" s="3" t="n">
        <f aca="false">IF(COUNTIFS($B$2:B2082,B2082,$C$2:C2082,C2082,$I$2:I2082,I2082)=1,1,0)</f>
        <v>0</v>
      </c>
      <c r="M2082" s="3" t="n">
        <f aca="false">IF(K2082&gt;=Parametri!$B$1,1,0)</f>
        <v>1</v>
      </c>
      <c r="N2082" s="3" t="n">
        <f aca="false">L2082*M2082</f>
        <v>0</v>
      </c>
    </row>
    <row r="2083" customFormat="false" ht="15" hidden="false" customHeight="false" outlineLevel="0" collapsed="false">
      <c r="A2083" s="0" t="s">
        <v>3345</v>
      </c>
      <c r="B2083" s="0" t="s">
        <v>124</v>
      </c>
      <c r="C2083" s="0" t="s">
        <v>1389</v>
      </c>
      <c r="D2083" s="0" t="s">
        <v>33</v>
      </c>
      <c r="E2083" s="2" t="n">
        <v>45599</v>
      </c>
      <c r="F2083" s="3" t="s">
        <v>20</v>
      </c>
      <c r="G2083" s="3" t="s">
        <v>43</v>
      </c>
      <c r="H2083" s="3" t="s">
        <v>22</v>
      </c>
      <c r="I2083" s="3" t="n">
        <f aca="false">YEAR(E2083)</f>
        <v>2024</v>
      </c>
      <c r="J2083" s="3" t="n">
        <f aca="false">MONTH(E2083)</f>
        <v>11</v>
      </c>
      <c r="K2083" s="3" t="n">
        <f aca="false">COUNTIFS($B$2:$B$4077,B2083,$C$2:$C$4077,C2083,$I$2:$I$4077,I2083)</f>
        <v>1</v>
      </c>
      <c r="L2083" s="3" t="n">
        <f aca="false">IF(COUNTIFS($B$2:B2083,B2083,$C$2:C2083,C2083,$I$2:I2083,I2083)=1,1,0)</f>
        <v>1</v>
      </c>
      <c r="M2083" s="3" t="n">
        <f aca="false">IF(K2083&gt;=Parametri!$B$1,1,0)</f>
        <v>0</v>
      </c>
      <c r="N2083" s="3" t="n">
        <f aca="false">L2083*M2083</f>
        <v>0</v>
      </c>
    </row>
    <row r="2084" customFormat="false" ht="15" hidden="false" customHeight="false" outlineLevel="0" collapsed="false">
      <c r="A2084" s="0" t="s">
        <v>3346</v>
      </c>
      <c r="B2084" s="0" t="s">
        <v>68</v>
      </c>
      <c r="C2084" s="0" t="s">
        <v>1153</v>
      </c>
      <c r="D2084" s="0" t="s">
        <v>66</v>
      </c>
      <c r="E2084" s="2" t="n">
        <v>45555</v>
      </c>
      <c r="F2084" s="3" t="s">
        <v>20</v>
      </c>
      <c r="G2084" s="3" t="s">
        <v>35</v>
      </c>
      <c r="H2084" s="3" t="s">
        <v>44</v>
      </c>
      <c r="I2084" s="3" t="n">
        <f aca="false">YEAR(E2084)</f>
        <v>2024</v>
      </c>
      <c r="J2084" s="3" t="n">
        <f aca="false">MONTH(E2084)</f>
        <v>9</v>
      </c>
      <c r="K2084" s="3" t="n">
        <f aca="false">COUNTIFS($B$2:$B$4077,B2084,$C$2:$C$4077,C2084,$I$2:$I$4077,I2084)</f>
        <v>1</v>
      </c>
      <c r="L2084" s="3" t="n">
        <f aca="false">IF(COUNTIFS($B$2:B2084,B2084,$C$2:C2084,C2084,$I$2:I2084,I2084)=1,1,0)</f>
        <v>1</v>
      </c>
      <c r="M2084" s="3" t="n">
        <f aca="false">IF(K2084&gt;=Parametri!$B$1,1,0)</f>
        <v>0</v>
      </c>
      <c r="N2084" s="3" t="n">
        <f aca="false">L2084*M2084</f>
        <v>0</v>
      </c>
    </row>
    <row r="2085" customFormat="false" ht="15" hidden="false" customHeight="false" outlineLevel="0" collapsed="false">
      <c r="A2085" s="0" t="s">
        <v>3347</v>
      </c>
      <c r="B2085" s="0" t="s">
        <v>46</v>
      </c>
      <c r="C2085" s="0" t="s">
        <v>3348</v>
      </c>
      <c r="D2085" s="0" t="s">
        <v>33</v>
      </c>
      <c r="E2085" s="2" t="n">
        <v>46195</v>
      </c>
      <c r="F2085" s="3" t="s">
        <v>20</v>
      </c>
      <c r="G2085" s="3" t="s">
        <v>21</v>
      </c>
      <c r="H2085" s="3" t="s">
        <v>22</v>
      </c>
      <c r="I2085" s="3" t="n">
        <f aca="false">YEAR(E2085)</f>
        <v>2026</v>
      </c>
      <c r="J2085" s="3" t="n">
        <f aca="false">MONTH(E2085)</f>
        <v>6</v>
      </c>
      <c r="K2085" s="3" t="n">
        <f aca="false">COUNTIFS($B$2:$B$4077,B2085,$C$2:$C$4077,C2085,$I$2:$I$4077,I2085)</f>
        <v>1</v>
      </c>
      <c r="L2085" s="3" t="n">
        <f aca="false">IF(COUNTIFS($B$2:B2085,B2085,$C$2:C2085,C2085,$I$2:I2085,I2085)=1,1,0)</f>
        <v>1</v>
      </c>
      <c r="M2085" s="3" t="n">
        <f aca="false">IF(K2085&gt;=Parametri!$B$1,1,0)</f>
        <v>0</v>
      </c>
      <c r="N2085" s="3" t="n">
        <f aca="false">L2085*M2085</f>
        <v>0</v>
      </c>
    </row>
    <row r="2086" customFormat="false" ht="15" hidden="false" customHeight="false" outlineLevel="0" collapsed="false">
      <c r="A2086" s="0" t="s">
        <v>3349</v>
      </c>
      <c r="B2086" s="0" t="s">
        <v>46</v>
      </c>
      <c r="C2086" s="0" t="s">
        <v>3350</v>
      </c>
      <c r="D2086" s="0" t="s">
        <v>19</v>
      </c>
      <c r="E2086" s="2" t="n">
        <v>45656</v>
      </c>
      <c r="F2086" s="3" t="s">
        <v>20</v>
      </c>
      <c r="G2086" s="3" t="s">
        <v>72</v>
      </c>
      <c r="H2086" s="3" t="s">
        <v>22</v>
      </c>
      <c r="I2086" s="3" t="n">
        <f aca="false">YEAR(E2086)</f>
        <v>2024</v>
      </c>
      <c r="J2086" s="3" t="n">
        <f aca="false">MONTH(E2086)</f>
        <v>12</v>
      </c>
      <c r="K2086" s="3" t="n">
        <f aca="false">COUNTIFS($B$2:$B$4077,B2086,$C$2:$C$4077,C2086,$I$2:$I$4077,I2086)</f>
        <v>1</v>
      </c>
      <c r="L2086" s="3" t="n">
        <f aca="false">IF(COUNTIFS($B$2:B2086,B2086,$C$2:C2086,C2086,$I$2:I2086,I2086)=1,1,0)</f>
        <v>1</v>
      </c>
      <c r="M2086" s="3" t="n">
        <f aca="false">IF(K2086&gt;=Parametri!$B$1,1,0)</f>
        <v>0</v>
      </c>
      <c r="N2086" s="3" t="n">
        <f aca="false">L2086*M2086</f>
        <v>0</v>
      </c>
    </row>
    <row r="2087" customFormat="false" ht="15" hidden="false" customHeight="false" outlineLevel="0" collapsed="false">
      <c r="A2087" s="0" t="s">
        <v>3351</v>
      </c>
      <c r="B2087" s="0" t="s">
        <v>57</v>
      </c>
      <c r="C2087" s="0" t="s">
        <v>2834</v>
      </c>
      <c r="D2087" s="0" t="s">
        <v>33</v>
      </c>
      <c r="E2087" s="2" t="n">
        <v>45899</v>
      </c>
      <c r="F2087" s="3" t="s">
        <v>20</v>
      </c>
      <c r="G2087" s="3" t="s">
        <v>55</v>
      </c>
      <c r="H2087" s="3" t="s">
        <v>48</v>
      </c>
      <c r="I2087" s="3" t="n">
        <f aca="false">YEAR(E2087)</f>
        <v>2025</v>
      </c>
      <c r="J2087" s="3" t="n">
        <f aca="false">MONTH(E2087)</f>
        <v>8</v>
      </c>
      <c r="K2087" s="3" t="n">
        <f aca="false">COUNTIFS($B$2:$B$4077,B2087,$C$2:$C$4077,C2087,$I$2:$I$4077,I2087)</f>
        <v>1</v>
      </c>
      <c r="L2087" s="3" t="n">
        <f aca="false">IF(COUNTIFS($B$2:B2087,B2087,$C$2:C2087,C2087,$I$2:I2087,I2087)=1,1,0)</f>
        <v>1</v>
      </c>
      <c r="M2087" s="3" t="n">
        <f aca="false">IF(K2087&gt;=Parametri!$B$1,1,0)</f>
        <v>0</v>
      </c>
      <c r="N2087" s="3" t="n">
        <f aca="false">L2087*M2087</f>
        <v>0</v>
      </c>
    </row>
    <row r="2088" customFormat="false" ht="15" hidden="false" customHeight="false" outlineLevel="0" collapsed="false">
      <c r="A2088" s="0" t="s">
        <v>3352</v>
      </c>
      <c r="B2088" s="0" t="s">
        <v>124</v>
      </c>
      <c r="C2088" s="0" t="s">
        <v>1235</v>
      </c>
      <c r="D2088" s="0" t="s">
        <v>77</v>
      </c>
      <c r="E2088" s="2" t="n">
        <v>46036</v>
      </c>
      <c r="F2088" s="3" t="s">
        <v>34</v>
      </c>
      <c r="G2088" s="3" t="s">
        <v>55</v>
      </c>
      <c r="H2088" s="3" t="s">
        <v>48</v>
      </c>
      <c r="I2088" s="3" t="n">
        <f aca="false">YEAR(E2088)</f>
        <v>2026</v>
      </c>
      <c r="J2088" s="3" t="n">
        <f aca="false">MONTH(E2088)</f>
        <v>1</v>
      </c>
      <c r="K2088" s="3" t="n">
        <f aca="false">COUNTIFS($B$2:$B$4077,B2088,$C$2:$C$4077,C2088,$I$2:$I$4077,I2088)</f>
        <v>2</v>
      </c>
      <c r="L2088" s="3" t="n">
        <f aca="false">IF(COUNTIFS($B$2:B2088,B2088,$C$2:C2088,C2088,$I$2:I2088,I2088)=1,1,0)</f>
        <v>0</v>
      </c>
      <c r="M2088" s="3" t="n">
        <f aca="false">IF(K2088&gt;=Parametri!$B$1,1,0)</f>
        <v>1</v>
      </c>
      <c r="N2088" s="3" t="n">
        <f aca="false">L2088*M2088</f>
        <v>0</v>
      </c>
    </row>
    <row r="2089" customFormat="false" ht="15" hidden="false" customHeight="false" outlineLevel="0" collapsed="false">
      <c r="A2089" s="0" t="s">
        <v>3353</v>
      </c>
      <c r="B2089" s="0" t="s">
        <v>50</v>
      </c>
      <c r="C2089" s="0" t="s">
        <v>2271</v>
      </c>
      <c r="D2089" s="0" t="s">
        <v>19</v>
      </c>
      <c r="E2089" s="2" t="n">
        <v>45339</v>
      </c>
      <c r="F2089" s="3" t="s">
        <v>20</v>
      </c>
      <c r="G2089" s="3" t="s">
        <v>28</v>
      </c>
      <c r="H2089" s="3" t="s">
        <v>44</v>
      </c>
      <c r="I2089" s="3" t="n">
        <f aca="false">YEAR(E2089)</f>
        <v>2024</v>
      </c>
      <c r="J2089" s="3" t="n">
        <f aca="false">MONTH(E2089)</f>
        <v>2</v>
      </c>
      <c r="K2089" s="3" t="n">
        <f aca="false">COUNTIFS($B$2:$B$4077,B2089,$C$2:$C$4077,C2089,$I$2:$I$4077,I2089)</f>
        <v>1</v>
      </c>
      <c r="L2089" s="3" t="n">
        <f aca="false">IF(COUNTIFS($B$2:B2089,B2089,$C$2:C2089,C2089,$I$2:I2089,I2089)=1,1,0)</f>
        <v>1</v>
      </c>
      <c r="M2089" s="3" t="n">
        <f aca="false">IF(K2089&gt;=Parametri!$B$1,1,0)</f>
        <v>0</v>
      </c>
      <c r="N2089" s="3" t="n">
        <f aca="false">L2089*M2089</f>
        <v>0</v>
      </c>
    </row>
    <row r="2090" customFormat="false" ht="15" hidden="false" customHeight="false" outlineLevel="0" collapsed="false">
      <c r="A2090" s="0" t="s">
        <v>3354</v>
      </c>
      <c r="B2090" s="0" t="s">
        <v>17</v>
      </c>
      <c r="C2090" s="0" t="s">
        <v>791</v>
      </c>
      <c r="D2090" s="0" t="s">
        <v>38</v>
      </c>
      <c r="E2090" s="2" t="n">
        <v>45411</v>
      </c>
      <c r="F2090" s="3" t="s">
        <v>27</v>
      </c>
      <c r="G2090" s="3" t="s">
        <v>28</v>
      </c>
      <c r="H2090" s="3" t="s">
        <v>48</v>
      </c>
      <c r="I2090" s="3" t="n">
        <f aca="false">YEAR(E2090)</f>
        <v>2024</v>
      </c>
      <c r="J2090" s="3" t="n">
        <f aca="false">MONTH(E2090)</f>
        <v>4</v>
      </c>
      <c r="K2090" s="3" t="n">
        <f aca="false">COUNTIFS($B$2:$B$4077,B2090,$C$2:$C$4077,C2090,$I$2:$I$4077,I2090)</f>
        <v>7</v>
      </c>
      <c r="L2090" s="3" t="n">
        <f aca="false">IF(COUNTIFS($B$2:B2090,B2090,$C$2:C2090,C2090,$I$2:I2090,I2090)=1,1,0)</f>
        <v>0</v>
      </c>
      <c r="M2090" s="3" t="n">
        <f aca="false">IF(K2090&gt;=Parametri!$B$1,1,0)</f>
        <v>1</v>
      </c>
      <c r="N2090" s="3" t="n">
        <f aca="false">L2090*M2090</f>
        <v>0</v>
      </c>
    </row>
    <row r="2091" customFormat="false" ht="15" hidden="false" customHeight="false" outlineLevel="0" collapsed="false">
      <c r="A2091" s="0" t="s">
        <v>3355</v>
      </c>
      <c r="B2091" s="0" t="s">
        <v>50</v>
      </c>
      <c r="C2091" s="0" t="s">
        <v>3356</v>
      </c>
      <c r="D2091" s="0" t="s">
        <v>66</v>
      </c>
      <c r="E2091" s="2" t="n">
        <v>45376</v>
      </c>
      <c r="F2091" s="3" t="s">
        <v>20</v>
      </c>
      <c r="G2091" s="3" t="s">
        <v>21</v>
      </c>
      <c r="H2091" s="3" t="s">
        <v>22</v>
      </c>
      <c r="I2091" s="3" t="n">
        <f aca="false">YEAR(E2091)</f>
        <v>2024</v>
      </c>
      <c r="J2091" s="3" t="n">
        <f aca="false">MONTH(E2091)</f>
        <v>3</v>
      </c>
      <c r="K2091" s="3" t="n">
        <f aca="false">COUNTIFS($B$2:$B$4077,B2091,$C$2:$C$4077,C2091,$I$2:$I$4077,I2091)</f>
        <v>2</v>
      </c>
      <c r="L2091" s="3" t="n">
        <f aca="false">IF(COUNTIFS($B$2:B2091,B2091,$C$2:C2091,C2091,$I$2:I2091,I2091)=1,1,0)</f>
        <v>1</v>
      </c>
      <c r="M2091" s="3" t="n">
        <f aca="false">IF(K2091&gt;=Parametri!$B$1,1,0)</f>
        <v>1</v>
      </c>
      <c r="N2091" s="3" t="n">
        <f aca="false">L2091*M2091</f>
        <v>1</v>
      </c>
    </row>
    <row r="2092" customFormat="false" ht="15" hidden="false" customHeight="false" outlineLevel="0" collapsed="false">
      <c r="A2092" s="0" t="s">
        <v>3357</v>
      </c>
      <c r="B2092" s="0" t="s">
        <v>24</v>
      </c>
      <c r="C2092" s="0" t="s">
        <v>3358</v>
      </c>
      <c r="D2092" s="0" t="s">
        <v>63</v>
      </c>
      <c r="E2092" s="2" t="n">
        <v>45966</v>
      </c>
      <c r="F2092" s="3" t="s">
        <v>20</v>
      </c>
      <c r="G2092" s="3" t="s">
        <v>89</v>
      </c>
      <c r="H2092" s="3" t="s">
        <v>48</v>
      </c>
      <c r="I2092" s="3" t="n">
        <f aca="false">YEAR(E2092)</f>
        <v>2025</v>
      </c>
      <c r="J2092" s="3" t="n">
        <f aca="false">MONTH(E2092)</f>
        <v>11</v>
      </c>
      <c r="K2092" s="3" t="n">
        <f aca="false">COUNTIFS($B$2:$B$4077,B2092,$C$2:$C$4077,C2092,$I$2:$I$4077,I2092)</f>
        <v>1</v>
      </c>
      <c r="L2092" s="3" t="n">
        <f aca="false">IF(COUNTIFS($B$2:B2092,B2092,$C$2:C2092,C2092,$I$2:I2092,I2092)=1,1,0)</f>
        <v>1</v>
      </c>
      <c r="M2092" s="3" t="n">
        <f aca="false">IF(K2092&gt;=Parametri!$B$1,1,0)</f>
        <v>0</v>
      </c>
      <c r="N2092" s="3" t="n">
        <f aca="false">L2092*M2092</f>
        <v>0</v>
      </c>
    </row>
    <row r="2093" customFormat="false" ht="15" hidden="false" customHeight="false" outlineLevel="0" collapsed="false">
      <c r="A2093" s="0" t="s">
        <v>3359</v>
      </c>
      <c r="B2093" s="0" t="s">
        <v>17</v>
      </c>
      <c r="C2093" s="0" t="s">
        <v>3360</v>
      </c>
      <c r="D2093" s="0" t="s">
        <v>33</v>
      </c>
      <c r="E2093" s="2" t="n">
        <v>46046</v>
      </c>
      <c r="F2093" s="3" t="s">
        <v>20</v>
      </c>
      <c r="G2093" s="3" t="s">
        <v>43</v>
      </c>
      <c r="H2093" s="3" t="s">
        <v>48</v>
      </c>
      <c r="I2093" s="3" t="n">
        <f aca="false">YEAR(E2093)</f>
        <v>2026</v>
      </c>
      <c r="J2093" s="3" t="n">
        <f aca="false">MONTH(E2093)</f>
        <v>1</v>
      </c>
      <c r="K2093" s="3" t="n">
        <f aca="false">COUNTIFS($B$2:$B$4077,B2093,$C$2:$C$4077,C2093,$I$2:$I$4077,I2093)</f>
        <v>1</v>
      </c>
      <c r="L2093" s="3" t="n">
        <f aca="false">IF(COUNTIFS($B$2:B2093,B2093,$C$2:C2093,C2093,$I$2:I2093,I2093)=1,1,0)</f>
        <v>1</v>
      </c>
      <c r="M2093" s="3" t="n">
        <f aca="false">IF(K2093&gt;=Parametri!$B$1,1,0)</f>
        <v>0</v>
      </c>
      <c r="N2093" s="3" t="n">
        <f aca="false">L2093*M2093</f>
        <v>0</v>
      </c>
    </row>
    <row r="2094" customFormat="false" ht="15" hidden="false" customHeight="false" outlineLevel="0" collapsed="false">
      <c r="A2094" s="0" t="s">
        <v>3361</v>
      </c>
      <c r="B2094" s="0" t="s">
        <v>41</v>
      </c>
      <c r="C2094" s="0" t="s">
        <v>3362</v>
      </c>
      <c r="D2094" s="0" t="s">
        <v>26</v>
      </c>
      <c r="E2094" s="2" t="n">
        <v>45549</v>
      </c>
      <c r="F2094" s="3" t="s">
        <v>34</v>
      </c>
      <c r="G2094" s="3" t="s">
        <v>39</v>
      </c>
      <c r="H2094" s="3" t="s">
        <v>48</v>
      </c>
      <c r="I2094" s="3" t="n">
        <f aca="false">YEAR(E2094)</f>
        <v>2024</v>
      </c>
      <c r="J2094" s="3" t="n">
        <f aca="false">MONTH(E2094)</f>
        <v>9</v>
      </c>
      <c r="K2094" s="3" t="n">
        <f aca="false">COUNTIFS($B$2:$B$4077,B2094,$C$2:$C$4077,C2094,$I$2:$I$4077,I2094)</f>
        <v>1</v>
      </c>
      <c r="L2094" s="3" t="n">
        <f aca="false">IF(COUNTIFS($B$2:B2094,B2094,$C$2:C2094,C2094,$I$2:I2094,I2094)=1,1,0)</f>
        <v>1</v>
      </c>
      <c r="M2094" s="3" t="n">
        <f aca="false">IF(K2094&gt;=Parametri!$B$1,1,0)</f>
        <v>0</v>
      </c>
      <c r="N2094" s="3" t="n">
        <f aca="false">L2094*M2094</f>
        <v>0</v>
      </c>
    </row>
    <row r="2095" customFormat="false" ht="15" hidden="false" customHeight="false" outlineLevel="0" collapsed="false">
      <c r="A2095" s="0" t="s">
        <v>3363</v>
      </c>
      <c r="B2095" s="0" t="s">
        <v>41</v>
      </c>
      <c r="C2095" s="0" t="s">
        <v>2906</v>
      </c>
      <c r="D2095" s="0" t="s">
        <v>54</v>
      </c>
      <c r="E2095" s="2" t="n">
        <v>45341</v>
      </c>
      <c r="F2095" s="3" t="s">
        <v>27</v>
      </c>
      <c r="G2095" s="3" t="s">
        <v>55</v>
      </c>
      <c r="H2095" s="3" t="s">
        <v>44</v>
      </c>
      <c r="I2095" s="3" t="n">
        <f aca="false">YEAR(E2095)</f>
        <v>2024</v>
      </c>
      <c r="J2095" s="3" t="n">
        <f aca="false">MONTH(E2095)</f>
        <v>2</v>
      </c>
      <c r="K2095" s="3" t="n">
        <f aca="false">COUNTIFS($B$2:$B$4077,B2095,$C$2:$C$4077,C2095,$I$2:$I$4077,I2095)</f>
        <v>2</v>
      </c>
      <c r="L2095" s="3" t="n">
        <f aca="false">IF(COUNTIFS($B$2:B2095,B2095,$C$2:C2095,C2095,$I$2:I2095,I2095)=1,1,0)</f>
        <v>0</v>
      </c>
      <c r="M2095" s="3" t="n">
        <f aca="false">IF(K2095&gt;=Parametri!$B$1,1,0)</f>
        <v>1</v>
      </c>
      <c r="N2095" s="3" t="n">
        <f aca="false">L2095*M2095</f>
        <v>0</v>
      </c>
    </row>
    <row r="2096" customFormat="false" ht="15" hidden="false" customHeight="false" outlineLevel="0" collapsed="false">
      <c r="A2096" s="0" t="s">
        <v>3364</v>
      </c>
      <c r="B2096" s="0" t="s">
        <v>41</v>
      </c>
      <c r="C2096" s="0" t="s">
        <v>3365</v>
      </c>
      <c r="D2096" s="0" t="s">
        <v>26</v>
      </c>
      <c r="E2096" s="2" t="n">
        <v>46073</v>
      </c>
      <c r="F2096" s="3" t="s">
        <v>20</v>
      </c>
      <c r="G2096" s="3" t="s">
        <v>28</v>
      </c>
      <c r="H2096" s="3" t="s">
        <v>44</v>
      </c>
      <c r="I2096" s="3" t="n">
        <f aca="false">YEAR(E2096)</f>
        <v>2026</v>
      </c>
      <c r="J2096" s="3" t="n">
        <f aca="false">MONTH(E2096)</f>
        <v>2</v>
      </c>
      <c r="K2096" s="3" t="n">
        <f aca="false">COUNTIFS($B$2:$B$4077,B2096,$C$2:$C$4077,C2096,$I$2:$I$4077,I2096)</f>
        <v>1</v>
      </c>
      <c r="L2096" s="3" t="n">
        <f aca="false">IF(COUNTIFS($B$2:B2096,B2096,$C$2:C2096,C2096,$I$2:I2096,I2096)=1,1,0)</f>
        <v>1</v>
      </c>
      <c r="M2096" s="3" t="n">
        <f aca="false">IF(K2096&gt;=Parametri!$B$1,1,0)</f>
        <v>0</v>
      </c>
      <c r="N2096" s="3" t="n">
        <f aca="false">L2096*M2096</f>
        <v>0</v>
      </c>
    </row>
    <row r="2097" customFormat="false" ht="15" hidden="false" customHeight="false" outlineLevel="0" collapsed="false">
      <c r="A2097" s="0" t="s">
        <v>3366</v>
      </c>
      <c r="B2097" s="0" t="s">
        <v>50</v>
      </c>
      <c r="C2097" s="0" t="s">
        <v>1401</v>
      </c>
      <c r="D2097" s="0" t="s">
        <v>66</v>
      </c>
      <c r="E2097" s="2" t="n">
        <v>45681</v>
      </c>
      <c r="F2097" s="3" t="s">
        <v>20</v>
      </c>
      <c r="G2097" s="3" t="s">
        <v>43</v>
      </c>
      <c r="H2097" s="3" t="s">
        <v>48</v>
      </c>
      <c r="I2097" s="3" t="n">
        <f aca="false">YEAR(E2097)</f>
        <v>2025</v>
      </c>
      <c r="J2097" s="3" t="n">
        <f aca="false">MONTH(E2097)</f>
        <v>1</v>
      </c>
      <c r="K2097" s="3" t="n">
        <f aca="false">COUNTIFS($B$2:$B$4077,B2097,$C$2:$C$4077,C2097,$I$2:$I$4077,I2097)</f>
        <v>1</v>
      </c>
      <c r="L2097" s="3" t="n">
        <f aca="false">IF(COUNTIFS($B$2:B2097,B2097,$C$2:C2097,C2097,$I$2:I2097,I2097)=1,1,0)</f>
        <v>1</v>
      </c>
      <c r="M2097" s="3" t="n">
        <f aca="false">IF(K2097&gt;=Parametri!$B$1,1,0)</f>
        <v>0</v>
      </c>
      <c r="N2097" s="3" t="n">
        <f aca="false">L2097*M2097</f>
        <v>0</v>
      </c>
    </row>
    <row r="2098" customFormat="false" ht="15" hidden="false" customHeight="false" outlineLevel="0" collapsed="false">
      <c r="A2098" s="0" t="s">
        <v>3367</v>
      </c>
      <c r="B2098" s="0" t="s">
        <v>124</v>
      </c>
      <c r="C2098" s="0" t="s">
        <v>621</v>
      </c>
      <c r="D2098" s="0" t="s">
        <v>66</v>
      </c>
      <c r="E2098" s="2" t="n">
        <v>45711</v>
      </c>
      <c r="F2098" s="3" t="s">
        <v>20</v>
      </c>
      <c r="G2098" s="3" t="s">
        <v>35</v>
      </c>
      <c r="H2098" s="3" t="s">
        <v>22</v>
      </c>
      <c r="I2098" s="3" t="n">
        <f aca="false">YEAR(E2098)</f>
        <v>2025</v>
      </c>
      <c r="J2098" s="3" t="n">
        <f aca="false">MONTH(E2098)</f>
        <v>2</v>
      </c>
      <c r="K2098" s="3" t="n">
        <f aca="false">COUNTIFS($B$2:$B$4077,B2098,$C$2:$C$4077,C2098,$I$2:$I$4077,I2098)</f>
        <v>4</v>
      </c>
      <c r="L2098" s="3" t="n">
        <f aca="false">IF(COUNTIFS($B$2:B2098,B2098,$C$2:C2098,C2098,$I$2:I2098,I2098)=1,1,0)</f>
        <v>0</v>
      </c>
      <c r="M2098" s="3" t="n">
        <f aca="false">IF(K2098&gt;=Parametri!$B$1,1,0)</f>
        <v>1</v>
      </c>
      <c r="N2098" s="3" t="n">
        <f aca="false">L2098*M2098</f>
        <v>0</v>
      </c>
    </row>
    <row r="2099" customFormat="false" ht="15" hidden="false" customHeight="false" outlineLevel="0" collapsed="false">
      <c r="A2099" s="0" t="s">
        <v>3368</v>
      </c>
      <c r="B2099" s="0" t="s">
        <v>24</v>
      </c>
      <c r="C2099" s="0" t="s">
        <v>3369</v>
      </c>
      <c r="D2099" s="0" t="s">
        <v>66</v>
      </c>
      <c r="E2099" s="2" t="n">
        <v>45704</v>
      </c>
      <c r="F2099" s="3" t="s">
        <v>20</v>
      </c>
      <c r="G2099" s="3" t="s">
        <v>39</v>
      </c>
      <c r="H2099" s="3" t="s">
        <v>44</v>
      </c>
      <c r="I2099" s="3" t="n">
        <f aca="false">YEAR(E2099)</f>
        <v>2025</v>
      </c>
      <c r="J2099" s="3" t="n">
        <f aca="false">MONTH(E2099)</f>
        <v>2</v>
      </c>
      <c r="K2099" s="3" t="n">
        <f aca="false">COUNTIFS($B$2:$B$4077,B2099,$C$2:$C$4077,C2099,$I$2:$I$4077,I2099)</f>
        <v>1</v>
      </c>
      <c r="L2099" s="3" t="n">
        <f aca="false">IF(COUNTIFS($B$2:B2099,B2099,$C$2:C2099,C2099,$I$2:I2099,I2099)=1,1,0)</f>
        <v>1</v>
      </c>
      <c r="M2099" s="3" t="n">
        <f aca="false">IF(K2099&gt;=Parametri!$B$1,1,0)</f>
        <v>0</v>
      </c>
      <c r="N2099" s="3" t="n">
        <f aca="false">L2099*M2099</f>
        <v>0</v>
      </c>
    </row>
    <row r="2100" customFormat="false" ht="15" hidden="false" customHeight="false" outlineLevel="0" collapsed="false">
      <c r="A2100" s="0" t="s">
        <v>3370</v>
      </c>
      <c r="B2100" s="0" t="s">
        <v>31</v>
      </c>
      <c r="C2100" s="0" t="s">
        <v>3371</v>
      </c>
      <c r="D2100" s="0" t="s">
        <v>33</v>
      </c>
      <c r="E2100" s="2" t="n">
        <v>46186</v>
      </c>
      <c r="F2100" s="3" t="s">
        <v>20</v>
      </c>
      <c r="G2100" s="3" t="s">
        <v>55</v>
      </c>
      <c r="H2100" s="3" t="s">
        <v>22</v>
      </c>
      <c r="I2100" s="3" t="n">
        <f aca="false">YEAR(E2100)</f>
        <v>2026</v>
      </c>
      <c r="J2100" s="3" t="n">
        <f aca="false">MONTH(E2100)</f>
        <v>6</v>
      </c>
      <c r="K2100" s="3" t="n">
        <f aca="false">COUNTIFS($B$2:$B$4077,B2100,$C$2:$C$4077,C2100,$I$2:$I$4077,I2100)</f>
        <v>1</v>
      </c>
      <c r="L2100" s="3" t="n">
        <f aca="false">IF(COUNTIFS($B$2:B2100,B2100,$C$2:C2100,C2100,$I$2:I2100,I2100)=1,1,0)</f>
        <v>1</v>
      </c>
      <c r="M2100" s="3" t="n">
        <f aca="false">IF(K2100&gt;=Parametri!$B$1,1,0)</f>
        <v>0</v>
      </c>
      <c r="N2100" s="3" t="n">
        <f aca="false">L2100*M2100</f>
        <v>0</v>
      </c>
    </row>
    <row r="2101" customFormat="false" ht="15" hidden="false" customHeight="false" outlineLevel="0" collapsed="false">
      <c r="A2101" s="0" t="s">
        <v>3372</v>
      </c>
      <c r="B2101" s="0" t="s">
        <v>124</v>
      </c>
      <c r="C2101" s="0" t="s">
        <v>1243</v>
      </c>
      <c r="D2101" s="0" t="s">
        <v>66</v>
      </c>
      <c r="E2101" s="2" t="n">
        <v>45691</v>
      </c>
      <c r="F2101" s="3" t="s">
        <v>20</v>
      </c>
      <c r="G2101" s="3" t="s">
        <v>21</v>
      </c>
      <c r="H2101" s="3" t="s">
        <v>29</v>
      </c>
      <c r="I2101" s="3" t="n">
        <f aca="false">YEAR(E2101)</f>
        <v>2025</v>
      </c>
      <c r="J2101" s="3" t="n">
        <f aca="false">MONTH(E2101)</f>
        <v>2</v>
      </c>
      <c r="K2101" s="3" t="n">
        <f aca="false">COUNTIFS($B$2:$B$4077,B2101,$C$2:$C$4077,C2101,$I$2:$I$4077,I2101)</f>
        <v>3</v>
      </c>
      <c r="L2101" s="3" t="n">
        <f aca="false">IF(COUNTIFS($B$2:B2101,B2101,$C$2:C2101,C2101,$I$2:I2101,I2101)=1,1,0)</f>
        <v>0</v>
      </c>
      <c r="M2101" s="3" t="n">
        <f aca="false">IF(K2101&gt;=Parametri!$B$1,1,0)</f>
        <v>1</v>
      </c>
      <c r="N2101" s="3" t="n">
        <f aca="false">L2101*M2101</f>
        <v>0</v>
      </c>
    </row>
    <row r="2102" customFormat="false" ht="15" hidden="false" customHeight="false" outlineLevel="0" collapsed="false">
      <c r="A2102" s="0" t="s">
        <v>3373</v>
      </c>
      <c r="B2102" s="0" t="s">
        <v>17</v>
      </c>
      <c r="C2102" s="0" t="s">
        <v>1633</v>
      </c>
      <c r="D2102" s="0" t="s">
        <v>54</v>
      </c>
      <c r="E2102" s="2" t="n">
        <v>45816</v>
      </c>
      <c r="F2102" s="3" t="s">
        <v>27</v>
      </c>
      <c r="G2102" s="3" t="s">
        <v>55</v>
      </c>
      <c r="H2102" s="3" t="s">
        <v>44</v>
      </c>
      <c r="I2102" s="3" t="n">
        <f aca="false">YEAR(E2102)</f>
        <v>2025</v>
      </c>
      <c r="J2102" s="3" t="n">
        <f aca="false">MONTH(E2102)</f>
        <v>6</v>
      </c>
      <c r="K2102" s="3" t="n">
        <f aca="false">COUNTIFS($B$2:$B$4077,B2102,$C$2:$C$4077,C2102,$I$2:$I$4077,I2102)</f>
        <v>3</v>
      </c>
      <c r="L2102" s="3" t="n">
        <f aca="false">IF(COUNTIFS($B$2:B2102,B2102,$C$2:C2102,C2102,$I$2:I2102,I2102)=1,1,0)</f>
        <v>0</v>
      </c>
      <c r="M2102" s="3" t="n">
        <f aca="false">IF(K2102&gt;=Parametri!$B$1,1,0)</f>
        <v>1</v>
      </c>
      <c r="N2102" s="3" t="n">
        <f aca="false">L2102*M2102</f>
        <v>0</v>
      </c>
    </row>
    <row r="2103" customFormat="false" ht="15" hidden="false" customHeight="false" outlineLevel="0" collapsed="false">
      <c r="A2103" s="0" t="s">
        <v>3374</v>
      </c>
      <c r="B2103" s="0" t="s">
        <v>50</v>
      </c>
      <c r="C2103" s="0" t="s">
        <v>952</v>
      </c>
      <c r="D2103" s="0" t="s">
        <v>54</v>
      </c>
      <c r="E2103" s="2" t="n">
        <v>45708</v>
      </c>
      <c r="F2103" s="3" t="s">
        <v>27</v>
      </c>
      <c r="G2103" s="3" t="s">
        <v>28</v>
      </c>
      <c r="H2103" s="3" t="s">
        <v>48</v>
      </c>
      <c r="I2103" s="3" t="n">
        <f aca="false">YEAR(E2103)</f>
        <v>2025</v>
      </c>
      <c r="J2103" s="3" t="n">
        <f aca="false">MONTH(E2103)</f>
        <v>2</v>
      </c>
      <c r="K2103" s="3" t="n">
        <f aca="false">COUNTIFS($B$2:$B$4077,B2103,$C$2:$C$4077,C2103,$I$2:$I$4077,I2103)</f>
        <v>3</v>
      </c>
      <c r="L2103" s="3" t="n">
        <f aca="false">IF(COUNTIFS($B$2:B2103,B2103,$C$2:C2103,C2103,$I$2:I2103,I2103)=1,1,0)</f>
        <v>0</v>
      </c>
      <c r="M2103" s="3" t="n">
        <f aca="false">IF(K2103&gt;=Parametri!$B$1,1,0)</f>
        <v>1</v>
      </c>
      <c r="N2103" s="3" t="n">
        <f aca="false">L2103*M2103</f>
        <v>0</v>
      </c>
    </row>
    <row r="2104" customFormat="false" ht="15" hidden="false" customHeight="false" outlineLevel="0" collapsed="false">
      <c r="A2104" s="0" t="s">
        <v>3375</v>
      </c>
      <c r="B2104" s="0" t="s">
        <v>79</v>
      </c>
      <c r="C2104" s="0" t="s">
        <v>3376</v>
      </c>
      <c r="D2104" s="0" t="s">
        <v>33</v>
      </c>
      <c r="E2104" s="2" t="n">
        <v>45883</v>
      </c>
      <c r="F2104" s="3" t="s">
        <v>20</v>
      </c>
      <c r="G2104" s="3" t="s">
        <v>55</v>
      </c>
      <c r="H2104" s="3" t="s">
        <v>44</v>
      </c>
      <c r="I2104" s="3" t="n">
        <f aca="false">YEAR(E2104)</f>
        <v>2025</v>
      </c>
      <c r="J2104" s="3" t="n">
        <f aca="false">MONTH(E2104)</f>
        <v>8</v>
      </c>
      <c r="K2104" s="3" t="n">
        <f aca="false">COUNTIFS($B$2:$B$4077,B2104,$C$2:$C$4077,C2104,$I$2:$I$4077,I2104)</f>
        <v>2</v>
      </c>
      <c r="L2104" s="3" t="n">
        <f aca="false">IF(COUNTIFS($B$2:B2104,B2104,$C$2:C2104,C2104,$I$2:I2104,I2104)=1,1,0)</f>
        <v>1</v>
      </c>
      <c r="M2104" s="3" t="n">
        <f aca="false">IF(K2104&gt;=Parametri!$B$1,1,0)</f>
        <v>1</v>
      </c>
      <c r="N2104" s="3" t="n">
        <f aca="false">L2104*M2104</f>
        <v>1</v>
      </c>
    </row>
    <row r="2105" customFormat="false" ht="15" hidden="false" customHeight="false" outlineLevel="0" collapsed="false">
      <c r="A2105" s="0" t="s">
        <v>3377</v>
      </c>
      <c r="B2105" s="0" t="s">
        <v>79</v>
      </c>
      <c r="C2105" s="0" t="s">
        <v>99</v>
      </c>
      <c r="D2105" s="0" t="s">
        <v>54</v>
      </c>
      <c r="E2105" s="2" t="n">
        <v>45570</v>
      </c>
      <c r="F2105" s="3" t="s">
        <v>27</v>
      </c>
      <c r="G2105" s="3" t="s">
        <v>21</v>
      </c>
      <c r="H2105" s="3" t="s">
        <v>22</v>
      </c>
      <c r="I2105" s="3" t="n">
        <f aca="false">YEAR(E2105)</f>
        <v>2024</v>
      </c>
      <c r="J2105" s="3" t="n">
        <f aca="false">MONTH(E2105)</f>
        <v>10</v>
      </c>
      <c r="K2105" s="3" t="n">
        <f aca="false">COUNTIFS($B$2:$B$4077,B2105,$C$2:$C$4077,C2105,$I$2:$I$4077,I2105)</f>
        <v>1</v>
      </c>
      <c r="L2105" s="3" t="n">
        <f aca="false">IF(COUNTIFS($B$2:B2105,B2105,$C$2:C2105,C2105,$I$2:I2105,I2105)=1,1,0)</f>
        <v>1</v>
      </c>
      <c r="M2105" s="3" t="n">
        <f aca="false">IF(K2105&gt;=Parametri!$B$1,1,0)</f>
        <v>0</v>
      </c>
      <c r="N2105" s="3" t="n">
        <f aca="false">L2105*M2105</f>
        <v>0</v>
      </c>
    </row>
    <row r="2106" customFormat="false" ht="15" hidden="false" customHeight="false" outlineLevel="0" collapsed="false">
      <c r="A2106" s="0" t="s">
        <v>3378</v>
      </c>
      <c r="B2106" s="0" t="s">
        <v>41</v>
      </c>
      <c r="C2106" s="0" t="s">
        <v>1862</v>
      </c>
      <c r="D2106" s="0" t="s">
        <v>54</v>
      </c>
      <c r="E2106" s="2" t="n">
        <v>45496</v>
      </c>
      <c r="F2106" s="3" t="s">
        <v>34</v>
      </c>
      <c r="G2106" s="3" t="s">
        <v>39</v>
      </c>
      <c r="H2106" s="3" t="s">
        <v>29</v>
      </c>
      <c r="I2106" s="3" t="n">
        <f aca="false">YEAR(E2106)</f>
        <v>2024</v>
      </c>
      <c r="J2106" s="3" t="n">
        <f aca="false">MONTH(E2106)</f>
        <v>7</v>
      </c>
      <c r="K2106" s="3" t="n">
        <f aca="false">COUNTIFS($B$2:$B$4077,B2106,$C$2:$C$4077,C2106,$I$2:$I$4077,I2106)</f>
        <v>1</v>
      </c>
      <c r="L2106" s="3" t="n">
        <f aca="false">IF(COUNTIFS($B$2:B2106,B2106,$C$2:C2106,C2106,$I$2:I2106,I2106)=1,1,0)</f>
        <v>1</v>
      </c>
      <c r="M2106" s="3" t="n">
        <f aca="false">IF(K2106&gt;=Parametri!$B$1,1,0)</f>
        <v>0</v>
      </c>
      <c r="N2106" s="3" t="n">
        <f aca="false">L2106*M2106</f>
        <v>0</v>
      </c>
    </row>
    <row r="2107" customFormat="false" ht="15" hidden="false" customHeight="false" outlineLevel="0" collapsed="false">
      <c r="A2107" s="0" t="s">
        <v>3379</v>
      </c>
      <c r="B2107" s="0" t="s">
        <v>79</v>
      </c>
      <c r="C2107" s="0" t="s">
        <v>352</v>
      </c>
      <c r="D2107" s="0" t="s">
        <v>19</v>
      </c>
      <c r="E2107" s="2" t="n">
        <v>45310</v>
      </c>
      <c r="F2107" s="3" t="s">
        <v>20</v>
      </c>
      <c r="G2107" s="3" t="s">
        <v>28</v>
      </c>
      <c r="H2107" s="3" t="s">
        <v>48</v>
      </c>
      <c r="I2107" s="3" t="n">
        <f aca="false">YEAR(E2107)</f>
        <v>2024</v>
      </c>
      <c r="J2107" s="3" t="n">
        <f aca="false">MONTH(E2107)</f>
        <v>1</v>
      </c>
      <c r="K2107" s="3" t="n">
        <f aca="false">COUNTIFS($B$2:$B$4077,B2107,$C$2:$C$4077,C2107,$I$2:$I$4077,I2107)</f>
        <v>3</v>
      </c>
      <c r="L2107" s="3" t="n">
        <f aca="false">IF(COUNTIFS($B$2:B2107,B2107,$C$2:C2107,C2107,$I$2:I2107,I2107)=1,1,0)</f>
        <v>0</v>
      </c>
      <c r="M2107" s="3" t="n">
        <f aca="false">IF(K2107&gt;=Parametri!$B$1,1,0)</f>
        <v>1</v>
      </c>
      <c r="N2107" s="3" t="n">
        <f aca="false">L2107*M2107</f>
        <v>0</v>
      </c>
    </row>
    <row r="2108" customFormat="false" ht="15" hidden="false" customHeight="false" outlineLevel="0" collapsed="false">
      <c r="A2108" s="0" t="s">
        <v>3380</v>
      </c>
      <c r="B2108" s="0" t="s">
        <v>79</v>
      </c>
      <c r="C2108" s="0" t="s">
        <v>3381</v>
      </c>
      <c r="D2108" s="0" t="s">
        <v>33</v>
      </c>
      <c r="E2108" s="2" t="n">
        <v>45853</v>
      </c>
      <c r="F2108" s="3" t="s">
        <v>34</v>
      </c>
      <c r="G2108" s="3" t="s">
        <v>72</v>
      </c>
      <c r="H2108" s="3" t="s">
        <v>44</v>
      </c>
      <c r="I2108" s="3" t="n">
        <f aca="false">YEAR(E2108)</f>
        <v>2025</v>
      </c>
      <c r="J2108" s="3" t="n">
        <f aca="false">MONTH(E2108)</f>
        <v>7</v>
      </c>
      <c r="K2108" s="3" t="n">
        <f aca="false">COUNTIFS($B$2:$B$4077,B2108,$C$2:$C$4077,C2108,$I$2:$I$4077,I2108)</f>
        <v>2</v>
      </c>
      <c r="L2108" s="3" t="n">
        <f aca="false">IF(COUNTIFS($B$2:B2108,B2108,$C$2:C2108,C2108,$I$2:I2108,I2108)=1,1,0)</f>
        <v>1</v>
      </c>
      <c r="M2108" s="3" t="n">
        <f aca="false">IF(K2108&gt;=Parametri!$B$1,1,0)</f>
        <v>1</v>
      </c>
      <c r="N2108" s="3" t="n">
        <f aca="false">L2108*M2108</f>
        <v>1</v>
      </c>
    </row>
    <row r="2109" customFormat="false" ht="15" hidden="false" customHeight="false" outlineLevel="0" collapsed="false">
      <c r="A2109" s="0" t="s">
        <v>3382</v>
      </c>
      <c r="B2109" s="0" t="s">
        <v>68</v>
      </c>
      <c r="C2109" s="0" t="s">
        <v>1457</v>
      </c>
      <c r="D2109" s="0" t="s">
        <v>26</v>
      </c>
      <c r="E2109" s="2" t="n">
        <v>46114</v>
      </c>
      <c r="F2109" s="3" t="s">
        <v>27</v>
      </c>
      <c r="G2109" s="3" t="s">
        <v>72</v>
      </c>
      <c r="H2109" s="3" t="s">
        <v>48</v>
      </c>
      <c r="I2109" s="3" t="n">
        <f aca="false">YEAR(E2109)</f>
        <v>2026</v>
      </c>
      <c r="J2109" s="3" t="n">
        <f aca="false">MONTH(E2109)</f>
        <v>4</v>
      </c>
      <c r="K2109" s="3" t="n">
        <f aca="false">COUNTIFS($B$2:$B$4077,B2109,$C$2:$C$4077,C2109,$I$2:$I$4077,I2109)</f>
        <v>6</v>
      </c>
      <c r="L2109" s="3" t="n">
        <f aca="false">IF(COUNTIFS($B$2:B2109,B2109,$C$2:C2109,C2109,$I$2:I2109,I2109)=1,1,0)</f>
        <v>0</v>
      </c>
      <c r="M2109" s="3" t="n">
        <f aca="false">IF(K2109&gt;=Parametri!$B$1,1,0)</f>
        <v>1</v>
      </c>
      <c r="N2109" s="3" t="n">
        <f aca="false">L2109*M2109</f>
        <v>0</v>
      </c>
    </row>
    <row r="2110" customFormat="false" ht="15" hidden="false" customHeight="false" outlineLevel="0" collapsed="false">
      <c r="A2110" s="0" t="s">
        <v>3383</v>
      </c>
      <c r="B2110" s="0" t="s">
        <v>41</v>
      </c>
      <c r="C2110" s="0" t="s">
        <v>3384</v>
      </c>
      <c r="D2110" s="0" t="s">
        <v>33</v>
      </c>
      <c r="E2110" s="2" t="n">
        <v>45696</v>
      </c>
      <c r="F2110" s="3" t="s">
        <v>27</v>
      </c>
      <c r="G2110" s="3" t="s">
        <v>35</v>
      </c>
      <c r="H2110" s="3" t="s">
        <v>29</v>
      </c>
      <c r="I2110" s="3" t="n">
        <f aca="false">YEAR(E2110)</f>
        <v>2025</v>
      </c>
      <c r="J2110" s="3" t="n">
        <f aca="false">MONTH(E2110)</f>
        <v>2</v>
      </c>
      <c r="K2110" s="3" t="n">
        <f aca="false">COUNTIFS($B$2:$B$4077,B2110,$C$2:$C$4077,C2110,$I$2:$I$4077,I2110)</f>
        <v>1</v>
      </c>
      <c r="L2110" s="3" t="n">
        <f aca="false">IF(COUNTIFS($B$2:B2110,B2110,$C$2:C2110,C2110,$I$2:I2110,I2110)=1,1,0)</f>
        <v>1</v>
      </c>
      <c r="M2110" s="3" t="n">
        <f aca="false">IF(K2110&gt;=Parametri!$B$1,1,0)</f>
        <v>0</v>
      </c>
      <c r="N2110" s="3" t="n">
        <f aca="false">L2110*M2110</f>
        <v>0</v>
      </c>
    </row>
    <row r="2111" customFormat="false" ht="15" hidden="false" customHeight="false" outlineLevel="0" collapsed="false">
      <c r="A2111" s="0" t="s">
        <v>3385</v>
      </c>
      <c r="B2111" s="0" t="s">
        <v>79</v>
      </c>
      <c r="C2111" s="0" t="s">
        <v>838</v>
      </c>
      <c r="D2111" s="0" t="s">
        <v>19</v>
      </c>
      <c r="E2111" s="2" t="n">
        <v>46149</v>
      </c>
      <c r="F2111" s="3" t="s">
        <v>20</v>
      </c>
      <c r="G2111" s="3" t="s">
        <v>21</v>
      </c>
      <c r="H2111" s="3" t="s">
        <v>44</v>
      </c>
      <c r="I2111" s="3" t="n">
        <f aca="false">YEAR(E2111)</f>
        <v>2026</v>
      </c>
      <c r="J2111" s="3" t="n">
        <f aca="false">MONTH(E2111)</f>
        <v>5</v>
      </c>
      <c r="K2111" s="3" t="n">
        <f aca="false">COUNTIFS($B$2:$B$4077,B2111,$C$2:$C$4077,C2111,$I$2:$I$4077,I2111)</f>
        <v>2</v>
      </c>
      <c r="L2111" s="3" t="n">
        <f aca="false">IF(COUNTIFS($B$2:B2111,B2111,$C$2:C2111,C2111,$I$2:I2111,I2111)=1,1,0)</f>
        <v>1</v>
      </c>
      <c r="M2111" s="3" t="n">
        <f aca="false">IF(K2111&gt;=Parametri!$B$1,1,0)</f>
        <v>1</v>
      </c>
      <c r="N2111" s="3" t="n">
        <f aca="false">L2111*M2111</f>
        <v>1</v>
      </c>
    </row>
    <row r="2112" customFormat="false" ht="15" hidden="false" customHeight="false" outlineLevel="0" collapsed="false">
      <c r="A2112" s="0" t="s">
        <v>3386</v>
      </c>
      <c r="B2112" s="0" t="s">
        <v>24</v>
      </c>
      <c r="C2112" s="0" t="s">
        <v>239</v>
      </c>
      <c r="D2112" s="0" t="s">
        <v>38</v>
      </c>
      <c r="E2112" s="2" t="n">
        <v>46144</v>
      </c>
      <c r="F2112" s="3" t="s">
        <v>20</v>
      </c>
      <c r="G2112" s="3" t="s">
        <v>28</v>
      </c>
      <c r="H2112" s="3" t="s">
        <v>22</v>
      </c>
      <c r="I2112" s="3" t="n">
        <f aca="false">YEAR(E2112)</f>
        <v>2026</v>
      </c>
      <c r="J2112" s="3" t="n">
        <f aca="false">MONTH(E2112)</f>
        <v>5</v>
      </c>
      <c r="K2112" s="3" t="n">
        <f aca="false">COUNTIFS($B$2:$B$4077,B2112,$C$2:$C$4077,C2112,$I$2:$I$4077,I2112)</f>
        <v>2</v>
      </c>
      <c r="L2112" s="3" t="n">
        <f aca="false">IF(COUNTIFS($B$2:B2112,B2112,$C$2:C2112,C2112,$I$2:I2112,I2112)=1,1,0)</f>
        <v>0</v>
      </c>
      <c r="M2112" s="3" t="n">
        <f aca="false">IF(K2112&gt;=Parametri!$B$1,1,0)</f>
        <v>1</v>
      </c>
      <c r="N2112" s="3" t="n">
        <f aca="false">L2112*M2112</f>
        <v>0</v>
      </c>
    </row>
    <row r="2113" customFormat="false" ht="15" hidden="false" customHeight="false" outlineLevel="0" collapsed="false">
      <c r="A2113" s="0" t="s">
        <v>3387</v>
      </c>
      <c r="B2113" s="0" t="s">
        <v>24</v>
      </c>
      <c r="C2113" s="0" t="s">
        <v>3388</v>
      </c>
      <c r="D2113" s="0" t="s">
        <v>54</v>
      </c>
      <c r="E2113" s="2" t="n">
        <v>45640</v>
      </c>
      <c r="F2113" s="3" t="s">
        <v>20</v>
      </c>
      <c r="G2113" s="3" t="s">
        <v>43</v>
      </c>
      <c r="H2113" s="3" t="s">
        <v>29</v>
      </c>
      <c r="I2113" s="3" t="n">
        <f aca="false">YEAR(E2113)</f>
        <v>2024</v>
      </c>
      <c r="J2113" s="3" t="n">
        <f aca="false">MONTH(E2113)</f>
        <v>12</v>
      </c>
      <c r="K2113" s="3" t="n">
        <f aca="false">COUNTIFS($B$2:$B$4077,B2113,$C$2:$C$4077,C2113,$I$2:$I$4077,I2113)</f>
        <v>1</v>
      </c>
      <c r="L2113" s="3" t="n">
        <f aca="false">IF(COUNTIFS($B$2:B2113,B2113,$C$2:C2113,C2113,$I$2:I2113,I2113)=1,1,0)</f>
        <v>1</v>
      </c>
      <c r="M2113" s="3" t="n">
        <f aca="false">IF(K2113&gt;=Parametri!$B$1,1,0)</f>
        <v>0</v>
      </c>
      <c r="N2113" s="3" t="n">
        <f aca="false">L2113*M2113</f>
        <v>0</v>
      </c>
    </row>
    <row r="2114" customFormat="false" ht="15" hidden="false" customHeight="false" outlineLevel="0" collapsed="false">
      <c r="A2114" s="0" t="s">
        <v>3389</v>
      </c>
      <c r="B2114" s="0" t="s">
        <v>68</v>
      </c>
      <c r="C2114" s="0" t="s">
        <v>1763</v>
      </c>
      <c r="D2114" s="0" t="s">
        <v>63</v>
      </c>
      <c r="E2114" s="2" t="n">
        <v>45957</v>
      </c>
      <c r="F2114" s="3" t="s">
        <v>27</v>
      </c>
      <c r="G2114" s="3" t="s">
        <v>72</v>
      </c>
      <c r="H2114" s="3" t="s">
        <v>29</v>
      </c>
      <c r="I2114" s="3" t="n">
        <f aca="false">YEAR(E2114)</f>
        <v>2025</v>
      </c>
      <c r="J2114" s="3" t="n">
        <f aca="false">MONTH(E2114)</f>
        <v>10</v>
      </c>
      <c r="K2114" s="3" t="n">
        <f aca="false">COUNTIFS($B$2:$B$4077,B2114,$C$2:$C$4077,C2114,$I$2:$I$4077,I2114)</f>
        <v>2</v>
      </c>
      <c r="L2114" s="3" t="n">
        <f aca="false">IF(COUNTIFS($B$2:B2114,B2114,$C$2:C2114,C2114,$I$2:I2114,I2114)=1,1,0)</f>
        <v>0</v>
      </c>
      <c r="M2114" s="3" t="n">
        <f aca="false">IF(K2114&gt;=Parametri!$B$1,1,0)</f>
        <v>1</v>
      </c>
      <c r="N2114" s="3" t="n">
        <f aca="false">L2114*M2114</f>
        <v>0</v>
      </c>
    </row>
    <row r="2115" customFormat="false" ht="15" hidden="false" customHeight="false" outlineLevel="0" collapsed="false">
      <c r="A2115" s="0" t="s">
        <v>3390</v>
      </c>
      <c r="B2115" s="0" t="s">
        <v>50</v>
      </c>
      <c r="C2115" s="0" t="s">
        <v>1340</v>
      </c>
      <c r="D2115" s="0" t="s">
        <v>19</v>
      </c>
      <c r="E2115" s="2" t="n">
        <v>45926</v>
      </c>
      <c r="F2115" s="3" t="s">
        <v>20</v>
      </c>
      <c r="G2115" s="3" t="s">
        <v>21</v>
      </c>
      <c r="H2115" s="3" t="s">
        <v>22</v>
      </c>
      <c r="I2115" s="3" t="n">
        <f aca="false">YEAR(E2115)</f>
        <v>2025</v>
      </c>
      <c r="J2115" s="3" t="n">
        <f aca="false">MONTH(E2115)</f>
        <v>9</v>
      </c>
      <c r="K2115" s="3" t="n">
        <f aca="false">COUNTIFS($B$2:$B$4077,B2115,$C$2:$C$4077,C2115,$I$2:$I$4077,I2115)</f>
        <v>1</v>
      </c>
      <c r="L2115" s="3" t="n">
        <f aca="false">IF(COUNTIFS($B$2:B2115,B2115,$C$2:C2115,C2115,$I$2:I2115,I2115)=1,1,0)</f>
        <v>1</v>
      </c>
      <c r="M2115" s="3" t="n">
        <f aca="false">IF(K2115&gt;=Parametri!$B$1,1,0)</f>
        <v>0</v>
      </c>
      <c r="N2115" s="3" t="n">
        <f aca="false">L2115*M2115</f>
        <v>0</v>
      </c>
    </row>
    <row r="2116" customFormat="false" ht="15" hidden="false" customHeight="false" outlineLevel="0" collapsed="false">
      <c r="A2116" s="0" t="s">
        <v>3391</v>
      </c>
      <c r="B2116" s="0" t="s">
        <v>41</v>
      </c>
      <c r="C2116" s="0" t="s">
        <v>3392</v>
      </c>
      <c r="D2116" s="0" t="s">
        <v>38</v>
      </c>
      <c r="E2116" s="2" t="n">
        <v>45519</v>
      </c>
      <c r="F2116" s="3" t="s">
        <v>20</v>
      </c>
      <c r="G2116" s="3" t="s">
        <v>35</v>
      </c>
      <c r="H2116" s="3" t="s">
        <v>44</v>
      </c>
      <c r="I2116" s="3" t="n">
        <f aca="false">YEAR(E2116)</f>
        <v>2024</v>
      </c>
      <c r="J2116" s="3" t="n">
        <f aca="false">MONTH(E2116)</f>
        <v>8</v>
      </c>
      <c r="K2116" s="3" t="n">
        <f aca="false">COUNTIFS($B$2:$B$4077,B2116,$C$2:$C$4077,C2116,$I$2:$I$4077,I2116)</f>
        <v>1</v>
      </c>
      <c r="L2116" s="3" t="n">
        <f aca="false">IF(COUNTIFS($B$2:B2116,B2116,$C$2:C2116,C2116,$I$2:I2116,I2116)=1,1,0)</f>
        <v>1</v>
      </c>
      <c r="M2116" s="3" t="n">
        <f aca="false">IF(K2116&gt;=Parametri!$B$1,1,0)</f>
        <v>0</v>
      </c>
      <c r="N2116" s="3" t="n">
        <f aca="false">L2116*M2116</f>
        <v>0</v>
      </c>
    </row>
    <row r="2117" customFormat="false" ht="15" hidden="false" customHeight="false" outlineLevel="0" collapsed="false">
      <c r="A2117" s="0" t="s">
        <v>3393</v>
      </c>
      <c r="B2117" s="0" t="s">
        <v>31</v>
      </c>
      <c r="C2117" s="0" t="s">
        <v>2581</v>
      </c>
      <c r="D2117" s="0" t="s">
        <v>63</v>
      </c>
      <c r="E2117" s="2" t="n">
        <v>45968</v>
      </c>
      <c r="F2117" s="3" t="s">
        <v>20</v>
      </c>
      <c r="G2117" s="3" t="s">
        <v>21</v>
      </c>
      <c r="H2117" s="3" t="s">
        <v>22</v>
      </c>
      <c r="I2117" s="3" t="n">
        <f aca="false">YEAR(E2117)</f>
        <v>2025</v>
      </c>
      <c r="J2117" s="3" t="n">
        <f aca="false">MONTH(E2117)</f>
        <v>11</v>
      </c>
      <c r="K2117" s="3" t="n">
        <f aca="false">COUNTIFS($B$2:$B$4077,B2117,$C$2:$C$4077,C2117,$I$2:$I$4077,I2117)</f>
        <v>3</v>
      </c>
      <c r="L2117" s="3" t="n">
        <f aca="false">IF(COUNTIFS($B$2:B2117,B2117,$C$2:C2117,C2117,$I$2:I2117,I2117)=1,1,0)</f>
        <v>0</v>
      </c>
      <c r="M2117" s="3" t="n">
        <f aca="false">IF(K2117&gt;=Parametri!$B$1,1,0)</f>
        <v>1</v>
      </c>
      <c r="N2117" s="3" t="n">
        <f aca="false">L2117*M2117</f>
        <v>0</v>
      </c>
    </row>
    <row r="2118" customFormat="false" ht="15" hidden="false" customHeight="false" outlineLevel="0" collapsed="false">
      <c r="A2118" s="0" t="s">
        <v>3394</v>
      </c>
      <c r="B2118" s="0" t="s">
        <v>24</v>
      </c>
      <c r="C2118" s="0" t="s">
        <v>2500</v>
      </c>
      <c r="D2118" s="0" t="s">
        <v>77</v>
      </c>
      <c r="E2118" s="2" t="n">
        <v>46080</v>
      </c>
      <c r="F2118" s="3" t="s">
        <v>20</v>
      </c>
      <c r="G2118" s="3" t="s">
        <v>39</v>
      </c>
      <c r="H2118" s="3" t="s">
        <v>44</v>
      </c>
      <c r="I2118" s="3" t="n">
        <f aca="false">YEAR(E2118)</f>
        <v>2026</v>
      </c>
      <c r="J2118" s="3" t="n">
        <f aca="false">MONTH(E2118)</f>
        <v>2</v>
      </c>
      <c r="K2118" s="3" t="n">
        <f aca="false">COUNTIFS($B$2:$B$4077,B2118,$C$2:$C$4077,C2118,$I$2:$I$4077,I2118)</f>
        <v>1</v>
      </c>
      <c r="L2118" s="3" t="n">
        <f aca="false">IF(COUNTIFS($B$2:B2118,B2118,$C$2:C2118,C2118,$I$2:I2118,I2118)=1,1,0)</f>
        <v>1</v>
      </c>
      <c r="M2118" s="3" t="n">
        <f aca="false">IF(K2118&gt;=Parametri!$B$1,1,0)</f>
        <v>0</v>
      </c>
      <c r="N2118" s="3" t="n">
        <f aca="false">L2118*M2118</f>
        <v>0</v>
      </c>
    </row>
    <row r="2119" customFormat="false" ht="15" hidden="false" customHeight="false" outlineLevel="0" collapsed="false">
      <c r="A2119" s="0" t="s">
        <v>3395</v>
      </c>
      <c r="B2119" s="0" t="s">
        <v>46</v>
      </c>
      <c r="C2119" s="0" t="s">
        <v>1600</v>
      </c>
      <c r="D2119" s="0" t="s">
        <v>54</v>
      </c>
      <c r="E2119" s="2" t="n">
        <v>45562</v>
      </c>
      <c r="F2119" s="3" t="s">
        <v>20</v>
      </c>
      <c r="G2119" s="3" t="s">
        <v>104</v>
      </c>
      <c r="H2119" s="3" t="s">
        <v>104</v>
      </c>
      <c r="I2119" s="3" t="n">
        <f aca="false">YEAR(E2119)</f>
        <v>2024</v>
      </c>
      <c r="J2119" s="3" t="n">
        <f aca="false">MONTH(E2119)</f>
        <v>9</v>
      </c>
      <c r="K2119" s="3" t="n">
        <f aca="false">COUNTIFS($B$2:$B$4077,B2119,$C$2:$C$4077,C2119,$I$2:$I$4077,I2119)</f>
        <v>3</v>
      </c>
      <c r="L2119" s="3" t="n">
        <f aca="false">IF(COUNTIFS($B$2:B2119,B2119,$C$2:C2119,C2119,$I$2:I2119,I2119)=1,1,0)</f>
        <v>0</v>
      </c>
      <c r="M2119" s="3" t="n">
        <f aca="false">IF(K2119&gt;=Parametri!$B$1,1,0)</f>
        <v>1</v>
      </c>
      <c r="N2119" s="3" t="n">
        <f aca="false">L2119*M2119</f>
        <v>0</v>
      </c>
    </row>
    <row r="2120" customFormat="false" ht="15" hidden="false" customHeight="false" outlineLevel="0" collapsed="false">
      <c r="A2120" s="0" t="s">
        <v>3396</v>
      </c>
      <c r="B2120" s="0" t="s">
        <v>17</v>
      </c>
      <c r="C2120" s="0" t="s">
        <v>3397</v>
      </c>
      <c r="D2120" s="0" t="s">
        <v>19</v>
      </c>
      <c r="E2120" s="2" t="n">
        <v>46116</v>
      </c>
      <c r="F2120" s="3" t="s">
        <v>34</v>
      </c>
      <c r="G2120" s="3" t="s">
        <v>72</v>
      </c>
      <c r="H2120" s="3" t="s">
        <v>22</v>
      </c>
      <c r="I2120" s="3" t="n">
        <f aca="false">YEAR(E2120)</f>
        <v>2026</v>
      </c>
      <c r="J2120" s="3" t="n">
        <f aca="false">MONTH(E2120)</f>
        <v>4</v>
      </c>
      <c r="K2120" s="3" t="n">
        <f aca="false">COUNTIFS($B$2:$B$4077,B2120,$C$2:$C$4077,C2120,$I$2:$I$4077,I2120)</f>
        <v>1</v>
      </c>
      <c r="L2120" s="3" t="n">
        <f aca="false">IF(COUNTIFS($B$2:B2120,B2120,$C$2:C2120,C2120,$I$2:I2120,I2120)=1,1,0)</f>
        <v>1</v>
      </c>
      <c r="M2120" s="3" t="n">
        <f aca="false">IF(K2120&gt;=Parametri!$B$1,1,0)</f>
        <v>0</v>
      </c>
      <c r="N2120" s="3" t="n">
        <f aca="false">L2120*M2120</f>
        <v>0</v>
      </c>
    </row>
    <row r="2121" customFormat="false" ht="15" hidden="false" customHeight="false" outlineLevel="0" collapsed="false">
      <c r="A2121" s="0" t="s">
        <v>3398</v>
      </c>
      <c r="B2121" s="0" t="s">
        <v>41</v>
      </c>
      <c r="C2121" s="0" t="s">
        <v>3399</v>
      </c>
      <c r="D2121" s="0" t="s">
        <v>54</v>
      </c>
      <c r="E2121" s="2" t="n">
        <v>46115</v>
      </c>
      <c r="F2121" s="3" t="s">
        <v>20</v>
      </c>
      <c r="G2121" s="3" t="s">
        <v>28</v>
      </c>
      <c r="H2121" s="3" t="s">
        <v>29</v>
      </c>
      <c r="I2121" s="3" t="n">
        <f aca="false">YEAR(E2121)</f>
        <v>2026</v>
      </c>
      <c r="J2121" s="3" t="n">
        <f aca="false">MONTH(E2121)</f>
        <v>4</v>
      </c>
      <c r="K2121" s="3" t="n">
        <f aca="false">COUNTIFS($B$2:$B$4077,B2121,$C$2:$C$4077,C2121,$I$2:$I$4077,I2121)</f>
        <v>2</v>
      </c>
      <c r="L2121" s="3" t="n">
        <f aca="false">IF(COUNTIFS($B$2:B2121,B2121,$C$2:C2121,C2121,$I$2:I2121,I2121)=1,1,0)</f>
        <v>1</v>
      </c>
      <c r="M2121" s="3" t="n">
        <f aca="false">IF(K2121&gt;=Parametri!$B$1,1,0)</f>
        <v>1</v>
      </c>
      <c r="N2121" s="3" t="n">
        <f aca="false">L2121*M2121</f>
        <v>1</v>
      </c>
    </row>
    <row r="2122" customFormat="false" ht="15" hidden="false" customHeight="false" outlineLevel="0" collapsed="false">
      <c r="A2122" s="0" t="s">
        <v>3400</v>
      </c>
      <c r="B2122" s="0" t="s">
        <v>24</v>
      </c>
      <c r="C2122" s="0" t="s">
        <v>204</v>
      </c>
      <c r="D2122" s="0" t="s">
        <v>26</v>
      </c>
      <c r="E2122" s="2" t="n">
        <v>45887</v>
      </c>
      <c r="F2122" s="3" t="s">
        <v>20</v>
      </c>
      <c r="G2122" s="3" t="s">
        <v>39</v>
      </c>
      <c r="H2122" s="3" t="s">
        <v>29</v>
      </c>
      <c r="I2122" s="3" t="n">
        <f aca="false">YEAR(E2122)</f>
        <v>2025</v>
      </c>
      <c r="J2122" s="3" t="n">
        <f aca="false">MONTH(E2122)</f>
        <v>8</v>
      </c>
      <c r="K2122" s="3" t="n">
        <f aca="false">COUNTIFS($B$2:$B$4077,B2122,$C$2:$C$4077,C2122,$I$2:$I$4077,I2122)</f>
        <v>6</v>
      </c>
      <c r="L2122" s="3" t="n">
        <f aca="false">IF(COUNTIFS($B$2:B2122,B2122,$C$2:C2122,C2122,$I$2:I2122,I2122)=1,1,0)</f>
        <v>0</v>
      </c>
      <c r="M2122" s="3" t="n">
        <f aca="false">IF(K2122&gt;=Parametri!$B$1,1,0)</f>
        <v>1</v>
      </c>
      <c r="N2122" s="3" t="n">
        <f aca="false">L2122*M2122</f>
        <v>0</v>
      </c>
    </row>
    <row r="2123" customFormat="false" ht="15" hidden="false" customHeight="false" outlineLevel="0" collapsed="false">
      <c r="A2123" s="0" t="s">
        <v>3401</v>
      </c>
      <c r="B2123" s="0" t="s">
        <v>46</v>
      </c>
      <c r="C2123" s="0" t="s">
        <v>1228</v>
      </c>
      <c r="D2123" s="0" t="s">
        <v>19</v>
      </c>
      <c r="E2123" s="2" t="n">
        <v>45616</v>
      </c>
      <c r="F2123" s="3" t="s">
        <v>20</v>
      </c>
      <c r="G2123" s="3" t="s">
        <v>28</v>
      </c>
      <c r="H2123" s="3" t="s">
        <v>44</v>
      </c>
      <c r="I2123" s="3" t="n">
        <f aca="false">YEAR(E2123)</f>
        <v>2024</v>
      </c>
      <c r="J2123" s="3" t="n">
        <f aca="false">MONTH(E2123)</f>
        <v>11</v>
      </c>
      <c r="K2123" s="3" t="n">
        <f aca="false">COUNTIFS($B$2:$B$4077,B2123,$C$2:$C$4077,C2123,$I$2:$I$4077,I2123)</f>
        <v>5</v>
      </c>
      <c r="L2123" s="3" t="n">
        <f aca="false">IF(COUNTIFS($B$2:B2123,B2123,$C$2:C2123,C2123,$I$2:I2123,I2123)=1,1,0)</f>
        <v>0</v>
      </c>
      <c r="M2123" s="3" t="n">
        <f aca="false">IF(K2123&gt;=Parametri!$B$1,1,0)</f>
        <v>1</v>
      </c>
      <c r="N2123" s="3" t="n">
        <f aca="false">L2123*M2123</f>
        <v>0</v>
      </c>
    </row>
    <row r="2124" customFormat="false" ht="15" hidden="false" customHeight="false" outlineLevel="0" collapsed="false">
      <c r="A2124" s="0" t="s">
        <v>3402</v>
      </c>
      <c r="B2124" s="0" t="s">
        <v>124</v>
      </c>
      <c r="C2124" s="0" t="s">
        <v>1465</v>
      </c>
      <c r="D2124" s="0" t="s">
        <v>77</v>
      </c>
      <c r="E2124" s="2" t="n">
        <v>46242</v>
      </c>
      <c r="F2124" s="3" t="s">
        <v>20</v>
      </c>
      <c r="G2124" s="3" t="s">
        <v>28</v>
      </c>
      <c r="H2124" s="3" t="s">
        <v>29</v>
      </c>
      <c r="I2124" s="3" t="n">
        <f aca="false">YEAR(E2124)</f>
        <v>2026</v>
      </c>
      <c r="J2124" s="3" t="n">
        <f aca="false">MONTH(E2124)</f>
        <v>8</v>
      </c>
      <c r="K2124" s="3" t="n">
        <f aca="false">COUNTIFS($B$2:$B$4077,B2124,$C$2:$C$4077,C2124,$I$2:$I$4077,I2124)</f>
        <v>1</v>
      </c>
      <c r="L2124" s="3" t="n">
        <f aca="false">IF(COUNTIFS($B$2:B2124,B2124,$C$2:C2124,C2124,$I$2:I2124,I2124)=1,1,0)</f>
        <v>1</v>
      </c>
      <c r="M2124" s="3" t="n">
        <f aca="false">IF(K2124&gt;=Parametri!$B$1,1,0)</f>
        <v>0</v>
      </c>
      <c r="N2124" s="3" t="n">
        <f aca="false">L2124*M2124</f>
        <v>0</v>
      </c>
    </row>
    <row r="2125" customFormat="false" ht="15" hidden="false" customHeight="false" outlineLevel="0" collapsed="false">
      <c r="A2125" s="0" t="s">
        <v>3403</v>
      </c>
      <c r="B2125" s="0" t="s">
        <v>17</v>
      </c>
      <c r="C2125" s="0" t="s">
        <v>1507</v>
      </c>
      <c r="D2125" s="0" t="s">
        <v>54</v>
      </c>
      <c r="E2125" s="2" t="n">
        <v>46154</v>
      </c>
      <c r="F2125" s="3" t="s">
        <v>34</v>
      </c>
      <c r="G2125" s="3" t="s">
        <v>35</v>
      </c>
      <c r="H2125" s="3" t="s">
        <v>22</v>
      </c>
      <c r="I2125" s="3" t="n">
        <f aca="false">YEAR(E2125)</f>
        <v>2026</v>
      </c>
      <c r="J2125" s="3" t="n">
        <f aca="false">MONTH(E2125)</f>
        <v>5</v>
      </c>
      <c r="K2125" s="3" t="n">
        <f aca="false">COUNTIFS($B$2:$B$4077,B2125,$C$2:$C$4077,C2125,$I$2:$I$4077,I2125)</f>
        <v>2</v>
      </c>
      <c r="L2125" s="3" t="n">
        <f aca="false">IF(COUNTIFS($B$2:B2125,B2125,$C$2:C2125,C2125,$I$2:I2125,I2125)=1,1,0)</f>
        <v>0</v>
      </c>
      <c r="M2125" s="3" t="n">
        <f aca="false">IF(K2125&gt;=Parametri!$B$1,1,0)</f>
        <v>1</v>
      </c>
      <c r="N2125" s="3" t="n">
        <f aca="false">L2125*M2125</f>
        <v>0</v>
      </c>
    </row>
    <row r="2126" customFormat="false" ht="15" hidden="false" customHeight="false" outlineLevel="0" collapsed="false">
      <c r="A2126" s="0" t="s">
        <v>3404</v>
      </c>
      <c r="B2126" s="0" t="s">
        <v>68</v>
      </c>
      <c r="C2126" s="0" t="s">
        <v>3405</v>
      </c>
      <c r="D2126" s="0" t="s">
        <v>19</v>
      </c>
      <c r="E2126" s="2" t="n">
        <v>45900</v>
      </c>
      <c r="F2126" s="3" t="s">
        <v>20</v>
      </c>
      <c r="G2126" s="3" t="s">
        <v>35</v>
      </c>
      <c r="H2126" s="3" t="s">
        <v>48</v>
      </c>
      <c r="I2126" s="3" t="n">
        <f aca="false">YEAR(E2126)</f>
        <v>2025</v>
      </c>
      <c r="J2126" s="3" t="n">
        <f aca="false">MONTH(E2126)</f>
        <v>8</v>
      </c>
      <c r="K2126" s="3" t="n">
        <f aca="false">COUNTIFS($B$2:$B$4077,B2126,$C$2:$C$4077,C2126,$I$2:$I$4077,I2126)</f>
        <v>1</v>
      </c>
      <c r="L2126" s="3" t="n">
        <f aca="false">IF(COUNTIFS($B$2:B2126,B2126,$C$2:C2126,C2126,$I$2:I2126,I2126)=1,1,0)</f>
        <v>1</v>
      </c>
      <c r="M2126" s="3" t="n">
        <f aca="false">IF(K2126&gt;=Parametri!$B$1,1,0)</f>
        <v>0</v>
      </c>
      <c r="N2126" s="3" t="n">
        <f aca="false">L2126*M2126</f>
        <v>0</v>
      </c>
    </row>
    <row r="2127" customFormat="false" ht="15" hidden="false" customHeight="false" outlineLevel="0" collapsed="false">
      <c r="A2127" s="0" t="s">
        <v>3406</v>
      </c>
      <c r="B2127" s="0" t="s">
        <v>41</v>
      </c>
      <c r="C2127" s="0" t="s">
        <v>780</v>
      </c>
      <c r="D2127" s="0" t="s">
        <v>38</v>
      </c>
      <c r="E2127" s="2" t="n">
        <v>45623</v>
      </c>
      <c r="F2127" s="3" t="s">
        <v>20</v>
      </c>
      <c r="G2127" s="3" t="s">
        <v>43</v>
      </c>
      <c r="H2127" s="3" t="s">
        <v>48</v>
      </c>
      <c r="I2127" s="3" t="n">
        <f aca="false">YEAR(E2127)</f>
        <v>2024</v>
      </c>
      <c r="J2127" s="3" t="n">
        <f aca="false">MONTH(E2127)</f>
        <v>11</v>
      </c>
      <c r="K2127" s="3" t="n">
        <f aca="false">COUNTIFS($B$2:$B$4077,B2127,$C$2:$C$4077,C2127,$I$2:$I$4077,I2127)</f>
        <v>2</v>
      </c>
      <c r="L2127" s="3" t="n">
        <f aca="false">IF(COUNTIFS($B$2:B2127,B2127,$C$2:C2127,C2127,$I$2:I2127,I2127)=1,1,0)</f>
        <v>0</v>
      </c>
      <c r="M2127" s="3" t="n">
        <f aca="false">IF(K2127&gt;=Parametri!$B$1,1,0)</f>
        <v>1</v>
      </c>
      <c r="N2127" s="3" t="n">
        <f aca="false">L2127*M2127</f>
        <v>0</v>
      </c>
    </row>
    <row r="2128" customFormat="false" ht="15" hidden="false" customHeight="false" outlineLevel="0" collapsed="false">
      <c r="A2128" s="0" t="s">
        <v>3407</v>
      </c>
      <c r="B2128" s="0" t="s">
        <v>17</v>
      </c>
      <c r="C2128" s="0" t="s">
        <v>3408</v>
      </c>
      <c r="D2128" s="0" t="s">
        <v>26</v>
      </c>
      <c r="E2128" s="2" t="n">
        <v>45325</v>
      </c>
      <c r="F2128" s="3" t="s">
        <v>27</v>
      </c>
      <c r="G2128" s="3" t="s">
        <v>35</v>
      </c>
      <c r="H2128" s="3" t="s">
        <v>22</v>
      </c>
      <c r="I2128" s="3" t="n">
        <f aca="false">YEAR(E2128)</f>
        <v>2024</v>
      </c>
      <c r="J2128" s="3" t="n">
        <f aca="false">MONTH(E2128)</f>
        <v>2</v>
      </c>
      <c r="K2128" s="3" t="n">
        <f aca="false">COUNTIFS($B$2:$B$4077,B2128,$C$2:$C$4077,C2128,$I$2:$I$4077,I2128)</f>
        <v>1</v>
      </c>
      <c r="L2128" s="3" t="n">
        <f aca="false">IF(COUNTIFS($B$2:B2128,B2128,$C$2:C2128,C2128,$I$2:I2128,I2128)=1,1,0)</f>
        <v>1</v>
      </c>
      <c r="M2128" s="3" t="n">
        <f aca="false">IF(K2128&gt;=Parametri!$B$1,1,0)</f>
        <v>0</v>
      </c>
      <c r="N2128" s="3" t="n">
        <f aca="false">L2128*M2128</f>
        <v>0</v>
      </c>
    </row>
    <row r="2129" customFormat="false" ht="15" hidden="false" customHeight="false" outlineLevel="0" collapsed="false">
      <c r="A2129" s="0" t="s">
        <v>3409</v>
      </c>
      <c r="B2129" s="0" t="s">
        <v>24</v>
      </c>
      <c r="C2129" s="0" t="s">
        <v>1335</v>
      </c>
      <c r="D2129" s="0" t="s">
        <v>19</v>
      </c>
      <c r="E2129" s="2" t="n">
        <v>46170</v>
      </c>
      <c r="F2129" s="3" t="s">
        <v>27</v>
      </c>
      <c r="G2129" s="3" t="s">
        <v>21</v>
      </c>
      <c r="H2129" s="3" t="s">
        <v>29</v>
      </c>
      <c r="I2129" s="3" t="n">
        <f aca="false">YEAR(E2129)</f>
        <v>2026</v>
      </c>
      <c r="J2129" s="3" t="n">
        <f aca="false">MONTH(E2129)</f>
        <v>5</v>
      </c>
      <c r="K2129" s="3" t="n">
        <f aca="false">COUNTIFS($B$2:$B$4077,B2129,$C$2:$C$4077,C2129,$I$2:$I$4077,I2129)</f>
        <v>2</v>
      </c>
      <c r="L2129" s="3" t="n">
        <f aca="false">IF(COUNTIFS($B$2:B2129,B2129,$C$2:C2129,C2129,$I$2:I2129,I2129)=1,1,0)</f>
        <v>0</v>
      </c>
      <c r="M2129" s="3" t="n">
        <f aca="false">IF(K2129&gt;=Parametri!$B$1,1,0)</f>
        <v>1</v>
      </c>
      <c r="N2129" s="3" t="n">
        <f aca="false">L2129*M2129</f>
        <v>0</v>
      </c>
    </row>
    <row r="2130" customFormat="false" ht="15" hidden="false" customHeight="false" outlineLevel="0" collapsed="false">
      <c r="A2130" s="0" t="s">
        <v>3410</v>
      </c>
      <c r="B2130" s="0" t="s">
        <v>46</v>
      </c>
      <c r="C2130" s="0" t="s">
        <v>3411</v>
      </c>
      <c r="D2130" s="0" t="s">
        <v>26</v>
      </c>
      <c r="E2130" s="2" t="n">
        <v>45360</v>
      </c>
      <c r="F2130" s="3" t="s">
        <v>20</v>
      </c>
      <c r="G2130" s="3" t="s">
        <v>55</v>
      </c>
      <c r="H2130" s="3" t="s">
        <v>29</v>
      </c>
      <c r="I2130" s="3" t="n">
        <f aca="false">YEAR(E2130)</f>
        <v>2024</v>
      </c>
      <c r="J2130" s="3" t="n">
        <f aca="false">MONTH(E2130)</f>
        <v>3</v>
      </c>
      <c r="K2130" s="3" t="n">
        <f aca="false">COUNTIFS($B$2:$B$4077,B2130,$C$2:$C$4077,C2130,$I$2:$I$4077,I2130)</f>
        <v>2</v>
      </c>
      <c r="L2130" s="3" t="n">
        <f aca="false">IF(COUNTIFS($B$2:B2130,B2130,$C$2:C2130,C2130,$I$2:I2130,I2130)=1,1,0)</f>
        <v>1</v>
      </c>
      <c r="M2130" s="3" t="n">
        <f aca="false">IF(K2130&gt;=Parametri!$B$1,1,0)</f>
        <v>1</v>
      </c>
      <c r="N2130" s="3" t="n">
        <f aca="false">L2130*M2130</f>
        <v>1</v>
      </c>
    </row>
    <row r="2131" customFormat="false" ht="15" hidden="false" customHeight="false" outlineLevel="0" collapsed="false">
      <c r="A2131" s="0" t="s">
        <v>3412</v>
      </c>
      <c r="B2131" s="0" t="s">
        <v>41</v>
      </c>
      <c r="C2131" s="0" t="s">
        <v>1392</v>
      </c>
      <c r="D2131" s="0" t="s">
        <v>26</v>
      </c>
      <c r="E2131" s="2" t="n">
        <v>45733</v>
      </c>
      <c r="F2131" s="3" t="s">
        <v>34</v>
      </c>
      <c r="G2131" s="3" t="s">
        <v>89</v>
      </c>
      <c r="H2131" s="3" t="s">
        <v>29</v>
      </c>
      <c r="I2131" s="3" t="n">
        <f aca="false">YEAR(E2131)</f>
        <v>2025</v>
      </c>
      <c r="J2131" s="3" t="n">
        <f aca="false">MONTH(E2131)</f>
        <v>3</v>
      </c>
      <c r="K2131" s="3" t="n">
        <f aca="false">COUNTIFS($B$2:$B$4077,B2131,$C$2:$C$4077,C2131,$I$2:$I$4077,I2131)</f>
        <v>2</v>
      </c>
      <c r="L2131" s="3" t="n">
        <f aca="false">IF(COUNTIFS($B$2:B2131,B2131,$C$2:C2131,C2131,$I$2:I2131,I2131)=1,1,0)</f>
        <v>0</v>
      </c>
      <c r="M2131" s="3" t="n">
        <f aca="false">IF(K2131&gt;=Parametri!$B$1,1,0)</f>
        <v>1</v>
      </c>
      <c r="N2131" s="3" t="n">
        <f aca="false">L2131*M2131</f>
        <v>0</v>
      </c>
    </row>
    <row r="2132" customFormat="false" ht="15" hidden="false" customHeight="false" outlineLevel="0" collapsed="false">
      <c r="A2132" s="0" t="s">
        <v>3413</v>
      </c>
      <c r="B2132" s="0" t="s">
        <v>57</v>
      </c>
      <c r="C2132" s="0" t="s">
        <v>782</v>
      </c>
      <c r="D2132" s="0" t="s">
        <v>54</v>
      </c>
      <c r="E2132" s="2" t="n">
        <v>45704</v>
      </c>
      <c r="F2132" s="3" t="s">
        <v>27</v>
      </c>
      <c r="G2132" s="3" t="s">
        <v>39</v>
      </c>
      <c r="H2132" s="3" t="s">
        <v>44</v>
      </c>
      <c r="I2132" s="3" t="n">
        <f aca="false">YEAR(E2132)</f>
        <v>2025</v>
      </c>
      <c r="J2132" s="3" t="n">
        <f aca="false">MONTH(E2132)</f>
        <v>2</v>
      </c>
      <c r="K2132" s="3" t="n">
        <f aca="false">COUNTIFS($B$2:$B$4077,B2132,$C$2:$C$4077,C2132,$I$2:$I$4077,I2132)</f>
        <v>1</v>
      </c>
      <c r="L2132" s="3" t="n">
        <f aca="false">IF(COUNTIFS($B$2:B2132,B2132,$C$2:C2132,C2132,$I$2:I2132,I2132)=1,1,0)</f>
        <v>1</v>
      </c>
      <c r="M2132" s="3" t="n">
        <f aca="false">IF(K2132&gt;=Parametri!$B$1,1,0)</f>
        <v>0</v>
      </c>
      <c r="N2132" s="3" t="n">
        <f aca="false">L2132*M2132</f>
        <v>0</v>
      </c>
    </row>
    <row r="2133" customFormat="false" ht="15" hidden="false" customHeight="false" outlineLevel="0" collapsed="false">
      <c r="A2133" s="0" t="s">
        <v>3414</v>
      </c>
      <c r="B2133" s="0" t="s">
        <v>50</v>
      </c>
      <c r="C2133" s="0" t="s">
        <v>2926</v>
      </c>
      <c r="D2133" s="0" t="s">
        <v>38</v>
      </c>
      <c r="E2133" s="2" t="n">
        <v>45529</v>
      </c>
      <c r="F2133" s="3" t="s">
        <v>27</v>
      </c>
      <c r="G2133" s="3" t="s">
        <v>39</v>
      </c>
      <c r="H2133" s="3" t="s">
        <v>22</v>
      </c>
      <c r="I2133" s="3" t="n">
        <f aca="false">YEAR(E2133)</f>
        <v>2024</v>
      </c>
      <c r="J2133" s="3" t="n">
        <f aca="false">MONTH(E2133)</f>
        <v>8</v>
      </c>
      <c r="K2133" s="3" t="n">
        <f aca="false">COUNTIFS($B$2:$B$4077,B2133,$C$2:$C$4077,C2133,$I$2:$I$4077,I2133)</f>
        <v>2</v>
      </c>
      <c r="L2133" s="3" t="n">
        <f aca="false">IF(COUNTIFS($B$2:B2133,B2133,$C$2:C2133,C2133,$I$2:I2133,I2133)=1,1,0)</f>
        <v>1</v>
      </c>
      <c r="M2133" s="3" t="n">
        <f aca="false">IF(K2133&gt;=Parametri!$B$1,1,0)</f>
        <v>1</v>
      </c>
      <c r="N2133" s="3" t="n">
        <f aca="false">L2133*M2133</f>
        <v>1</v>
      </c>
    </row>
    <row r="2134" customFormat="false" ht="15" hidden="false" customHeight="false" outlineLevel="0" collapsed="false">
      <c r="A2134" s="0" t="s">
        <v>3415</v>
      </c>
      <c r="B2134" s="0" t="s">
        <v>79</v>
      </c>
      <c r="C2134" s="0" t="s">
        <v>3011</v>
      </c>
      <c r="D2134" s="0" t="s">
        <v>26</v>
      </c>
      <c r="E2134" s="2" t="n">
        <v>45609</v>
      </c>
      <c r="F2134" s="3" t="s">
        <v>20</v>
      </c>
      <c r="G2134" s="3" t="s">
        <v>39</v>
      </c>
      <c r="H2134" s="3" t="s">
        <v>22</v>
      </c>
      <c r="I2134" s="3" t="n">
        <f aca="false">YEAR(E2134)</f>
        <v>2024</v>
      </c>
      <c r="J2134" s="3" t="n">
        <f aca="false">MONTH(E2134)</f>
        <v>11</v>
      </c>
      <c r="K2134" s="3" t="n">
        <f aca="false">COUNTIFS($B$2:$B$4077,B2134,$C$2:$C$4077,C2134,$I$2:$I$4077,I2134)</f>
        <v>3</v>
      </c>
      <c r="L2134" s="3" t="n">
        <f aca="false">IF(COUNTIFS($B$2:B2134,B2134,$C$2:C2134,C2134,$I$2:I2134,I2134)=1,1,0)</f>
        <v>0</v>
      </c>
      <c r="M2134" s="3" t="n">
        <f aca="false">IF(K2134&gt;=Parametri!$B$1,1,0)</f>
        <v>1</v>
      </c>
      <c r="N2134" s="3" t="n">
        <f aca="false">L2134*M2134</f>
        <v>0</v>
      </c>
    </row>
    <row r="2135" customFormat="false" ht="15" hidden="false" customHeight="false" outlineLevel="0" collapsed="false">
      <c r="A2135" s="0" t="s">
        <v>3416</v>
      </c>
      <c r="B2135" s="0" t="s">
        <v>50</v>
      </c>
      <c r="C2135" s="0" t="s">
        <v>3417</v>
      </c>
      <c r="D2135" s="0" t="s">
        <v>33</v>
      </c>
      <c r="E2135" s="2" t="n">
        <v>46156</v>
      </c>
      <c r="F2135" s="3" t="s">
        <v>34</v>
      </c>
      <c r="G2135" s="3" t="s">
        <v>35</v>
      </c>
      <c r="H2135" s="3" t="s">
        <v>22</v>
      </c>
      <c r="I2135" s="3" t="n">
        <f aca="false">YEAR(E2135)</f>
        <v>2026</v>
      </c>
      <c r="J2135" s="3" t="n">
        <f aca="false">MONTH(E2135)</f>
        <v>5</v>
      </c>
      <c r="K2135" s="3" t="n">
        <f aca="false">COUNTIFS($B$2:$B$4077,B2135,$C$2:$C$4077,C2135,$I$2:$I$4077,I2135)</f>
        <v>1</v>
      </c>
      <c r="L2135" s="3" t="n">
        <f aca="false">IF(COUNTIFS($B$2:B2135,B2135,$C$2:C2135,C2135,$I$2:I2135,I2135)=1,1,0)</f>
        <v>1</v>
      </c>
      <c r="M2135" s="3" t="n">
        <f aca="false">IF(K2135&gt;=Parametri!$B$1,1,0)</f>
        <v>0</v>
      </c>
      <c r="N2135" s="3" t="n">
        <f aca="false">L2135*M2135</f>
        <v>0</v>
      </c>
    </row>
    <row r="2136" customFormat="false" ht="15" hidden="false" customHeight="false" outlineLevel="0" collapsed="false">
      <c r="A2136" s="0" t="s">
        <v>3418</v>
      </c>
      <c r="B2136" s="0" t="s">
        <v>31</v>
      </c>
      <c r="C2136" s="0" t="s">
        <v>3419</v>
      </c>
      <c r="D2136" s="0" t="s">
        <v>26</v>
      </c>
      <c r="E2136" s="2" t="n">
        <v>45858</v>
      </c>
      <c r="F2136" s="3" t="s">
        <v>34</v>
      </c>
      <c r="G2136" s="3" t="s">
        <v>28</v>
      </c>
      <c r="H2136" s="3" t="s">
        <v>22</v>
      </c>
      <c r="I2136" s="3" t="n">
        <f aca="false">YEAR(E2136)</f>
        <v>2025</v>
      </c>
      <c r="J2136" s="3" t="n">
        <f aca="false">MONTH(E2136)</f>
        <v>7</v>
      </c>
      <c r="K2136" s="3" t="n">
        <f aca="false">COUNTIFS($B$2:$B$4077,B2136,$C$2:$C$4077,C2136,$I$2:$I$4077,I2136)</f>
        <v>1</v>
      </c>
      <c r="L2136" s="3" t="n">
        <f aca="false">IF(COUNTIFS($B$2:B2136,B2136,$C$2:C2136,C2136,$I$2:I2136,I2136)=1,1,0)</f>
        <v>1</v>
      </c>
      <c r="M2136" s="3" t="n">
        <f aca="false">IF(K2136&gt;=Parametri!$B$1,1,0)</f>
        <v>0</v>
      </c>
      <c r="N2136" s="3" t="n">
        <f aca="false">L2136*M2136</f>
        <v>0</v>
      </c>
    </row>
    <row r="2137" customFormat="false" ht="15" hidden="false" customHeight="false" outlineLevel="0" collapsed="false">
      <c r="A2137" s="0" t="s">
        <v>3420</v>
      </c>
      <c r="B2137" s="0" t="s">
        <v>24</v>
      </c>
      <c r="C2137" s="0" t="s">
        <v>3421</v>
      </c>
      <c r="D2137" s="0" t="s">
        <v>54</v>
      </c>
      <c r="E2137" s="2" t="n">
        <v>45437</v>
      </c>
      <c r="F2137" s="3" t="s">
        <v>34</v>
      </c>
      <c r="G2137" s="3" t="s">
        <v>28</v>
      </c>
      <c r="H2137" s="3" t="s">
        <v>29</v>
      </c>
      <c r="I2137" s="3" t="n">
        <f aca="false">YEAR(E2137)</f>
        <v>2024</v>
      </c>
      <c r="J2137" s="3" t="n">
        <f aca="false">MONTH(E2137)</f>
        <v>5</v>
      </c>
      <c r="K2137" s="3" t="n">
        <f aca="false">COUNTIFS($B$2:$B$4077,B2137,$C$2:$C$4077,C2137,$I$2:$I$4077,I2137)</f>
        <v>1</v>
      </c>
      <c r="L2137" s="3" t="n">
        <f aca="false">IF(COUNTIFS($B$2:B2137,B2137,$C$2:C2137,C2137,$I$2:I2137,I2137)=1,1,0)</f>
        <v>1</v>
      </c>
      <c r="M2137" s="3" t="n">
        <f aca="false">IF(K2137&gt;=Parametri!$B$1,1,0)</f>
        <v>0</v>
      </c>
      <c r="N2137" s="3" t="n">
        <f aca="false">L2137*M2137</f>
        <v>0</v>
      </c>
    </row>
    <row r="2138" customFormat="false" ht="15" hidden="false" customHeight="false" outlineLevel="0" collapsed="false">
      <c r="A2138" s="0" t="s">
        <v>3422</v>
      </c>
      <c r="B2138" s="0" t="s">
        <v>46</v>
      </c>
      <c r="C2138" s="0" t="s">
        <v>3423</v>
      </c>
      <c r="D2138" s="0" t="s">
        <v>63</v>
      </c>
      <c r="E2138" s="2" t="n">
        <v>46232</v>
      </c>
      <c r="F2138" s="3" t="s">
        <v>34</v>
      </c>
      <c r="G2138" s="3" t="s">
        <v>35</v>
      </c>
      <c r="H2138" s="3" t="s">
        <v>44</v>
      </c>
      <c r="I2138" s="3" t="n">
        <f aca="false">YEAR(E2138)</f>
        <v>2026</v>
      </c>
      <c r="J2138" s="3" t="n">
        <f aca="false">MONTH(E2138)</f>
        <v>7</v>
      </c>
      <c r="K2138" s="3" t="n">
        <f aca="false">COUNTIFS($B$2:$B$4077,B2138,$C$2:$C$4077,C2138,$I$2:$I$4077,I2138)</f>
        <v>2</v>
      </c>
      <c r="L2138" s="3" t="n">
        <f aca="false">IF(COUNTIFS($B$2:B2138,B2138,$C$2:C2138,C2138,$I$2:I2138,I2138)=1,1,0)</f>
        <v>1</v>
      </c>
      <c r="M2138" s="3" t="n">
        <f aca="false">IF(K2138&gt;=Parametri!$B$1,1,0)</f>
        <v>1</v>
      </c>
      <c r="N2138" s="3" t="n">
        <f aca="false">L2138*M2138</f>
        <v>1</v>
      </c>
    </row>
    <row r="2139" customFormat="false" ht="15" hidden="false" customHeight="false" outlineLevel="0" collapsed="false">
      <c r="A2139" s="0" t="s">
        <v>3424</v>
      </c>
      <c r="B2139" s="0" t="s">
        <v>46</v>
      </c>
      <c r="C2139" s="0" t="s">
        <v>1228</v>
      </c>
      <c r="D2139" s="0" t="s">
        <v>19</v>
      </c>
      <c r="E2139" s="2" t="n">
        <v>46052</v>
      </c>
      <c r="F2139" s="3" t="s">
        <v>20</v>
      </c>
      <c r="G2139" s="3" t="s">
        <v>43</v>
      </c>
      <c r="H2139" s="3" t="s">
        <v>22</v>
      </c>
      <c r="I2139" s="3" t="n">
        <f aca="false">YEAR(E2139)</f>
        <v>2026</v>
      </c>
      <c r="J2139" s="3" t="n">
        <f aca="false">MONTH(E2139)</f>
        <v>1</v>
      </c>
      <c r="K2139" s="3" t="n">
        <f aca="false">COUNTIFS($B$2:$B$4077,B2139,$C$2:$C$4077,C2139,$I$2:$I$4077,I2139)</f>
        <v>3</v>
      </c>
      <c r="L2139" s="3" t="n">
        <f aca="false">IF(COUNTIFS($B$2:B2139,B2139,$C$2:C2139,C2139,$I$2:I2139,I2139)=1,1,0)</f>
        <v>0</v>
      </c>
      <c r="M2139" s="3" t="n">
        <f aca="false">IF(K2139&gt;=Parametri!$B$1,1,0)</f>
        <v>1</v>
      </c>
      <c r="N2139" s="3" t="n">
        <f aca="false">L2139*M2139</f>
        <v>0</v>
      </c>
    </row>
    <row r="2140" customFormat="false" ht="15" hidden="false" customHeight="false" outlineLevel="0" collapsed="false">
      <c r="A2140" s="0" t="s">
        <v>3425</v>
      </c>
      <c r="B2140" s="0" t="s">
        <v>41</v>
      </c>
      <c r="C2140" s="0" t="s">
        <v>3426</v>
      </c>
      <c r="D2140" s="0" t="s">
        <v>77</v>
      </c>
      <c r="E2140" s="2" t="n">
        <v>45500</v>
      </c>
      <c r="F2140" s="3" t="s">
        <v>27</v>
      </c>
      <c r="G2140" s="3" t="s">
        <v>72</v>
      </c>
      <c r="H2140" s="3" t="s">
        <v>29</v>
      </c>
      <c r="I2140" s="3" t="n">
        <f aca="false">YEAR(E2140)</f>
        <v>2024</v>
      </c>
      <c r="J2140" s="3" t="n">
        <f aca="false">MONTH(E2140)</f>
        <v>7</v>
      </c>
      <c r="K2140" s="3" t="n">
        <f aca="false">COUNTIFS($B$2:$B$4077,B2140,$C$2:$C$4077,C2140,$I$2:$I$4077,I2140)</f>
        <v>1</v>
      </c>
      <c r="L2140" s="3" t="n">
        <f aca="false">IF(COUNTIFS($B$2:B2140,B2140,$C$2:C2140,C2140,$I$2:I2140,I2140)=1,1,0)</f>
        <v>1</v>
      </c>
      <c r="M2140" s="3" t="n">
        <f aca="false">IF(K2140&gt;=Parametri!$B$1,1,0)</f>
        <v>0</v>
      </c>
      <c r="N2140" s="3" t="n">
        <f aca="false">L2140*M2140</f>
        <v>0</v>
      </c>
    </row>
    <row r="2141" customFormat="false" ht="15" hidden="false" customHeight="false" outlineLevel="0" collapsed="false">
      <c r="A2141" s="0" t="s">
        <v>3427</v>
      </c>
      <c r="B2141" s="0" t="s">
        <v>31</v>
      </c>
      <c r="C2141" s="0" t="s">
        <v>3205</v>
      </c>
      <c r="D2141" s="0" t="s">
        <v>38</v>
      </c>
      <c r="E2141" s="2" t="n">
        <v>46108</v>
      </c>
      <c r="F2141" s="3" t="s">
        <v>20</v>
      </c>
      <c r="G2141" s="3" t="s">
        <v>28</v>
      </c>
      <c r="H2141" s="3" t="s">
        <v>22</v>
      </c>
      <c r="I2141" s="3" t="n">
        <f aca="false">YEAR(E2141)</f>
        <v>2026</v>
      </c>
      <c r="J2141" s="3" t="n">
        <f aca="false">MONTH(E2141)</f>
        <v>3</v>
      </c>
      <c r="K2141" s="3" t="n">
        <f aca="false">COUNTIFS($B$2:$B$4077,B2141,$C$2:$C$4077,C2141,$I$2:$I$4077,I2141)</f>
        <v>1</v>
      </c>
      <c r="L2141" s="3" t="n">
        <f aca="false">IF(COUNTIFS($B$2:B2141,B2141,$C$2:C2141,C2141,$I$2:I2141,I2141)=1,1,0)</f>
        <v>1</v>
      </c>
      <c r="M2141" s="3" t="n">
        <f aca="false">IF(K2141&gt;=Parametri!$B$1,1,0)</f>
        <v>0</v>
      </c>
      <c r="N2141" s="3" t="n">
        <f aca="false">L2141*M2141</f>
        <v>0</v>
      </c>
    </row>
    <row r="2142" customFormat="false" ht="15" hidden="false" customHeight="false" outlineLevel="0" collapsed="false">
      <c r="A2142" s="0" t="s">
        <v>3428</v>
      </c>
      <c r="B2142" s="0" t="s">
        <v>50</v>
      </c>
      <c r="C2142" s="0" t="s">
        <v>3429</v>
      </c>
      <c r="D2142" s="0" t="s">
        <v>77</v>
      </c>
      <c r="E2142" s="2" t="n">
        <v>45340</v>
      </c>
      <c r="F2142" s="3" t="s">
        <v>20</v>
      </c>
      <c r="G2142" s="3" t="s">
        <v>35</v>
      </c>
      <c r="H2142" s="3" t="s">
        <v>29</v>
      </c>
      <c r="I2142" s="3" t="n">
        <f aca="false">YEAR(E2142)</f>
        <v>2024</v>
      </c>
      <c r="J2142" s="3" t="n">
        <f aca="false">MONTH(E2142)</f>
        <v>2</v>
      </c>
      <c r="K2142" s="3" t="n">
        <f aca="false">COUNTIFS($B$2:$B$4077,B2142,$C$2:$C$4077,C2142,$I$2:$I$4077,I2142)</f>
        <v>2</v>
      </c>
      <c r="L2142" s="3" t="n">
        <f aca="false">IF(COUNTIFS($B$2:B2142,B2142,$C$2:C2142,C2142,$I$2:I2142,I2142)=1,1,0)</f>
        <v>1</v>
      </c>
      <c r="M2142" s="3" t="n">
        <f aca="false">IF(K2142&gt;=Parametri!$B$1,1,0)</f>
        <v>1</v>
      </c>
      <c r="N2142" s="3" t="n">
        <f aca="false">L2142*M2142</f>
        <v>1</v>
      </c>
    </row>
    <row r="2143" customFormat="false" ht="15" hidden="false" customHeight="false" outlineLevel="0" collapsed="false">
      <c r="A2143" s="0" t="s">
        <v>3430</v>
      </c>
      <c r="B2143" s="0" t="s">
        <v>46</v>
      </c>
      <c r="C2143" s="0" t="s">
        <v>3431</v>
      </c>
      <c r="D2143" s="0" t="s">
        <v>38</v>
      </c>
      <c r="E2143" s="2" t="n">
        <v>46068</v>
      </c>
      <c r="F2143" s="3" t="s">
        <v>34</v>
      </c>
      <c r="G2143" s="3" t="s">
        <v>89</v>
      </c>
      <c r="H2143" s="3" t="s">
        <v>48</v>
      </c>
      <c r="I2143" s="3" t="n">
        <f aca="false">YEAR(E2143)</f>
        <v>2026</v>
      </c>
      <c r="J2143" s="3" t="n">
        <f aca="false">MONTH(E2143)</f>
        <v>2</v>
      </c>
      <c r="K2143" s="3" t="n">
        <f aca="false">COUNTIFS($B$2:$B$4077,B2143,$C$2:$C$4077,C2143,$I$2:$I$4077,I2143)</f>
        <v>1</v>
      </c>
      <c r="L2143" s="3" t="n">
        <f aca="false">IF(COUNTIFS($B$2:B2143,B2143,$C$2:C2143,C2143,$I$2:I2143,I2143)=1,1,0)</f>
        <v>1</v>
      </c>
      <c r="M2143" s="3" t="n">
        <f aca="false">IF(K2143&gt;=Parametri!$B$1,1,0)</f>
        <v>0</v>
      </c>
      <c r="N2143" s="3" t="n">
        <f aca="false">L2143*M2143</f>
        <v>0</v>
      </c>
    </row>
    <row r="2144" customFormat="false" ht="15" hidden="false" customHeight="false" outlineLevel="0" collapsed="false">
      <c r="A2144" s="0" t="s">
        <v>3432</v>
      </c>
      <c r="B2144" s="0" t="s">
        <v>41</v>
      </c>
      <c r="C2144" s="0" t="s">
        <v>456</v>
      </c>
      <c r="D2144" s="0" t="s">
        <v>19</v>
      </c>
      <c r="E2144" s="2" t="n">
        <v>45822</v>
      </c>
      <c r="F2144" s="3" t="s">
        <v>34</v>
      </c>
      <c r="G2144" s="3" t="s">
        <v>43</v>
      </c>
      <c r="H2144" s="3" t="s">
        <v>22</v>
      </c>
      <c r="I2144" s="3" t="n">
        <f aca="false">YEAR(E2144)</f>
        <v>2025</v>
      </c>
      <c r="J2144" s="3" t="n">
        <f aca="false">MONTH(E2144)</f>
        <v>6</v>
      </c>
      <c r="K2144" s="3" t="n">
        <f aca="false">COUNTIFS($B$2:$B$4077,B2144,$C$2:$C$4077,C2144,$I$2:$I$4077,I2144)</f>
        <v>6</v>
      </c>
      <c r="L2144" s="3" t="n">
        <f aca="false">IF(COUNTIFS($B$2:B2144,B2144,$C$2:C2144,C2144,$I$2:I2144,I2144)=1,1,0)</f>
        <v>0</v>
      </c>
      <c r="M2144" s="3" t="n">
        <f aca="false">IF(K2144&gt;=Parametri!$B$1,1,0)</f>
        <v>1</v>
      </c>
      <c r="N2144" s="3" t="n">
        <f aca="false">L2144*M2144</f>
        <v>0</v>
      </c>
    </row>
    <row r="2145" customFormat="false" ht="15" hidden="false" customHeight="false" outlineLevel="0" collapsed="false">
      <c r="A2145" s="0" t="s">
        <v>3433</v>
      </c>
      <c r="B2145" s="0" t="s">
        <v>17</v>
      </c>
      <c r="C2145" s="0" t="s">
        <v>3397</v>
      </c>
      <c r="D2145" s="0" t="s">
        <v>19</v>
      </c>
      <c r="E2145" s="2" t="n">
        <v>45580</v>
      </c>
      <c r="F2145" s="3" t="s">
        <v>20</v>
      </c>
      <c r="G2145" s="3" t="s">
        <v>43</v>
      </c>
      <c r="H2145" s="3" t="s">
        <v>29</v>
      </c>
      <c r="I2145" s="3" t="n">
        <f aca="false">YEAR(E2145)</f>
        <v>2024</v>
      </c>
      <c r="J2145" s="3" t="n">
        <f aca="false">MONTH(E2145)</f>
        <v>10</v>
      </c>
      <c r="K2145" s="3" t="n">
        <f aca="false">COUNTIFS($B$2:$B$4077,B2145,$C$2:$C$4077,C2145,$I$2:$I$4077,I2145)</f>
        <v>1</v>
      </c>
      <c r="L2145" s="3" t="n">
        <f aca="false">IF(COUNTIFS($B$2:B2145,B2145,$C$2:C2145,C2145,$I$2:I2145,I2145)=1,1,0)</f>
        <v>1</v>
      </c>
      <c r="M2145" s="3" t="n">
        <f aca="false">IF(K2145&gt;=Parametri!$B$1,1,0)</f>
        <v>0</v>
      </c>
      <c r="N2145" s="3" t="n">
        <f aca="false">L2145*M2145</f>
        <v>0</v>
      </c>
    </row>
    <row r="2146" customFormat="false" ht="15" hidden="false" customHeight="false" outlineLevel="0" collapsed="false">
      <c r="A2146" s="0" t="s">
        <v>3434</v>
      </c>
      <c r="B2146" s="0" t="s">
        <v>124</v>
      </c>
      <c r="C2146" s="0" t="s">
        <v>3200</v>
      </c>
      <c r="D2146" s="0" t="s">
        <v>66</v>
      </c>
      <c r="E2146" s="2" t="n">
        <v>46157</v>
      </c>
      <c r="F2146" s="3" t="s">
        <v>20</v>
      </c>
      <c r="G2146" s="3" t="s">
        <v>72</v>
      </c>
      <c r="H2146" s="3" t="s">
        <v>48</v>
      </c>
      <c r="I2146" s="3" t="n">
        <f aca="false">YEAR(E2146)</f>
        <v>2026</v>
      </c>
      <c r="J2146" s="3" t="n">
        <f aca="false">MONTH(E2146)</f>
        <v>5</v>
      </c>
      <c r="K2146" s="3" t="n">
        <f aca="false">COUNTIFS($B$2:$B$4077,B2146,$C$2:$C$4077,C2146,$I$2:$I$4077,I2146)</f>
        <v>1</v>
      </c>
      <c r="L2146" s="3" t="n">
        <f aca="false">IF(COUNTIFS($B$2:B2146,B2146,$C$2:C2146,C2146,$I$2:I2146,I2146)=1,1,0)</f>
        <v>1</v>
      </c>
      <c r="M2146" s="3" t="n">
        <f aca="false">IF(K2146&gt;=Parametri!$B$1,1,0)</f>
        <v>0</v>
      </c>
      <c r="N2146" s="3" t="n">
        <f aca="false">L2146*M2146</f>
        <v>0</v>
      </c>
    </row>
    <row r="2147" customFormat="false" ht="15" hidden="false" customHeight="false" outlineLevel="0" collapsed="false">
      <c r="A2147" s="0" t="s">
        <v>3435</v>
      </c>
      <c r="B2147" s="0" t="s">
        <v>57</v>
      </c>
      <c r="C2147" s="0" t="s">
        <v>527</v>
      </c>
      <c r="D2147" s="0" t="s">
        <v>38</v>
      </c>
      <c r="E2147" s="2" t="n">
        <v>45473</v>
      </c>
      <c r="F2147" s="3" t="s">
        <v>27</v>
      </c>
      <c r="G2147" s="3" t="s">
        <v>35</v>
      </c>
      <c r="H2147" s="3" t="s">
        <v>44</v>
      </c>
      <c r="I2147" s="3" t="n">
        <f aca="false">YEAR(E2147)</f>
        <v>2024</v>
      </c>
      <c r="J2147" s="3" t="n">
        <f aca="false">MONTH(E2147)</f>
        <v>6</v>
      </c>
      <c r="K2147" s="3" t="n">
        <f aca="false">COUNTIFS($B$2:$B$4077,B2147,$C$2:$C$4077,C2147,$I$2:$I$4077,I2147)</f>
        <v>4</v>
      </c>
      <c r="L2147" s="3" t="n">
        <f aca="false">IF(COUNTIFS($B$2:B2147,B2147,$C$2:C2147,C2147,$I$2:I2147,I2147)=1,1,0)</f>
        <v>0</v>
      </c>
      <c r="M2147" s="3" t="n">
        <f aca="false">IF(K2147&gt;=Parametri!$B$1,1,0)</f>
        <v>1</v>
      </c>
      <c r="N2147" s="3" t="n">
        <f aca="false">L2147*M2147</f>
        <v>0</v>
      </c>
    </row>
    <row r="2148" customFormat="false" ht="15" hidden="false" customHeight="false" outlineLevel="0" collapsed="false">
      <c r="A2148" s="0" t="s">
        <v>3436</v>
      </c>
      <c r="B2148" s="0" t="s">
        <v>24</v>
      </c>
      <c r="C2148" s="0" t="s">
        <v>3437</v>
      </c>
      <c r="D2148" s="0" t="s">
        <v>54</v>
      </c>
      <c r="E2148" s="2" t="n">
        <v>46015</v>
      </c>
      <c r="F2148" s="3" t="s">
        <v>20</v>
      </c>
      <c r="G2148" s="3" t="s">
        <v>39</v>
      </c>
      <c r="H2148" s="3" t="s">
        <v>29</v>
      </c>
      <c r="I2148" s="3" t="n">
        <f aca="false">YEAR(E2148)</f>
        <v>2025</v>
      </c>
      <c r="J2148" s="3" t="n">
        <f aca="false">MONTH(E2148)</f>
        <v>12</v>
      </c>
      <c r="K2148" s="3" t="n">
        <f aca="false">COUNTIFS($B$2:$B$4077,B2148,$C$2:$C$4077,C2148,$I$2:$I$4077,I2148)</f>
        <v>2</v>
      </c>
      <c r="L2148" s="3" t="n">
        <f aca="false">IF(COUNTIFS($B$2:B2148,B2148,$C$2:C2148,C2148,$I$2:I2148,I2148)=1,1,0)</f>
        <v>1</v>
      </c>
      <c r="M2148" s="3" t="n">
        <f aca="false">IF(K2148&gt;=Parametri!$B$1,1,0)</f>
        <v>1</v>
      </c>
      <c r="N2148" s="3" t="n">
        <f aca="false">L2148*M2148</f>
        <v>1</v>
      </c>
    </row>
    <row r="2149" customFormat="false" ht="15" hidden="false" customHeight="false" outlineLevel="0" collapsed="false">
      <c r="A2149" s="0" t="s">
        <v>3438</v>
      </c>
      <c r="B2149" s="0" t="s">
        <v>68</v>
      </c>
      <c r="C2149" s="0" t="s">
        <v>3439</v>
      </c>
      <c r="D2149" s="0" t="s">
        <v>26</v>
      </c>
      <c r="E2149" s="2" t="n">
        <v>45964</v>
      </c>
      <c r="F2149" s="3" t="s">
        <v>27</v>
      </c>
      <c r="G2149" s="3" t="s">
        <v>55</v>
      </c>
      <c r="H2149" s="3" t="s">
        <v>29</v>
      </c>
      <c r="I2149" s="3" t="n">
        <f aca="false">YEAR(E2149)</f>
        <v>2025</v>
      </c>
      <c r="J2149" s="3" t="n">
        <f aca="false">MONTH(E2149)</f>
        <v>11</v>
      </c>
      <c r="K2149" s="3" t="n">
        <f aca="false">COUNTIFS($B$2:$B$4077,B2149,$C$2:$C$4077,C2149,$I$2:$I$4077,I2149)</f>
        <v>1</v>
      </c>
      <c r="L2149" s="3" t="n">
        <f aca="false">IF(COUNTIFS($B$2:B2149,B2149,$C$2:C2149,C2149,$I$2:I2149,I2149)=1,1,0)</f>
        <v>1</v>
      </c>
      <c r="M2149" s="3" t="n">
        <f aca="false">IF(K2149&gt;=Parametri!$B$1,1,0)</f>
        <v>0</v>
      </c>
      <c r="N2149" s="3" t="n">
        <f aca="false">L2149*M2149</f>
        <v>0</v>
      </c>
    </row>
    <row r="2150" customFormat="false" ht="15" hidden="false" customHeight="false" outlineLevel="0" collapsed="false">
      <c r="A2150" s="0" t="s">
        <v>3440</v>
      </c>
      <c r="B2150" s="0" t="s">
        <v>17</v>
      </c>
      <c r="C2150" s="0" t="s">
        <v>231</v>
      </c>
      <c r="D2150" s="0" t="s">
        <v>77</v>
      </c>
      <c r="E2150" s="2" t="n">
        <v>45689</v>
      </c>
      <c r="F2150" s="3" t="s">
        <v>20</v>
      </c>
      <c r="G2150" s="3" t="s">
        <v>89</v>
      </c>
      <c r="H2150" s="3" t="s">
        <v>48</v>
      </c>
      <c r="I2150" s="3" t="n">
        <f aca="false">YEAR(E2150)</f>
        <v>2025</v>
      </c>
      <c r="J2150" s="3" t="n">
        <f aca="false">MONTH(E2150)</f>
        <v>2</v>
      </c>
      <c r="K2150" s="3" t="n">
        <f aca="false">COUNTIFS($B$2:$B$4077,B2150,$C$2:$C$4077,C2150,$I$2:$I$4077,I2150)</f>
        <v>6</v>
      </c>
      <c r="L2150" s="3" t="n">
        <f aca="false">IF(COUNTIFS($B$2:B2150,B2150,$C$2:C2150,C2150,$I$2:I2150,I2150)=1,1,0)</f>
        <v>0</v>
      </c>
      <c r="M2150" s="3" t="n">
        <f aca="false">IF(K2150&gt;=Parametri!$B$1,1,0)</f>
        <v>1</v>
      </c>
      <c r="N2150" s="3" t="n">
        <f aca="false">L2150*M2150</f>
        <v>0</v>
      </c>
    </row>
    <row r="2151" customFormat="false" ht="15" hidden="false" customHeight="false" outlineLevel="0" collapsed="false">
      <c r="A2151" s="0" t="s">
        <v>3441</v>
      </c>
      <c r="B2151" s="0" t="s">
        <v>17</v>
      </c>
      <c r="C2151" s="0" t="s">
        <v>3442</v>
      </c>
      <c r="D2151" s="0" t="s">
        <v>77</v>
      </c>
      <c r="E2151" s="2" t="n">
        <v>45589</v>
      </c>
      <c r="F2151" s="3" t="s">
        <v>34</v>
      </c>
      <c r="G2151" s="3" t="s">
        <v>104</v>
      </c>
      <c r="H2151" s="3" t="s">
        <v>104</v>
      </c>
      <c r="I2151" s="3" t="n">
        <f aca="false">YEAR(E2151)</f>
        <v>2024</v>
      </c>
      <c r="J2151" s="3" t="n">
        <f aca="false">MONTH(E2151)</f>
        <v>10</v>
      </c>
      <c r="K2151" s="3" t="n">
        <f aca="false">COUNTIFS($B$2:$B$4077,B2151,$C$2:$C$4077,C2151,$I$2:$I$4077,I2151)</f>
        <v>1</v>
      </c>
      <c r="L2151" s="3" t="n">
        <f aca="false">IF(COUNTIFS($B$2:B2151,B2151,$C$2:C2151,C2151,$I$2:I2151,I2151)=1,1,0)</f>
        <v>1</v>
      </c>
      <c r="M2151" s="3" t="n">
        <f aca="false">IF(K2151&gt;=Parametri!$B$1,1,0)</f>
        <v>0</v>
      </c>
      <c r="N2151" s="3" t="n">
        <f aca="false">L2151*M2151</f>
        <v>0</v>
      </c>
    </row>
    <row r="2152" customFormat="false" ht="15" hidden="false" customHeight="false" outlineLevel="0" collapsed="false">
      <c r="A2152" s="0" t="s">
        <v>3443</v>
      </c>
      <c r="B2152" s="0" t="s">
        <v>46</v>
      </c>
      <c r="C2152" s="0" t="s">
        <v>919</v>
      </c>
      <c r="D2152" s="0" t="s">
        <v>26</v>
      </c>
      <c r="E2152" s="2" t="n">
        <v>45321</v>
      </c>
      <c r="F2152" s="3" t="s">
        <v>34</v>
      </c>
      <c r="G2152" s="3" t="s">
        <v>55</v>
      </c>
      <c r="H2152" s="3" t="s">
        <v>22</v>
      </c>
      <c r="I2152" s="3" t="n">
        <f aca="false">YEAR(E2152)</f>
        <v>2024</v>
      </c>
      <c r="J2152" s="3" t="n">
        <f aca="false">MONTH(E2152)</f>
        <v>1</v>
      </c>
      <c r="K2152" s="3" t="n">
        <f aca="false">COUNTIFS($B$2:$B$4077,B2152,$C$2:$C$4077,C2152,$I$2:$I$4077,I2152)</f>
        <v>1</v>
      </c>
      <c r="L2152" s="3" t="n">
        <f aca="false">IF(COUNTIFS($B$2:B2152,B2152,$C$2:C2152,C2152,$I$2:I2152,I2152)=1,1,0)</f>
        <v>1</v>
      </c>
      <c r="M2152" s="3" t="n">
        <f aca="false">IF(K2152&gt;=Parametri!$B$1,1,0)</f>
        <v>0</v>
      </c>
      <c r="N2152" s="3" t="n">
        <f aca="false">L2152*M2152</f>
        <v>0</v>
      </c>
    </row>
    <row r="2153" customFormat="false" ht="15" hidden="false" customHeight="false" outlineLevel="0" collapsed="false">
      <c r="A2153" s="0" t="s">
        <v>3444</v>
      </c>
      <c r="B2153" s="0" t="s">
        <v>46</v>
      </c>
      <c r="C2153" s="0" t="s">
        <v>3445</v>
      </c>
      <c r="D2153" s="0" t="s">
        <v>66</v>
      </c>
      <c r="E2153" s="2" t="n">
        <v>45935</v>
      </c>
      <c r="F2153" s="3" t="s">
        <v>27</v>
      </c>
      <c r="G2153" s="3" t="s">
        <v>21</v>
      </c>
      <c r="H2153" s="3" t="s">
        <v>29</v>
      </c>
      <c r="I2153" s="3" t="n">
        <f aca="false">YEAR(E2153)</f>
        <v>2025</v>
      </c>
      <c r="J2153" s="3" t="n">
        <f aca="false">MONTH(E2153)</f>
        <v>10</v>
      </c>
      <c r="K2153" s="3" t="n">
        <f aca="false">COUNTIFS($B$2:$B$4077,B2153,$C$2:$C$4077,C2153,$I$2:$I$4077,I2153)</f>
        <v>1</v>
      </c>
      <c r="L2153" s="3" t="n">
        <f aca="false">IF(COUNTIFS($B$2:B2153,B2153,$C$2:C2153,C2153,$I$2:I2153,I2153)=1,1,0)</f>
        <v>1</v>
      </c>
      <c r="M2153" s="3" t="n">
        <f aca="false">IF(K2153&gt;=Parametri!$B$1,1,0)</f>
        <v>0</v>
      </c>
      <c r="N2153" s="3" t="n">
        <f aca="false">L2153*M2153</f>
        <v>0</v>
      </c>
    </row>
    <row r="2154" customFormat="false" ht="15" hidden="false" customHeight="false" outlineLevel="0" collapsed="false">
      <c r="A2154" s="0" t="s">
        <v>3446</v>
      </c>
      <c r="B2154" s="0" t="s">
        <v>24</v>
      </c>
      <c r="C2154" s="0" t="s">
        <v>141</v>
      </c>
      <c r="D2154" s="0" t="s">
        <v>19</v>
      </c>
      <c r="E2154" s="2" t="n">
        <v>46043</v>
      </c>
      <c r="F2154" s="3" t="s">
        <v>20</v>
      </c>
      <c r="G2154" s="3" t="s">
        <v>35</v>
      </c>
      <c r="H2154" s="3" t="s">
        <v>44</v>
      </c>
      <c r="I2154" s="3" t="n">
        <f aca="false">YEAR(E2154)</f>
        <v>2026</v>
      </c>
      <c r="J2154" s="3" t="n">
        <f aca="false">MONTH(E2154)</f>
        <v>1</v>
      </c>
      <c r="K2154" s="3" t="n">
        <f aca="false">COUNTIFS($B$2:$B$4077,B2154,$C$2:$C$4077,C2154,$I$2:$I$4077,I2154)</f>
        <v>1</v>
      </c>
      <c r="L2154" s="3" t="n">
        <f aca="false">IF(COUNTIFS($B$2:B2154,B2154,$C$2:C2154,C2154,$I$2:I2154,I2154)=1,1,0)</f>
        <v>1</v>
      </c>
      <c r="M2154" s="3" t="n">
        <f aca="false">IF(K2154&gt;=Parametri!$B$1,1,0)</f>
        <v>0</v>
      </c>
      <c r="N2154" s="3" t="n">
        <f aca="false">L2154*M2154</f>
        <v>0</v>
      </c>
    </row>
    <row r="2155" customFormat="false" ht="15" hidden="false" customHeight="false" outlineLevel="0" collapsed="false">
      <c r="A2155" s="0" t="s">
        <v>3447</v>
      </c>
      <c r="B2155" s="0" t="s">
        <v>46</v>
      </c>
      <c r="C2155" s="0" t="s">
        <v>3448</v>
      </c>
      <c r="D2155" s="0" t="s">
        <v>38</v>
      </c>
      <c r="E2155" s="2" t="n">
        <v>45950</v>
      </c>
      <c r="F2155" s="3" t="s">
        <v>20</v>
      </c>
      <c r="G2155" s="3" t="s">
        <v>21</v>
      </c>
      <c r="H2155" s="3" t="s">
        <v>44</v>
      </c>
      <c r="I2155" s="3" t="n">
        <f aca="false">YEAR(E2155)</f>
        <v>2025</v>
      </c>
      <c r="J2155" s="3" t="n">
        <f aca="false">MONTH(E2155)</f>
        <v>10</v>
      </c>
      <c r="K2155" s="3" t="n">
        <f aca="false">COUNTIFS($B$2:$B$4077,B2155,$C$2:$C$4077,C2155,$I$2:$I$4077,I2155)</f>
        <v>1</v>
      </c>
      <c r="L2155" s="3" t="n">
        <f aca="false">IF(COUNTIFS($B$2:B2155,B2155,$C$2:C2155,C2155,$I$2:I2155,I2155)=1,1,0)</f>
        <v>1</v>
      </c>
      <c r="M2155" s="3" t="n">
        <f aca="false">IF(K2155&gt;=Parametri!$B$1,1,0)</f>
        <v>0</v>
      </c>
      <c r="N2155" s="3" t="n">
        <f aca="false">L2155*M2155</f>
        <v>0</v>
      </c>
    </row>
    <row r="2156" customFormat="false" ht="15" hidden="false" customHeight="false" outlineLevel="0" collapsed="false">
      <c r="A2156" s="0" t="s">
        <v>3449</v>
      </c>
      <c r="B2156" s="0" t="s">
        <v>124</v>
      </c>
      <c r="C2156" s="0" t="s">
        <v>3450</v>
      </c>
      <c r="D2156" s="0" t="s">
        <v>54</v>
      </c>
      <c r="E2156" s="2" t="n">
        <v>45965</v>
      </c>
      <c r="F2156" s="3" t="s">
        <v>20</v>
      </c>
      <c r="G2156" s="3" t="s">
        <v>28</v>
      </c>
      <c r="H2156" s="3" t="s">
        <v>29</v>
      </c>
      <c r="I2156" s="3" t="n">
        <f aca="false">YEAR(E2156)</f>
        <v>2025</v>
      </c>
      <c r="J2156" s="3" t="n">
        <f aca="false">MONTH(E2156)</f>
        <v>11</v>
      </c>
      <c r="K2156" s="3" t="n">
        <f aca="false">COUNTIFS($B$2:$B$4077,B2156,$C$2:$C$4077,C2156,$I$2:$I$4077,I2156)</f>
        <v>1</v>
      </c>
      <c r="L2156" s="3" t="n">
        <f aca="false">IF(COUNTIFS($B$2:B2156,B2156,$C$2:C2156,C2156,$I$2:I2156,I2156)=1,1,0)</f>
        <v>1</v>
      </c>
      <c r="M2156" s="3" t="n">
        <f aca="false">IF(K2156&gt;=Parametri!$B$1,1,0)</f>
        <v>0</v>
      </c>
      <c r="N2156" s="3" t="n">
        <f aca="false">L2156*M2156</f>
        <v>0</v>
      </c>
    </row>
    <row r="2157" customFormat="false" ht="15" hidden="false" customHeight="false" outlineLevel="0" collapsed="false">
      <c r="A2157" s="0" t="s">
        <v>3451</v>
      </c>
      <c r="B2157" s="0" t="s">
        <v>79</v>
      </c>
      <c r="C2157" s="0" t="s">
        <v>258</v>
      </c>
      <c r="D2157" s="0" t="s">
        <v>19</v>
      </c>
      <c r="E2157" s="2" t="n">
        <v>45892</v>
      </c>
      <c r="F2157" s="3" t="s">
        <v>27</v>
      </c>
      <c r="G2157" s="3" t="s">
        <v>28</v>
      </c>
      <c r="H2157" s="3" t="s">
        <v>22</v>
      </c>
      <c r="I2157" s="3" t="n">
        <f aca="false">YEAR(E2157)</f>
        <v>2025</v>
      </c>
      <c r="J2157" s="3" t="n">
        <f aca="false">MONTH(E2157)</f>
        <v>8</v>
      </c>
      <c r="K2157" s="3" t="n">
        <f aca="false">COUNTIFS($B$2:$B$4077,B2157,$C$2:$C$4077,C2157,$I$2:$I$4077,I2157)</f>
        <v>2</v>
      </c>
      <c r="L2157" s="3" t="n">
        <f aca="false">IF(COUNTIFS($B$2:B2157,B2157,$C$2:C2157,C2157,$I$2:I2157,I2157)=1,1,0)</f>
        <v>1</v>
      </c>
      <c r="M2157" s="3" t="n">
        <f aca="false">IF(K2157&gt;=Parametri!$B$1,1,0)</f>
        <v>1</v>
      </c>
      <c r="N2157" s="3" t="n">
        <f aca="false">L2157*M2157</f>
        <v>1</v>
      </c>
    </row>
    <row r="2158" customFormat="false" ht="15" hidden="false" customHeight="false" outlineLevel="0" collapsed="false">
      <c r="A2158" s="0" t="s">
        <v>3452</v>
      </c>
      <c r="B2158" s="0" t="s">
        <v>41</v>
      </c>
      <c r="C2158" s="0" t="s">
        <v>3453</v>
      </c>
      <c r="D2158" s="0" t="s">
        <v>33</v>
      </c>
      <c r="E2158" s="2" t="n">
        <v>45579</v>
      </c>
      <c r="F2158" s="3" t="s">
        <v>27</v>
      </c>
      <c r="G2158" s="3" t="s">
        <v>43</v>
      </c>
      <c r="H2158" s="3" t="s">
        <v>44</v>
      </c>
      <c r="I2158" s="3" t="n">
        <f aca="false">YEAR(E2158)</f>
        <v>2024</v>
      </c>
      <c r="J2158" s="3" t="n">
        <f aca="false">MONTH(E2158)</f>
        <v>10</v>
      </c>
      <c r="K2158" s="3" t="n">
        <f aca="false">COUNTIFS($B$2:$B$4077,B2158,$C$2:$C$4077,C2158,$I$2:$I$4077,I2158)</f>
        <v>1</v>
      </c>
      <c r="L2158" s="3" t="n">
        <f aca="false">IF(COUNTIFS($B$2:B2158,B2158,$C$2:C2158,C2158,$I$2:I2158,I2158)=1,1,0)</f>
        <v>1</v>
      </c>
      <c r="M2158" s="3" t="n">
        <f aca="false">IF(K2158&gt;=Parametri!$B$1,1,0)</f>
        <v>0</v>
      </c>
      <c r="N2158" s="3" t="n">
        <f aca="false">L2158*M2158</f>
        <v>0</v>
      </c>
    </row>
    <row r="2159" customFormat="false" ht="15" hidden="false" customHeight="false" outlineLevel="0" collapsed="false">
      <c r="A2159" s="0" t="s">
        <v>3454</v>
      </c>
      <c r="B2159" s="0" t="s">
        <v>17</v>
      </c>
      <c r="C2159" s="0" t="s">
        <v>3455</v>
      </c>
      <c r="D2159" s="0" t="s">
        <v>19</v>
      </c>
      <c r="E2159" s="2" t="n">
        <v>45485</v>
      </c>
      <c r="F2159" s="3" t="s">
        <v>20</v>
      </c>
      <c r="G2159" s="3" t="s">
        <v>35</v>
      </c>
      <c r="H2159" s="3" t="s">
        <v>29</v>
      </c>
      <c r="I2159" s="3" t="n">
        <f aca="false">YEAR(E2159)</f>
        <v>2024</v>
      </c>
      <c r="J2159" s="3" t="n">
        <f aca="false">MONTH(E2159)</f>
        <v>7</v>
      </c>
      <c r="K2159" s="3" t="n">
        <f aca="false">COUNTIFS($B$2:$B$4077,B2159,$C$2:$C$4077,C2159,$I$2:$I$4077,I2159)</f>
        <v>1</v>
      </c>
      <c r="L2159" s="3" t="n">
        <f aca="false">IF(COUNTIFS($B$2:B2159,B2159,$C$2:C2159,C2159,$I$2:I2159,I2159)=1,1,0)</f>
        <v>1</v>
      </c>
      <c r="M2159" s="3" t="n">
        <f aca="false">IF(K2159&gt;=Parametri!$B$1,1,0)</f>
        <v>0</v>
      </c>
      <c r="N2159" s="3" t="n">
        <f aca="false">L2159*M2159</f>
        <v>0</v>
      </c>
    </row>
    <row r="2160" customFormat="false" ht="15" hidden="false" customHeight="false" outlineLevel="0" collapsed="false">
      <c r="A2160" s="0" t="s">
        <v>3456</v>
      </c>
      <c r="B2160" s="0" t="s">
        <v>50</v>
      </c>
      <c r="C2160" s="0" t="s">
        <v>3457</v>
      </c>
      <c r="D2160" s="0" t="s">
        <v>19</v>
      </c>
      <c r="E2160" s="2" t="n">
        <v>46114</v>
      </c>
      <c r="F2160" s="3" t="s">
        <v>34</v>
      </c>
      <c r="G2160" s="3" t="s">
        <v>35</v>
      </c>
      <c r="H2160" s="3" t="s">
        <v>48</v>
      </c>
      <c r="I2160" s="3" t="n">
        <f aca="false">YEAR(E2160)</f>
        <v>2026</v>
      </c>
      <c r="J2160" s="3" t="n">
        <f aca="false">MONTH(E2160)</f>
        <v>4</v>
      </c>
      <c r="K2160" s="3" t="n">
        <f aca="false">COUNTIFS($B$2:$B$4077,B2160,$C$2:$C$4077,C2160,$I$2:$I$4077,I2160)</f>
        <v>1</v>
      </c>
      <c r="L2160" s="3" t="n">
        <f aca="false">IF(COUNTIFS($B$2:B2160,B2160,$C$2:C2160,C2160,$I$2:I2160,I2160)=1,1,0)</f>
        <v>1</v>
      </c>
      <c r="M2160" s="3" t="n">
        <f aca="false">IF(K2160&gt;=Parametri!$B$1,1,0)</f>
        <v>0</v>
      </c>
      <c r="N2160" s="3" t="n">
        <f aca="false">L2160*M2160</f>
        <v>0</v>
      </c>
    </row>
    <row r="2161" customFormat="false" ht="15" hidden="false" customHeight="false" outlineLevel="0" collapsed="false">
      <c r="A2161" s="0" t="s">
        <v>3458</v>
      </c>
      <c r="B2161" s="0" t="s">
        <v>124</v>
      </c>
      <c r="C2161" s="0" t="s">
        <v>125</v>
      </c>
      <c r="D2161" s="0" t="s">
        <v>38</v>
      </c>
      <c r="E2161" s="2" t="n">
        <v>45573</v>
      </c>
      <c r="F2161" s="3" t="s">
        <v>20</v>
      </c>
      <c r="G2161" s="3" t="s">
        <v>55</v>
      </c>
      <c r="H2161" s="3" t="s">
        <v>29</v>
      </c>
      <c r="I2161" s="3" t="n">
        <f aca="false">YEAR(E2161)</f>
        <v>2024</v>
      </c>
      <c r="J2161" s="3" t="n">
        <f aca="false">MONTH(E2161)</f>
        <v>10</v>
      </c>
      <c r="K2161" s="3" t="n">
        <f aca="false">COUNTIFS($B$2:$B$4077,B2161,$C$2:$C$4077,C2161,$I$2:$I$4077,I2161)</f>
        <v>4</v>
      </c>
      <c r="L2161" s="3" t="n">
        <f aca="false">IF(COUNTIFS($B$2:B2161,B2161,$C$2:C2161,C2161,$I$2:I2161,I2161)=1,1,0)</f>
        <v>0</v>
      </c>
      <c r="M2161" s="3" t="n">
        <f aca="false">IF(K2161&gt;=Parametri!$B$1,1,0)</f>
        <v>1</v>
      </c>
      <c r="N2161" s="3" t="n">
        <f aca="false">L2161*M2161</f>
        <v>0</v>
      </c>
    </row>
    <row r="2162" customFormat="false" ht="15" hidden="false" customHeight="false" outlineLevel="0" collapsed="false">
      <c r="A2162" s="0" t="s">
        <v>3459</v>
      </c>
      <c r="B2162" s="0" t="s">
        <v>17</v>
      </c>
      <c r="C2162" s="0" t="s">
        <v>2419</v>
      </c>
      <c r="D2162" s="0" t="s">
        <v>38</v>
      </c>
      <c r="E2162" s="2" t="n">
        <v>45340</v>
      </c>
      <c r="F2162" s="3" t="s">
        <v>27</v>
      </c>
      <c r="G2162" s="3" t="s">
        <v>39</v>
      </c>
      <c r="H2162" s="3" t="s">
        <v>48</v>
      </c>
      <c r="I2162" s="3" t="n">
        <f aca="false">YEAR(E2162)</f>
        <v>2024</v>
      </c>
      <c r="J2162" s="3" t="n">
        <f aca="false">MONTH(E2162)</f>
        <v>2</v>
      </c>
      <c r="K2162" s="3" t="n">
        <f aca="false">COUNTIFS($B$2:$B$4077,B2162,$C$2:$C$4077,C2162,$I$2:$I$4077,I2162)</f>
        <v>2</v>
      </c>
      <c r="L2162" s="3" t="n">
        <f aca="false">IF(COUNTIFS($B$2:B2162,B2162,$C$2:C2162,C2162,$I$2:I2162,I2162)=1,1,0)</f>
        <v>0</v>
      </c>
      <c r="M2162" s="3" t="n">
        <f aca="false">IF(K2162&gt;=Parametri!$B$1,1,0)</f>
        <v>1</v>
      </c>
      <c r="N2162" s="3" t="n">
        <f aca="false">L2162*M2162</f>
        <v>0</v>
      </c>
    </row>
    <row r="2163" customFormat="false" ht="15" hidden="false" customHeight="false" outlineLevel="0" collapsed="false">
      <c r="A2163" s="0" t="s">
        <v>3460</v>
      </c>
      <c r="B2163" s="0" t="s">
        <v>68</v>
      </c>
      <c r="C2163" s="0" t="s">
        <v>1663</v>
      </c>
      <c r="D2163" s="0" t="s">
        <v>77</v>
      </c>
      <c r="E2163" s="2" t="n">
        <v>45474</v>
      </c>
      <c r="F2163" s="3" t="s">
        <v>20</v>
      </c>
      <c r="G2163" s="3" t="s">
        <v>72</v>
      </c>
      <c r="H2163" s="3" t="s">
        <v>44</v>
      </c>
      <c r="I2163" s="3" t="n">
        <f aca="false">YEAR(E2163)</f>
        <v>2024</v>
      </c>
      <c r="J2163" s="3" t="n">
        <f aca="false">MONTH(E2163)</f>
        <v>7</v>
      </c>
      <c r="K2163" s="3" t="n">
        <f aca="false">COUNTIFS($B$2:$B$4077,B2163,$C$2:$C$4077,C2163,$I$2:$I$4077,I2163)</f>
        <v>1</v>
      </c>
      <c r="L2163" s="3" t="n">
        <f aca="false">IF(COUNTIFS($B$2:B2163,B2163,$C$2:C2163,C2163,$I$2:I2163,I2163)=1,1,0)</f>
        <v>1</v>
      </c>
      <c r="M2163" s="3" t="n">
        <f aca="false">IF(K2163&gt;=Parametri!$B$1,1,0)</f>
        <v>0</v>
      </c>
      <c r="N2163" s="3" t="n">
        <f aca="false">L2163*M2163</f>
        <v>0</v>
      </c>
    </row>
    <row r="2164" customFormat="false" ht="15" hidden="false" customHeight="false" outlineLevel="0" collapsed="false">
      <c r="A2164" s="0" t="s">
        <v>3461</v>
      </c>
      <c r="B2164" s="0" t="s">
        <v>46</v>
      </c>
      <c r="C2164" s="0" t="s">
        <v>1255</v>
      </c>
      <c r="D2164" s="0" t="s">
        <v>38</v>
      </c>
      <c r="E2164" s="2" t="n">
        <v>45446</v>
      </c>
      <c r="F2164" s="3" t="s">
        <v>34</v>
      </c>
      <c r="G2164" s="3" t="s">
        <v>55</v>
      </c>
      <c r="H2164" s="3" t="s">
        <v>48</v>
      </c>
      <c r="I2164" s="3" t="n">
        <f aca="false">YEAR(E2164)</f>
        <v>2024</v>
      </c>
      <c r="J2164" s="3" t="n">
        <f aca="false">MONTH(E2164)</f>
        <v>6</v>
      </c>
      <c r="K2164" s="3" t="n">
        <f aca="false">COUNTIFS($B$2:$B$4077,B2164,$C$2:$C$4077,C2164,$I$2:$I$4077,I2164)</f>
        <v>2</v>
      </c>
      <c r="L2164" s="3" t="n">
        <f aca="false">IF(COUNTIFS($B$2:B2164,B2164,$C$2:C2164,C2164,$I$2:I2164,I2164)=1,1,0)</f>
        <v>0</v>
      </c>
      <c r="M2164" s="3" t="n">
        <f aca="false">IF(K2164&gt;=Parametri!$B$1,1,0)</f>
        <v>1</v>
      </c>
      <c r="N2164" s="3" t="n">
        <f aca="false">L2164*M2164</f>
        <v>0</v>
      </c>
    </row>
    <row r="2165" customFormat="false" ht="15" hidden="false" customHeight="false" outlineLevel="0" collapsed="false">
      <c r="A2165" s="0" t="s">
        <v>3462</v>
      </c>
      <c r="B2165" s="0" t="s">
        <v>46</v>
      </c>
      <c r="C2165" s="0" t="s">
        <v>3463</v>
      </c>
      <c r="D2165" s="0" t="s">
        <v>26</v>
      </c>
      <c r="E2165" s="2" t="n">
        <v>46139</v>
      </c>
      <c r="F2165" s="3" t="s">
        <v>20</v>
      </c>
      <c r="G2165" s="3" t="s">
        <v>35</v>
      </c>
      <c r="H2165" s="3" t="s">
        <v>29</v>
      </c>
      <c r="I2165" s="3" t="n">
        <f aca="false">YEAR(E2165)</f>
        <v>2026</v>
      </c>
      <c r="J2165" s="3" t="n">
        <f aca="false">MONTH(E2165)</f>
        <v>4</v>
      </c>
      <c r="K2165" s="3" t="n">
        <f aca="false">COUNTIFS($B$2:$B$4077,B2165,$C$2:$C$4077,C2165,$I$2:$I$4077,I2165)</f>
        <v>1</v>
      </c>
      <c r="L2165" s="3" t="n">
        <f aca="false">IF(COUNTIFS($B$2:B2165,B2165,$C$2:C2165,C2165,$I$2:I2165,I2165)=1,1,0)</f>
        <v>1</v>
      </c>
      <c r="M2165" s="3" t="n">
        <f aca="false">IF(K2165&gt;=Parametri!$B$1,1,0)</f>
        <v>0</v>
      </c>
      <c r="N2165" s="3" t="n">
        <f aca="false">L2165*M2165</f>
        <v>0</v>
      </c>
    </row>
    <row r="2166" customFormat="false" ht="15" hidden="false" customHeight="false" outlineLevel="0" collapsed="false">
      <c r="A2166" s="0" t="s">
        <v>3464</v>
      </c>
      <c r="B2166" s="0" t="s">
        <v>79</v>
      </c>
      <c r="C2166" s="0" t="s">
        <v>592</v>
      </c>
      <c r="D2166" s="0" t="s">
        <v>38</v>
      </c>
      <c r="E2166" s="2" t="n">
        <v>46030</v>
      </c>
      <c r="F2166" s="3" t="s">
        <v>34</v>
      </c>
      <c r="G2166" s="3" t="s">
        <v>55</v>
      </c>
      <c r="H2166" s="3" t="s">
        <v>48</v>
      </c>
      <c r="I2166" s="3" t="n">
        <f aca="false">YEAR(E2166)</f>
        <v>2026</v>
      </c>
      <c r="J2166" s="3" t="n">
        <f aca="false">MONTH(E2166)</f>
        <v>1</v>
      </c>
      <c r="K2166" s="3" t="n">
        <f aca="false">COUNTIFS($B$2:$B$4077,B2166,$C$2:$C$4077,C2166,$I$2:$I$4077,I2166)</f>
        <v>2</v>
      </c>
      <c r="L2166" s="3" t="n">
        <f aca="false">IF(COUNTIFS($B$2:B2166,B2166,$C$2:C2166,C2166,$I$2:I2166,I2166)=1,1,0)</f>
        <v>0</v>
      </c>
      <c r="M2166" s="3" t="n">
        <f aca="false">IF(K2166&gt;=Parametri!$B$1,1,0)</f>
        <v>1</v>
      </c>
      <c r="N2166" s="3" t="n">
        <f aca="false">L2166*M2166</f>
        <v>0</v>
      </c>
    </row>
    <row r="2167" customFormat="false" ht="15" hidden="false" customHeight="false" outlineLevel="0" collapsed="false">
      <c r="A2167" s="0" t="s">
        <v>3465</v>
      </c>
      <c r="B2167" s="0" t="s">
        <v>79</v>
      </c>
      <c r="C2167" s="0" t="s">
        <v>3466</v>
      </c>
      <c r="D2167" s="0" t="s">
        <v>77</v>
      </c>
      <c r="E2167" s="2" t="n">
        <v>46101</v>
      </c>
      <c r="F2167" s="3" t="s">
        <v>20</v>
      </c>
      <c r="G2167" s="3" t="s">
        <v>21</v>
      </c>
      <c r="H2167" s="3" t="s">
        <v>29</v>
      </c>
      <c r="I2167" s="3" t="n">
        <f aca="false">YEAR(E2167)</f>
        <v>2026</v>
      </c>
      <c r="J2167" s="3" t="n">
        <f aca="false">MONTH(E2167)</f>
        <v>3</v>
      </c>
      <c r="K2167" s="3" t="n">
        <f aca="false">COUNTIFS($B$2:$B$4077,B2167,$C$2:$C$4077,C2167,$I$2:$I$4077,I2167)</f>
        <v>1</v>
      </c>
      <c r="L2167" s="3" t="n">
        <f aca="false">IF(COUNTIFS($B$2:B2167,B2167,$C$2:C2167,C2167,$I$2:I2167,I2167)=1,1,0)</f>
        <v>1</v>
      </c>
      <c r="M2167" s="3" t="n">
        <f aca="false">IF(K2167&gt;=Parametri!$B$1,1,0)</f>
        <v>0</v>
      </c>
      <c r="N2167" s="3" t="n">
        <f aca="false">L2167*M2167</f>
        <v>0</v>
      </c>
    </row>
    <row r="2168" customFormat="false" ht="15" hidden="false" customHeight="false" outlineLevel="0" collapsed="false">
      <c r="A2168" s="0" t="s">
        <v>3467</v>
      </c>
      <c r="B2168" s="0" t="s">
        <v>79</v>
      </c>
      <c r="C2168" s="0" t="s">
        <v>2227</v>
      </c>
      <c r="D2168" s="0" t="s">
        <v>26</v>
      </c>
      <c r="E2168" s="2" t="n">
        <v>45829</v>
      </c>
      <c r="F2168" s="3" t="s">
        <v>20</v>
      </c>
      <c r="G2168" s="3" t="s">
        <v>21</v>
      </c>
      <c r="H2168" s="3" t="s">
        <v>48</v>
      </c>
      <c r="I2168" s="3" t="n">
        <f aca="false">YEAR(E2168)</f>
        <v>2025</v>
      </c>
      <c r="J2168" s="3" t="n">
        <f aca="false">MONTH(E2168)</f>
        <v>6</v>
      </c>
      <c r="K2168" s="3" t="n">
        <f aca="false">COUNTIFS($B$2:$B$4077,B2168,$C$2:$C$4077,C2168,$I$2:$I$4077,I2168)</f>
        <v>3</v>
      </c>
      <c r="L2168" s="3" t="n">
        <f aca="false">IF(COUNTIFS($B$2:B2168,B2168,$C$2:C2168,C2168,$I$2:I2168,I2168)=1,1,0)</f>
        <v>0</v>
      </c>
      <c r="M2168" s="3" t="n">
        <f aca="false">IF(K2168&gt;=Parametri!$B$1,1,0)</f>
        <v>1</v>
      </c>
      <c r="N2168" s="3" t="n">
        <f aca="false">L2168*M2168</f>
        <v>0</v>
      </c>
    </row>
    <row r="2169" customFormat="false" ht="15" hidden="false" customHeight="false" outlineLevel="0" collapsed="false">
      <c r="A2169" s="0" t="s">
        <v>3468</v>
      </c>
      <c r="B2169" s="0" t="s">
        <v>50</v>
      </c>
      <c r="C2169" s="0" t="s">
        <v>3469</v>
      </c>
      <c r="D2169" s="0" t="s">
        <v>19</v>
      </c>
      <c r="E2169" s="2" t="n">
        <v>45559</v>
      </c>
      <c r="F2169" s="3" t="s">
        <v>20</v>
      </c>
      <c r="G2169" s="3" t="s">
        <v>55</v>
      </c>
      <c r="H2169" s="3" t="s">
        <v>29</v>
      </c>
      <c r="I2169" s="3" t="n">
        <f aca="false">YEAR(E2169)</f>
        <v>2024</v>
      </c>
      <c r="J2169" s="3" t="n">
        <f aca="false">MONTH(E2169)</f>
        <v>9</v>
      </c>
      <c r="K2169" s="3" t="n">
        <f aca="false">COUNTIFS($B$2:$B$4077,B2169,$C$2:$C$4077,C2169,$I$2:$I$4077,I2169)</f>
        <v>1</v>
      </c>
      <c r="L2169" s="3" t="n">
        <f aca="false">IF(COUNTIFS($B$2:B2169,B2169,$C$2:C2169,C2169,$I$2:I2169,I2169)=1,1,0)</f>
        <v>1</v>
      </c>
      <c r="M2169" s="3" t="n">
        <f aca="false">IF(K2169&gt;=Parametri!$B$1,1,0)</f>
        <v>0</v>
      </c>
      <c r="N2169" s="3" t="n">
        <f aca="false">L2169*M2169</f>
        <v>0</v>
      </c>
    </row>
    <row r="2170" customFormat="false" ht="15" hidden="false" customHeight="false" outlineLevel="0" collapsed="false">
      <c r="A2170" s="0" t="s">
        <v>3470</v>
      </c>
      <c r="B2170" s="0" t="s">
        <v>124</v>
      </c>
      <c r="C2170" s="0" t="s">
        <v>410</v>
      </c>
      <c r="D2170" s="0" t="s">
        <v>54</v>
      </c>
      <c r="E2170" s="2" t="n">
        <v>45834</v>
      </c>
      <c r="F2170" s="3" t="s">
        <v>27</v>
      </c>
      <c r="G2170" s="3" t="s">
        <v>28</v>
      </c>
      <c r="H2170" s="3" t="s">
        <v>22</v>
      </c>
      <c r="I2170" s="3" t="n">
        <f aca="false">YEAR(E2170)</f>
        <v>2025</v>
      </c>
      <c r="J2170" s="3" t="n">
        <f aca="false">MONTH(E2170)</f>
        <v>6</v>
      </c>
      <c r="K2170" s="3" t="n">
        <f aca="false">COUNTIFS($B$2:$B$4077,B2170,$C$2:$C$4077,C2170,$I$2:$I$4077,I2170)</f>
        <v>6</v>
      </c>
      <c r="L2170" s="3" t="n">
        <f aca="false">IF(COUNTIFS($B$2:B2170,B2170,$C$2:C2170,C2170,$I$2:I2170,I2170)=1,1,0)</f>
        <v>0</v>
      </c>
      <c r="M2170" s="3" t="n">
        <f aca="false">IF(K2170&gt;=Parametri!$B$1,1,0)</f>
        <v>1</v>
      </c>
      <c r="N2170" s="3" t="n">
        <f aca="false">L2170*M2170</f>
        <v>0</v>
      </c>
    </row>
    <row r="2171" customFormat="false" ht="15" hidden="false" customHeight="false" outlineLevel="0" collapsed="false">
      <c r="A2171" s="0" t="s">
        <v>3471</v>
      </c>
      <c r="B2171" s="0" t="s">
        <v>57</v>
      </c>
      <c r="C2171" s="0" t="s">
        <v>1373</v>
      </c>
      <c r="D2171" s="0" t="s">
        <v>66</v>
      </c>
      <c r="E2171" s="2" t="n">
        <v>46064</v>
      </c>
      <c r="F2171" s="3" t="s">
        <v>34</v>
      </c>
      <c r="G2171" s="3" t="s">
        <v>43</v>
      </c>
      <c r="H2171" s="3" t="s">
        <v>22</v>
      </c>
      <c r="I2171" s="3" t="n">
        <f aca="false">YEAR(E2171)</f>
        <v>2026</v>
      </c>
      <c r="J2171" s="3" t="n">
        <f aca="false">MONTH(E2171)</f>
        <v>2</v>
      </c>
      <c r="K2171" s="3" t="n">
        <f aca="false">COUNTIFS($B$2:$B$4077,B2171,$C$2:$C$4077,C2171,$I$2:$I$4077,I2171)</f>
        <v>1</v>
      </c>
      <c r="L2171" s="3" t="n">
        <f aca="false">IF(COUNTIFS($B$2:B2171,B2171,$C$2:C2171,C2171,$I$2:I2171,I2171)=1,1,0)</f>
        <v>1</v>
      </c>
      <c r="M2171" s="3" t="n">
        <f aca="false">IF(K2171&gt;=Parametri!$B$1,1,0)</f>
        <v>0</v>
      </c>
      <c r="N2171" s="3" t="n">
        <f aca="false">L2171*M2171</f>
        <v>0</v>
      </c>
    </row>
    <row r="2172" customFormat="false" ht="15" hidden="false" customHeight="false" outlineLevel="0" collapsed="false">
      <c r="A2172" s="0" t="s">
        <v>3472</v>
      </c>
      <c r="B2172" s="0" t="s">
        <v>68</v>
      </c>
      <c r="C2172" s="0" t="s">
        <v>840</v>
      </c>
      <c r="D2172" s="0" t="s">
        <v>66</v>
      </c>
      <c r="E2172" s="2" t="n">
        <v>45609</v>
      </c>
      <c r="F2172" s="3" t="s">
        <v>20</v>
      </c>
      <c r="G2172" s="3" t="s">
        <v>104</v>
      </c>
      <c r="H2172" s="3" t="s">
        <v>44</v>
      </c>
      <c r="I2172" s="3" t="n">
        <f aca="false">YEAR(E2172)</f>
        <v>2024</v>
      </c>
      <c r="J2172" s="3" t="n">
        <f aca="false">MONTH(E2172)</f>
        <v>11</v>
      </c>
      <c r="K2172" s="3" t="n">
        <f aca="false">COUNTIFS($B$2:$B$4077,B2172,$C$2:$C$4077,C2172,$I$2:$I$4077,I2172)</f>
        <v>1</v>
      </c>
      <c r="L2172" s="3" t="n">
        <f aca="false">IF(COUNTIFS($B$2:B2172,B2172,$C$2:C2172,C2172,$I$2:I2172,I2172)=1,1,0)</f>
        <v>1</v>
      </c>
      <c r="M2172" s="3" t="n">
        <f aca="false">IF(K2172&gt;=Parametri!$B$1,1,0)</f>
        <v>0</v>
      </c>
      <c r="N2172" s="3" t="n">
        <f aca="false">L2172*M2172</f>
        <v>0</v>
      </c>
    </row>
    <row r="2173" customFormat="false" ht="15" hidden="false" customHeight="false" outlineLevel="0" collapsed="false">
      <c r="A2173" s="0" t="s">
        <v>3473</v>
      </c>
      <c r="B2173" s="0" t="s">
        <v>17</v>
      </c>
      <c r="C2173" s="0" t="s">
        <v>208</v>
      </c>
      <c r="D2173" s="0" t="s">
        <v>33</v>
      </c>
      <c r="E2173" s="2" t="n">
        <v>45724</v>
      </c>
      <c r="F2173" s="3" t="s">
        <v>20</v>
      </c>
      <c r="G2173" s="3" t="s">
        <v>89</v>
      </c>
      <c r="H2173" s="3" t="s">
        <v>22</v>
      </c>
      <c r="I2173" s="3" t="n">
        <f aca="false">YEAR(E2173)</f>
        <v>2025</v>
      </c>
      <c r="J2173" s="3" t="n">
        <f aca="false">MONTH(E2173)</f>
        <v>3</v>
      </c>
      <c r="K2173" s="3" t="n">
        <f aca="false">COUNTIFS($B$2:$B$4077,B2173,$C$2:$C$4077,C2173,$I$2:$I$4077,I2173)</f>
        <v>4</v>
      </c>
      <c r="L2173" s="3" t="n">
        <f aca="false">IF(COUNTIFS($B$2:B2173,B2173,$C$2:C2173,C2173,$I$2:I2173,I2173)=1,1,0)</f>
        <v>0</v>
      </c>
      <c r="M2173" s="3" t="n">
        <f aca="false">IF(K2173&gt;=Parametri!$B$1,1,0)</f>
        <v>1</v>
      </c>
      <c r="N2173" s="3" t="n">
        <f aca="false">L2173*M2173</f>
        <v>0</v>
      </c>
    </row>
    <row r="2174" customFormat="false" ht="15" hidden="false" customHeight="false" outlineLevel="0" collapsed="false">
      <c r="A2174" s="0" t="s">
        <v>3474</v>
      </c>
      <c r="B2174" s="0" t="s">
        <v>124</v>
      </c>
      <c r="C2174" s="0" t="s">
        <v>3475</v>
      </c>
      <c r="D2174" s="0" t="s">
        <v>19</v>
      </c>
      <c r="E2174" s="2" t="n">
        <v>45518</v>
      </c>
      <c r="F2174" s="3" t="s">
        <v>20</v>
      </c>
      <c r="G2174" s="3" t="s">
        <v>35</v>
      </c>
      <c r="H2174" s="3" t="s">
        <v>22</v>
      </c>
      <c r="I2174" s="3" t="n">
        <f aca="false">YEAR(E2174)</f>
        <v>2024</v>
      </c>
      <c r="J2174" s="3" t="n">
        <f aca="false">MONTH(E2174)</f>
        <v>8</v>
      </c>
      <c r="K2174" s="3" t="n">
        <f aca="false">COUNTIFS($B$2:$B$4077,B2174,$C$2:$C$4077,C2174,$I$2:$I$4077,I2174)</f>
        <v>1</v>
      </c>
      <c r="L2174" s="3" t="n">
        <f aca="false">IF(COUNTIFS($B$2:B2174,B2174,$C$2:C2174,C2174,$I$2:I2174,I2174)=1,1,0)</f>
        <v>1</v>
      </c>
      <c r="M2174" s="3" t="n">
        <f aca="false">IF(K2174&gt;=Parametri!$B$1,1,0)</f>
        <v>0</v>
      </c>
      <c r="N2174" s="3" t="n">
        <f aca="false">L2174*M2174</f>
        <v>0</v>
      </c>
    </row>
    <row r="2175" customFormat="false" ht="15" hidden="false" customHeight="false" outlineLevel="0" collapsed="false">
      <c r="A2175" s="0" t="s">
        <v>3476</v>
      </c>
      <c r="B2175" s="0" t="s">
        <v>57</v>
      </c>
      <c r="C2175" s="0" t="s">
        <v>3477</v>
      </c>
      <c r="D2175" s="0" t="s">
        <v>19</v>
      </c>
      <c r="E2175" s="2" t="n">
        <v>46203</v>
      </c>
      <c r="F2175" s="3" t="s">
        <v>27</v>
      </c>
      <c r="G2175" s="3" t="s">
        <v>89</v>
      </c>
      <c r="H2175" s="3" t="s">
        <v>22</v>
      </c>
      <c r="I2175" s="3" t="n">
        <f aca="false">YEAR(E2175)</f>
        <v>2026</v>
      </c>
      <c r="J2175" s="3" t="n">
        <f aca="false">MONTH(E2175)</f>
        <v>6</v>
      </c>
      <c r="K2175" s="3" t="n">
        <f aca="false">COUNTIFS($B$2:$B$4077,B2175,$C$2:$C$4077,C2175,$I$2:$I$4077,I2175)</f>
        <v>1</v>
      </c>
      <c r="L2175" s="3" t="n">
        <f aca="false">IF(COUNTIFS($B$2:B2175,B2175,$C$2:C2175,C2175,$I$2:I2175,I2175)=1,1,0)</f>
        <v>1</v>
      </c>
      <c r="M2175" s="3" t="n">
        <f aca="false">IF(K2175&gt;=Parametri!$B$1,1,0)</f>
        <v>0</v>
      </c>
      <c r="N2175" s="3" t="n">
        <f aca="false">L2175*M2175</f>
        <v>0</v>
      </c>
    </row>
    <row r="2176" customFormat="false" ht="15" hidden="false" customHeight="false" outlineLevel="0" collapsed="false">
      <c r="A2176" s="0" t="s">
        <v>3478</v>
      </c>
      <c r="B2176" s="0" t="s">
        <v>124</v>
      </c>
      <c r="C2176" s="0" t="s">
        <v>621</v>
      </c>
      <c r="D2176" s="0" t="s">
        <v>33</v>
      </c>
      <c r="E2176" s="2" t="n">
        <v>46217</v>
      </c>
      <c r="F2176" s="3" t="s">
        <v>20</v>
      </c>
      <c r="G2176" s="3" t="s">
        <v>35</v>
      </c>
      <c r="H2176" s="3" t="s">
        <v>22</v>
      </c>
      <c r="I2176" s="3" t="n">
        <f aca="false">YEAR(E2176)</f>
        <v>2026</v>
      </c>
      <c r="J2176" s="3" t="n">
        <f aca="false">MONTH(E2176)</f>
        <v>7</v>
      </c>
      <c r="K2176" s="3" t="n">
        <f aca="false">COUNTIFS($B$2:$B$4077,B2176,$C$2:$C$4077,C2176,$I$2:$I$4077,I2176)</f>
        <v>2</v>
      </c>
      <c r="L2176" s="3" t="n">
        <f aca="false">IF(COUNTIFS($B$2:B2176,B2176,$C$2:C2176,C2176,$I$2:I2176,I2176)=1,1,0)</f>
        <v>0</v>
      </c>
      <c r="M2176" s="3" t="n">
        <f aca="false">IF(K2176&gt;=Parametri!$B$1,1,0)</f>
        <v>1</v>
      </c>
      <c r="N2176" s="3" t="n">
        <f aca="false">L2176*M2176</f>
        <v>0</v>
      </c>
    </row>
    <row r="2177" customFormat="false" ht="15" hidden="false" customHeight="false" outlineLevel="0" collapsed="false">
      <c r="A2177" s="0" t="s">
        <v>3479</v>
      </c>
      <c r="B2177" s="0" t="s">
        <v>124</v>
      </c>
      <c r="C2177" s="0" t="s">
        <v>1670</v>
      </c>
      <c r="D2177" s="0" t="s">
        <v>38</v>
      </c>
      <c r="E2177" s="2" t="n">
        <v>46230</v>
      </c>
      <c r="F2177" s="3" t="s">
        <v>20</v>
      </c>
      <c r="G2177" s="3" t="s">
        <v>43</v>
      </c>
      <c r="H2177" s="3" t="s">
        <v>44</v>
      </c>
      <c r="I2177" s="3" t="n">
        <f aca="false">YEAR(E2177)</f>
        <v>2026</v>
      </c>
      <c r="J2177" s="3" t="n">
        <f aca="false">MONTH(E2177)</f>
        <v>7</v>
      </c>
      <c r="K2177" s="3" t="n">
        <f aca="false">COUNTIFS($B$2:$B$4077,B2177,$C$2:$C$4077,C2177,$I$2:$I$4077,I2177)</f>
        <v>1</v>
      </c>
      <c r="L2177" s="3" t="n">
        <f aca="false">IF(COUNTIFS($B$2:B2177,B2177,$C$2:C2177,C2177,$I$2:I2177,I2177)=1,1,0)</f>
        <v>1</v>
      </c>
      <c r="M2177" s="3" t="n">
        <f aca="false">IF(K2177&gt;=Parametri!$B$1,1,0)</f>
        <v>0</v>
      </c>
      <c r="N2177" s="3" t="n">
        <f aca="false">L2177*M2177</f>
        <v>0</v>
      </c>
    </row>
    <row r="2178" customFormat="false" ht="15" hidden="false" customHeight="false" outlineLevel="0" collapsed="false">
      <c r="A2178" s="0" t="s">
        <v>3480</v>
      </c>
      <c r="B2178" s="0" t="s">
        <v>50</v>
      </c>
      <c r="C2178" s="0" t="s">
        <v>3481</v>
      </c>
      <c r="D2178" s="0" t="s">
        <v>77</v>
      </c>
      <c r="E2178" s="2" t="n">
        <v>45871</v>
      </c>
      <c r="F2178" s="3" t="s">
        <v>20</v>
      </c>
      <c r="G2178" s="3" t="s">
        <v>39</v>
      </c>
      <c r="H2178" s="3" t="s">
        <v>29</v>
      </c>
      <c r="I2178" s="3" t="n">
        <f aca="false">YEAR(E2178)</f>
        <v>2025</v>
      </c>
      <c r="J2178" s="3" t="n">
        <f aca="false">MONTH(E2178)</f>
        <v>8</v>
      </c>
      <c r="K2178" s="3" t="n">
        <f aca="false">COUNTIFS($B$2:$B$4077,B2178,$C$2:$C$4077,C2178,$I$2:$I$4077,I2178)</f>
        <v>1</v>
      </c>
      <c r="L2178" s="3" t="n">
        <f aca="false">IF(COUNTIFS($B$2:B2178,B2178,$C$2:C2178,C2178,$I$2:I2178,I2178)=1,1,0)</f>
        <v>1</v>
      </c>
      <c r="M2178" s="3" t="n">
        <f aca="false">IF(K2178&gt;=Parametri!$B$1,1,0)</f>
        <v>0</v>
      </c>
      <c r="N2178" s="3" t="n">
        <f aca="false">L2178*M2178</f>
        <v>0</v>
      </c>
    </row>
    <row r="2179" customFormat="false" ht="15" hidden="false" customHeight="false" outlineLevel="0" collapsed="false">
      <c r="A2179" s="0" t="s">
        <v>3482</v>
      </c>
      <c r="B2179" s="0" t="s">
        <v>68</v>
      </c>
      <c r="C2179" s="0" t="s">
        <v>3483</v>
      </c>
      <c r="D2179" s="0" t="s">
        <v>66</v>
      </c>
      <c r="E2179" s="2" t="n">
        <v>46110</v>
      </c>
      <c r="F2179" s="3" t="s">
        <v>20</v>
      </c>
      <c r="G2179" s="3" t="s">
        <v>89</v>
      </c>
      <c r="H2179" s="3" t="s">
        <v>22</v>
      </c>
      <c r="I2179" s="3" t="n">
        <f aca="false">YEAR(E2179)</f>
        <v>2026</v>
      </c>
      <c r="J2179" s="3" t="n">
        <f aca="false">MONTH(E2179)</f>
        <v>3</v>
      </c>
      <c r="K2179" s="3" t="n">
        <f aca="false">COUNTIFS($B$2:$B$4077,B2179,$C$2:$C$4077,C2179,$I$2:$I$4077,I2179)</f>
        <v>1</v>
      </c>
      <c r="L2179" s="3" t="n">
        <f aca="false">IF(COUNTIFS($B$2:B2179,B2179,$C$2:C2179,C2179,$I$2:I2179,I2179)=1,1,0)</f>
        <v>1</v>
      </c>
      <c r="M2179" s="3" t="n">
        <f aca="false">IF(K2179&gt;=Parametri!$B$1,1,0)</f>
        <v>0</v>
      </c>
      <c r="N2179" s="3" t="n">
        <f aca="false">L2179*M2179</f>
        <v>0</v>
      </c>
    </row>
    <row r="2180" customFormat="false" ht="15" hidden="false" customHeight="false" outlineLevel="0" collapsed="false">
      <c r="A2180" s="0" t="s">
        <v>3484</v>
      </c>
      <c r="B2180" s="0" t="s">
        <v>50</v>
      </c>
      <c r="C2180" s="0" t="s">
        <v>1190</v>
      </c>
      <c r="D2180" s="0" t="s">
        <v>33</v>
      </c>
      <c r="E2180" s="2" t="n">
        <v>45439</v>
      </c>
      <c r="F2180" s="3" t="s">
        <v>27</v>
      </c>
      <c r="G2180" s="3" t="s">
        <v>72</v>
      </c>
      <c r="H2180" s="3" t="s">
        <v>29</v>
      </c>
      <c r="I2180" s="3" t="n">
        <f aca="false">YEAR(E2180)</f>
        <v>2024</v>
      </c>
      <c r="J2180" s="3" t="n">
        <f aca="false">MONTH(E2180)</f>
        <v>5</v>
      </c>
      <c r="K2180" s="3" t="n">
        <f aca="false">COUNTIFS($B$2:$B$4077,B2180,$C$2:$C$4077,C2180,$I$2:$I$4077,I2180)</f>
        <v>2</v>
      </c>
      <c r="L2180" s="3" t="n">
        <f aca="false">IF(COUNTIFS($B$2:B2180,B2180,$C$2:C2180,C2180,$I$2:I2180,I2180)=1,1,0)</f>
        <v>1</v>
      </c>
      <c r="M2180" s="3" t="n">
        <f aca="false">IF(K2180&gt;=Parametri!$B$1,1,0)</f>
        <v>1</v>
      </c>
      <c r="N2180" s="3" t="n">
        <f aca="false">L2180*M2180</f>
        <v>1</v>
      </c>
    </row>
    <row r="2181" customFormat="false" ht="15" hidden="false" customHeight="false" outlineLevel="0" collapsed="false">
      <c r="A2181" s="0" t="s">
        <v>3485</v>
      </c>
      <c r="B2181" s="0" t="s">
        <v>41</v>
      </c>
      <c r="C2181" s="0" t="s">
        <v>170</v>
      </c>
      <c r="D2181" s="0" t="s">
        <v>19</v>
      </c>
      <c r="E2181" s="2" t="n">
        <v>45705</v>
      </c>
      <c r="F2181" s="3" t="s">
        <v>20</v>
      </c>
      <c r="G2181" s="3" t="s">
        <v>72</v>
      </c>
      <c r="H2181" s="3" t="s">
        <v>22</v>
      </c>
      <c r="I2181" s="3" t="n">
        <f aca="false">YEAR(E2181)</f>
        <v>2025</v>
      </c>
      <c r="J2181" s="3" t="n">
        <f aca="false">MONTH(E2181)</f>
        <v>2</v>
      </c>
      <c r="K2181" s="3" t="n">
        <f aca="false">COUNTIFS($B$2:$B$4077,B2181,$C$2:$C$4077,C2181,$I$2:$I$4077,I2181)</f>
        <v>4</v>
      </c>
      <c r="L2181" s="3" t="n">
        <f aca="false">IF(COUNTIFS($B$2:B2181,B2181,$C$2:C2181,C2181,$I$2:I2181,I2181)=1,1,0)</f>
        <v>0</v>
      </c>
      <c r="M2181" s="3" t="n">
        <f aca="false">IF(K2181&gt;=Parametri!$B$1,1,0)</f>
        <v>1</v>
      </c>
      <c r="N2181" s="3" t="n">
        <f aca="false">L2181*M2181</f>
        <v>0</v>
      </c>
    </row>
    <row r="2182" customFormat="false" ht="15" hidden="false" customHeight="false" outlineLevel="0" collapsed="false">
      <c r="A2182" s="0" t="s">
        <v>3486</v>
      </c>
      <c r="B2182" s="0" t="s">
        <v>79</v>
      </c>
      <c r="C2182" s="0" t="s">
        <v>727</v>
      </c>
      <c r="D2182" s="0" t="s">
        <v>26</v>
      </c>
      <c r="E2182" s="2" t="n">
        <v>45710</v>
      </c>
      <c r="F2182" s="3" t="s">
        <v>34</v>
      </c>
      <c r="G2182" s="3" t="s">
        <v>28</v>
      </c>
      <c r="H2182" s="3" t="s">
        <v>22</v>
      </c>
      <c r="I2182" s="3" t="n">
        <f aca="false">YEAR(E2182)</f>
        <v>2025</v>
      </c>
      <c r="J2182" s="3" t="n">
        <f aca="false">MONTH(E2182)</f>
        <v>2</v>
      </c>
      <c r="K2182" s="3" t="n">
        <f aca="false">COUNTIFS($B$2:$B$4077,B2182,$C$2:$C$4077,C2182,$I$2:$I$4077,I2182)</f>
        <v>3</v>
      </c>
      <c r="L2182" s="3" t="n">
        <f aca="false">IF(COUNTIFS($B$2:B2182,B2182,$C$2:C2182,C2182,$I$2:I2182,I2182)=1,1,0)</f>
        <v>0</v>
      </c>
      <c r="M2182" s="3" t="n">
        <f aca="false">IF(K2182&gt;=Parametri!$B$1,1,0)</f>
        <v>1</v>
      </c>
      <c r="N2182" s="3" t="n">
        <f aca="false">L2182*M2182</f>
        <v>0</v>
      </c>
    </row>
    <row r="2183" customFormat="false" ht="15" hidden="false" customHeight="false" outlineLevel="0" collapsed="false">
      <c r="A2183" s="0" t="s">
        <v>3487</v>
      </c>
      <c r="B2183" s="0" t="s">
        <v>17</v>
      </c>
      <c r="C2183" s="0" t="s">
        <v>1079</v>
      </c>
      <c r="D2183" s="0" t="s">
        <v>54</v>
      </c>
      <c r="E2183" s="2" t="n">
        <v>45979</v>
      </c>
      <c r="F2183" s="3" t="s">
        <v>27</v>
      </c>
      <c r="G2183" s="3" t="s">
        <v>89</v>
      </c>
      <c r="H2183" s="3" t="s">
        <v>48</v>
      </c>
      <c r="I2183" s="3" t="n">
        <f aca="false">YEAR(E2183)</f>
        <v>2025</v>
      </c>
      <c r="J2183" s="3" t="n">
        <f aca="false">MONTH(E2183)</f>
        <v>11</v>
      </c>
      <c r="K2183" s="3" t="n">
        <f aca="false">COUNTIFS($B$2:$B$4077,B2183,$C$2:$C$4077,C2183,$I$2:$I$4077,I2183)</f>
        <v>1</v>
      </c>
      <c r="L2183" s="3" t="n">
        <f aca="false">IF(COUNTIFS($B$2:B2183,B2183,$C$2:C2183,C2183,$I$2:I2183,I2183)=1,1,0)</f>
        <v>1</v>
      </c>
      <c r="M2183" s="3" t="n">
        <f aca="false">IF(K2183&gt;=Parametri!$B$1,1,0)</f>
        <v>0</v>
      </c>
      <c r="N2183" s="3" t="n">
        <f aca="false">L2183*M2183</f>
        <v>0</v>
      </c>
    </row>
    <row r="2184" customFormat="false" ht="15" hidden="false" customHeight="false" outlineLevel="0" collapsed="false">
      <c r="A2184" s="0" t="s">
        <v>3488</v>
      </c>
      <c r="B2184" s="0" t="s">
        <v>24</v>
      </c>
      <c r="C2184" s="0" t="s">
        <v>325</v>
      </c>
      <c r="D2184" s="0" t="s">
        <v>54</v>
      </c>
      <c r="E2184" s="2" t="n">
        <v>45506</v>
      </c>
      <c r="F2184" s="3" t="s">
        <v>20</v>
      </c>
      <c r="G2184" s="3" t="s">
        <v>21</v>
      </c>
      <c r="H2184" s="3" t="s">
        <v>29</v>
      </c>
      <c r="I2184" s="3" t="n">
        <f aca="false">YEAR(E2184)</f>
        <v>2024</v>
      </c>
      <c r="J2184" s="3" t="n">
        <f aca="false">MONTH(E2184)</f>
        <v>8</v>
      </c>
      <c r="K2184" s="3" t="n">
        <f aca="false">COUNTIFS($B$2:$B$4077,B2184,$C$2:$C$4077,C2184,$I$2:$I$4077,I2184)</f>
        <v>7</v>
      </c>
      <c r="L2184" s="3" t="n">
        <f aca="false">IF(COUNTIFS($B$2:B2184,B2184,$C$2:C2184,C2184,$I$2:I2184,I2184)=1,1,0)</f>
        <v>0</v>
      </c>
      <c r="M2184" s="3" t="n">
        <f aca="false">IF(K2184&gt;=Parametri!$B$1,1,0)</f>
        <v>1</v>
      </c>
      <c r="N2184" s="3" t="n">
        <f aca="false">L2184*M2184</f>
        <v>0</v>
      </c>
    </row>
    <row r="2185" customFormat="false" ht="15" hidden="false" customHeight="false" outlineLevel="0" collapsed="false">
      <c r="A2185" s="0" t="s">
        <v>3489</v>
      </c>
      <c r="B2185" s="0" t="s">
        <v>31</v>
      </c>
      <c r="C2185" s="0" t="s">
        <v>3490</v>
      </c>
      <c r="D2185" s="0" t="s">
        <v>54</v>
      </c>
      <c r="E2185" s="2" t="n">
        <v>45361</v>
      </c>
      <c r="F2185" s="3" t="s">
        <v>27</v>
      </c>
      <c r="G2185" s="3" t="s">
        <v>28</v>
      </c>
      <c r="H2185" s="3" t="s">
        <v>29</v>
      </c>
      <c r="I2185" s="3" t="n">
        <f aca="false">YEAR(E2185)</f>
        <v>2024</v>
      </c>
      <c r="J2185" s="3" t="n">
        <f aca="false">MONTH(E2185)</f>
        <v>3</v>
      </c>
      <c r="K2185" s="3" t="n">
        <f aca="false">COUNTIFS($B$2:$B$4077,B2185,$C$2:$C$4077,C2185,$I$2:$I$4077,I2185)</f>
        <v>1</v>
      </c>
      <c r="L2185" s="3" t="n">
        <f aca="false">IF(COUNTIFS($B$2:B2185,B2185,$C$2:C2185,C2185,$I$2:I2185,I2185)=1,1,0)</f>
        <v>1</v>
      </c>
      <c r="M2185" s="3" t="n">
        <f aca="false">IF(K2185&gt;=Parametri!$B$1,1,0)</f>
        <v>0</v>
      </c>
      <c r="N2185" s="3" t="n">
        <f aca="false">L2185*M2185</f>
        <v>0</v>
      </c>
    </row>
    <row r="2186" customFormat="false" ht="15" hidden="false" customHeight="false" outlineLevel="0" collapsed="false">
      <c r="A2186" s="0" t="s">
        <v>3491</v>
      </c>
      <c r="B2186" s="0" t="s">
        <v>50</v>
      </c>
      <c r="C2186" s="0" t="s">
        <v>3492</v>
      </c>
      <c r="D2186" s="0" t="s">
        <v>38</v>
      </c>
      <c r="E2186" s="2" t="n">
        <v>45515</v>
      </c>
      <c r="F2186" s="3" t="s">
        <v>20</v>
      </c>
      <c r="G2186" s="3" t="s">
        <v>72</v>
      </c>
      <c r="H2186" s="3" t="s">
        <v>44</v>
      </c>
      <c r="I2186" s="3" t="n">
        <f aca="false">YEAR(E2186)</f>
        <v>2024</v>
      </c>
      <c r="J2186" s="3" t="n">
        <f aca="false">MONTH(E2186)</f>
        <v>8</v>
      </c>
      <c r="K2186" s="3" t="n">
        <f aca="false">COUNTIFS($B$2:$B$4077,B2186,$C$2:$C$4077,C2186,$I$2:$I$4077,I2186)</f>
        <v>2</v>
      </c>
      <c r="L2186" s="3" t="n">
        <f aca="false">IF(COUNTIFS($B$2:B2186,B2186,$C$2:C2186,C2186,$I$2:I2186,I2186)=1,1,0)</f>
        <v>1</v>
      </c>
      <c r="M2186" s="3" t="n">
        <f aca="false">IF(K2186&gt;=Parametri!$B$1,1,0)</f>
        <v>1</v>
      </c>
      <c r="N2186" s="3" t="n">
        <f aca="false">L2186*M2186</f>
        <v>1</v>
      </c>
    </row>
    <row r="2187" customFormat="false" ht="15" hidden="false" customHeight="false" outlineLevel="0" collapsed="false">
      <c r="A2187" s="0" t="s">
        <v>3493</v>
      </c>
      <c r="B2187" s="0" t="s">
        <v>50</v>
      </c>
      <c r="C2187" s="0" t="s">
        <v>1023</v>
      </c>
      <c r="D2187" s="0" t="s">
        <v>19</v>
      </c>
      <c r="E2187" s="2" t="n">
        <v>45501</v>
      </c>
      <c r="F2187" s="3" t="s">
        <v>20</v>
      </c>
      <c r="G2187" s="3" t="s">
        <v>43</v>
      </c>
      <c r="H2187" s="3" t="s">
        <v>22</v>
      </c>
      <c r="I2187" s="3" t="n">
        <f aca="false">YEAR(E2187)</f>
        <v>2024</v>
      </c>
      <c r="J2187" s="3" t="n">
        <f aca="false">MONTH(E2187)</f>
        <v>7</v>
      </c>
      <c r="K2187" s="3" t="n">
        <f aca="false">COUNTIFS($B$2:$B$4077,B2187,$C$2:$C$4077,C2187,$I$2:$I$4077,I2187)</f>
        <v>1</v>
      </c>
      <c r="L2187" s="3" t="n">
        <f aca="false">IF(COUNTIFS($B$2:B2187,B2187,$C$2:C2187,C2187,$I$2:I2187,I2187)=1,1,0)</f>
        <v>1</v>
      </c>
      <c r="M2187" s="3" t="n">
        <f aca="false">IF(K2187&gt;=Parametri!$B$1,1,0)</f>
        <v>0</v>
      </c>
      <c r="N2187" s="3" t="n">
        <f aca="false">L2187*M2187</f>
        <v>0</v>
      </c>
    </row>
    <row r="2188" customFormat="false" ht="15" hidden="false" customHeight="false" outlineLevel="0" collapsed="false">
      <c r="A2188" s="0" t="s">
        <v>3494</v>
      </c>
      <c r="B2188" s="0" t="s">
        <v>50</v>
      </c>
      <c r="C2188" s="0" t="s">
        <v>2396</v>
      </c>
      <c r="D2188" s="0" t="s">
        <v>26</v>
      </c>
      <c r="E2188" s="2" t="n">
        <v>45946</v>
      </c>
      <c r="F2188" s="3" t="s">
        <v>20</v>
      </c>
      <c r="G2188" s="3" t="s">
        <v>43</v>
      </c>
      <c r="H2188" s="3" t="s">
        <v>44</v>
      </c>
      <c r="I2188" s="3" t="n">
        <f aca="false">YEAR(E2188)</f>
        <v>2025</v>
      </c>
      <c r="J2188" s="3" t="n">
        <f aca="false">MONTH(E2188)</f>
        <v>10</v>
      </c>
      <c r="K2188" s="3" t="n">
        <f aca="false">COUNTIFS($B$2:$B$4077,B2188,$C$2:$C$4077,C2188,$I$2:$I$4077,I2188)</f>
        <v>1</v>
      </c>
      <c r="L2188" s="3" t="n">
        <f aca="false">IF(COUNTIFS($B$2:B2188,B2188,$C$2:C2188,C2188,$I$2:I2188,I2188)=1,1,0)</f>
        <v>1</v>
      </c>
      <c r="M2188" s="3" t="n">
        <f aca="false">IF(K2188&gt;=Parametri!$B$1,1,0)</f>
        <v>0</v>
      </c>
      <c r="N2188" s="3" t="n">
        <f aca="false">L2188*M2188</f>
        <v>0</v>
      </c>
    </row>
    <row r="2189" customFormat="false" ht="15" hidden="false" customHeight="false" outlineLevel="0" collapsed="false">
      <c r="A2189" s="0" t="s">
        <v>3495</v>
      </c>
      <c r="B2189" s="0" t="s">
        <v>31</v>
      </c>
      <c r="C2189" s="0" t="s">
        <v>3083</v>
      </c>
      <c r="D2189" s="0" t="s">
        <v>26</v>
      </c>
      <c r="E2189" s="2" t="n">
        <v>45419</v>
      </c>
      <c r="F2189" s="3" t="s">
        <v>27</v>
      </c>
      <c r="G2189" s="3" t="s">
        <v>28</v>
      </c>
      <c r="H2189" s="3" t="s">
        <v>48</v>
      </c>
      <c r="I2189" s="3" t="n">
        <f aca="false">YEAR(E2189)</f>
        <v>2024</v>
      </c>
      <c r="J2189" s="3" t="n">
        <f aca="false">MONTH(E2189)</f>
        <v>5</v>
      </c>
      <c r="K2189" s="3" t="n">
        <f aca="false">COUNTIFS($B$2:$B$4077,B2189,$C$2:$C$4077,C2189,$I$2:$I$4077,I2189)</f>
        <v>1</v>
      </c>
      <c r="L2189" s="3" t="n">
        <f aca="false">IF(COUNTIFS($B$2:B2189,B2189,$C$2:C2189,C2189,$I$2:I2189,I2189)=1,1,0)</f>
        <v>1</v>
      </c>
      <c r="M2189" s="3" t="n">
        <f aca="false">IF(K2189&gt;=Parametri!$B$1,1,0)</f>
        <v>0</v>
      </c>
      <c r="N2189" s="3" t="n">
        <f aca="false">L2189*M2189</f>
        <v>0</v>
      </c>
    </row>
    <row r="2190" customFormat="false" ht="15" hidden="false" customHeight="false" outlineLevel="0" collapsed="false">
      <c r="A2190" s="0" t="s">
        <v>3496</v>
      </c>
      <c r="B2190" s="0" t="s">
        <v>68</v>
      </c>
      <c r="C2190" s="0" t="s">
        <v>438</v>
      </c>
      <c r="D2190" s="0" t="s">
        <v>54</v>
      </c>
      <c r="E2190" s="2" t="n">
        <v>46057</v>
      </c>
      <c r="F2190" s="3" t="s">
        <v>20</v>
      </c>
      <c r="G2190" s="3" t="s">
        <v>72</v>
      </c>
      <c r="H2190" s="3" t="s">
        <v>44</v>
      </c>
      <c r="I2190" s="3" t="n">
        <f aca="false">YEAR(E2190)</f>
        <v>2026</v>
      </c>
      <c r="J2190" s="3" t="n">
        <f aca="false">MONTH(E2190)</f>
        <v>2</v>
      </c>
      <c r="K2190" s="3" t="n">
        <f aca="false">COUNTIFS($B$2:$B$4077,B2190,$C$2:$C$4077,C2190,$I$2:$I$4077,I2190)</f>
        <v>3</v>
      </c>
      <c r="L2190" s="3" t="n">
        <f aca="false">IF(COUNTIFS($B$2:B2190,B2190,$C$2:C2190,C2190,$I$2:I2190,I2190)=1,1,0)</f>
        <v>0</v>
      </c>
      <c r="M2190" s="3" t="n">
        <f aca="false">IF(K2190&gt;=Parametri!$B$1,1,0)</f>
        <v>1</v>
      </c>
      <c r="N2190" s="3" t="n">
        <f aca="false">L2190*M2190</f>
        <v>0</v>
      </c>
    </row>
    <row r="2191" customFormat="false" ht="15" hidden="false" customHeight="false" outlineLevel="0" collapsed="false">
      <c r="A2191" s="0" t="s">
        <v>3497</v>
      </c>
      <c r="B2191" s="0" t="s">
        <v>57</v>
      </c>
      <c r="C2191" s="0" t="s">
        <v>3498</v>
      </c>
      <c r="D2191" s="0" t="s">
        <v>19</v>
      </c>
      <c r="E2191" s="2" t="n">
        <v>45694</v>
      </c>
      <c r="F2191" s="3" t="s">
        <v>34</v>
      </c>
      <c r="G2191" s="3" t="s">
        <v>39</v>
      </c>
      <c r="H2191" s="3" t="s">
        <v>22</v>
      </c>
      <c r="I2191" s="3" t="n">
        <f aca="false">YEAR(E2191)</f>
        <v>2025</v>
      </c>
      <c r="J2191" s="3" t="n">
        <f aca="false">MONTH(E2191)</f>
        <v>2</v>
      </c>
      <c r="K2191" s="3" t="n">
        <f aca="false">COUNTIFS($B$2:$B$4077,B2191,$C$2:$C$4077,C2191,$I$2:$I$4077,I2191)</f>
        <v>2</v>
      </c>
      <c r="L2191" s="3" t="n">
        <f aca="false">IF(COUNTIFS($B$2:B2191,B2191,$C$2:C2191,C2191,$I$2:I2191,I2191)=1,1,0)</f>
        <v>1</v>
      </c>
      <c r="M2191" s="3" t="n">
        <f aca="false">IF(K2191&gt;=Parametri!$B$1,1,0)</f>
        <v>1</v>
      </c>
      <c r="N2191" s="3" t="n">
        <f aca="false">L2191*M2191</f>
        <v>1</v>
      </c>
    </row>
    <row r="2192" customFormat="false" ht="15" hidden="false" customHeight="false" outlineLevel="0" collapsed="false">
      <c r="A2192" s="0" t="s">
        <v>3499</v>
      </c>
      <c r="B2192" s="0" t="s">
        <v>68</v>
      </c>
      <c r="C2192" s="0" t="s">
        <v>936</v>
      </c>
      <c r="D2192" s="0" t="s">
        <v>63</v>
      </c>
      <c r="E2192" s="2" t="n">
        <v>45549</v>
      </c>
      <c r="F2192" s="3" t="s">
        <v>20</v>
      </c>
      <c r="G2192" s="3" t="s">
        <v>28</v>
      </c>
      <c r="H2192" s="3" t="s">
        <v>22</v>
      </c>
      <c r="I2192" s="3" t="n">
        <f aca="false">YEAR(E2192)</f>
        <v>2024</v>
      </c>
      <c r="J2192" s="3" t="n">
        <f aca="false">MONTH(E2192)</f>
        <v>9</v>
      </c>
      <c r="K2192" s="3" t="n">
        <f aca="false">COUNTIFS($B$2:$B$4077,B2192,$C$2:$C$4077,C2192,$I$2:$I$4077,I2192)</f>
        <v>1</v>
      </c>
      <c r="L2192" s="3" t="n">
        <f aca="false">IF(COUNTIFS($B$2:B2192,B2192,$C$2:C2192,C2192,$I$2:I2192,I2192)=1,1,0)</f>
        <v>1</v>
      </c>
      <c r="M2192" s="3" t="n">
        <f aca="false">IF(K2192&gt;=Parametri!$B$1,1,0)</f>
        <v>0</v>
      </c>
      <c r="N2192" s="3" t="n">
        <f aca="false">L2192*M2192</f>
        <v>0</v>
      </c>
    </row>
    <row r="2193" customFormat="false" ht="15" hidden="false" customHeight="false" outlineLevel="0" collapsed="false">
      <c r="A2193" s="0" t="s">
        <v>3500</v>
      </c>
      <c r="B2193" s="0" t="s">
        <v>68</v>
      </c>
      <c r="C2193" s="0" t="s">
        <v>730</v>
      </c>
      <c r="D2193" s="0" t="s">
        <v>33</v>
      </c>
      <c r="E2193" s="2" t="n">
        <v>45841</v>
      </c>
      <c r="F2193" s="3" t="s">
        <v>20</v>
      </c>
      <c r="G2193" s="3" t="s">
        <v>35</v>
      </c>
      <c r="H2193" s="3" t="s">
        <v>22</v>
      </c>
      <c r="I2193" s="3" t="n">
        <f aca="false">YEAR(E2193)</f>
        <v>2025</v>
      </c>
      <c r="J2193" s="3" t="n">
        <f aca="false">MONTH(E2193)</f>
        <v>7</v>
      </c>
      <c r="K2193" s="3" t="n">
        <f aca="false">COUNTIFS($B$2:$B$4077,B2193,$C$2:$C$4077,C2193,$I$2:$I$4077,I2193)</f>
        <v>4</v>
      </c>
      <c r="L2193" s="3" t="n">
        <f aca="false">IF(COUNTIFS($B$2:B2193,B2193,$C$2:C2193,C2193,$I$2:I2193,I2193)=1,1,0)</f>
        <v>0</v>
      </c>
      <c r="M2193" s="3" t="n">
        <f aca="false">IF(K2193&gt;=Parametri!$B$1,1,0)</f>
        <v>1</v>
      </c>
      <c r="N2193" s="3" t="n">
        <f aca="false">L2193*M2193</f>
        <v>0</v>
      </c>
    </row>
    <row r="2194" customFormat="false" ht="15" hidden="false" customHeight="false" outlineLevel="0" collapsed="false">
      <c r="A2194" s="0" t="s">
        <v>3501</v>
      </c>
      <c r="B2194" s="0" t="s">
        <v>31</v>
      </c>
      <c r="C2194" s="0" t="s">
        <v>778</v>
      </c>
      <c r="D2194" s="0" t="s">
        <v>66</v>
      </c>
      <c r="E2194" s="2" t="n">
        <v>45500</v>
      </c>
      <c r="F2194" s="3" t="s">
        <v>20</v>
      </c>
      <c r="G2194" s="3" t="s">
        <v>55</v>
      </c>
      <c r="H2194" s="3" t="s">
        <v>44</v>
      </c>
      <c r="I2194" s="3" t="n">
        <f aca="false">YEAR(E2194)</f>
        <v>2024</v>
      </c>
      <c r="J2194" s="3" t="n">
        <f aca="false">MONTH(E2194)</f>
        <v>7</v>
      </c>
      <c r="K2194" s="3" t="n">
        <f aca="false">COUNTIFS($B$2:$B$4077,B2194,$C$2:$C$4077,C2194,$I$2:$I$4077,I2194)</f>
        <v>5</v>
      </c>
      <c r="L2194" s="3" t="n">
        <f aca="false">IF(COUNTIFS($B$2:B2194,B2194,$C$2:C2194,C2194,$I$2:I2194,I2194)=1,1,0)</f>
        <v>1</v>
      </c>
      <c r="M2194" s="3" t="n">
        <f aca="false">IF(K2194&gt;=Parametri!$B$1,1,0)</f>
        <v>1</v>
      </c>
      <c r="N2194" s="3" t="n">
        <f aca="false">L2194*M2194</f>
        <v>1</v>
      </c>
    </row>
    <row r="2195" customFormat="false" ht="15" hidden="false" customHeight="false" outlineLevel="0" collapsed="false">
      <c r="A2195" s="0" t="s">
        <v>3502</v>
      </c>
      <c r="B2195" s="0" t="s">
        <v>31</v>
      </c>
      <c r="C2195" s="0" t="s">
        <v>3503</v>
      </c>
      <c r="D2195" s="0" t="s">
        <v>26</v>
      </c>
      <c r="E2195" s="2" t="n">
        <v>45834</v>
      </c>
      <c r="F2195" s="3" t="s">
        <v>20</v>
      </c>
      <c r="G2195" s="3" t="s">
        <v>28</v>
      </c>
      <c r="H2195" s="3" t="s">
        <v>48</v>
      </c>
      <c r="I2195" s="3" t="n">
        <f aca="false">YEAR(E2195)</f>
        <v>2025</v>
      </c>
      <c r="J2195" s="3" t="n">
        <f aca="false">MONTH(E2195)</f>
        <v>6</v>
      </c>
      <c r="K2195" s="3" t="n">
        <f aca="false">COUNTIFS($B$2:$B$4077,B2195,$C$2:$C$4077,C2195,$I$2:$I$4077,I2195)</f>
        <v>1</v>
      </c>
      <c r="L2195" s="3" t="n">
        <f aca="false">IF(COUNTIFS($B$2:B2195,B2195,$C$2:C2195,C2195,$I$2:I2195,I2195)=1,1,0)</f>
        <v>1</v>
      </c>
      <c r="M2195" s="3" t="n">
        <f aca="false">IF(K2195&gt;=Parametri!$B$1,1,0)</f>
        <v>0</v>
      </c>
      <c r="N2195" s="3" t="n">
        <f aca="false">L2195*M2195</f>
        <v>0</v>
      </c>
    </row>
    <row r="2196" customFormat="false" ht="15" hidden="false" customHeight="false" outlineLevel="0" collapsed="false">
      <c r="A2196" s="0" t="s">
        <v>3504</v>
      </c>
      <c r="B2196" s="0" t="s">
        <v>124</v>
      </c>
      <c r="C2196" s="0" t="s">
        <v>1497</v>
      </c>
      <c r="D2196" s="0" t="s">
        <v>66</v>
      </c>
      <c r="E2196" s="2" t="n">
        <v>45674</v>
      </c>
      <c r="F2196" s="3" t="s">
        <v>20</v>
      </c>
      <c r="G2196" s="3" t="s">
        <v>35</v>
      </c>
      <c r="H2196" s="3" t="s">
        <v>48</v>
      </c>
      <c r="I2196" s="3" t="n">
        <f aca="false">YEAR(E2196)</f>
        <v>2025</v>
      </c>
      <c r="J2196" s="3" t="n">
        <f aca="false">MONTH(E2196)</f>
        <v>1</v>
      </c>
      <c r="K2196" s="3" t="n">
        <f aca="false">COUNTIFS($B$2:$B$4077,B2196,$C$2:$C$4077,C2196,$I$2:$I$4077,I2196)</f>
        <v>1</v>
      </c>
      <c r="L2196" s="3" t="n">
        <f aca="false">IF(COUNTIFS($B$2:B2196,B2196,$C$2:C2196,C2196,$I$2:I2196,I2196)=1,1,0)</f>
        <v>1</v>
      </c>
      <c r="M2196" s="3" t="n">
        <f aca="false">IF(K2196&gt;=Parametri!$B$1,1,0)</f>
        <v>0</v>
      </c>
      <c r="N2196" s="3" t="n">
        <f aca="false">L2196*M2196</f>
        <v>0</v>
      </c>
    </row>
    <row r="2197" customFormat="false" ht="15" hidden="false" customHeight="false" outlineLevel="0" collapsed="false">
      <c r="A2197" s="0" t="s">
        <v>3505</v>
      </c>
      <c r="B2197" s="0" t="s">
        <v>79</v>
      </c>
      <c r="C2197" s="0" t="s">
        <v>529</v>
      </c>
      <c r="D2197" s="0" t="s">
        <v>19</v>
      </c>
      <c r="E2197" s="2" t="n">
        <v>45478</v>
      </c>
      <c r="F2197" s="3" t="s">
        <v>20</v>
      </c>
      <c r="G2197" s="3" t="s">
        <v>89</v>
      </c>
      <c r="H2197" s="3" t="s">
        <v>22</v>
      </c>
      <c r="I2197" s="3" t="n">
        <f aca="false">YEAR(E2197)</f>
        <v>2024</v>
      </c>
      <c r="J2197" s="3" t="n">
        <f aca="false">MONTH(E2197)</f>
        <v>7</v>
      </c>
      <c r="K2197" s="3" t="n">
        <f aca="false">COUNTIFS($B$2:$B$4077,B2197,$C$2:$C$4077,C2197,$I$2:$I$4077,I2197)</f>
        <v>1</v>
      </c>
      <c r="L2197" s="3" t="n">
        <f aca="false">IF(COUNTIFS($B$2:B2197,B2197,$C$2:C2197,C2197,$I$2:I2197,I2197)=1,1,0)</f>
        <v>1</v>
      </c>
      <c r="M2197" s="3" t="n">
        <f aca="false">IF(K2197&gt;=Parametri!$B$1,1,0)</f>
        <v>0</v>
      </c>
      <c r="N2197" s="3" t="n">
        <f aca="false">L2197*M2197</f>
        <v>0</v>
      </c>
    </row>
    <row r="2198" customFormat="false" ht="15" hidden="false" customHeight="false" outlineLevel="0" collapsed="false">
      <c r="A2198" s="0" t="s">
        <v>3506</v>
      </c>
      <c r="B2198" s="0" t="s">
        <v>17</v>
      </c>
      <c r="C2198" s="0" t="s">
        <v>1854</v>
      </c>
      <c r="D2198" s="0" t="s">
        <v>33</v>
      </c>
      <c r="E2198" s="2" t="n">
        <v>46208</v>
      </c>
      <c r="F2198" s="3" t="s">
        <v>20</v>
      </c>
      <c r="G2198" s="3" t="s">
        <v>55</v>
      </c>
      <c r="H2198" s="3" t="s">
        <v>29</v>
      </c>
      <c r="I2198" s="3" t="n">
        <f aca="false">YEAR(E2198)</f>
        <v>2026</v>
      </c>
      <c r="J2198" s="3" t="n">
        <f aca="false">MONTH(E2198)</f>
        <v>7</v>
      </c>
      <c r="K2198" s="3" t="n">
        <f aca="false">COUNTIFS($B$2:$B$4077,B2198,$C$2:$C$4077,C2198,$I$2:$I$4077,I2198)</f>
        <v>2</v>
      </c>
      <c r="L2198" s="3" t="n">
        <f aca="false">IF(COUNTIFS($B$2:B2198,B2198,$C$2:C2198,C2198,$I$2:I2198,I2198)=1,1,0)</f>
        <v>0</v>
      </c>
      <c r="M2198" s="3" t="n">
        <f aca="false">IF(K2198&gt;=Parametri!$B$1,1,0)</f>
        <v>1</v>
      </c>
      <c r="N2198" s="3" t="n">
        <f aca="false">L2198*M2198</f>
        <v>0</v>
      </c>
    </row>
    <row r="2199" customFormat="false" ht="15" hidden="false" customHeight="false" outlineLevel="0" collapsed="false">
      <c r="A2199" s="0" t="s">
        <v>3507</v>
      </c>
      <c r="B2199" s="0" t="s">
        <v>50</v>
      </c>
      <c r="C2199" s="0" t="s">
        <v>819</v>
      </c>
      <c r="D2199" s="0" t="s">
        <v>19</v>
      </c>
      <c r="E2199" s="2" t="n">
        <v>45405</v>
      </c>
      <c r="F2199" s="3" t="s">
        <v>20</v>
      </c>
      <c r="G2199" s="3" t="s">
        <v>21</v>
      </c>
      <c r="H2199" s="3" t="s">
        <v>22</v>
      </c>
      <c r="I2199" s="3" t="n">
        <f aca="false">YEAR(E2199)</f>
        <v>2024</v>
      </c>
      <c r="J2199" s="3" t="n">
        <f aca="false">MONTH(E2199)</f>
        <v>4</v>
      </c>
      <c r="K2199" s="3" t="n">
        <f aca="false">COUNTIFS($B$2:$B$4077,B2199,$C$2:$C$4077,C2199,$I$2:$I$4077,I2199)</f>
        <v>5</v>
      </c>
      <c r="L2199" s="3" t="n">
        <f aca="false">IF(COUNTIFS($B$2:B2199,B2199,$C$2:C2199,C2199,$I$2:I2199,I2199)=1,1,0)</f>
        <v>0</v>
      </c>
      <c r="M2199" s="3" t="n">
        <f aca="false">IF(K2199&gt;=Parametri!$B$1,1,0)</f>
        <v>1</v>
      </c>
      <c r="N2199" s="3" t="n">
        <f aca="false">L2199*M2199</f>
        <v>0</v>
      </c>
    </row>
    <row r="2200" customFormat="false" ht="15" hidden="false" customHeight="false" outlineLevel="0" collapsed="false">
      <c r="A2200" s="0" t="s">
        <v>3508</v>
      </c>
      <c r="B2200" s="0" t="s">
        <v>124</v>
      </c>
      <c r="C2200" s="0" t="s">
        <v>2277</v>
      </c>
      <c r="D2200" s="0" t="s">
        <v>66</v>
      </c>
      <c r="E2200" s="2" t="n">
        <v>45334</v>
      </c>
      <c r="F2200" s="3" t="s">
        <v>20</v>
      </c>
      <c r="G2200" s="3" t="s">
        <v>89</v>
      </c>
      <c r="H2200" s="3" t="s">
        <v>22</v>
      </c>
      <c r="I2200" s="3" t="n">
        <f aca="false">YEAR(E2200)</f>
        <v>2024</v>
      </c>
      <c r="J2200" s="3" t="n">
        <f aca="false">MONTH(E2200)</f>
        <v>2</v>
      </c>
      <c r="K2200" s="3" t="n">
        <f aca="false">COUNTIFS($B$2:$B$4077,B2200,$C$2:$C$4077,C2200,$I$2:$I$4077,I2200)</f>
        <v>3</v>
      </c>
      <c r="L2200" s="3" t="n">
        <f aca="false">IF(COUNTIFS($B$2:B2200,B2200,$C$2:C2200,C2200,$I$2:I2200,I2200)=1,1,0)</f>
        <v>0</v>
      </c>
      <c r="M2200" s="3" t="n">
        <f aca="false">IF(K2200&gt;=Parametri!$B$1,1,0)</f>
        <v>1</v>
      </c>
      <c r="N2200" s="3" t="n">
        <f aca="false">L2200*M2200</f>
        <v>0</v>
      </c>
    </row>
    <row r="2201" customFormat="false" ht="15" hidden="false" customHeight="false" outlineLevel="0" collapsed="false">
      <c r="A2201" s="0" t="s">
        <v>3509</v>
      </c>
      <c r="B2201" s="0" t="s">
        <v>124</v>
      </c>
      <c r="C2201" s="0" t="s">
        <v>1932</v>
      </c>
      <c r="D2201" s="0" t="s">
        <v>77</v>
      </c>
      <c r="E2201" s="2" t="n">
        <v>45997</v>
      </c>
      <c r="F2201" s="3" t="s">
        <v>20</v>
      </c>
      <c r="G2201" s="3" t="s">
        <v>55</v>
      </c>
      <c r="H2201" s="3" t="s">
        <v>22</v>
      </c>
      <c r="I2201" s="3" t="n">
        <f aca="false">YEAR(E2201)</f>
        <v>2025</v>
      </c>
      <c r="J2201" s="3" t="n">
        <f aca="false">MONTH(E2201)</f>
        <v>12</v>
      </c>
      <c r="K2201" s="3" t="n">
        <f aca="false">COUNTIFS($B$2:$B$4077,B2201,$C$2:$C$4077,C2201,$I$2:$I$4077,I2201)</f>
        <v>3</v>
      </c>
      <c r="L2201" s="3" t="n">
        <f aca="false">IF(COUNTIFS($B$2:B2201,B2201,$C$2:C2201,C2201,$I$2:I2201,I2201)=1,1,0)</f>
        <v>0</v>
      </c>
      <c r="M2201" s="3" t="n">
        <f aca="false">IF(K2201&gt;=Parametri!$B$1,1,0)</f>
        <v>1</v>
      </c>
      <c r="N2201" s="3" t="n">
        <f aca="false">L2201*M2201</f>
        <v>0</v>
      </c>
    </row>
    <row r="2202" customFormat="false" ht="15" hidden="false" customHeight="false" outlineLevel="0" collapsed="false">
      <c r="A2202" s="0" t="s">
        <v>3510</v>
      </c>
      <c r="B2202" s="0" t="s">
        <v>50</v>
      </c>
      <c r="C2202" s="0" t="s">
        <v>942</v>
      </c>
      <c r="D2202" s="0" t="s">
        <v>66</v>
      </c>
      <c r="E2202" s="2" t="n">
        <v>45972</v>
      </c>
      <c r="F2202" s="3" t="s">
        <v>20</v>
      </c>
      <c r="G2202" s="3" t="s">
        <v>35</v>
      </c>
      <c r="H2202" s="3" t="s">
        <v>22</v>
      </c>
      <c r="I2202" s="3" t="n">
        <f aca="false">YEAR(E2202)</f>
        <v>2025</v>
      </c>
      <c r="J2202" s="3" t="n">
        <f aca="false">MONTH(E2202)</f>
        <v>11</v>
      </c>
      <c r="K2202" s="3" t="n">
        <f aca="false">COUNTIFS($B$2:$B$4077,B2202,$C$2:$C$4077,C2202,$I$2:$I$4077,I2202)</f>
        <v>7</v>
      </c>
      <c r="L2202" s="3" t="n">
        <f aca="false">IF(COUNTIFS($B$2:B2202,B2202,$C$2:C2202,C2202,$I$2:I2202,I2202)=1,1,0)</f>
        <v>0</v>
      </c>
      <c r="M2202" s="3" t="n">
        <f aca="false">IF(K2202&gt;=Parametri!$B$1,1,0)</f>
        <v>1</v>
      </c>
      <c r="N2202" s="3" t="n">
        <f aca="false">L2202*M2202</f>
        <v>0</v>
      </c>
    </row>
    <row r="2203" customFormat="false" ht="15" hidden="false" customHeight="false" outlineLevel="0" collapsed="false">
      <c r="A2203" s="0" t="s">
        <v>3511</v>
      </c>
      <c r="B2203" s="0" t="s">
        <v>17</v>
      </c>
      <c r="C2203" s="0" t="s">
        <v>1814</v>
      </c>
      <c r="D2203" s="0" t="s">
        <v>54</v>
      </c>
      <c r="E2203" s="2" t="n">
        <v>45865</v>
      </c>
      <c r="F2203" s="3" t="s">
        <v>20</v>
      </c>
      <c r="G2203" s="3" t="s">
        <v>89</v>
      </c>
      <c r="H2203" s="3" t="s">
        <v>29</v>
      </c>
      <c r="I2203" s="3" t="n">
        <f aca="false">YEAR(E2203)</f>
        <v>2025</v>
      </c>
      <c r="J2203" s="3" t="n">
        <f aca="false">MONTH(E2203)</f>
        <v>7</v>
      </c>
      <c r="K2203" s="3" t="n">
        <f aca="false">COUNTIFS($B$2:$B$4077,B2203,$C$2:$C$4077,C2203,$I$2:$I$4077,I2203)</f>
        <v>1</v>
      </c>
      <c r="L2203" s="3" t="n">
        <f aca="false">IF(COUNTIFS($B$2:B2203,B2203,$C$2:C2203,C2203,$I$2:I2203,I2203)=1,1,0)</f>
        <v>1</v>
      </c>
      <c r="M2203" s="3" t="n">
        <f aca="false">IF(K2203&gt;=Parametri!$B$1,1,0)</f>
        <v>0</v>
      </c>
      <c r="N2203" s="3" t="n">
        <f aca="false">L2203*M2203</f>
        <v>0</v>
      </c>
    </row>
    <row r="2204" customFormat="false" ht="15" hidden="false" customHeight="false" outlineLevel="0" collapsed="false">
      <c r="A2204" s="0" t="s">
        <v>3512</v>
      </c>
      <c r="B2204" s="0" t="s">
        <v>79</v>
      </c>
      <c r="C2204" s="0" t="s">
        <v>3513</v>
      </c>
      <c r="D2204" s="0" t="s">
        <v>19</v>
      </c>
      <c r="E2204" s="2" t="n">
        <v>45602</v>
      </c>
      <c r="F2204" s="3" t="s">
        <v>34</v>
      </c>
      <c r="G2204" s="3" t="s">
        <v>21</v>
      </c>
      <c r="H2204" s="3" t="s">
        <v>44</v>
      </c>
      <c r="I2204" s="3" t="n">
        <f aca="false">YEAR(E2204)</f>
        <v>2024</v>
      </c>
      <c r="J2204" s="3" t="n">
        <f aca="false">MONTH(E2204)</f>
        <v>11</v>
      </c>
      <c r="K2204" s="3" t="n">
        <f aca="false">COUNTIFS($B$2:$B$4077,B2204,$C$2:$C$4077,C2204,$I$2:$I$4077,I2204)</f>
        <v>1</v>
      </c>
      <c r="L2204" s="3" t="n">
        <f aca="false">IF(COUNTIFS($B$2:B2204,B2204,$C$2:C2204,C2204,$I$2:I2204,I2204)=1,1,0)</f>
        <v>1</v>
      </c>
      <c r="M2204" s="3" t="n">
        <f aca="false">IF(K2204&gt;=Parametri!$B$1,1,0)</f>
        <v>0</v>
      </c>
      <c r="N2204" s="3" t="n">
        <f aca="false">L2204*M2204</f>
        <v>0</v>
      </c>
    </row>
    <row r="2205" customFormat="false" ht="15" hidden="false" customHeight="false" outlineLevel="0" collapsed="false">
      <c r="A2205" s="0" t="s">
        <v>3514</v>
      </c>
      <c r="B2205" s="0" t="s">
        <v>79</v>
      </c>
      <c r="C2205" s="0" t="s">
        <v>327</v>
      </c>
      <c r="D2205" s="0" t="s">
        <v>77</v>
      </c>
      <c r="E2205" s="2" t="n">
        <v>45538</v>
      </c>
      <c r="F2205" s="3" t="s">
        <v>27</v>
      </c>
      <c r="G2205" s="3" t="s">
        <v>55</v>
      </c>
      <c r="H2205" s="3" t="s">
        <v>29</v>
      </c>
      <c r="I2205" s="3" t="n">
        <f aca="false">YEAR(E2205)</f>
        <v>2024</v>
      </c>
      <c r="J2205" s="3" t="n">
        <f aca="false">MONTH(E2205)</f>
        <v>9</v>
      </c>
      <c r="K2205" s="3" t="n">
        <f aca="false">COUNTIFS($B$2:$B$4077,B2205,$C$2:$C$4077,C2205,$I$2:$I$4077,I2205)</f>
        <v>2</v>
      </c>
      <c r="L2205" s="3" t="n">
        <f aca="false">IF(COUNTIFS($B$2:B2205,B2205,$C$2:C2205,C2205,$I$2:I2205,I2205)=1,1,0)</f>
        <v>0</v>
      </c>
      <c r="M2205" s="3" t="n">
        <f aca="false">IF(K2205&gt;=Parametri!$B$1,1,0)</f>
        <v>1</v>
      </c>
      <c r="N2205" s="3" t="n">
        <f aca="false">L2205*M2205</f>
        <v>0</v>
      </c>
    </row>
    <row r="2206" customFormat="false" ht="15" hidden="false" customHeight="false" outlineLevel="0" collapsed="false">
      <c r="A2206" s="0" t="s">
        <v>3515</v>
      </c>
      <c r="B2206" s="0" t="s">
        <v>46</v>
      </c>
      <c r="C2206" s="0" t="s">
        <v>3516</v>
      </c>
      <c r="D2206" s="0" t="s">
        <v>54</v>
      </c>
      <c r="E2206" s="2" t="n">
        <v>46050</v>
      </c>
      <c r="F2206" s="3" t="s">
        <v>34</v>
      </c>
      <c r="G2206" s="3" t="s">
        <v>28</v>
      </c>
      <c r="H2206" s="3" t="s">
        <v>44</v>
      </c>
      <c r="I2206" s="3" t="n">
        <f aca="false">YEAR(E2206)</f>
        <v>2026</v>
      </c>
      <c r="J2206" s="3" t="n">
        <f aca="false">MONTH(E2206)</f>
        <v>1</v>
      </c>
      <c r="K2206" s="3" t="n">
        <f aca="false">COUNTIFS($B$2:$B$4077,B2206,$C$2:$C$4077,C2206,$I$2:$I$4077,I2206)</f>
        <v>1</v>
      </c>
      <c r="L2206" s="3" t="n">
        <f aca="false">IF(COUNTIFS($B$2:B2206,B2206,$C$2:C2206,C2206,$I$2:I2206,I2206)=1,1,0)</f>
        <v>1</v>
      </c>
      <c r="M2206" s="3" t="n">
        <f aca="false">IF(K2206&gt;=Parametri!$B$1,1,0)</f>
        <v>0</v>
      </c>
      <c r="N2206" s="3" t="n">
        <f aca="false">L2206*M2206</f>
        <v>0</v>
      </c>
    </row>
    <row r="2207" customFormat="false" ht="15" hidden="false" customHeight="false" outlineLevel="0" collapsed="false">
      <c r="A2207" s="0" t="s">
        <v>3517</v>
      </c>
      <c r="B2207" s="0" t="s">
        <v>31</v>
      </c>
      <c r="C2207" s="0" t="s">
        <v>3518</v>
      </c>
      <c r="D2207" s="0" t="s">
        <v>33</v>
      </c>
      <c r="E2207" s="2" t="n">
        <v>45699</v>
      </c>
      <c r="F2207" s="3" t="s">
        <v>27</v>
      </c>
      <c r="G2207" s="3" t="s">
        <v>72</v>
      </c>
      <c r="H2207" s="3" t="s">
        <v>29</v>
      </c>
      <c r="I2207" s="3" t="n">
        <f aca="false">YEAR(E2207)</f>
        <v>2025</v>
      </c>
      <c r="J2207" s="3" t="n">
        <f aca="false">MONTH(E2207)</f>
        <v>2</v>
      </c>
      <c r="K2207" s="3" t="n">
        <f aca="false">COUNTIFS($B$2:$B$4077,B2207,$C$2:$C$4077,C2207,$I$2:$I$4077,I2207)</f>
        <v>1</v>
      </c>
      <c r="L2207" s="3" t="n">
        <f aca="false">IF(COUNTIFS($B$2:B2207,B2207,$C$2:C2207,C2207,$I$2:I2207,I2207)=1,1,0)</f>
        <v>1</v>
      </c>
      <c r="M2207" s="3" t="n">
        <f aca="false">IF(K2207&gt;=Parametri!$B$1,1,0)</f>
        <v>0</v>
      </c>
      <c r="N2207" s="3" t="n">
        <f aca="false">L2207*M2207</f>
        <v>0</v>
      </c>
    </row>
    <row r="2208" customFormat="false" ht="15" hidden="false" customHeight="false" outlineLevel="0" collapsed="false">
      <c r="A2208" s="0" t="s">
        <v>3519</v>
      </c>
      <c r="B2208" s="0" t="s">
        <v>124</v>
      </c>
      <c r="C2208" s="0" t="s">
        <v>643</v>
      </c>
      <c r="D2208" s="0" t="s">
        <v>54</v>
      </c>
      <c r="E2208" s="2" t="n">
        <v>45902</v>
      </c>
      <c r="F2208" s="3" t="s">
        <v>20</v>
      </c>
      <c r="G2208" s="3" t="s">
        <v>35</v>
      </c>
      <c r="H2208" s="3" t="s">
        <v>29</v>
      </c>
      <c r="I2208" s="3" t="n">
        <f aca="false">YEAR(E2208)</f>
        <v>2025</v>
      </c>
      <c r="J2208" s="3" t="n">
        <f aca="false">MONTH(E2208)</f>
        <v>9</v>
      </c>
      <c r="K2208" s="3" t="n">
        <f aca="false">COUNTIFS($B$2:$B$4077,B2208,$C$2:$C$4077,C2208,$I$2:$I$4077,I2208)</f>
        <v>1</v>
      </c>
      <c r="L2208" s="3" t="n">
        <f aca="false">IF(COUNTIFS($B$2:B2208,B2208,$C$2:C2208,C2208,$I$2:I2208,I2208)=1,1,0)</f>
        <v>1</v>
      </c>
      <c r="M2208" s="3" t="n">
        <f aca="false">IF(K2208&gt;=Parametri!$B$1,1,0)</f>
        <v>0</v>
      </c>
      <c r="N2208" s="3" t="n">
        <f aca="false">L2208*M2208</f>
        <v>0</v>
      </c>
    </row>
    <row r="2209" customFormat="false" ht="15" hidden="false" customHeight="false" outlineLevel="0" collapsed="false">
      <c r="A2209" s="0" t="s">
        <v>3520</v>
      </c>
      <c r="B2209" s="0" t="s">
        <v>17</v>
      </c>
      <c r="C2209" s="0" t="s">
        <v>3521</v>
      </c>
      <c r="D2209" s="0" t="s">
        <v>26</v>
      </c>
      <c r="E2209" s="2" t="n">
        <v>45434</v>
      </c>
      <c r="F2209" s="3" t="s">
        <v>20</v>
      </c>
      <c r="G2209" s="3" t="s">
        <v>55</v>
      </c>
      <c r="H2209" s="3" t="s">
        <v>22</v>
      </c>
      <c r="I2209" s="3" t="n">
        <f aca="false">YEAR(E2209)</f>
        <v>2024</v>
      </c>
      <c r="J2209" s="3" t="n">
        <f aca="false">MONTH(E2209)</f>
        <v>5</v>
      </c>
      <c r="K2209" s="3" t="n">
        <f aca="false">COUNTIFS($B$2:$B$4077,B2209,$C$2:$C$4077,C2209,$I$2:$I$4077,I2209)</f>
        <v>1</v>
      </c>
      <c r="L2209" s="3" t="n">
        <f aca="false">IF(COUNTIFS($B$2:B2209,B2209,$C$2:C2209,C2209,$I$2:I2209,I2209)=1,1,0)</f>
        <v>1</v>
      </c>
      <c r="M2209" s="3" t="n">
        <f aca="false">IF(K2209&gt;=Parametri!$B$1,1,0)</f>
        <v>0</v>
      </c>
      <c r="N2209" s="3" t="n">
        <f aca="false">L2209*M2209</f>
        <v>0</v>
      </c>
    </row>
    <row r="2210" customFormat="false" ht="15" hidden="false" customHeight="false" outlineLevel="0" collapsed="false">
      <c r="A2210" s="0" t="s">
        <v>3522</v>
      </c>
      <c r="B2210" s="0" t="s">
        <v>124</v>
      </c>
      <c r="C2210" s="0" t="s">
        <v>3523</v>
      </c>
      <c r="D2210" s="0" t="s">
        <v>63</v>
      </c>
      <c r="E2210" s="2" t="n">
        <v>46084</v>
      </c>
      <c r="F2210" s="3" t="s">
        <v>27</v>
      </c>
      <c r="G2210" s="3" t="s">
        <v>39</v>
      </c>
      <c r="H2210" s="3" t="s">
        <v>22</v>
      </c>
      <c r="I2210" s="3" t="n">
        <f aca="false">YEAR(E2210)</f>
        <v>2026</v>
      </c>
      <c r="J2210" s="3" t="n">
        <f aca="false">MONTH(E2210)</f>
        <v>3</v>
      </c>
      <c r="K2210" s="3" t="n">
        <f aca="false">COUNTIFS($B$2:$B$4077,B2210,$C$2:$C$4077,C2210,$I$2:$I$4077,I2210)</f>
        <v>1</v>
      </c>
      <c r="L2210" s="3" t="n">
        <f aca="false">IF(COUNTIFS($B$2:B2210,B2210,$C$2:C2210,C2210,$I$2:I2210,I2210)=1,1,0)</f>
        <v>1</v>
      </c>
      <c r="M2210" s="3" t="n">
        <f aca="false">IF(K2210&gt;=Parametri!$B$1,1,0)</f>
        <v>0</v>
      </c>
      <c r="N2210" s="3" t="n">
        <f aca="false">L2210*M2210</f>
        <v>0</v>
      </c>
    </row>
    <row r="2211" customFormat="false" ht="15" hidden="false" customHeight="false" outlineLevel="0" collapsed="false">
      <c r="A2211" s="0" t="s">
        <v>3524</v>
      </c>
      <c r="B2211" s="0" t="s">
        <v>31</v>
      </c>
      <c r="C2211" s="0" t="s">
        <v>2595</v>
      </c>
      <c r="D2211" s="0" t="s">
        <v>54</v>
      </c>
      <c r="E2211" s="2" t="n">
        <v>45385</v>
      </c>
      <c r="F2211" s="3" t="s">
        <v>27</v>
      </c>
      <c r="G2211" s="3" t="s">
        <v>39</v>
      </c>
      <c r="H2211" s="3" t="s">
        <v>29</v>
      </c>
      <c r="I2211" s="3" t="n">
        <f aca="false">YEAR(E2211)</f>
        <v>2024</v>
      </c>
      <c r="J2211" s="3" t="n">
        <f aca="false">MONTH(E2211)</f>
        <v>4</v>
      </c>
      <c r="K2211" s="3" t="n">
        <f aca="false">COUNTIFS($B$2:$B$4077,B2211,$C$2:$C$4077,C2211,$I$2:$I$4077,I2211)</f>
        <v>1</v>
      </c>
      <c r="L2211" s="3" t="n">
        <f aca="false">IF(COUNTIFS($B$2:B2211,B2211,$C$2:C2211,C2211,$I$2:I2211,I2211)=1,1,0)</f>
        <v>1</v>
      </c>
      <c r="M2211" s="3" t="n">
        <f aca="false">IF(K2211&gt;=Parametri!$B$1,1,0)</f>
        <v>0</v>
      </c>
      <c r="N2211" s="3" t="n">
        <f aca="false">L2211*M2211</f>
        <v>0</v>
      </c>
    </row>
    <row r="2212" customFormat="false" ht="15" hidden="false" customHeight="false" outlineLevel="0" collapsed="false">
      <c r="A2212" s="0" t="s">
        <v>3525</v>
      </c>
      <c r="B2212" s="0" t="s">
        <v>79</v>
      </c>
      <c r="C2212" s="0" t="s">
        <v>3093</v>
      </c>
      <c r="D2212" s="0" t="s">
        <v>63</v>
      </c>
      <c r="E2212" s="2" t="n">
        <v>45325</v>
      </c>
      <c r="F2212" s="3" t="s">
        <v>27</v>
      </c>
      <c r="G2212" s="3" t="s">
        <v>55</v>
      </c>
      <c r="H2212" s="3" t="s">
        <v>29</v>
      </c>
      <c r="I2212" s="3" t="n">
        <f aca="false">YEAR(E2212)</f>
        <v>2024</v>
      </c>
      <c r="J2212" s="3" t="n">
        <f aca="false">MONTH(E2212)</f>
        <v>2</v>
      </c>
      <c r="K2212" s="3" t="n">
        <f aca="false">COUNTIFS($B$2:$B$4077,B2212,$C$2:$C$4077,C2212,$I$2:$I$4077,I2212)</f>
        <v>2</v>
      </c>
      <c r="L2212" s="3" t="n">
        <f aca="false">IF(COUNTIFS($B$2:B2212,B2212,$C$2:C2212,C2212,$I$2:I2212,I2212)=1,1,0)</f>
        <v>0</v>
      </c>
      <c r="M2212" s="3" t="n">
        <f aca="false">IF(K2212&gt;=Parametri!$B$1,1,0)</f>
        <v>1</v>
      </c>
      <c r="N2212" s="3" t="n">
        <f aca="false">L2212*M2212</f>
        <v>0</v>
      </c>
    </row>
    <row r="2213" customFormat="false" ht="15" hidden="false" customHeight="false" outlineLevel="0" collapsed="false">
      <c r="A2213" s="0" t="s">
        <v>3526</v>
      </c>
      <c r="B2213" s="0" t="s">
        <v>31</v>
      </c>
      <c r="C2213" s="0" t="s">
        <v>3527</v>
      </c>
      <c r="D2213" s="0" t="s">
        <v>77</v>
      </c>
      <c r="E2213" s="2" t="n">
        <v>46075</v>
      </c>
      <c r="F2213" s="3" t="s">
        <v>20</v>
      </c>
      <c r="G2213" s="3" t="s">
        <v>55</v>
      </c>
      <c r="H2213" s="3" t="s">
        <v>44</v>
      </c>
      <c r="I2213" s="3" t="n">
        <f aca="false">YEAR(E2213)</f>
        <v>2026</v>
      </c>
      <c r="J2213" s="3" t="n">
        <f aca="false">MONTH(E2213)</f>
        <v>2</v>
      </c>
      <c r="K2213" s="3" t="n">
        <f aca="false">COUNTIFS($B$2:$B$4077,B2213,$C$2:$C$4077,C2213,$I$2:$I$4077,I2213)</f>
        <v>1</v>
      </c>
      <c r="L2213" s="3" t="n">
        <f aca="false">IF(COUNTIFS($B$2:B2213,B2213,$C$2:C2213,C2213,$I$2:I2213,I2213)=1,1,0)</f>
        <v>1</v>
      </c>
      <c r="M2213" s="3" t="n">
        <f aca="false">IF(K2213&gt;=Parametri!$B$1,1,0)</f>
        <v>0</v>
      </c>
      <c r="N2213" s="3" t="n">
        <f aca="false">L2213*M2213</f>
        <v>0</v>
      </c>
    </row>
    <row r="2214" customFormat="false" ht="15" hidden="false" customHeight="false" outlineLevel="0" collapsed="false">
      <c r="A2214" s="0" t="s">
        <v>3528</v>
      </c>
      <c r="B2214" s="0" t="s">
        <v>68</v>
      </c>
      <c r="C2214" s="0" t="s">
        <v>3529</v>
      </c>
      <c r="D2214" s="0" t="s">
        <v>54</v>
      </c>
      <c r="E2214" s="2" t="n">
        <v>45495</v>
      </c>
      <c r="F2214" s="3" t="s">
        <v>104</v>
      </c>
      <c r="G2214" s="3" t="s">
        <v>104</v>
      </c>
      <c r="H2214" s="3" t="s">
        <v>104</v>
      </c>
      <c r="I2214" s="3" t="n">
        <f aca="false">YEAR(E2214)</f>
        <v>2024</v>
      </c>
      <c r="J2214" s="3" t="n">
        <f aca="false">MONTH(E2214)</f>
        <v>7</v>
      </c>
      <c r="K2214" s="3" t="n">
        <f aca="false">COUNTIFS($B$2:$B$4077,B2214,$C$2:$C$4077,C2214,$I$2:$I$4077,I2214)</f>
        <v>2</v>
      </c>
      <c r="L2214" s="3" t="n">
        <f aca="false">IF(COUNTIFS($B$2:B2214,B2214,$C$2:C2214,C2214,$I$2:I2214,I2214)=1,1,0)</f>
        <v>1</v>
      </c>
      <c r="M2214" s="3" t="n">
        <f aca="false">IF(K2214&gt;=Parametri!$B$1,1,0)</f>
        <v>1</v>
      </c>
      <c r="N2214" s="3" t="n">
        <f aca="false">L2214*M2214</f>
        <v>1</v>
      </c>
    </row>
    <row r="2215" customFormat="false" ht="15" hidden="false" customHeight="false" outlineLevel="0" collapsed="false">
      <c r="A2215" s="0" t="s">
        <v>3530</v>
      </c>
      <c r="B2215" s="0" t="s">
        <v>79</v>
      </c>
      <c r="C2215" s="0" t="s">
        <v>2197</v>
      </c>
      <c r="D2215" s="0" t="s">
        <v>63</v>
      </c>
      <c r="E2215" s="2" t="n">
        <v>45509</v>
      </c>
      <c r="F2215" s="3" t="s">
        <v>20</v>
      </c>
      <c r="G2215" s="3" t="s">
        <v>43</v>
      </c>
      <c r="H2215" s="3" t="s">
        <v>48</v>
      </c>
      <c r="I2215" s="3" t="n">
        <f aca="false">YEAR(E2215)</f>
        <v>2024</v>
      </c>
      <c r="J2215" s="3" t="n">
        <f aca="false">MONTH(E2215)</f>
        <v>8</v>
      </c>
      <c r="K2215" s="3" t="n">
        <f aca="false">COUNTIFS($B$2:$B$4077,B2215,$C$2:$C$4077,C2215,$I$2:$I$4077,I2215)</f>
        <v>2</v>
      </c>
      <c r="L2215" s="3" t="n">
        <f aca="false">IF(COUNTIFS($B$2:B2215,B2215,$C$2:C2215,C2215,$I$2:I2215,I2215)=1,1,0)</f>
        <v>1</v>
      </c>
      <c r="M2215" s="3" t="n">
        <f aca="false">IF(K2215&gt;=Parametri!$B$1,1,0)</f>
        <v>1</v>
      </c>
      <c r="N2215" s="3" t="n">
        <f aca="false">L2215*M2215</f>
        <v>1</v>
      </c>
    </row>
    <row r="2216" customFormat="false" ht="15" hidden="false" customHeight="false" outlineLevel="0" collapsed="false">
      <c r="A2216" s="0" t="s">
        <v>3531</v>
      </c>
      <c r="B2216" s="0" t="s">
        <v>57</v>
      </c>
      <c r="C2216" s="0" t="s">
        <v>3532</v>
      </c>
      <c r="D2216" s="0" t="s">
        <v>26</v>
      </c>
      <c r="E2216" s="2" t="n">
        <v>45685</v>
      </c>
      <c r="F2216" s="3" t="s">
        <v>20</v>
      </c>
      <c r="G2216" s="3" t="s">
        <v>43</v>
      </c>
      <c r="H2216" s="3" t="s">
        <v>22</v>
      </c>
      <c r="I2216" s="3" t="n">
        <f aca="false">YEAR(E2216)</f>
        <v>2025</v>
      </c>
      <c r="J2216" s="3" t="n">
        <f aca="false">MONTH(E2216)</f>
        <v>1</v>
      </c>
      <c r="K2216" s="3" t="n">
        <f aca="false">COUNTIFS($B$2:$B$4077,B2216,$C$2:$C$4077,C2216,$I$2:$I$4077,I2216)</f>
        <v>1</v>
      </c>
      <c r="L2216" s="3" t="n">
        <f aca="false">IF(COUNTIFS($B$2:B2216,B2216,$C$2:C2216,C2216,$I$2:I2216,I2216)=1,1,0)</f>
        <v>1</v>
      </c>
      <c r="M2216" s="3" t="n">
        <f aca="false">IF(K2216&gt;=Parametri!$B$1,1,0)</f>
        <v>0</v>
      </c>
      <c r="N2216" s="3" t="n">
        <f aca="false">L2216*M2216</f>
        <v>0</v>
      </c>
    </row>
    <row r="2217" customFormat="false" ht="15" hidden="false" customHeight="false" outlineLevel="0" collapsed="false">
      <c r="A2217" s="0" t="s">
        <v>3533</v>
      </c>
      <c r="B2217" s="0" t="s">
        <v>31</v>
      </c>
      <c r="C2217" s="0" t="s">
        <v>3534</v>
      </c>
      <c r="D2217" s="0" t="s">
        <v>38</v>
      </c>
      <c r="E2217" s="2" t="n">
        <v>45447</v>
      </c>
      <c r="F2217" s="3" t="s">
        <v>34</v>
      </c>
      <c r="G2217" s="3" t="s">
        <v>72</v>
      </c>
      <c r="H2217" s="3" t="s">
        <v>22</v>
      </c>
      <c r="I2217" s="3" t="n">
        <f aca="false">YEAR(E2217)</f>
        <v>2024</v>
      </c>
      <c r="J2217" s="3" t="n">
        <f aca="false">MONTH(E2217)</f>
        <v>6</v>
      </c>
      <c r="K2217" s="3" t="n">
        <f aca="false">COUNTIFS($B$2:$B$4077,B2217,$C$2:$C$4077,C2217,$I$2:$I$4077,I2217)</f>
        <v>1</v>
      </c>
      <c r="L2217" s="3" t="n">
        <f aca="false">IF(COUNTIFS($B$2:B2217,B2217,$C$2:C2217,C2217,$I$2:I2217,I2217)=1,1,0)</f>
        <v>1</v>
      </c>
      <c r="M2217" s="3" t="n">
        <f aca="false">IF(K2217&gt;=Parametri!$B$1,1,0)</f>
        <v>0</v>
      </c>
      <c r="N2217" s="3" t="n">
        <f aca="false">L2217*M2217</f>
        <v>0</v>
      </c>
    </row>
    <row r="2218" customFormat="false" ht="15" hidden="false" customHeight="false" outlineLevel="0" collapsed="false">
      <c r="A2218" s="0" t="s">
        <v>3535</v>
      </c>
      <c r="B2218" s="0" t="s">
        <v>79</v>
      </c>
      <c r="C2218" s="0" t="s">
        <v>86</v>
      </c>
      <c r="D2218" s="0" t="s">
        <v>33</v>
      </c>
      <c r="E2218" s="2" t="n">
        <v>45695</v>
      </c>
      <c r="F2218" s="3" t="s">
        <v>27</v>
      </c>
      <c r="G2218" s="3" t="s">
        <v>72</v>
      </c>
      <c r="H2218" s="3" t="s">
        <v>29</v>
      </c>
      <c r="I2218" s="3" t="n">
        <f aca="false">YEAR(E2218)</f>
        <v>2025</v>
      </c>
      <c r="J2218" s="3" t="n">
        <f aca="false">MONTH(E2218)</f>
        <v>2</v>
      </c>
      <c r="K2218" s="3" t="n">
        <f aca="false">COUNTIFS($B$2:$B$4077,B2218,$C$2:$C$4077,C2218,$I$2:$I$4077,I2218)</f>
        <v>1</v>
      </c>
      <c r="L2218" s="3" t="n">
        <f aca="false">IF(COUNTIFS($B$2:B2218,B2218,$C$2:C2218,C2218,$I$2:I2218,I2218)=1,1,0)</f>
        <v>1</v>
      </c>
      <c r="M2218" s="3" t="n">
        <f aca="false">IF(K2218&gt;=Parametri!$B$1,1,0)</f>
        <v>0</v>
      </c>
      <c r="N2218" s="3" t="n">
        <f aca="false">L2218*M2218</f>
        <v>0</v>
      </c>
    </row>
    <row r="2219" customFormat="false" ht="15" hidden="false" customHeight="false" outlineLevel="0" collapsed="false">
      <c r="A2219" s="0" t="s">
        <v>3536</v>
      </c>
      <c r="B2219" s="0" t="s">
        <v>46</v>
      </c>
      <c r="C2219" s="0" t="s">
        <v>2115</v>
      </c>
      <c r="D2219" s="0" t="s">
        <v>19</v>
      </c>
      <c r="E2219" s="2" t="n">
        <v>46123</v>
      </c>
      <c r="F2219" s="3" t="s">
        <v>20</v>
      </c>
      <c r="G2219" s="3" t="s">
        <v>72</v>
      </c>
      <c r="H2219" s="3" t="s">
        <v>22</v>
      </c>
      <c r="I2219" s="3" t="n">
        <f aca="false">YEAR(E2219)</f>
        <v>2026</v>
      </c>
      <c r="J2219" s="3" t="n">
        <f aca="false">MONTH(E2219)</f>
        <v>4</v>
      </c>
      <c r="K2219" s="3" t="n">
        <f aca="false">COUNTIFS($B$2:$B$4077,B2219,$C$2:$C$4077,C2219,$I$2:$I$4077,I2219)</f>
        <v>1</v>
      </c>
      <c r="L2219" s="3" t="n">
        <f aca="false">IF(COUNTIFS($B$2:B2219,B2219,$C$2:C2219,C2219,$I$2:I2219,I2219)=1,1,0)</f>
        <v>1</v>
      </c>
      <c r="M2219" s="3" t="n">
        <f aca="false">IF(K2219&gt;=Parametri!$B$1,1,0)</f>
        <v>0</v>
      </c>
      <c r="N2219" s="3" t="n">
        <f aca="false">L2219*M2219</f>
        <v>0</v>
      </c>
    </row>
    <row r="2220" customFormat="false" ht="15" hidden="false" customHeight="false" outlineLevel="0" collapsed="false">
      <c r="A2220" s="0" t="s">
        <v>3537</v>
      </c>
      <c r="B2220" s="0" t="s">
        <v>124</v>
      </c>
      <c r="C2220" s="0" t="s">
        <v>2284</v>
      </c>
      <c r="D2220" s="0" t="s">
        <v>54</v>
      </c>
      <c r="E2220" s="2" t="n">
        <v>46021</v>
      </c>
      <c r="F2220" s="3" t="s">
        <v>20</v>
      </c>
      <c r="G2220" s="3" t="s">
        <v>72</v>
      </c>
      <c r="H2220" s="3" t="s">
        <v>29</v>
      </c>
      <c r="I2220" s="3" t="n">
        <f aca="false">YEAR(E2220)</f>
        <v>2025</v>
      </c>
      <c r="J2220" s="3" t="n">
        <f aca="false">MONTH(E2220)</f>
        <v>12</v>
      </c>
      <c r="K2220" s="3" t="n">
        <f aca="false">COUNTIFS($B$2:$B$4077,B2220,$C$2:$C$4077,C2220,$I$2:$I$4077,I2220)</f>
        <v>1</v>
      </c>
      <c r="L2220" s="3" t="n">
        <f aca="false">IF(COUNTIFS($B$2:B2220,B2220,$C$2:C2220,C2220,$I$2:I2220,I2220)=1,1,0)</f>
        <v>1</v>
      </c>
      <c r="M2220" s="3" t="n">
        <f aca="false">IF(K2220&gt;=Parametri!$B$1,1,0)</f>
        <v>0</v>
      </c>
      <c r="N2220" s="3" t="n">
        <f aca="false">L2220*M2220</f>
        <v>0</v>
      </c>
    </row>
    <row r="2221" customFormat="false" ht="15" hidden="false" customHeight="false" outlineLevel="0" collapsed="false">
      <c r="A2221" s="0" t="s">
        <v>3538</v>
      </c>
      <c r="B2221" s="0" t="s">
        <v>57</v>
      </c>
      <c r="C2221" s="0" t="s">
        <v>2204</v>
      </c>
      <c r="D2221" s="0" t="s">
        <v>33</v>
      </c>
      <c r="E2221" s="2" t="n">
        <v>45825</v>
      </c>
      <c r="F2221" s="3" t="s">
        <v>20</v>
      </c>
      <c r="G2221" s="3" t="s">
        <v>39</v>
      </c>
      <c r="H2221" s="3" t="s">
        <v>48</v>
      </c>
      <c r="I2221" s="3" t="n">
        <f aca="false">YEAR(E2221)</f>
        <v>2025</v>
      </c>
      <c r="J2221" s="3" t="n">
        <f aca="false">MONTH(E2221)</f>
        <v>6</v>
      </c>
      <c r="K2221" s="3" t="n">
        <f aca="false">COUNTIFS($B$2:$B$4077,B2221,$C$2:$C$4077,C2221,$I$2:$I$4077,I2221)</f>
        <v>3</v>
      </c>
      <c r="L2221" s="3" t="n">
        <f aca="false">IF(COUNTIFS($B$2:B2221,B2221,$C$2:C2221,C2221,$I$2:I2221,I2221)=1,1,0)</f>
        <v>0</v>
      </c>
      <c r="M2221" s="3" t="n">
        <f aca="false">IF(K2221&gt;=Parametri!$B$1,1,0)</f>
        <v>1</v>
      </c>
      <c r="N2221" s="3" t="n">
        <f aca="false">L2221*M2221</f>
        <v>0</v>
      </c>
    </row>
    <row r="2222" customFormat="false" ht="15" hidden="false" customHeight="false" outlineLevel="0" collapsed="false">
      <c r="A2222" s="0" t="s">
        <v>3539</v>
      </c>
      <c r="B2222" s="0" t="s">
        <v>50</v>
      </c>
      <c r="C2222" s="0" t="s">
        <v>3540</v>
      </c>
      <c r="D2222" s="0" t="s">
        <v>19</v>
      </c>
      <c r="E2222" s="2" t="n">
        <v>45583</v>
      </c>
      <c r="F2222" s="3" t="s">
        <v>20</v>
      </c>
      <c r="G2222" s="3" t="s">
        <v>43</v>
      </c>
      <c r="H2222" s="3" t="s">
        <v>22</v>
      </c>
      <c r="I2222" s="3" t="n">
        <f aca="false">YEAR(E2222)</f>
        <v>2024</v>
      </c>
      <c r="J2222" s="3" t="n">
        <f aca="false">MONTH(E2222)</f>
        <v>10</v>
      </c>
      <c r="K2222" s="3" t="n">
        <f aca="false">COUNTIFS($B$2:$B$4077,B2222,$C$2:$C$4077,C2222,$I$2:$I$4077,I2222)</f>
        <v>1</v>
      </c>
      <c r="L2222" s="3" t="n">
        <f aca="false">IF(COUNTIFS($B$2:B2222,B2222,$C$2:C2222,C2222,$I$2:I2222,I2222)=1,1,0)</f>
        <v>1</v>
      </c>
      <c r="M2222" s="3" t="n">
        <f aca="false">IF(K2222&gt;=Parametri!$B$1,1,0)</f>
        <v>0</v>
      </c>
      <c r="N2222" s="3" t="n">
        <f aca="false">L2222*M2222</f>
        <v>0</v>
      </c>
    </row>
    <row r="2223" customFormat="false" ht="15" hidden="false" customHeight="false" outlineLevel="0" collapsed="false">
      <c r="A2223" s="0" t="s">
        <v>3541</v>
      </c>
      <c r="B2223" s="0" t="s">
        <v>17</v>
      </c>
      <c r="C2223" s="0" t="s">
        <v>3542</v>
      </c>
      <c r="D2223" s="0" t="s">
        <v>77</v>
      </c>
      <c r="E2223" s="2" t="n">
        <v>45878</v>
      </c>
      <c r="F2223" s="3" t="s">
        <v>27</v>
      </c>
      <c r="G2223" s="3" t="s">
        <v>28</v>
      </c>
      <c r="H2223" s="3" t="s">
        <v>22</v>
      </c>
      <c r="I2223" s="3" t="n">
        <f aca="false">YEAR(E2223)</f>
        <v>2025</v>
      </c>
      <c r="J2223" s="3" t="n">
        <f aca="false">MONTH(E2223)</f>
        <v>8</v>
      </c>
      <c r="K2223" s="3" t="n">
        <f aca="false">COUNTIFS($B$2:$B$4077,B2223,$C$2:$C$4077,C2223,$I$2:$I$4077,I2223)</f>
        <v>1</v>
      </c>
      <c r="L2223" s="3" t="n">
        <f aca="false">IF(COUNTIFS($B$2:B2223,B2223,$C$2:C2223,C2223,$I$2:I2223,I2223)=1,1,0)</f>
        <v>1</v>
      </c>
      <c r="M2223" s="3" t="n">
        <f aca="false">IF(K2223&gt;=Parametri!$B$1,1,0)</f>
        <v>0</v>
      </c>
      <c r="N2223" s="3" t="n">
        <f aca="false">L2223*M2223</f>
        <v>0</v>
      </c>
    </row>
    <row r="2224" customFormat="false" ht="15" hidden="false" customHeight="false" outlineLevel="0" collapsed="false">
      <c r="A2224" s="0" t="s">
        <v>3543</v>
      </c>
      <c r="B2224" s="0" t="s">
        <v>31</v>
      </c>
      <c r="C2224" s="0" t="s">
        <v>778</v>
      </c>
      <c r="D2224" s="0" t="s">
        <v>54</v>
      </c>
      <c r="E2224" s="2" t="n">
        <v>45984</v>
      </c>
      <c r="F2224" s="3" t="s">
        <v>34</v>
      </c>
      <c r="G2224" s="3" t="s">
        <v>21</v>
      </c>
      <c r="H2224" s="3" t="s">
        <v>48</v>
      </c>
      <c r="I2224" s="3" t="n">
        <f aca="false">YEAR(E2224)</f>
        <v>2025</v>
      </c>
      <c r="J2224" s="3" t="n">
        <f aca="false">MONTH(E2224)</f>
        <v>11</v>
      </c>
      <c r="K2224" s="3" t="n">
        <f aca="false">COUNTIFS($B$2:$B$4077,B2224,$C$2:$C$4077,C2224,$I$2:$I$4077,I2224)</f>
        <v>6</v>
      </c>
      <c r="L2224" s="3" t="n">
        <f aca="false">IF(COUNTIFS($B$2:B2224,B2224,$C$2:C2224,C2224,$I$2:I2224,I2224)=1,1,0)</f>
        <v>0</v>
      </c>
      <c r="M2224" s="3" t="n">
        <f aca="false">IF(K2224&gt;=Parametri!$B$1,1,0)</f>
        <v>1</v>
      </c>
      <c r="N2224" s="3" t="n">
        <f aca="false">L2224*M2224</f>
        <v>0</v>
      </c>
    </row>
    <row r="2225" customFormat="false" ht="15" hidden="false" customHeight="false" outlineLevel="0" collapsed="false">
      <c r="A2225" s="0" t="s">
        <v>3544</v>
      </c>
      <c r="B2225" s="0" t="s">
        <v>46</v>
      </c>
      <c r="C2225" s="0" t="s">
        <v>3545</v>
      </c>
      <c r="D2225" s="0" t="s">
        <v>77</v>
      </c>
      <c r="E2225" s="2" t="n">
        <v>45887</v>
      </c>
      <c r="F2225" s="3" t="s">
        <v>27</v>
      </c>
      <c r="G2225" s="3" t="s">
        <v>89</v>
      </c>
      <c r="H2225" s="3" t="s">
        <v>44</v>
      </c>
      <c r="I2225" s="3" t="n">
        <f aca="false">YEAR(E2225)</f>
        <v>2025</v>
      </c>
      <c r="J2225" s="3" t="n">
        <f aca="false">MONTH(E2225)</f>
        <v>8</v>
      </c>
      <c r="K2225" s="3" t="n">
        <f aca="false">COUNTIFS($B$2:$B$4077,B2225,$C$2:$C$4077,C2225,$I$2:$I$4077,I2225)</f>
        <v>1</v>
      </c>
      <c r="L2225" s="3" t="n">
        <f aca="false">IF(COUNTIFS($B$2:B2225,B2225,$C$2:C2225,C2225,$I$2:I2225,I2225)=1,1,0)</f>
        <v>1</v>
      </c>
      <c r="M2225" s="3" t="n">
        <f aca="false">IF(K2225&gt;=Parametri!$B$1,1,0)</f>
        <v>0</v>
      </c>
      <c r="N2225" s="3" t="n">
        <f aca="false">L2225*M2225</f>
        <v>0</v>
      </c>
    </row>
    <row r="2226" customFormat="false" ht="15" hidden="false" customHeight="false" outlineLevel="0" collapsed="false">
      <c r="A2226" s="0" t="s">
        <v>3546</v>
      </c>
      <c r="B2226" s="0" t="s">
        <v>57</v>
      </c>
      <c r="C2226" s="0" t="s">
        <v>442</v>
      </c>
      <c r="D2226" s="0" t="s">
        <v>26</v>
      </c>
      <c r="E2226" s="2" t="n">
        <v>45644</v>
      </c>
      <c r="F2226" s="3" t="s">
        <v>20</v>
      </c>
      <c r="G2226" s="3" t="s">
        <v>72</v>
      </c>
      <c r="H2226" s="3" t="s">
        <v>44</v>
      </c>
      <c r="I2226" s="3" t="n">
        <f aca="false">YEAR(E2226)</f>
        <v>2024</v>
      </c>
      <c r="J2226" s="3" t="n">
        <f aca="false">MONTH(E2226)</f>
        <v>12</v>
      </c>
      <c r="K2226" s="3" t="n">
        <f aca="false">COUNTIFS($B$2:$B$4077,B2226,$C$2:$C$4077,C2226,$I$2:$I$4077,I2226)</f>
        <v>2</v>
      </c>
      <c r="L2226" s="3" t="n">
        <f aca="false">IF(COUNTIFS($B$2:B2226,B2226,$C$2:C2226,C2226,$I$2:I2226,I2226)=1,1,0)</f>
        <v>1</v>
      </c>
      <c r="M2226" s="3" t="n">
        <f aca="false">IF(K2226&gt;=Parametri!$B$1,1,0)</f>
        <v>1</v>
      </c>
      <c r="N2226" s="3" t="n">
        <f aca="false">L2226*M2226</f>
        <v>1</v>
      </c>
    </row>
    <row r="2227" customFormat="false" ht="15" hidden="false" customHeight="false" outlineLevel="0" collapsed="false">
      <c r="A2227" s="0" t="s">
        <v>3547</v>
      </c>
      <c r="B2227" s="0" t="s">
        <v>57</v>
      </c>
      <c r="C2227" s="0" t="s">
        <v>101</v>
      </c>
      <c r="D2227" s="0" t="s">
        <v>26</v>
      </c>
      <c r="E2227" s="2" t="n">
        <v>45687</v>
      </c>
      <c r="F2227" s="3" t="s">
        <v>20</v>
      </c>
      <c r="G2227" s="3" t="s">
        <v>89</v>
      </c>
      <c r="H2227" s="3" t="s">
        <v>22</v>
      </c>
      <c r="I2227" s="3" t="n">
        <f aca="false">YEAR(E2227)</f>
        <v>2025</v>
      </c>
      <c r="J2227" s="3" t="n">
        <f aca="false">MONTH(E2227)</f>
        <v>1</v>
      </c>
      <c r="K2227" s="3" t="n">
        <f aca="false">COUNTIFS($B$2:$B$4077,B2227,$C$2:$C$4077,C2227,$I$2:$I$4077,I2227)</f>
        <v>2</v>
      </c>
      <c r="L2227" s="3" t="n">
        <f aca="false">IF(COUNTIFS($B$2:B2227,B2227,$C$2:C2227,C2227,$I$2:I2227,I2227)=1,1,0)</f>
        <v>1</v>
      </c>
      <c r="M2227" s="3" t="n">
        <f aca="false">IF(K2227&gt;=Parametri!$B$1,1,0)</f>
        <v>1</v>
      </c>
      <c r="N2227" s="3" t="n">
        <f aca="false">L2227*M2227</f>
        <v>1</v>
      </c>
    </row>
    <row r="2228" customFormat="false" ht="15" hidden="false" customHeight="false" outlineLevel="0" collapsed="false">
      <c r="A2228" s="0" t="s">
        <v>3548</v>
      </c>
      <c r="B2228" s="0" t="s">
        <v>57</v>
      </c>
      <c r="C2228" s="0" t="s">
        <v>3549</v>
      </c>
      <c r="D2228" s="0" t="s">
        <v>63</v>
      </c>
      <c r="E2228" s="2" t="n">
        <v>45691</v>
      </c>
      <c r="F2228" s="3" t="s">
        <v>34</v>
      </c>
      <c r="G2228" s="3" t="s">
        <v>104</v>
      </c>
      <c r="H2228" s="3" t="s">
        <v>104</v>
      </c>
      <c r="I2228" s="3" t="n">
        <f aca="false">YEAR(E2228)</f>
        <v>2025</v>
      </c>
      <c r="J2228" s="3" t="n">
        <f aca="false">MONTH(E2228)</f>
        <v>2</v>
      </c>
      <c r="K2228" s="3" t="n">
        <f aca="false">COUNTIFS($B$2:$B$4077,B2228,$C$2:$C$4077,C2228,$I$2:$I$4077,I2228)</f>
        <v>4</v>
      </c>
      <c r="L2228" s="3" t="n">
        <f aca="false">IF(COUNTIFS($B$2:B2228,B2228,$C$2:C2228,C2228,$I$2:I2228,I2228)=1,1,0)</f>
        <v>1</v>
      </c>
      <c r="M2228" s="3" t="n">
        <f aca="false">IF(K2228&gt;=Parametri!$B$1,1,0)</f>
        <v>1</v>
      </c>
      <c r="N2228" s="3" t="n">
        <f aca="false">L2228*M2228</f>
        <v>1</v>
      </c>
    </row>
    <row r="2229" customFormat="false" ht="15" hidden="false" customHeight="false" outlineLevel="0" collapsed="false">
      <c r="A2229" s="0" t="s">
        <v>3550</v>
      </c>
      <c r="B2229" s="0" t="s">
        <v>68</v>
      </c>
      <c r="C2229" s="0" t="s">
        <v>3551</v>
      </c>
      <c r="D2229" s="0" t="s">
        <v>38</v>
      </c>
      <c r="E2229" s="2" t="n">
        <v>45699</v>
      </c>
      <c r="F2229" s="3" t="s">
        <v>20</v>
      </c>
      <c r="G2229" s="3" t="s">
        <v>43</v>
      </c>
      <c r="H2229" s="3" t="s">
        <v>29</v>
      </c>
      <c r="I2229" s="3" t="n">
        <f aca="false">YEAR(E2229)</f>
        <v>2025</v>
      </c>
      <c r="J2229" s="3" t="n">
        <f aca="false">MONTH(E2229)</f>
        <v>2</v>
      </c>
      <c r="K2229" s="3" t="n">
        <f aca="false">COUNTIFS($B$2:$B$4077,B2229,$C$2:$C$4077,C2229,$I$2:$I$4077,I2229)</f>
        <v>1</v>
      </c>
      <c r="L2229" s="3" t="n">
        <f aca="false">IF(COUNTIFS($B$2:B2229,B2229,$C$2:C2229,C2229,$I$2:I2229,I2229)=1,1,0)</f>
        <v>1</v>
      </c>
      <c r="M2229" s="3" t="n">
        <f aca="false">IF(K2229&gt;=Parametri!$B$1,1,0)</f>
        <v>0</v>
      </c>
      <c r="N2229" s="3" t="n">
        <f aca="false">L2229*M2229</f>
        <v>0</v>
      </c>
    </row>
    <row r="2230" customFormat="false" ht="15" hidden="false" customHeight="false" outlineLevel="0" collapsed="false">
      <c r="A2230" s="0" t="s">
        <v>3552</v>
      </c>
      <c r="B2230" s="0" t="s">
        <v>46</v>
      </c>
      <c r="C2230" s="0" t="s">
        <v>3553</v>
      </c>
      <c r="D2230" s="0" t="s">
        <v>38</v>
      </c>
      <c r="E2230" s="2" t="n">
        <v>45932</v>
      </c>
      <c r="F2230" s="3" t="s">
        <v>27</v>
      </c>
      <c r="G2230" s="3" t="s">
        <v>28</v>
      </c>
      <c r="H2230" s="3" t="s">
        <v>44</v>
      </c>
      <c r="I2230" s="3" t="n">
        <f aca="false">YEAR(E2230)</f>
        <v>2025</v>
      </c>
      <c r="J2230" s="3" t="n">
        <f aca="false">MONTH(E2230)</f>
        <v>10</v>
      </c>
      <c r="K2230" s="3" t="n">
        <f aca="false">COUNTIFS($B$2:$B$4077,B2230,$C$2:$C$4077,C2230,$I$2:$I$4077,I2230)</f>
        <v>1</v>
      </c>
      <c r="L2230" s="3" t="n">
        <f aca="false">IF(COUNTIFS($B$2:B2230,B2230,$C$2:C2230,C2230,$I$2:I2230,I2230)=1,1,0)</f>
        <v>1</v>
      </c>
      <c r="M2230" s="3" t="n">
        <f aca="false">IF(K2230&gt;=Parametri!$B$1,1,0)</f>
        <v>0</v>
      </c>
      <c r="N2230" s="3" t="n">
        <f aca="false">L2230*M2230</f>
        <v>0</v>
      </c>
    </row>
    <row r="2231" customFormat="false" ht="15" hidden="false" customHeight="false" outlineLevel="0" collapsed="false">
      <c r="A2231" s="0" t="s">
        <v>3554</v>
      </c>
      <c r="B2231" s="0" t="s">
        <v>57</v>
      </c>
      <c r="C2231" s="0" t="s">
        <v>3555</v>
      </c>
      <c r="D2231" s="0" t="s">
        <v>38</v>
      </c>
      <c r="E2231" s="2" t="n">
        <v>46261</v>
      </c>
      <c r="F2231" s="3" t="s">
        <v>20</v>
      </c>
      <c r="G2231" s="3" t="s">
        <v>72</v>
      </c>
      <c r="H2231" s="3" t="s">
        <v>29</v>
      </c>
      <c r="I2231" s="3" t="n">
        <f aca="false">YEAR(E2231)</f>
        <v>2026</v>
      </c>
      <c r="J2231" s="3" t="n">
        <f aca="false">MONTH(E2231)</f>
        <v>8</v>
      </c>
      <c r="K2231" s="3" t="n">
        <f aca="false">COUNTIFS($B$2:$B$4077,B2231,$C$2:$C$4077,C2231,$I$2:$I$4077,I2231)</f>
        <v>1</v>
      </c>
      <c r="L2231" s="3" t="n">
        <f aca="false">IF(COUNTIFS($B$2:B2231,B2231,$C$2:C2231,C2231,$I$2:I2231,I2231)=1,1,0)</f>
        <v>1</v>
      </c>
      <c r="M2231" s="3" t="n">
        <f aca="false">IF(K2231&gt;=Parametri!$B$1,1,0)</f>
        <v>0</v>
      </c>
      <c r="N2231" s="3" t="n">
        <f aca="false">L2231*M2231</f>
        <v>0</v>
      </c>
    </row>
    <row r="2232" customFormat="false" ht="15" hidden="false" customHeight="false" outlineLevel="0" collapsed="false">
      <c r="A2232" s="0" t="s">
        <v>3556</v>
      </c>
      <c r="B2232" s="0" t="s">
        <v>68</v>
      </c>
      <c r="C2232" s="0" t="s">
        <v>3557</v>
      </c>
      <c r="D2232" s="0" t="s">
        <v>66</v>
      </c>
      <c r="E2232" s="2" t="n">
        <v>46044</v>
      </c>
      <c r="F2232" s="3" t="s">
        <v>20</v>
      </c>
      <c r="G2232" s="3" t="s">
        <v>39</v>
      </c>
      <c r="H2232" s="3" t="s">
        <v>44</v>
      </c>
      <c r="I2232" s="3" t="n">
        <f aca="false">YEAR(E2232)</f>
        <v>2026</v>
      </c>
      <c r="J2232" s="3" t="n">
        <f aca="false">MONTH(E2232)</f>
        <v>1</v>
      </c>
      <c r="K2232" s="3" t="n">
        <f aca="false">COUNTIFS($B$2:$B$4077,B2232,$C$2:$C$4077,C2232,$I$2:$I$4077,I2232)</f>
        <v>2</v>
      </c>
      <c r="L2232" s="3" t="n">
        <f aca="false">IF(COUNTIFS($B$2:B2232,B2232,$C$2:C2232,C2232,$I$2:I2232,I2232)=1,1,0)</f>
        <v>1</v>
      </c>
      <c r="M2232" s="3" t="n">
        <f aca="false">IF(K2232&gt;=Parametri!$B$1,1,0)</f>
        <v>1</v>
      </c>
      <c r="N2232" s="3" t="n">
        <f aca="false">L2232*M2232</f>
        <v>1</v>
      </c>
    </row>
    <row r="2233" customFormat="false" ht="15" hidden="false" customHeight="false" outlineLevel="0" collapsed="false">
      <c r="A2233" s="0" t="s">
        <v>3558</v>
      </c>
      <c r="B2233" s="0" t="s">
        <v>50</v>
      </c>
      <c r="C2233" s="0" t="s">
        <v>1190</v>
      </c>
      <c r="D2233" s="0" t="s">
        <v>63</v>
      </c>
      <c r="E2233" s="2" t="n">
        <v>45599</v>
      </c>
      <c r="F2233" s="3" t="s">
        <v>34</v>
      </c>
      <c r="G2233" s="3" t="s">
        <v>55</v>
      </c>
      <c r="H2233" s="3" t="s">
        <v>48</v>
      </c>
      <c r="I2233" s="3" t="n">
        <f aca="false">YEAR(E2233)</f>
        <v>2024</v>
      </c>
      <c r="J2233" s="3" t="n">
        <f aca="false">MONTH(E2233)</f>
        <v>11</v>
      </c>
      <c r="K2233" s="3" t="n">
        <f aca="false">COUNTIFS($B$2:$B$4077,B2233,$C$2:$C$4077,C2233,$I$2:$I$4077,I2233)</f>
        <v>2</v>
      </c>
      <c r="L2233" s="3" t="n">
        <f aca="false">IF(COUNTIFS($B$2:B2233,B2233,$C$2:C2233,C2233,$I$2:I2233,I2233)=1,1,0)</f>
        <v>0</v>
      </c>
      <c r="M2233" s="3" t="n">
        <f aca="false">IF(K2233&gt;=Parametri!$B$1,1,0)</f>
        <v>1</v>
      </c>
      <c r="N2233" s="3" t="n">
        <f aca="false">L2233*M2233</f>
        <v>0</v>
      </c>
    </row>
    <row r="2234" customFormat="false" ht="15" hidden="false" customHeight="false" outlineLevel="0" collapsed="false">
      <c r="A2234" s="0" t="s">
        <v>3559</v>
      </c>
      <c r="B2234" s="0" t="s">
        <v>31</v>
      </c>
      <c r="C2234" s="0" t="s">
        <v>3560</v>
      </c>
      <c r="D2234" s="0" t="s">
        <v>66</v>
      </c>
      <c r="E2234" s="2" t="n">
        <v>46137</v>
      </c>
      <c r="F2234" s="3" t="s">
        <v>20</v>
      </c>
      <c r="G2234" s="3" t="s">
        <v>39</v>
      </c>
      <c r="H2234" s="3" t="s">
        <v>48</v>
      </c>
      <c r="I2234" s="3" t="n">
        <f aca="false">YEAR(E2234)</f>
        <v>2026</v>
      </c>
      <c r="J2234" s="3" t="n">
        <f aca="false">MONTH(E2234)</f>
        <v>4</v>
      </c>
      <c r="K2234" s="3" t="n">
        <f aca="false">COUNTIFS($B$2:$B$4077,B2234,$C$2:$C$4077,C2234,$I$2:$I$4077,I2234)</f>
        <v>2</v>
      </c>
      <c r="L2234" s="3" t="n">
        <f aca="false">IF(COUNTIFS($B$2:B2234,B2234,$C$2:C2234,C2234,$I$2:I2234,I2234)=1,1,0)</f>
        <v>1</v>
      </c>
      <c r="M2234" s="3" t="n">
        <f aca="false">IF(K2234&gt;=Parametri!$B$1,1,0)</f>
        <v>1</v>
      </c>
      <c r="N2234" s="3" t="n">
        <f aca="false">L2234*M2234</f>
        <v>1</v>
      </c>
    </row>
    <row r="2235" customFormat="false" ht="15" hidden="false" customHeight="false" outlineLevel="0" collapsed="false">
      <c r="A2235" s="0" t="s">
        <v>3561</v>
      </c>
      <c r="B2235" s="0" t="s">
        <v>41</v>
      </c>
      <c r="C2235" s="0" t="s">
        <v>675</v>
      </c>
      <c r="D2235" s="0" t="s">
        <v>54</v>
      </c>
      <c r="E2235" s="2" t="n">
        <v>45337</v>
      </c>
      <c r="F2235" s="3" t="s">
        <v>20</v>
      </c>
      <c r="G2235" s="3" t="s">
        <v>28</v>
      </c>
      <c r="H2235" s="3" t="s">
        <v>22</v>
      </c>
      <c r="I2235" s="3" t="n">
        <f aca="false">YEAR(E2235)</f>
        <v>2024</v>
      </c>
      <c r="J2235" s="3" t="n">
        <f aca="false">MONTH(E2235)</f>
        <v>2</v>
      </c>
      <c r="K2235" s="3" t="n">
        <f aca="false">COUNTIFS($B$2:$B$4077,B2235,$C$2:$C$4077,C2235,$I$2:$I$4077,I2235)</f>
        <v>5</v>
      </c>
      <c r="L2235" s="3" t="n">
        <f aca="false">IF(COUNTIFS($B$2:B2235,B2235,$C$2:C2235,C2235,$I$2:I2235,I2235)=1,1,0)</f>
        <v>0</v>
      </c>
      <c r="M2235" s="3" t="n">
        <f aca="false">IF(K2235&gt;=Parametri!$B$1,1,0)</f>
        <v>1</v>
      </c>
      <c r="N2235" s="3" t="n">
        <f aca="false">L2235*M2235</f>
        <v>0</v>
      </c>
    </row>
    <row r="2236" customFormat="false" ht="15" hidden="false" customHeight="false" outlineLevel="0" collapsed="false">
      <c r="A2236" s="0" t="s">
        <v>3562</v>
      </c>
      <c r="B2236" s="0" t="s">
        <v>17</v>
      </c>
      <c r="C2236" s="0" t="s">
        <v>3563</v>
      </c>
      <c r="D2236" s="0" t="s">
        <v>38</v>
      </c>
      <c r="E2236" s="2" t="n">
        <v>45572</v>
      </c>
      <c r="F2236" s="3" t="s">
        <v>20</v>
      </c>
      <c r="G2236" s="3" t="s">
        <v>43</v>
      </c>
      <c r="H2236" s="3" t="s">
        <v>48</v>
      </c>
      <c r="I2236" s="3" t="n">
        <f aca="false">YEAR(E2236)</f>
        <v>2024</v>
      </c>
      <c r="J2236" s="3" t="n">
        <f aca="false">MONTH(E2236)</f>
        <v>10</v>
      </c>
      <c r="K2236" s="3" t="n">
        <f aca="false">COUNTIFS($B$2:$B$4077,B2236,$C$2:$C$4077,C2236,$I$2:$I$4077,I2236)</f>
        <v>1</v>
      </c>
      <c r="L2236" s="3" t="n">
        <f aca="false">IF(COUNTIFS($B$2:B2236,B2236,$C$2:C2236,C2236,$I$2:I2236,I2236)=1,1,0)</f>
        <v>1</v>
      </c>
      <c r="M2236" s="3" t="n">
        <f aca="false">IF(K2236&gt;=Parametri!$B$1,1,0)</f>
        <v>0</v>
      </c>
      <c r="N2236" s="3" t="n">
        <f aca="false">L2236*M2236</f>
        <v>0</v>
      </c>
    </row>
    <row r="2237" customFormat="false" ht="15" hidden="false" customHeight="false" outlineLevel="0" collapsed="false">
      <c r="A2237" s="0" t="s">
        <v>3564</v>
      </c>
      <c r="B2237" s="0" t="s">
        <v>57</v>
      </c>
      <c r="C2237" s="0" t="s">
        <v>1064</v>
      </c>
      <c r="D2237" s="0" t="s">
        <v>77</v>
      </c>
      <c r="E2237" s="2" t="n">
        <v>45990</v>
      </c>
      <c r="F2237" s="3" t="s">
        <v>20</v>
      </c>
      <c r="G2237" s="3" t="s">
        <v>72</v>
      </c>
      <c r="H2237" s="3" t="s">
        <v>29</v>
      </c>
      <c r="I2237" s="3" t="n">
        <f aca="false">YEAR(E2237)</f>
        <v>2025</v>
      </c>
      <c r="J2237" s="3" t="n">
        <f aca="false">MONTH(E2237)</f>
        <v>11</v>
      </c>
      <c r="K2237" s="3" t="n">
        <f aca="false">COUNTIFS($B$2:$B$4077,B2237,$C$2:$C$4077,C2237,$I$2:$I$4077,I2237)</f>
        <v>3</v>
      </c>
      <c r="L2237" s="3" t="n">
        <f aca="false">IF(COUNTIFS($B$2:B2237,B2237,$C$2:C2237,C2237,$I$2:I2237,I2237)=1,1,0)</f>
        <v>0</v>
      </c>
      <c r="M2237" s="3" t="n">
        <f aca="false">IF(K2237&gt;=Parametri!$B$1,1,0)</f>
        <v>1</v>
      </c>
      <c r="N2237" s="3" t="n">
        <f aca="false">L2237*M2237</f>
        <v>0</v>
      </c>
    </row>
    <row r="2238" customFormat="false" ht="15" hidden="false" customHeight="false" outlineLevel="0" collapsed="false">
      <c r="A2238" s="0" t="s">
        <v>3565</v>
      </c>
      <c r="B2238" s="0" t="s">
        <v>124</v>
      </c>
      <c r="C2238" s="0" t="s">
        <v>196</v>
      </c>
      <c r="D2238" s="0" t="s">
        <v>66</v>
      </c>
      <c r="E2238" s="2" t="n">
        <v>45606</v>
      </c>
      <c r="F2238" s="3" t="s">
        <v>27</v>
      </c>
      <c r="G2238" s="3" t="s">
        <v>43</v>
      </c>
      <c r="H2238" s="3" t="s">
        <v>44</v>
      </c>
      <c r="I2238" s="3" t="n">
        <f aca="false">YEAR(E2238)</f>
        <v>2024</v>
      </c>
      <c r="J2238" s="3" t="n">
        <f aca="false">MONTH(E2238)</f>
        <v>11</v>
      </c>
      <c r="K2238" s="3" t="n">
        <f aca="false">COUNTIFS($B$2:$B$4077,B2238,$C$2:$C$4077,C2238,$I$2:$I$4077,I2238)</f>
        <v>8</v>
      </c>
      <c r="L2238" s="3" t="n">
        <f aca="false">IF(COUNTIFS($B$2:B2238,B2238,$C$2:C2238,C2238,$I$2:I2238,I2238)=1,1,0)</f>
        <v>0</v>
      </c>
      <c r="M2238" s="3" t="n">
        <f aca="false">IF(K2238&gt;=Parametri!$B$1,1,0)</f>
        <v>1</v>
      </c>
      <c r="N2238" s="3" t="n">
        <f aca="false">L2238*M2238</f>
        <v>0</v>
      </c>
    </row>
    <row r="2239" customFormat="false" ht="15" hidden="false" customHeight="false" outlineLevel="0" collapsed="false">
      <c r="A2239" s="0" t="s">
        <v>3566</v>
      </c>
      <c r="B2239" s="0" t="s">
        <v>31</v>
      </c>
      <c r="C2239" s="0" t="s">
        <v>3567</v>
      </c>
      <c r="D2239" s="0" t="s">
        <v>33</v>
      </c>
      <c r="E2239" s="2" t="n">
        <v>46070</v>
      </c>
      <c r="F2239" s="3" t="s">
        <v>20</v>
      </c>
      <c r="G2239" s="3" t="s">
        <v>21</v>
      </c>
      <c r="H2239" s="3" t="s">
        <v>22</v>
      </c>
      <c r="I2239" s="3" t="n">
        <f aca="false">YEAR(E2239)</f>
        <v>2026</v>
      </c>
      <c r="J2239" s="3" t="n">
        <f aca="false">MONTH(E2239)</f>
        <v>2</v>
      </c>
      <c r="K2239" s="3" t="n">
        <f aca="false">COUNTIFS($B$2:$B$4077,B2239,$C$2:$C$4077,C2239,$I$2:$I$4077,I2239)</f>
        <v>1</v>
      </c>
      <c r="L2239" s="3" t="n">
        <f aca="false">IF(COUNTIFS($B$2:B2239,B2239,$C$2:C2239,C2239,$I$2:I2239,I2239)=1,1,0)</f>
        <v>1</v>
      </c>
      <c r="M2239" s="3" t="n">
        <f aca="false">IF(K2239&gt;=Parametri!$B$1,1,0)</f>
        <v>0</v>
      </c>
      <c r="N2239" s="3" t="n">
        <f aca="false">L2239*M2239</f>
        <v>0</v>
      </c>
    </row>
    <row r="2240" customFormat="false" ht="15" hidden="false" customHeight="false" outlineLevel="0" collapsed="false">
      <c r="A2240" s="0" t="s">
        <v>3568</v>
      </c>
      <c r="B2240" s="0" t="s">
        <v>46</v>
      </c>
      <c r="C2240" s="0" t="s">
        <v>988</v>
      </c>
      <c r="D2240" s="0" t="s">
        <v>63</v>
      </c>
      <c r="E2240" s="2" t="n">
        <v>45774</v>
      </c>
      <c r="F2240" s="3" t="s">
        <v>20</v>
      </c>
      <c r="G2240" s="3" t="s">
        <v>39</v>
      </c>
      <c r="H2240" s="3" t="s">
        <v>48</v>
      </c>
      <c r="I2240" s="3" t="n">
        <f aca="false">YEAR(E2240)</f>
        <v>2025</v>
      </c>
      <c r="J2240" s="3" t="n">
        <f aca="false">MONTH(E2240)</f>
        <v>4</v>
      </c>
      <c r="K2240" s="3" t="n">
        <f aca="false">COUNTIFS($B$2:$B$4077,B2240,$C$2:$C$4077,C2240,$I$2:$I$4077,I2240)</f>
        <v>1</v>
      </c>
      <c r="L2240" s="3" t="n">
        <f aca="false">IF(COUNTIFS($B$2:B2240,B2240,$C$2:C2240,C2240,$I$2:I2240,I2240)=1,1,0)</f>
        <v>1</v>
      </c>
      <c r="M2240" s="3" t="n">
        <f aca="false">IF(K2240&gt;=Parametri!$B$1,1,0)</f>
        <v>0</v>
      </c>
      <c r="N2240" s="3" t="n">
        <f aca="false">L2240*M2240</f>
        <v>0</v>
      </c>
    </row>
    <row r="2241" customFormat="false" ht="15" hidden="false" customHeight="false" outlineLevel="0" collapsed="false">
      <c r="A2241" s="0" t="s">
        <v>3569</v>
      </c>
      <c r="B2241" s="0" t="s">
        <v>17</v>
      </c>
      <c r="C2241" s="0" t="s">
        <v>3309</v>
      </c>
      <c r="D2241" s="0" t="s">
        <v>38</v>
      </c>
      <c r="E2241" s="2" t="n">
        <v>45352</v>
      </c>
      <c r="F2241" s="3" t="s">
        <v>27</v>
      </c>
      <c r="G2241" s="3" t="s">
        <v>72</v>
      </c>
      <c r="H2241" s="3" t="s">
        <v>44</v>
      </c>
      <c r="I2241" s="3" t="n">
        <f aca="false">YEAR(E2241)</f>
        <v>2024</v>
      </c>
      <c r="J2241" s="3" t="n">
        <f aca="false">MONTH(E2241)</f>
        <v>3</v>
      </c>
      <c r="K2241" s="3" t="n">
        <f aca="false">COUNTIFS($B$2:$B$4077,B2241,$C$2:$C$4077,C2241,$I$2:$I$4077,I2241)</f>
        <v>1</v>
      </c>
      <c r="L2241" s="3" t="n">
        <f aca="false">IF(COUNTIFS($B$2:B2241,B2241,$C$2:C2241,C2241,$I$2:I2241,I2241)=1,1,0)</f>
        <v>1</v>
      </c>
      <c r="M2241" s="3" t="n">
        <f aca="false">IF(K2241&gt;=Parametri!$B$1,1,0)</f>
        <v>0</v>
      </c>
      <c r="N2241" s="3" t="n">
        <f aca="false">L2241*M2241</f>
        <v>0</v>
      </c>
    </row>
    <row r="2242" customFormat="false" ht="15" hidden="false" customHeight="false" outlineLevel="0" collapsed="false">
      <c r="A2242" s="0" t="s">
        <v>3570</v>
      </c>
      <c r="B2242" s="0" t="s">
        <v>31</v>
      </c>
      <c r="C2242" s="0" t="s">
        <v>1868</v>
      </c>
      <c r="D2242" s="0" t="s">
        <v>77</v>
      </c>
      <c r="E2242" s="2" t="n">
        <v>46181</v>
      </c>
      <c r="F2242" s="3" t="s">
        <v>20</v>
      </c>
      <c r="G2242" s="3" t="s">
        <v>72</v>
      </c>
      <c r="H2242" s="3" t="s">
        <v>48</v>
      </c>
      <c r="I2242" s="3" t="n">
        <f aca="false">YEAR(E2242)</f>
        <v>2026</v>
      </c>
      <c r="J2242" s="3" t="n">
        <f aca="false">MONTH(E2242)</f>
        <v>6</v>
      </c>
      <c r="K2242" s="3" t="n">
        <f aca="false">COUNTIFS($B$2:$B$4077,B2242,$C$2:$C$4077,C2242,$I$2:$I$4077,I2242)</f>
        <v>4</v>
      </c>
      <c r="L2242" s="3" t="n">
        <f aca="false">IF(COUNTIFS($B$2:B2242,B2242,$C$2:C2242,C2242,$I$2:I2242,I2242)=1,1,0)</f>
        <v>1</v>
      </c>
      <c r="M2242" s="3" t="n">
        <f aca="false">IF(K2242&gt;=Parametri!$B$1,1,0)</f>
        <v>1</v>
      </c>
      <c r="N2242" s="3" t="n">
        <f aca="false">L2242*M2242</f>
        <v>1</v>
      </c>
    </row>
    <row r="2243" customFormat="false" ht="15" hidden="false" customHeight="false" outlineLevel="0" collapsed="false">
      <c r="A2243" s="0" t="s">
        <v>3571</v>
      </c>
      <c r="B2243" s="0" t="s">
        <v>17</v>
      </c>
      <c r="C2243" s="0" t="s">
        <v>572</v>
      </c>
      <c r="D2243" s="0" t="s">
        <v>54</v>
      </c>
      <c r="E2243" s="2" t="n">
        <v>46038</v>
      </c>
      <c r="F2243" s="3" t="s">
        <v>20</v>
      </c>
      <c r="G2243" s="3" t="s">
        <v>89</v>
      </c>
      <c r="H2243" s="3" t="s">
        <v>22</v>
      </c>
      <c r="I2243" s="3" t="n">
        <f aca="false">YEAR(E2243)</f>
        <v>2026</v>
      </c>
      <c r="J2243" s="3" t="n">
        <f aca="false">MONTH(E2243)</f>
        <v>1</v>
      </c>
      <c r="K2243" s="3" t="n">
        <f aca="false">COUNTIFS($B$2:$B$4077,B2243,$C$2:$C$4077,C2243,$I$2:$I$4077,I2243)</f>
        <v>2</v>
      </c>
      <c r="L2243" s="3" t="n">
        <f aca="false">IF(COUNTIFS($B$2:B2243,B2243,$C$2:C2243,C2243,$I$2:I2243,I2243)=1,1,0)</f>
        <v>0</v>
      </c>
      <c r="M2243" s="3" t="n">
        <f aca="false">IF(K2243&gt;=Parametri!$B$1,1,0)</f>
        <v>1</v>
      </c>
      <c r="N2243" s="3" t="n">
        <f aca="false">L2243*M2243</f>
        <v>0</v>
      </c>
    </row>
    <row r="2244" customFormat="false" ht="15" hidden="false" customHeight="false" outlineLevel="0" collapsed="false">
      <c r="A2244" s="0" t="s">
        <v>3572</v>
      </c>
      <c r="B2244" s="0" t="s">
        <v>31</v>
      </c>
      <c r="C2244" s="0" t="s">
        <v>3573</v>
      </c>
      <c r="D2244" s="0" t="s">
        <v>38</v>
      </c>
      <c r="E2244" s="2" t="n">
        <v>45565</v>
      </c>
      <c r="F2244" s="3" t="s">
        <v>20</v>
      </c>
      <c r="G2244" s="3" t="s">
        <v>89</v>
      </c>
      <c r="H2244" s="3" t="s">
        <v>29</v>
      </c>
      <c r="I2244" s="3" t="n">
        <f aca="false">YEAR(E2244)</f>
        <v>2024</v>
      </c>
      <c r="J2244" s="3" t="n">
        <f aca="false">MONTH(E2244)</f>
        <v>9</v>
      </c>
      <c r="K2244" s="3" t="n">
        <f aca="false">COUNTIFS($B$2:$B$4077,B2244,$C$2:$C$4077,C2244,$I$2:$I$4077,I2244)</f>
        <v>1</v>
      </c>
      <c r="L2244" s="3" t="n">
        <f aca="false">IF(COUNTIFS($B$2:B2244,B2244,$C$2:C2244,C2244,$I$2:I2244,I2244)=1,1,0)</f>
        <v>1</v>
      </c>
      <c r="M2244" s="3" t="n">
        <f aca="false">IF(K2244&gt;=Parametri!$B$1,1,0)</f>
        <v>0</v>
      </c>
      <c r="N2244" s="3" t="n">
        <f aca="false">L2244*M2244</f>
        <v>0</v>
      </c>
    </row>
    <row r="2245" customFormat="false" ht="15" hidden="false" customHeight="false" outlineLevel="0" collapsed="false">
      <c r="A2245" s="0" t="s">
        <v>3574</v>
      </c>
      <c r="B2245" s="0" t="s">
        <v>31</v>
      </c>
      <c r="C2245" s="0" t="s">
        <v>108</v>
      </c>
      <c r="D2245" s="0" t="s">
        <v>19</v>
      </c>
      <c r="E2245" s="2" t="n">
        <v>45733</v>
      </c>
      <c r="F2245" s="3" t="s">
        <v>27</v>
      </c>
      <c r="G2245" s="3" t="s">
        <v>28</v>
      </c>
      <c r="H2245" s="3" t="s">
        <v>22</v>
      </c>
      <c r="I2245" s="3" t="n">
        <f aca="false">YEAR(E2245)</f>
        <v>2025</v>
      </c>
      <c r="J2245" s="3" t="n">
        <f aca="false">MONTH(E2245)</f>
        <v>3</v>
      </c>
      <c r="K2245" s="3" t="n">
        <f aca="false">COUNTIFS($B$2:$B$4077,B2245,$C$2:$C$4077,C2245,$I$2:$I$4077,I2245)</f>
        <v>5</v>
      </c>
      <c r="L2245" s="3" t="n">
        <f aca="false">IF(COUNTIFS($B$2:B2245,B2245,$C$2:C2245,C2245,$I$2:I2245,I2245)=1,1,0)</f>
        <v>0</v>
      </c>
      <c r="M2245" s="3" t="n">
        <f aca="false">IF(K2245&gt;=Parametri!$B$1,1,0)</f>
        <v>1</v>
      </c>
      <c r="N2245" s="3" t="n">
        <f aca="false">L2245*M2245</f>
        <v>0</v>
      </c>
    </row>
    <row r="2246" customFormat="false" ht="15" hidden="false" customHeight="false" outlineLevel="0" collapsed="false">
      <c r="A2246" s="0" t="s">
        <v>3575</v>
      </c>
      <c r="B2246" s="0" t="s">
        <v>50</v>
      </c>
      <c r="C2246" s="0" t="s">
        <v>2273</v>
      </c>
      <c r="D2246" s="0" t="s">
        <v>26</v>
      </c>
      <c r="E2246" s="2" t="n">
        <v>45589</v>
      </c>
      <c r="F2246" s="3" t="s">
        <v>20</v>
      </c>
      <c r="G2246" s="3" t="s">
        <v>35</v>
      </c>
      <c r="H2246" s="3" t="s">
        <v>22</v>
      </c>
      <c r="I2246" s="3" t="n">
        <f aca="false">YEAR(E2246)</f>
        <v>2024</v>
      </c>
      <c r="J2246" s="3" t="n">
        <f aca="false">MONTH(E2246)</f>
        <v>10</v>
      </c>
      <c r="K2246" s="3" t="n">
        <f aca="false">COUNTIFS($B$2:$B$4077,B2246,$C$2:$C$4077,C2246,$I$2:$I$4077,I2246)</f>
        <v>1</v>
      </c>
      <c r="L2246" s="3" t="n">
        <f aca="false">IF(COUNTIFS($B$2:B2246,B2246,$C$2:C2246,C2246,$I$2:I2246,I2246)=1,1,0)</f>
        <v>1</v>
      </c>
      <c r="M2246" s="3" t="n">
        <f aca="false">IF(K2246&gt;=Parametri!$B$1,1,0)</f>
        <v>0</v>
      </c>
      <c r="N2246" s="3" t="n">
        <f aca="false">L2246*M2246</f>
        <v>0</v>
      </c>
    </row>
    <row r="2247" customFormat="false" ht="15" hidden="false" customHeight="false" outlineLevel="0" collapsed="false">
      <c r="A2247" s="0" t="s">
        <v>3576</v>
      </c>
      <c r="B2247" s="0" t="s">
        <v>41</v>
      </c>
      <c r="C2247" s="0" t="s">
        <v>675</v>
      </c>
      <c r="D2247" s="0" t="s">
        <v>38</v>
      </c>
      <c r="E2247" s="2" t="n">
        <v>45715</v>
      </c>
      <c r="F2247" s="3" t="s">
        <v>27</v>
      </c>
      <c r="G2247" s="3" t="s">
        <v>89</v>
      </c>
      <c r="H2247" s="3" t="s">
        <v>44</v>
      </c>
      <c r="I2247" s="3" t="n">
        <f aca="false">YEAR(E2247)</f>
        <v>2025</v>
      </c>
      <c r="J2247" s="3" t="n">
        <f aca="false">MONTH(E2247)</f>
        <v>2</v>
      </c>
      <c r="K2247" s="3" t="n">
        <f aca="false">COUNTIFS($B$2:$B$4077,B2247,$C$2:$C$4077,C2247,$I$2:$I$4077,I2247)</f>
        <v>5</v>
      </c>
      <c r="L2247" s="3" t="n">
        <f aca="false">IF(COUNTIFS($B$2:B2247,B2247,$C$2:C2247,C2247,$I$2:I2247,I2247)=1,1,0)</f>
        <v>0</v>
      </c>
      <c r="M2247" s="3" t="n">
        <f aca="false">IF(K2247&gt;=Parametri!$B$1,1,0)</f>
        <v>1</v>
      </c>
      <c r="N2247" s="3" t="n">
        <f aca="false">L2247*M2247</f>
        <v>0</v>
      </c>
    </row>
    <row r="2248" customFormat="false" ht="15" hidden="false" customHeight="false" outlineLevel="0" collapsed="false">
      <c r="A2248" s="0" t="s">
        <v>3577</v>
      </c>
      <c r="B2248" s="0" t="s">
        <v>50</v>
      </c>
      <c r="C2248" s="0" t="s">
        <v>891</v>
      </c>
      <c r="D2248" s="0" t="s">
        <v>77</v>
      </c>
      <c r="E2248" s="2" t="n">
        <v>45956</v>
      </c>
      <c r="F2248" s="3" t="s">
        <v>20</v>
      </c>
      <c r="G2248" s="3" t="s">
        <v>39</v>
      </c>
      <c r="H2248" s="3" t="s">
        <v>22</v>
      </c>
      <c r="I2248" s="3" t="n">
        <f aca="false">YEAR(E2248)</f>
        <v>2025</v>
      </c>
      <c r="J2248" s="3" t="n">
        <f aca="false">MONTH(E2248)</f>
        <v>10</v>
      </c>
      <c r="K2248" s="3" t="n">
        <f aca="false">COUNTIFS($B$2:$B$4077,B2248,$C$2:$C$4077,C2248,$I$2:$I$4077,I2248)</f>
        <v>2</v>
      </c>
      <c r="L2248" s="3" t="n">
        <f aca="false">IF(COUNTIFS($B$2:B2248,B2248,$C$2:C2248,C2248,$I$2:I2248,I2248)=1,1,0)</f>
        <v>0</v>
      </c>
      <c r="M2248" s="3" t="n">
        <f aca="false">IF(K2248&gt;=Parametri!$B$1,1,0)</f>
        <v>1</v>
      </c>
      <c r="N2248" s="3" t="n">
        <f aca="false">L2248*M2248</f>
        <v>0</v>
      </c>
    </row>
    <row r="2249" customFormat="false" ht="15" hidden="false" customHeight="false" outlineLevel="0" collapsed="false">
      <c r="A2249" s="0" t="s">
        <v>3578</v>
      </c>
      <c r="B2249" s="0" t="s">
        <v>57</v>
      </c>
      <c r="C2249" s="0" t="s">
        <v>101</v>
      </c>
      <c r="D2249" s="0" t="s">
        <v>54</v>
      </c>
      <c r="E2249" s="2" t="n">
        <v>45888</v>
      </c>
      <c r="F2249" s="3" t="s">
        <v>20</v>
      </c>
      <c r="G2249" s="3" t="s">
        <v>28</v>
      </c>
      <c r="H2249" s="3" t="s">
        <v>48</v>
      </c>
      <c r="I2249" s="3" t="n">
        <f aca="false">YEAR(E2249)</f>
        <v>2025</v>
      </c>
      <c r="J2249" s="3" t="n">
        <f aca="false">MONTH(E2249)</f>
        <v>8</v>
      </c>
      <c r="K2249" s="3" t="n">
        <f aca="false">COUNTIFS($B$2:$B$4077,B2249,$C$2:$C$4077,C2249,$I$2:$I$4077,I2249)</f>
        <v>2</v>
      </c>
      <c r="L2249" s="3" t="n">
        <f aca="false">IF(COUNTIFS($B$2:B2249,B2249,$C$2:C2249,C2249,$I$2:I2249,I2249)=1,1,0)</f>
        <v>0</v>
      </c>
      <c r="M2249" s="3" t="n">
        <f aca="false">IF(K2249&gt;=Parametri!$B$1,1,0)</f>
        <v>1</v>
      </c>
      <c r="N2249" s="3" t="n">
        <f aca="false">L2249*M2249</f>
        <v>0</v>
      </c>
    </row>
    <row r="2250" customFormat="false" ht="15" hidden="false" customHeight="false" outlineLevel="0" collapsed="false">
      <c r="A2250" s="0" t="s">
        <v>3579</v>
      </c>
      <c r="B2250" s="0" t="s">
        <v>68</v>
      </c>
      <c r="C2250" s="0" t="s">
        <v>3580</v>
      </c>
      <c r="D2250" s="0" t="s">
        <v>66</v>
      </c>
      <c r="E2250" s="2" t="n">
        <v>46143</v>
      </c>
      <c r="F2250" s="3" t="s">
        <v>20</v>
      </c>
      <c r="G2250" s="3" t="s">
        <v>89</v>
      </c>
      <c r="H2250" s="3" t="s">
        <v>44</v>
      </c>
      <c r="I2250" s="3" t="n">
        <f aca="false">YEAR(E2250)</f>
        <v>2026</v>
      </c>
      <c r="J2250" s="3" t="n">
        <f aca="false">MONTH(E2250)</f>
        <v>5</v>
      </c>
      <c r="K2250" s="3" t="n">
        <f aca="false">COUNTIFS($B$2:$B$4077,B2250,$C$2:$C$4077,C2250,$I$2:$I$4077,I2250)</f>
        <v>1</v>
      </c>
      <c r="L2250" s="3" t="n">
        <f aca="false">IF(COUNTIFS($B$2:B2250,B2250,$C$2:C2250,C2250,$I$2:I2250,I2250)=1,1,0)</f>
        <v>1</v>
      </c>
      <c r="M2250" s="3" t="n">
        <f aca="false">IF(K2250&gt;=Parametri!$B$1,1,0)</f>
        <v>0</v>
      </c>
      <c r="N2250" s="3" t="n">
        <f aca="false">L2250*M2250</f>
        <v>0</v>
      </c>
    </row>
    <row r="2251" customFormat="false" ht="15" hidden="false" customHeight="false" outlineLevel="0" collapsed="false">
      <c r="A2251" s="0" t="s">
        <v>3581</v>
      </c>
      <c r="B2251" s="0" t="s">
        <v>50</v>
      </c>
      <c r="C2251" s="0" t="s">
        <v>3582</v>
      </c>
      <c r="D2251" s="0" t="s">
        <v>66</v>
      </c>
      <c r="E2251" s="2" t="n">
        <v>45733</v>
      </c>
      <c r="F2251" s="3" t="s">
        <v>27</v>
      </c>
      <c r="G2251" s="3" t="s">
        <v>55</v>
      </c>
      <c r="H2251" s="3" t="s">
        <v>44</v>
      </c>
      <c r="I2251" s="3" t="n">
        <f aca="false">YEAR(E2251)</f>
        <v>2025</v>
      </c>
      <c r="J2251" s="3" t="n">
        <f aca="false">MONTH(E2251)</f>
        <v>3</v>
      </c>
      <c r="K2251" s="3" t="n">
        <f aca="false">COUNTIFS($B$2:$B$4077,B2251,$C$2:$C$4077,C2251,$I$2:$I$4077,I2251)</f>
        <v>1</v>
      </c>
      <c r="L2251" s="3" t="n">
        <f aca="false">IF(COUNTIFS($B$2:B2251,B2251,$C$2:C2251,C2251,$I$2:I2251,I2251)=1,1,0)</f>
        <v>1</v>
      </c>
      <c r="M2251" s="3" t="n">
        <f aca="false">IF(K2251&gt;=Parametri!$B$1,1,0)</f>
        <v>0</v>
      </c>
      <c r="N2251" s="3" t="n">
        <f aca="false">L2251*M2251</f>
        <v>0</v>
      </c>
    </row>
    <row r="2252" customFormat="false" ht="15" hidden="false" customHeight="false" outlineLevel="0" collapsed="false">
      <c r="A2252" s="0" t="s">
        <v>3583</v>
      </c>
      <c r="B2252" s="0" t="s">
        <v>24</v>
      </c>
      <c r="C2252" s="0" t="s">
        <v>2681</v>
      </c>
      <c r="D2252" s="0" t="s">
        <v>19</v>
      </c>
      <c r="E2252" s="2" t="n">
        <v>45848</v>
      </c>
      <c r="F2252" s="3" t="s">
        <v>27</v>
      </c>
      <c r="G2252" s="3" t="s">
        <v>35</v>
      </c>
      <c r="H2252" s="3" t="s">
        <v>44</v>
      </c>
      <c r="I2252" s="3" t="n">
        <f aca="false">YEAR(E2252)</f>
        <v>2025</v>
      </c>
      <c r="J2252" s="3" t="n">
        <f aca="false">MONTH(E2252)</f>
        <v>7</v>
      </c>
      <c r="K2252" s="3" t="n">
        <f aca="false">COUNTIFS($B$2:$B$4077,B2252,$C$2:$C$4077,C2252,$I$2:$I$4077,I2252)</f>
        <v>1</v>
      </c>
      <c r="L2252" s="3" t="n">
        <f aca="false">IF(COUNTIFS($B$2:B2252,B2252,$C$2:C2252,C2252,$I$2:I2252,I2252)=1,1,0)</f>
        <v>1</v>
      </c>
      <c r="M2252" s="3" t="n">
        <f aca="false">IF(K2252&gt;=Parametri!$B$1,1,0)</f>
        <v>0</v>
      </c>
      <c r="N2252" s="3" t="n">
        <f aca="false">L2252*M2252</f>
        <v>0</v>
      </c>
    </row>
    <row r="2253" customFormat="false" ht="15" hidden="false" customHeight="false" outlineLevel="0" collapsed="false">
      <c r="A2253" s="0" t="s">
        <v>3584</v>
      </c>
      <c r="B2253" s="0" t="s">
        <v>124</v>
      </c>
      <c r="C2253" s="0" t="s">
        <v>3585</v>
      </c>
      <c r="D2253" s="0" t="s">
        <v>19</v>
      </c>
      <c r="E2253" s="2" t="n">
        <v>46217</v>
      </c>
      <c r="F2253" s="3" t="s">
        <v>34</v>
      </c>
      <c r="G2253" s="3" t="s">
        <v>28</v>
      </c>
      <c r="H2253" s="3" t="s">
        <v>22</v>
      </c>
      <c r="I2253" s="3" t="n">
        <f aca="false">YEAR(E2253)</f>
        <v>2026</v>
      </c>
      <c r="J2253" s="3" t="n">
        <f aca="false">MONTH(E2253)</f>
        <v>7</v>
      </c>
      <c r="K2253" s="3" t="n">
        <f aca="false">COUNTIFS($B$2:$B$4077,B2253,$C$2:$C$4077,C2253,$I$2:$I$4077,I2253)</f>
        <v>3</v>
      </c>
      <c r="L2253" s="3" t="n">
        <f aca="false">IF(COUNTIFS($B$2:B2253,B2253,$C$2:C2253,C2253,$I$2:I2253,I2253)=1,1,0)</f>
        <v>1</v>
      </c>
      <c r="M2253" s="3" t="n">
        <f aca="false">IF(K2253&gt;=Parametri!$B$1,1,0)</f>
        <v>1</v>
      </c>
      <c r="N2253" s="3" t="n">
        <f aca="false">L2253*M2253</f>
        <v>1</v>
      </c>
    </row>
    <row r="2254" customFormat="false" ht="15" hidden="false" customHeight="false" outlineLevel="0" collapsed="false">
      <c r="A2254" s="0" t="s">
        <v>3586</v>
      </c>
      <c r="B2254" s="0" t="s">
        <v>46</v>
      </c>
      <c r="C2254" s="0" t="s">
        <v>1923</v>
      </c>
      <c r="D2254" s="0" t="s">
        <v>38</v>
      </c>
      <c r="E2254" s="2" t="n">
        <v>45681</v>
      </c>
      <c r="F2254" s="3" t="s">
        <v>20</v>
      </c>
      <c r="G2254" s="3" t="s">
        <v>43</v>
      </c>
      <c r="H2254" s="3" t="s">
        <v>44</v>
      </c>
      <c r="I2254" s="3" t="n">
        <f aca="false">YEAR(E2254)</f>
        <v>2025</v>
      </c>
      <c r="J2254" s="3" t="n">
        <f aca="false">MONTH(E2254)</f>
        <v>1</v>
      </c>
      <c r="K2254" s="3" t="n">
        <f aca="false">COUNTIFS($B$2:$B$4077,B2254,$C$2:$C$4077,C2254,$I$2:$I$4077,I2254)</f>
        <v>2</v>
      </c>
      <c r="L2254" s="3" t="n">
        <f aca="false">IF(COUNTIFS($B$2:B2254,B2254,$C$2:C2254,C2254,$I$2:I2254,I2254)=1,1,0)</f>
        <v>0</v>
      </c>
      <c r="M2254" s="3" t="n">
        <f aca="false">IF(K2254&gt;=Parametri!$B$1,1,0)</f>
        <v>1</v>
      </c>
      <c r="N2254" s="3" t="n">
        <f aca="false">L2254*M2254</f>
        <v>0</v>
      </c>
    </row>
    <row r="2255" customFormat="false" ht="15" hidden="false" customHeight="false" outlineLevel="0" collapsed="false">
      <c r="A2255" s="0" t="s">
        <v>3587</v>
      </c>
      <c r="B2255" s="0" t="s">
        <v>50</v>
      </c>
      <c r="C2255" s="0" t="s">
        <v>3588</v>
      </c>
      <c r="D2255" s="0" t="s">
        <v>38</v>
      </c>
      <c r="E2255" s="2" t="n">
        <v>45865</v>
      </c>
      <c r="F2255" s="3" t="s">
        <v>20</v>
      </c>
      <c r="G2255" s="3" t="s">
        <v>35</v>
      </c>
      <c r="H2255" s="3" t="s">
        <v>48</v>
      </c>
      <c r="I2255" s="3" t="n">
        <f aca="false">YEAR(E2255)</f>
        <v>2025</v>
      </c>
      <c r="J2255" s="3" t="n">
        <f aca="false">MONTH(E2255)</f>
        <v>7</v>
      </c>
      <c r="K2255" s="3" t="n">
        <f aca="false">COUNTIFS($B$2:$B$4077,B2255,$C$2:$C$4077,C2255,$I$2:$I$4077,I2255)</f>
        <v>1</v>
      </c>
      <c r="L2255" s="3" t="n">
        <f aca="false">IF(COUNTIFS($B$2:B2255,B2255,$C$2:C2255,C2255,$I$2:I2255,I2255)=1,1,0)</f>
        <v>1</v>
      </c>
      <c r="M2255" s="3" t="n">
        <f aca="false">IF(K2255&gt;=Parametri!$B$1,1,0)</f>
        <v>0</v>
      </c>
      <c r="N2255" s="3" t="n">
        <f aca="false">L2255*M2255</f>
        <v>0</v>
      </c>
    </row>
    <row r="2256" customFormat="false" ht="15" hidden="false" customHeight="false" outlineLevel="0" collapsed="false">
      <c r="A2256" s="0" t="s">
        <v>3589</v>
      </c>
      <c r="B2256" s="0" t="s">
        <v>124</v>
      </c>
      <c r="C2256" s="0" t="s">
        <v>1344</v>
      </c>
      <c r="D2256" s="0" t="s">
        <v>77</v>
      </c>
      <c r="E2256" s="2" t="n">
        <v>46182</v>
      </c>
      <c r="F2256" s="3" t="s">
        <v>20</v>
      </c>
      <c r="G2256" s="3" t="s">
        <v>39</v>
      </c>
      <c r="H2256" s="3" t="s">
        <v>29</v>
      </c>
      <c r="I2256" s="3" t="n">
        <f aca="false">YEAR(E2256)</f>
        <v>2026</v>
      </c>
      <c r="J2256" s="3" t="n">
        <f aca="false">MONTH(E2256)</f>
        <v>6</v>
      </c>
      <c r="K2256" s="3" t="n">
        <f aca="false">COUNTIFS($B$2:$B$4077,B2256,$C$2:$C$4077,C2256,$I$2:$I$4077,I2256)</f>
        <v>1</v>
      </c>
      <c r="L2256" s="3" t="n">
        <f aca="false">IF(COUNTIFS($B$2:B2256,B2256,$C$2:C2256,C2256,$I$2:I2256,I2256)=1,1,0)</f>
        <v>1</v>
      </c>
      <c r="M2256" s="3" t="n">
        <f aca="false">IF(K2256&gt;=Parametri!$B$1,1,0)</f>
        <v>0</v>
      </c>
      <c r="N2256" s="3" t="n">
        <f aca="false">L2256*M2256</f>
        <v>0</v>
      </c>
    </row>
    <row r="2257" customFormat="false" ht="15" hidden="false" customHeight="false" outlineLevel="0" collapsed="false">
      <c r="A2257" s="0" t="s">
        <v>3590</v>
      </c>
      <c r="B2257" s="0" t="s">
        <v>41</v>
      </c>
      <c r="C2257" s="0" t="s">
        <v>982</v>
      </c>
      <c r="D2257" s="0" t="s">
        <v>77</v>
      </c>
      <c r="E2257" s="2" t="n">
        <v>45613</v>
      </c>
      <c r="F2257" s="3" t="s">
        <v>20</v>
      </c>
      <c r="G2257" s="3" t="s">
        <v>21</v>
      </c>
      <c r="H2257" s="3" t="s">
        <v>44</v>
      </c>
      <c r="I2257" s="3" t="n">
        <f aca="false">YEAR(E2257)</f>
        <v>2024</v>
      </c>
      <c r="J2257" s="3" t="n">
        <f aca="false">MONTH(E2257)</f>
        <v>11</v>
      </c>
      <c r="K2257" s="3" t="n">
        <f aca="false">COUNTIFS($B$2:$B$4077,B2257,$C$2:$C$4077,C2257,$I$2:$I$4077,I2257)</f>
        <v>2</v>
      </c>
      <c r="L2257" s="3" t="n">
        <f aca="false">IF(COUNTIFS($B$2:B2257,B2257,$C$2:C2257,C2257,$I$2:I2257,I2257)=1,1,0)</f>
        <v>0</v>
      </c>
      <c r="M2257" s="3" t="n">
        <f aca="false">IF(K2257&gt;=Parametri!$B$1,1,0)</f>
        <v>1</v>
      </c>
      <c r="N2257" s="3" t="n">
        <f aca="false">L2257*M2257</f>
        <v>0</v>
      </c>
    </row>
    <row r="2258" customFormat="false" ht="15" hidden="false" customHeight="false" outlineLevel="0" collapsed="false">
      <c r="A2258" s="0" t="s">
        <v>3591</v>
      </c>
      <c r="B2258" s="0" t="s">
        <v>41</v>
      </c>
      <c r="C2258" s="0" t="s">
        <v>1180</v>
      </c>
      <c r="D2258" s="0" t="s">
        <v>19</v>
      </c>
      <c r="E2258" s="2" t="n">
        <v>45649</v>
      </c>
      <c r="F2258" s="3" t="s">
        <v>20</v>
      </c>
      <c r="G2258" s="3" t="s">
        <v>55</v>
      </c>
      <c r="H2258" s="3" t="s">
        <v>29</v>
      </c>
      <c r="I2258" s="3" t="n">
        <f aca="false">YEAR(E2258)</f>
        <v>2024</v>
      </c>
      <c r="J2258" s="3" t="n">
        <f aca="false">MONTH(E2258)</f>
        <v>12</v>
      </c>
      <c r="K2258" s="3" t="n">
        <f aca="false">COUNTIFS($B$2:$B$4077,B2258,$C$2:$C$4077,C2258,$I$2:$I$4077,I2258)</f>
        <v>1</v>
      </c>
      <c r="L2258" s="3" t="n">
        <f aca="false">IF(COUNTIFS($B$2:B2258,B2258,$C$2:C2258,C2258,$I$2:I2258,I2258)=1,1,0)</f>
        <v>1</v>
      </c>
      <c r="M2258" s="3" t="n">
        <f aca="false">IF(K2258&gt;=Parametri!$B$1,1,0)</f>
        <v>0</v>
      </c>
      <c r="N2258" s="3" t="n">
        <f aca="false">L2258*M2258</f>
        <v>0</v>
      </c>
    </row>
    <row r="2259" customFormat="false" ht="15" hidden="false" customHeight="false" outlineLevel="0" collapsed="false">
      <c r="A2259" s="0" t="s">
        <v>3592</v>
      </c>
      <c r="B2259" s="0" t="s">
        <v>124</v>
      </c>
      <c r="C2259" s="0" t="s">
        <v>755</v>
      </c>
      <c r="D2259" s="0" t="s">
        <v>26</v>
      </c>
      <c r="E2259" s="2" t="n">
        <v>46059</v>
      </c>
      <c r="F2259" s="3" t="s">
        <v>27</v>
      </c>
      <c r="G2259" s="3" t="s">
        <v>55</v>
      </c>
      <c r="H2259" s="3" t="s">
        <v>22</v>
      </c>
      <c r="I2259" s="3" t="n">
        <f aca="false">YEAR(E2259)</f>
        <v>2026</v>
      </c>
      <c r="J2259" s="3" t="n">
        <f aca="false">MONTH(E2259)</f>
        <v>2</v>
      </c>
      <c r="K2259" s="3" t="n">
        <f aca="false">COUNTIFS($B$2:$B$4077,B2259,$C$2:$C$4077,C2259,$I$2:$I$4077,I2259)</f>
        <v>1</v>
      </c>
      <c r="L2259" s="3" t="n">
        <f aca="false">IF(COUNTIFS($B$2:B2259,B2259,$C$2:C2259,C2259,$I$2:I2259,I2259)=1,1,0)</f>
        <v>1</v>
      </c>
      <c r="M2259" s="3" t="n">
        <f aca="false">IF(K2259&gt;=Parametri!$B$1,1,0)</f>
        <v>0</v>
      </c>
      <c r="N2259" s="3" t="n">
        <f aca="false">L2259*M2259</f>
        <v>0</v>
      </c>
    </row>
    <row r="2260" customFormat="false" ht="15" hidden="false" customHeight="false" outlineLevel="0" collapsed="false">
      <c r="A2260" s="0" t="s">
        <v>3593</v>
      </c>
      <c r="B2260" s="0" t="s">
        <v>31</v>
      </c>
      <c r="C2260" s="0" t="s">
        <v>3594</v>
      </c>
      <c r="D2260" s="0" t="s">
        <v>54</v>
      </c>
      <c r="E2260" s="2" t="n">
        <v>45938</v>
      </c>
      <c r="F2260" s="3" t="s">
        <v>20</v>
      </c>
      <c r="G2260" s="3" t="s">
        <v>28</v>
      </c>
      <c r="H2260" s="3" t="s">
        <v>22</v>
      </c>
      <c r="I2260" s="3" t="n">
        <f aca="false">YEAR(E2260)</f>
        <v>2025</v>
      </c>
      <c r="J2260" s="3" t="n">
        <f aca="false">MONTH(E2260)</f>
        <v>10</v>
      </c>
      <c r="K2260" s="3" t="n">
        <f aca="false">COUNTIFS($B$2:$B$4077,B2260,$C$2:$C$4077,C2260,$I$2:$I$4077,I2260)</f>
        <v>1</v>
      </c>
      <c r="L2260" s="3" t="n">
        <f aca="false">IF(COUNTIFS($B$2:B2260,B2260,$C$2:C2260,C2260,$I$2:I2260,I2260)=1,1,0)</f>
        <v>1</v>
      </c>
      <c r="M2260" s="3" t="n">
        <f aca="false">IF(K2260&gt;=Parametri!$B$1,1,0)</f>
        <v>0</v>
      </c>
      <c r="N2260" s="3" t="n">
        <f aca="false">L2260*M2260</f>
        <v>0</v>
      </c>
    </row>
    <row r="2261" customFormat="false" ht="15" hidden="false" customHeight="false" outlineLevel="0" collapsed="false">
      <c r="A2261" s="0" t="s">
        <v>3595</v>
      </c>
      <c r="B2261" s="0" t="s">
        <v>46</v>
      </c>
      <c r="C2261" s="0" t="s">
        <v>65</v>
      </c>
      <c r="D2261" s="0" t="s">
        <v>54</v>
      </c>
      <c r="E2261" s="2" t="n">
        <v>45571</v>
      </c>
      <c r="F2261" s="3" t="s">
        <v>34</v>
      </c>
      <c r="G2261" s="3" t="s">
        <v>39</v>
      </c>
      <c r="H2261" s="3" t="s">
        <v>44</v>
      </c>
      <c r="I2261" s="3" t="n">
        <f aca="false">YEAR(E2261)</f>
        <v>2024</v>
      </c>
      <c r="J2261" s="3" t="n">
        <f aca="false">MONTH(E2261)</f>
        <v>10</v>
      </c>
      <c r="K2261" s="3" t="n">
        <f aca="false">COUNTIFS($B$2:$B$4077,B2261,$C$2:$C$4077,C2261,$I$2:$I$4077,I2261)</f>
        <v>7</v>
      </c>
      <c r="L2261" s="3" t="n">
        <f aca="false">IF(COUNTIFS($B$2:B2261,B2261,$C$2:C2261,C2261,$I$2:I2261,I2261)=1,1,0)</f>
        <v>0</v>
      </c>
      <c r="M2261" s="3" t="n">
        <f aca="false">IF(K2261&gt;=Parametri!$B$1,1,0)</f>
        <v>1</v>
      </c>
      <c r="N2261" s="3" t="n">
        <f aca="false">L2261*M2261</f>
        <v>0</v>
      </c>
    </row>
    <row r="2262" customFormat="false" ht="15" hidden="false" customHeight="false" outlineLevel="0" collapsed="false">
      <c r="A2262" s="0" t="s">
        <v>3596</v>
      </c>
      <c r="B2262" s="0" t="s">
        <v>79</v>
      </c>
      <c r="C2262" s="0" t="s">
        <v>3597</v>
      </c>
      <c r="D2262" s="0" t="s">
        <v>26</v>
      </c>
      <c r="E2262" s="2" t="n">
        <v>45693</v>
      </c>
      <c r="F2262" s="3" t="s">
        <v>104</v>
      </c>
      <c r="G2262" s="3" t="s">
        <v>104</v>
      </c>
      <c r="H2262" s="3" t="s">
        <v>104</v>
      </c>
      <c r="I2262" s="3" t="n">
        <f aca="false">YEAR(E2262)</f>
        <v>2025</v>
      </c>
      <c r="J2262" s="3" t="n">
        <f aca="false">MONTH(E2262)</f>
        <v>2</v>
      </c>
      <c r="K2262" s="3" t="n">
        <f aca="false">COUNTIFS($B$2:$B$4077,B2262,$C$2:$C$4077,C2262,$I$2:$I$4077,I2262)</f>
        <v>1</v>
      </c>
      <c r="L2262" s="3" t="n">
        <f aca="false">IF(COUNTIFS($B$2:B2262,B2262,$C$2:C2262,C2262,$I$2:I2262,I2262)=1,1,0)</f>
        <v>1</v>
      </c>
      <c r="M2262" s="3" t="n">
        <f aca="false">IF(K2262&gt;=Parametri!$B$1,1,0)</f>
        <v>0</v>
      </c>
      <c r="N2262" s="3" t="n">
        <f aca="false">L2262*M2262</f>
        <v>0</v>
      </c>
    </row>
    <row r="2263" customFormat="false" ht="15" hidden="false" customHeight="false" outlineLevel="0" collapsed="false">
      <c r="A2263" s="0" t="s">
        <v>3598</v>
      </c>
      <c r="B2263" s="0" t="s">
        <v>57</v>
      </c>
      <c r="C2263" s="0" t="s">
        <v>2890</v>
      </c>
      <c r="D2263" s="0" t="s">
        <v>66</v>
      </c>
      <c r="E2263" s="2" t="n">
        <v>45404</v>
      </c>
      <c r="F2263" s="3" t="s">
        <v>27</v>
      </c>
      <c r="G2263" s="3" t="s">
        <v>104</v>
      </c>
      <c r="H2263" s="3" t="s">
        <v>29</v>
      </c>
      <c r="I2263" s="3" t="n">
        <f aca="false">YEAR(E2263)</f>
        <v>2024</v>
      </c>
      <c r="J2263" s="3" t="n">
        <f aca="false">MONTH(E2263)</f>
        <v>4</v>
      </c>
      <c r="K2263" s="3" t="n">
        <f aca="false">COUNTIFS($B$2:$B$4077,B2263,$C$2:$C$4077,C2263,$I$2:$I$4077,I2263)</f>
        <v>2</v>
      </c>
      <c r="L2263" s="3" t="n">
        <f aca="false">IF(COUNTIFS($B$2:B2263,B2263,$C$2:C2263,C2263,$I$2:I2263,I2263)=1,1,0)</f>
        <v>1</v>
      </c>
      <c r="M2263" s="3" t="n">
        <f aca="false">IF(K2263&gt;=Parametri!$B$1,1,0)</f>
        <v>1</v>
      </c>
      <c r="N2263" s="3" t="n">
        <f aca="false">L2263*M2263</f>
        <v>1</v>
      </c>
    </row>
    <row r="2264" customFormat="false" ht="15" hidden="false" customHeight="false" outlineLevel="0" collapsed="false">
      <c r="A2264" s="0" t="s">
        <v>3599</v>
      </c>
      <c r="B2264" s="0" t="s">
        <v>46</v>
      </c>
      <c r="C2264" s="0" t="s">
        <v>3600</v>
      </c>
      <c r="D2264" s="0" t="s">
        <v>63</v>
      </c>
      <c r="E2264" s="2" t="n">
        <v>46035</v>
      </c>
      <c r="F2264" s="3" t="s">
        <v>34</v>
      </c>
      <c r="G2264" s="3" t="s">
        <v>35</v>
      </c>
      <c r="H2264" s="3" t="s">
        <v>48</v>
      </c>
      <c r="I2264" s="3" t="n">
        <f aca="false">YEAR(E2264)</f>
        <v>2026</v>
      </c>
      <c r="J2264" s="3" t="n">
        <f aca="false">MONTH(E2264)</f>
        <v>1</v>
      </c>
      <c r="K2264" s="3" t="n">
        <f aca="false">COUNTIFS($B$2:$B$4077,B2264,$C$2:$C$4077,C2264,$I$2:$I$4077,I2264)</f>
        <v>1</v>
      </c>
      <c r="L2264" s="3" t="n">
        <f aca="false">IF(COUNTIFS($B$2:B2264,B2264,$C$2:C2264,C2264,$I$2:I2264,I2264)=1,1,0)</f>
        <v>1</v>
      </c>
      <c r="M2264" s="3" t="n">
        <f aca="false">IF(K2264&gt;=Parametri!$B$1,1,0)</f>
        <v>0</v>
      </c>
      <c r="N2264" s="3" t="n">
        <f aca="false">L2264*M2264</f>
        <v>0</v>
      </c>
    </row>
    <row r="2265" customFormat="false" ht="15" hidden="false" customHeight="false" outlineLevel="0" collapsed="false">
      <c r="A2265" s="0" t="s">
        <v>3601</v>
      </c>
      <c r="B2265" s="0" t="s">
        <v>68</v>
      </c>
      <c r="C2265" s="0" t="s">
        <v>3602</v>
      </c>
      <c r="D2265" s="0" t="s">
        <v>26</v>
      </c>
      <c r="E2265" s="2" t="n">
        <v>46254</v>
      </c>
      <c r="F2265" s="3" t="s">
        <v>20</v>
      </c>
      <c r="G2265" s="3" t="s">
        <v>43</v>
      </c>
      <c r="H2265" s="3" t="s">
        <v>22</v>
      </c>
      <c r="I2265" s="3" t="n">
        <f aca="false">YEAR(E2265)</f>
        <v>2026</v>
      </c>
      <c r="J2265" s="3" t="n">
        <f aca="false">MONTH(E2265)</f>
        <v>8</v>
      </c>
      <c r="K2265" s="3" t="n">
        <f aca="false">COUNTIFS($B$2:$B$4077,B2265,$C$2:$C$4077,C2265,$I$2:$I$4077,I2265)</f>
        <v>1</v>
      </c>
      <c r="L2265" s="3" t="n">
        <f aca="false">IF(COUNTIFS($B$2:B2265,B2265,$C$2:C2265,C2265,$I$2:I2265,I2265)=1,1,0)</f>
        <v>1</v>
      </c>
      <c r="M2265" s="3" t="n">
        <f aca="false">IF(K2265&gt;=Parametri!$B$1,1,0)</f>
        <v>0</v>
      </c>
      <c r="N2265" s="3" t="n">
        <f aca="false">L2265*M2265</f>
        <v>0</v>
      </c>
    </row>
    <row r="2266" customFormat="false" ht="15" hidden="false" customHeight="false" outlineLevel="0" collapsed="false">
      <c r="A2266" s="0" t="s">
        <v>3603</v>
      </c>
      <c r="B2266" s="0" t="s">
        <v>50</v>
      </c>
      <c r="C2266" s="0" t="s">
        <v>3604</v>
      </c>
      <c r="D2266" s="0" t="s">
        <v>54</v>
      </c>
      <c r="E2266" s="2" t="n">
        <v>45622</v>
      </c>
      <c r="F2266" s="3" t="s">
        <v>27</v>
      </c>
      <c r="G2266" s="3" t="s">
        <v>72</v>
      </c>
      <c r="H2266" s="3" t="s">
        <v>44</v>
      </c>
      <c r="I2266" s="3" t="n">
        <f aca="false">YEAR(E2266)</f>
        <v>2024</v>
      </c>
      <c r="J2266" s="3" t="n">
        <f aca="false">MONTH(E2266)</f>
        <v>11</v>
      </c>
      <c r="K2266" s="3" t="n">
        <f aca="false">COUNTIFS($B$2:$B$4077,B2266,$C$2:$C$4077,C2266,$I$2:$I$4077,I2266)</f>
        <v>1</v>
      </c>
      <c r="L2266" s="3" t="n">
        <f aca="false">IF(COUNTIFS($B$2:B2266,B2266,$C$2:C2266,C2266,$I$2:I2266,I2266)=1,1,0)</f>
        <v>1</v>
      </c>
      <c r="M2266" s="3" t="n">
        <f aca="false">IF(K2266&gt;=Parametri!$B$1,1,0)</f>
        <v>0</v>
      </c>
      <c r="N2266" s="3" t="n">
        <f aca="false">L2266*M2266</f>
        <v>0</v>
      </c>
    </row>
    <row r="2267" customFormat="false" ht="15" hidden="false" customHeight="false" outlineLevel="0" collapsed="false">
      <c r="A2267" s="0" t="s">
        <v>3605</v>
      </c>
      <c r="B2267" s="0" t="s">
        <v>17</v>
      </c>
      <c r="C2267" s="0" t="s">
        <v>2567</v>
      </c>
      <c r="D2267" s="0" t="s">
        <v>26</v>
      </c>
      <c r="E2267" s="2" t="n">
        <v>45693</v>
      </c>
      <c r="F2267" s="3" t="s">
        <v>27</v>
      </c>
      <c r="G2267" s="3" t="s">
        <v>55</v>
      </c>
      <c r="H2267" s="3" t="s">
        <v>44</v>
      </c>
      <c r="I2267" s="3" t="n">
        <f aca="false">YEAR(E2267)</f>
        <v>2025</v>
      </c>
      <c r="J2267" s="3" t="n">
        <f aca="false">MONTH(E2267)</f>
        <v>2</v>
      </c>
      <c r="K2267" s="3" t="n">
        <f aca="false">COUNTIFS($B$2:$B$4077,B2267,$C$2:$C$4077,C2267,$I$2:$I$4077,I2267)</f>
        <v>3</v>
      </c>
      <c r="L2267" s="3" t="n">
        <f aca="false">IF(COUNTIFS($B$2:B2267,B2267,$C$2:C2267,C2267,$I$2:I2267,I2267)=1,1,0)</f>
        <v>0</v>
      </c>
      <c r="M2267" s="3" t="n">
        <f aca="false">IF(K2267&gt;=Parametri!$B$1,1,0)</f>
        <v>1</v>
      </c>
      <c r="N2267" s="3" t="n">
        <f aca="false">L2267*M2267</f>
        <v>0</v>
      </c>
    </row>
    <row r="2268" customFormat="false" ht="15" hidden="false" customHeight="false" outlineLevel="0" collapsed="false">
      <c r="A2268" s="0" t="s">
        <v>3606</v>
      </c>
      <c r="B2268" s="0" t="s">
        <v>24</v>
      </c>
      <c r="C2268" s="0" t="s">
        <v>789</v>
      </c>
      <c r="D2268" s="0" t="s">
        <v>66</v>
      </c>
      <c r="E2268" s="2" t="n">
        <v>46093</v>
      </c>
      <c r="F2268" s="3" t="s">
        <v>20</v>
      </c>
      <c r="G2268" s="3" t="s">
        <v>35</v>
      </c>
      <c r="H2268" s="3" t="s">
        <v>48</v>
      </c>
      <c r="I2268" s="3" t="n">
        <f aca="false">YEAR(E2268)</f>
        <v>2026</v>
      </c>
      <c r="J2268" s="3" t="n">
        <f aca="false">MONTH(E2268)</f>
        <v>3</v>
      </c>
      <c r="K2268" s="3" t="n">
        <f aca="false">COUNTIFS($B$2:$B$4077,B2268,$C$2:$C$4077,C2268,$I$2:$I$4077,I2268)</f>
        <v>2</v>
      </c>
      <c r="L2268" s="3" t="n">
        <f aca="false">IF(COUNTIFS($B$2:B2268,B2268,$C$2:C2268,C2268,$I$2:I2268,I2268)=1,1,0)</f>
        <v>0</v>
      </c>
      <c r="M2268" s="3" t="n">
        <f aca="false">IF(K2268&gt;=Parametri!$B$1,1,0)</f>
        <v>1</v>
      </c>
      <c r="N2268" s="3" t="n">
        <f aca="false">L2268*M2268</f>
        <v>0</v>
      </c>
    </row>
    <row r="2269" customFormat="false" ht="15" hidden="false" customHeight="false" outlineLevel="0" collapsed="false">
      <c r="A2269" s="0" t="s">
        <v>3607</v>
      </c>
      <c r="B2269" s="0" t="s">
        <v>41</v>
      </c>
      <c r="C2269" s="0" t="s">
        <v>3608</v>
      </c>
      <c r="D2269" s="0" t="s">
        <v>54</v>
      </c>
      <c r="E2269" s="2" t="n">
        <v>45655</v>
      </c>
      <c r="F2269" s="3" t="s">
        <v>34</v>
      </c>
      <c r="G2269" s="3" t="s">
        <v>39</v>
      </c>
      <c r="H2269" s="3" t="s">
        <v>22</v>
      </c>
      <c r="I2269" s="3" t="n">
        <f aca="false">YEAR(E2269)</f>
        <v>2024</v>
      </c>
      <c r="J2269" s="3" t="n">
        <f aca="false">MONTH(E2269)</f>
        <v>12</v>
      </c>
      <c r="K2269" s="3" t="n">
        <f aca="false">COUNTIFS($B$2:$B$4077,B2269,$C$2:$C$4077,C2269,$I$2:$I$4077,I2269)</f>
        <v>1</v>
      </c>
      <c r="L2269" s="3" t="n">
        <f aca="false">IF(COUNTIFS($B$2:B2269,B2269,$C$2:C2269,C2269,$I$2:I2269,I2269)=1,1,0)</f>
        <v>1</v>
      </c>
      <c r="M2269" s="3" t="n">
        <f aca="false">IF(K2269&gt;=Parametri!$B$1,1,0)</f>
        <v>0</v>
      </c>
      <c r="N2269" s="3" t="n">
        <f aca="false">L2269*M2269</f>
        <v>0</v>
      </c>
    </row>
    <row r="2270" customFormat="false" ht="15" hidden="false" customHeight="false" outlineLevel="0" collapsed="false">
      <c r="A2270" s="0" t="s">
        <v>3609</v>
      </c>
      <c r="B2270" s="0" t="s">
        <v>31</v>
      </c>
      <c r="C2270" s="0" t="s">
        <v>3610</v>
      </c>
      <c r="D2270" s="0" t="s">
        <v>77</v>
      </c>
      <c r="E2270" s="2" t="n">
        <v>45882</v>
      </c>
      <c r="F2270" s="3" t="s">
        <v>20</v>
      </c>
      <c r="G2270" s="3" t="s">
        <v>89</v>
      </c>
      <c r="H2270" s="3" t="s">
        <v>22</v>
      </c>
      <c r="I2270" s="3" t="n">
        <f aca="false">YEAR(E2270)</f>
        <v>2025</v>
      </c>
      <c r="J2270" s="3" t="n">
        <f aca="false">MONTH(E2270)</f>
        <v>8</v>
      </c>
      <c r="K2270" s="3" t="n">
        <f aca="false">COUNTIFS($B$2:$B$4077,B2270,$C$2:$C$4077,C2270,$I$2:$I$4077,I2270)</f>
        <v>1</v>
      </c>
      <c r="L2270" s="3" t="n">
        <f aca="false">IF(COUNTIFS($B$2:B2270,B2270,$C$2:C2270,C2270,$I$2:I2270,I2270)=1,1,0)</f>
        <v>1</v>
      </c>
      <c r="M2270" s="3" t="n">
        <f aca="false">IF(K2270&gt;=Parametri!$B$1,1,0)</f>
        <v>0</v>
      </c>
      <c r="N2270" s="3" t="n">
        <f aca="false">L2270*M2270</f>
        <v>0</v>
      </c>
    </row>
    <row r="2271" customFormat="false" ht="15" hidden="false" customHeight="false" outlineLevel="0" collapsed="false">
      <c r="A2271" s="0" t="s">
        <v>3611</v>
      </c>
      <c r="B2271" s="0" t="s">
        <v>24</v>
      </c>
      <c r="C2271" s="0" t="s">
        <v>594</v>
      </c>
      <c r="D2271" s="0" t="s">
        <v>77</v>
      </c>
      <c r="E2271" s="2" t="n">
        <v>46137</v>
      </c>
      <c r="F2271" s="3" t="s">
        <v>20</v>
      </c>
      <c r="G2271" s="3" t="s">
        <v>55</v>
      </c>
      <c r="H2271" s="3" t="s">
        <v>29</v>
      </c>
      <c r="I2271" s="3" t="n">
        <f aca="false">YEAR(E2271)</f>
        <v>2026</v>
      </c>
      <c r="J2271" s="3" t="n">
        <f aca="false">MONTH(E2271)</f>
        <v>4</v>
      </c>
      <c r="K2271" s="3" t="n">
        <f aca="false">COUNTIFS($B$2:$B$4077,B2271,$C$2:$C$4077,C2271,$I$2:$I$4077,I2271)</f>
        <v>1</v>
      </c>
      <c r="L2271" s="3" t="n">
        <f aca="false">IF(COUNTIFS($B$2:B2271,B2271,$C$2:C2271,C2271,$I$2:I2271,I2271)=1,1,0)</f>
        <v>1</v>
      </c>
      <c r="M2271" s="3" t="n">
        <f aca="false">IF(K2271&gt;=Parametri!$B$1,1,0)</f>
        <v>0</v>
      </c>
      <c r="N2271" s="3" t="n">
        <f aca="false">L2271*M2271</f>
        <v>0</v>
      </c>
    </row>
    <row r="2272" customFormat="false" ht="15" hidden="false" customHeight="false" outlineLevel="0" collapsed="false">
      <c r="A2272" s="0" t="s">
        <v>3612</v>
      </c>
      <c r="B2272" s="0" t="s">
        <v>41</v>
      </c>
      <c r="C2272" s="0" t="s">
        <v>3613</v>
      </c>
      <c r="D2272" s="0" t="s">
        <v>54</v>
      </c>
      <c r="E2272" s="2" t="n">
        <v>45646</v>
      </c>
      <c r="F2272" s="3" t="s">
        <v>20</v>
      </c>
      <c r="G2272" s="3" t="s">
        <v>55</v>
      </c>
      <c r="H2272" s="3" t="s">
        <v>29</v>
      </c>
      <c r="I2272" s="3" t="n">
        <f aca="false">YEAR(E2272)</f>
        <v>2024</v>
      </c>
      <c r="J2272" s="3" t="n">
        <f aca="false">MONTH(E2272)</f>
        <v>12</v>
      </c>
      <c r="K2272" s="3" t="n">
        <f aca="false">COUNTIFS($B$2:$B$4077,B2272,$C$2:$C$4077,C2272,$I$2:$I$4077,I2272)</f>
        <v>1</v>
      </c>
      <c r="L2272" s="3" t="n">
        <f aca="false">IF(COUNTIFS($B$2:B2272,B2272,$C$2:C2272,C2272,$I$2:I2272,I2272)=1,1,0)</f>
        <v>1</v>
      </c>
      <c r="M2272" s="3" t="n">
        <f aca="false">IF(K2272&gt;=Parametri!$B$1,1,0)</f>
        <v>0</v>
      </c>
      <c r="N2272" s="3" t="n">
        <f aca="false">L2272*M2272</f>
        <v>0</v>
      </c>
    </row>
    <row r="2273" customFormat="false" ht="15" hidden="false" customHeight="false" outlineLevel="0" collapsed="false">
      <c r="A2273" s="0" t="s">
        <v>3614</v>
      </c>
      <c r="B2273" s="0" t="s">
        <v>50</v>
      </c>
      <c r="C2273" s="0" t="s">
        <v>3615</v>
      </c>
      <c r="D2273" s="0" t="s">
        <v>63</v>
      </c>
      <c r="E2273" s="2" t="n">
        <v>46074</v>
      </c>
      <c r="F2273" s="3" t="s">
        <v>20</v>
      </c>
      <c r="G2273" s="3" t="s">
        <v>55</v>
      </c>
      <c r="H2273" s="3" t="s">
        <v>44</v>
      </c>
      <c r="I2273" s="3" t="n">
        <f aca="false">YEAR(E2273)</f>
        <v>2026</v>
      </c>
      <c r="J2273" s="3" t="n">
        <f aca="false">MONTH(E2273)</f>
        <v>2</v>
      </c>
      <c r="K2273" s="3" t="n">
        <f aca="false">COUNTIFS($B$2:$B$4077,B2273,$C$2:$C$4077,C2273,$I$2:$I$4077,I2273)</f>
        <v>1</v>
      </c>
      <c r="L2273" s="3" t="n">
        <f aca="false">IF(COUNTIFS($B$2:B2273,B2273,$C$2:C2273,C2273,$I$2:I2273,I2273)=1,1,0)</f>
        <v>1</v>
      </c>
      <c r="M2273" s="3" t="n">
        <f aca="false">IF(K2273&gt;=Parametri!$B$1,1,0)</f>
        <v>0</v>
      </c>
      <c r="N2273" s="3" t="n">
        <f aca="false">L2273*M2273</f>
        <v>0</v>
      </c>
    </row>
    <row r="2274" customFormat="false" ht="15" hidden="false" customHeight="false" outlineLevel="0" collapsed="false">
      <c r="A2274" s="0" t="s">
        <v>3616</v>
      </c>
      <c r="B2274" s="0" t="s">
        <v>50</v>
      </c>
      <c r="C2274" s="0" t="s">
        <v>1038</v>
      </c>
      <c r="D2274" s="0" t="s">
        <v>66</v>
      </c>
      <c r="E2274" s="2" t="n">
        <v>45410</v>
      </c>
      <c r="F2274" s="3" t="s">
        <v>20</v>
      </c>
      <c r="G2274" s="3" t="s">
        <v>35</v>
      </c>
      <c r="H2274" s="3" t="s">
        <v>44</v>
      </c>
      <c r="I2274" s="3" t="n">
        <f aca="false">YEAR(E2274)</f>
        <v>2024</v>
      </c>
      <c r="J2274" s="3" t="n">
        <f aca="false">MONTH(E2274)</f>
        <v>4</v>
      </c>
      <c r="K2274" s="3" t="n">
        <f aca="false">COUNTIFS($B$2:$B$4077,B2274,$C$2:$C$4077,C2274,$I$2:$I$4077,I2274)</f>
        <v>2</v>
      </c>
      <c r="L2274" s="3" t="n">
        <f aca="false">IF(COUNTIFS($B$2:B2274,B2274,$C$2:C2274,C2274,$I$2:I2274,I2274)=1,1,0)</f>
        <v>1</v>
      </c>
      <c r="M2274" s="3" t="n">
        <f aca="false">IF(K2274&gt;=Parametri!$B$1,1,0)</f>
        <v>1</v>
      </c>
      <c r="N2274" s="3" t="n">
        <f aca="false">L2274*M2274</f>
        <v>1</v>
      </c>
    </row>
    <row r="2275" customFormat="false" ht="15" hidden="false" customHeight="false" outlineLevel="0" collapsed="false">
      <c r="A2275" s="0" t="s">
        <v>3617</v>
      </c>
      <c r="B2275" s="0" t="s">
        <v>124</v>
      </c>
      <c r="C2275" s="0" t="s">
        <v>1574</v>
      </c>
      <c r="D2275" s="0" t="s">
        <v>19</v>
      </c>
      <c r="E2275" s="2" t="n">
        <v>45339</v>
      </c>
      <c r="F2275" s="3" t="s">
        <v>104</v>
      </c>
      <c r="G2275" s="3" t="s">
        <v>104</v>
      </c>
      <c r="H2275" s="3" t="s">
        <v>104</v>
      </c>
      <c r="I2275" s="3" t="n">
        <f aca="false">YEAR(E2275)</f>
        <v>2024</v>
      </c>
      <c r="J2275" s="3" t="n">
        <f aca="false">MONTH(E2275)</f>
        <v>2</v>
      </c>
      <c r="K2275" s="3" t="n">
        <f aca="false">COUNTIFS($B$2:$B$4077,B2275,$C$2:$C$4077,C2275,$I$2:$I$4077,I2275)</f>
        <v>4</v>
      </c>
      <c r="L2275" s="3" t="n">
        <f aca="false">IF(COUNTIFS($B$2:B2275,B2275,$C$2:C2275,C2275,$I$2:I2275,I2275)=1,1,0)</f>
        <v>0</v>
      </c>
      <c r="M2275" s="3" t="n">
        <f aca="false">IF(K2275&gt;=Parametri!$B$1,1,0)</f>
        <v>1</v>
      </c>
      <c r="N2275" s="3" t="n">
        <f aca="false">L2275*M2275</f>
        <v>0</v>
      </c>
    </row>
    <row r="2276" customFormat="false" ht="15" hidden="false" customHeight="false" outlineLevel="0" collapsed="false">
      <c r="A2276" s="0" t="s">
        <v>3618</v>
      </c>
      <c r="B2276" s="0" t="s">
        <v>17</v>
      </c>
      <c r="C2276" s="0" t="s">
        <v>546</v>
      </c>
      <c r="D2276" s="0" t="s">
        <v>33</v>
      </c>
      <c r="E2276" s="2" t="n">
        <v>45479</v>
      </c>
      <c r="F2276" s="3" t="s">
        <v>27</v>
      </c>
      <c r="G2276" s="3" t="s">
        <v>39</v>
      </c>
      <c r="H2276" s="3" t="s">
        <v>48</v>
      </c>
      <c r="I2276" s="3" t="n">
        <f aca="false">YEAR(E2276)</f>
        <v>2024</v>
      </c>
      <c r="J2276" s="3" t="n">
        <f aca="false">MONTH(E2276)</f>
        <v>7</v>
      </c>
      <c r="K2276" s="3" t="n">
        <f aca="false">COUNTIFS($B$2:$B$4077,B2276,$C$2:$C$4077,C2276,$I$2:$I$4077,I2276)</f>
        <v>2</v>
      </c>
      <c r="L2276" s="3" t="n">
        <f aca="false">IF(COUNTIFS($B$2:B2276,B2276,$C$2:C2276,C2276,$I$2:I2276,I2276)=1,1,0)</f>
        <v>1</v>
      </c>
      <c r="M2276" s="3" t="n">
        <f aca="false">IF(K2276&gt;=Parametri!$B$1,1,0)</f>
        <v>1</v>
      </c>
      <c r="N2276" s="3" t="n">
        <f aca="false">L2276*M2276</f>
        <v>1</v>
      </c>
    </row>
    <row r="2277" customFormat="false" ht="15" hidden="false" customHeight="false" outlineLevel="0" collapsed="false">
      <c r="A2277" s="0" t="s">
        <v>3619</v>
      </c>
      <c r="B2277" s="0" t="s">
        <v>46</v>
      </c>
      <c r="C2277" s="0" t="s">
        <v>3620</v>
      </c>
      <c r="D2277" s="0" t="s">
        <v>77</v>
      </c>
      <c r="E2277" s="2" t="n">
        <v>45337</v>
      </c>
      <c r="F2277" s="3" t="s">
        <v>27</v>
      </c>
      <c r="G2277" s="3" t="s">
        <v>28</v>
      </c>
      <c r="H2277" s="3" t="s">
        <v>22</v>
      </c>
      <c r="I2277" s="3" t="n">
        <f aca="false">YEAR(E2277)</f>
        <v>2024</v>
      </c>
      <c r="J2277" s="3" t="n">
        <f aca="false">MONTH(E2277)</f>
        <v>2</v>
      </c>
      <c r="K2277" s="3" t="n">
        <f aca="false">COUNTIFS($B$2:$B$4077,B2277,$C$2:$C$4077,C2277,$I$2:$I$4077,I2277)</f>
        <v>1</v>
      </c>
      <c r="L2277" s="3" t="n">
        <f aca="false">IF(COUNTIFS($B$2:B2277,B2277,$C$2:C2277,C2277,$I$2:I2277,I2277)=1,1,0)</f>
        <v>1</v>
      </c>
      <c r="M2277" s="3" t="n">
        <f aca="false">IF(K2277&gt;=Parametri!$B$1,1,0)</f>
        <v>0</v>
      </c>
      <c r="N2277" s="3" t="n">
        <f aca="false">L2277*M2277</f>
        <v>0</v>
      </c>
    </row>
    <row r="2278" customFormat="false" ht="15" hidden="false" customHeight="false" outlineLevel="0" collapsed="false">
      <c r="A2278" s="0" t="s">
        <v>3621</v>
      </c>
      <c r="B2278" s="0" t="s">
        <v>24</v>
      </c>
      <c r="C2278" s="0" t="s">
        <v>1449</v>
      </c>
      <c r="D2278" s="0" t="s">
        <v>63</v>
      </c>
      <c r="E2278" s="2" t="n">
        <v>45490</v>
      </c>
      <c r="F2278" s="3" t="s">
        <v>20</v>
      </c>
      <c r="G2278" s="3" t="s">
        <v>43</v>
      </c>
      <c r="H2278" s="3" t="s">
        <v>44</v>
      </c>
      <c r="I2278" s="3" t="n">
        <f aca="false">YEAR(E2278)</f>
        <v>2024</v>
      </c>
      <c r="J2278" s="3" t="n">
        <f aca="false">MONTH(E2278)</f>
        <v>7</v>
      </c>
      <c r="K2278" s="3" t="n">
        <f aca="false">COUNTIFS($B$2:$B$4077,B2278,$C$2:$C$4077,C2278,$I$2:$I$4077,I2278)</f>
        <v>2</v>
      </c>
      <c r="L2278" s="3" t="n">
        <f aca="false">IF(COUNTIFS($B$2:B2278,B2278,$C$2:C2278,C2278,$I$2:I2278,I2278)=1,1,0)</f>
        <v>0</v>
      </c>
      <c r="M2278" s="3" t="n">
        <f aca="false">IF(K2278&gt;=Parametri!$B$1,1,0)</f>
        <v>1</v>
      </c>
      <c r="N2278" s="3" t="n">
        <f aca="false">L2278*M2278</f>
        <v>0</v>
      </c>
    </row>
    <row r="2279" customFormat="false" ht="15" hidden="false" customHeight="false" outlineLevel="0" collapsed="false">
      <c r="A2279" s="0" t="s">
        <v>3622</v>
      </c>
      <c r="B2279" s="0" t="s">
        <v>50</v>
      </c>
      <c r="C2279" s="0" t="s">
        <v>3623</v>
      </c>
      <c r="D2279" s="0" t="s">
        <v>38</v>
      </c>
      <c r="E2279" s="2" t="n">
        <v>45401</v>
      </c>
      <c r="F2279" s="3" t="s">
        <v>20</v>
      </c>
      <c r="G2279" s="3" t="s">
        <v>39</v>
      </c>
      <c r="H2279" s="3" t="s">
        <v>48</v>
      </c>
      <c r="I2279" s="3" t="n">
        <f aca="false">YEAR(E2279)</f>
        <v>2024</v>
      </c>
      <c r="J2279" s="3" t="n">
        <f aca="false">MONTH(E2279)</f>
        <v>4</v>
      </c>
      <c r="K2279" s="3" t="n">
        <f aca="false">COUNTIFS($B$2:$B$4077,B2279,$C$2:$C$4077,C2279,$I$2:$I$4077,I2279)</f>
        <v>1</v>
      </c>
      <c r="L2279" s="3" t="n">
        <f aca="false">IF(COUNTIFS($B$2:B2279,B2279,$C$2:C2279,C2279,$I$2:I2279,I2279)=1,1,0)</f>
        <v>1</v>
      </c>
      <c r="M2279" s="3" t="n">
        <f aca="false">IF(K2279&gt;=Parametri!$B$1,1,0)</f>
        <v>0</v>
      </c>
      <c r="N2279" s="3" t="n">
        <f aca="false">L2279*M2279</f>
        <v>0</v>
      </c>
    </row>
    <row r="2280" customFormat="false" ht="15" hidden="false" customHeight="false" outlineLevel="0" collapsed="false">
      <c r="A2280" s="0" t="s">
        <v>3624</v>
      </c>
      <c r="B2280" s="0" t="s">
        <v>68</v>
      </c>
      <c r="C2280" s="0" t="s">
        <v>3625</v>
      </c>
      <c r="D2280" s="0" t="s">
        <v>33</v>
      </c>
      <c r="E2280" s="2" t="n">
        <v>46034</v>
      </c>
      <c r="F2280" s="3" t="s">
        <v>27</v>
      </c>
      <c r="G2280" s="3" t="s">
        <v>43</v>
      </c>
      <c r="H2280" s="3" t="s">
        <v>48</v>
      </c>
      <c r="I2280" s="3" t="n">
        <f aca="false">YEAR(E2280)</f>
        <v>2026</v>
      </c>
      <c r="J2280" s="3" t="n">
        <f aca="false">MONTH(E2280)</f>
        <v>1</v>
      </c>
      <c r="K2280" s="3" t="n">
        <f aca="false">COUNTIFS($B$2:$B$4077,B2280,$C$2:$C$4077,C2280,$I$2:$I$4077,I2280)</f>
        <v>1</v>
      </c>
      <c r="L2280" s="3" t="n">
        <f aca="false">IF(COUNTIFS($B$2:B2280,B2280,$C$2:C2280,C2280,$I$2:I2280,I2280)=1,1,0)</f>
        <v>1</v>
      </c>
      <c r="M2280" s="3" t="n">
        <f aca="false">IF(K2280&gt;=Parametri!$B$1,1,0)</f>
        <v>0</v>
      </c>
      <c r="N2280" s="3" t="n">
        <f aca="false">L2280*M2280</f>
        <v>0</v>
      </c>
    </row>
    <row r="2281" customFormat="false" ht="15" hidden="false" customHeight="false" outlineLevel="0" collapsed="false">
      <c r="A2281" s="0" t="s">
        <v>3626</v>
      </c>
      <c r="B2281" s="0" t="s">
        <v>50</v>
      </c>
      <c r="C2281" s="0" t="s">
        <v>2490</v>
      </c>
      <c r="D2281" s="0" t="s">
        <v>63</v>
      </c>
      <c r="E2281" s="2" t="n">
        <v>45528</v>
      </c>
      <c r="F2281" s="3" t="s">
        <v>34</v>
      </c>
      <c r="G2281" s="3" t="s">
        <v>28</v>
      </c>
      <c r="H2281" s="3" t="s">
        <v>48</v>
      </c>
      <c r="I2281" s="3" t="n">
        <f aca="false">YEAR(E2281)</f>
        <v>2024</v>
      </c>
      <c r="J2281" s="3" t="n">
        <f aca="false">MONTH(E2281)</f>
        <v>8</v>
      </c>
      <c r="K2281" s="3" t="n">
        <f aca="false">COUNTIFS($B$2:$B$4077,B2281,$C$2:$C$4077,C2281,$I$2:$I$4077,I2281)</f>
        <v>1</v>
      </c>
      <c r="L2281" s="3" t="n">
        <f aca="false">IF(COUNTIFS($B$2:B2281,B2281,$C$2:C2281,C2281,$I$2:I2281,I2281)=1,1,0)</f>
        <v>1</v>
      </c>
      <c r="M2281" s="3" t="n">
        <f aca="false">IF(K2281&gt;=Parametri!$B$1,1,0)</f>
        <v>0</v>
      </c>
      <c r="N2281" s="3" t="n">
        <f aca="false">L2281*M2281</f>
        <v>0</v>
      </c>
    </row>
    <row r="2282" customFormat="false" ht="15" hidden="false" customHeight="false" outlineLevel="0" collapsed="false">
      <c r="A2282" s="0" t="s">
        <v>3627</v>
      </c>
      <c r="B2282" s="0" t="s">
        <v>24</v>
      </c>
      <c r="C2282" s="0" t="s">
        <v>1304</v>
      </c>
      <c r="D2282" s="0" t="s">
        <v>33</v>
      </c>
      <c r="E2282" s="2" t="n">
        <v>45532</v>
      </c>
      <c r="F2282" s="3" t="s">
        <v>20</v>
      </c>
      <c r="G2282" s="3" t="s">
        <v>89</v>
      </c>
      <c r="H2282" s="3" t="s">
        <v>44</v>
      </c>
      <c r="I2282" s="3" t="n">
        <f aca="false">YEAR(E2282)</f>
        <v>2024</v>
      </c>
      <c r="J2282" s="3" t="n">
        <f aca="false">MONTH(E2282)</f>
        <v>8</v>
      </c>
      <c r="K2282" s="3" t="n">
        <f aca="false">COUNTIFS($B$2:$B$4077,B2282,$C$2:$C$4077,C2282,$I$2:$I$4077,I2282)</f>
        <v>3</v>
      </c>
      <c r="L2282" s="3" t="n">
        <f aca="false">IF(COUNTIFS($B$2:B2282,B2282,$C$2:C2282,C2282,$I$2:I2282,I2282)=1,1,0)</f>
        <v>1</v>
      </c>
      <c r="M2282" s="3" t="n">
        <f aca="false">IF(K2282&gt;=Parametri!$B$1,1,0)</f>
        <v>1</v>
      </c>
      <c r="N2282" s="3" t="n">
        <f aca="false">L2282*M2282</f>
        <v>1</v>
      </c>
    </row>
    <row r="2283" customFormat="false" ht="15" hidden="false" customHeight="false" outlineLevel="0" collapsed="false">
      <c r="A2283" s="0" t="s">
        <v>3628</v>
      </c>
      <c r="B2283" s="0" t="s">
        <v>79</v>
      </c>
      <c r="C2283" s="0" t="s">
        <v>137</v>
      </c>
      <c r="D2283" s="0" t="s">
        <v>63</v>
      </c>
      <c r="E2283" s="2" t="n">
        <v>45570</v>
      </c>
      <c r="F2283" s="3" t="s">
        <v>20</v>
      </c>
      <c r="G2283" s="3" t="s">
        <v>21</v>
      </c>
      <c r="H2283" s="3" t="s">
        <v>29</v>
      </c>
      <c r="I2283" s="3" t="n">
        <f aca="false">YEAR(E2283)</f>
        <v>2024</v>
      </c>
      <c r="J2283" s="3" t="n">
        <f aca="false">MONTH(E2283)</f>
        <v>10</v>
      </c>
      <c r="K2283" s="3" t="n">
        <f aca="false">COUNTIFS($B$2:$B$4077,B2283,$C$2:$C$4077,C2283,$I$2:$I$4077,I2283)</f>
        <v>3</v>
      </c>
      <c r="L2283" s="3" t="n">
        <f aca="false">IF(COUNTIFS($B$2:B2283,B2283,$C$2:C2283,C2283,$I$2:I2283,I2283)=1,1,0)</f>
        <v>0</v>
      </c>
      <c r="M2283" s="3" t="n">
        <f aca="false">IF(K2283&gt;=Parametri!$B$1,1,0)</f>
        <v>1</v>
      </c>
      <c r="N2283" s="3" t="n">
        <f aca="false">L2283*M2283</f>
        <v>0</v>
      </c>
    </row>
    <row r="2284" customFormat="false" ht="15" hidden="false" customHeight="false" outlineLevel="0" collapsed="false">
      <c r="A2284" s="0" t="s">
        <v>3629</v>
      </c>
      <c r="B2284" s="0" t="s">
        <v>68</v>
      </c>
      <c r="C2284" s="0" t="s">
        <v>438</v>
      </c>
      <c r="D2284" s="0" t="s">
        <v>77</v>
      </c>
      <c r="E2284" s="2" t="n">
        <v>45421</v>
      </c>
      <c r="F2284" s="3" t="s">
        <v>20</v>
      </c>
      <c r="G2284" s="3" t="s">
        <v>28</v>
      </c>
      <c r="H2284" s="3" t="s">
        <v>44</v>
      </c>
      <c r="I2284" s="3" t="n">
        <f aca="false">YEAR(E2284)</f>
        <v>2024</v>
      </c>
      <c r="J2284" s="3" t="n">
        <f aca="false">MONTH(E2284)</f>
        <v>5</v>
      </c>
      <c r="K2284" s="3" t="n">
        <f aca="false">COUNTIFS($B$2:$B$4077,B2284,$C$2:$C$4077,C2284,$I$2:$I$4077,I2284)</f>
        <v>5</v>
      </c>
      <c r="L2284" s="3" t="n">
        <f aca="false">IF(COUNTIFS($B$2:B2284,B2284,$C$2:C2284,C2284,$I$2:I2284,I2284)=1,1,0)</f>
        <v>0</v>
      </c>
      <c r="M2284" s="3" t="n">
        <f aca="false">IF(K2284&gt;=Parametri!$B$1,1,0)</f>
        <v>1</v>
      </c>
      <c r="N2284" s="3" t="n">
        <f aca="false">L2284*M2284</f>
        <v>0</v>
      </c>
    </row>
    <row r="2285" customFormat="false" ht="15" hidden="false" customHeight="false" outlineLevel="0" collapsed="false">
      <c r="A2285" s="0" t="s">
        <v>3630</v>
      </c>
      <c r="B2285" s="0" t="s">
        <v>46</v>
      </c>
      <c r="C2285" s="0" t="s">
        <v>3631</v>
      </c>
      <c r="D2285" s="0" t="s">
        <v>38</v>
      </c>
      <c r="E2285" s="2" t="n">
        <v>46182</v>
      </c>
      <c r="F2285" s="3" t="s">
        <v>27</v>
      </c>
      <c r="G2285" s="3" t="s">
        <v>21</v>
      </c>
      <c r="H2285" s="3" t="s">
        <v>48</v>
      </c>
      <c r="I2285" s="3" t="n">
        <f aca="false">YEAR(E2285)</f>
        <v>2026</v>
      </c>
      <c r="J2285" s="3" t="n">
        <f aca="false">MONTH(E2285)</f>
        <v>6</v>
      </c>
      <c r="K2285" s="3" t="n">
        <f aca="false">COUNTIFS($B$2:$B$4077,B2285,$C$2:$C$4077,C2285,$I$2:$I$4077,I2285)</f>
        <v>1</v>
      </c>
      <c r="L2285" s="3" t="n">
        <f aca="false">IF(COUNTIFS($B$2:B2285,B2285,$C$2:C2285,C2285,$I$2:I2285,I2285)=1,1,0)</f>
        <v>1</v>
      </c>
      <c r="M2285" s="3" t="n">
        <f aca="false">IF(K2285&gt;=Parametri!$B$1,1,0)</f>
        <v>0</v>
      </c>
      <c r="N2285" s="3" t="n">
        <f aca="false">L2285*M2285</f>
        <v>0</v>
      </c>
    </row>
    <row r="2286" customFormat="false" ht="15" hidden="false" customHeight="false" outlineLevel="0" collapsed="false">
      <c r="A2286" s="0" t="s">
        <v>3632</v>
      </c>
      <c r="B2286" s="0" t="s">
        <v>31</v>
      </c>
      <c r="C2286" s="0" t="s">
        <v>712</v>
      </c>
      <c r="D2286" s="0" t="s">
        <v>26</v>
      </c>
      <c r="E2286" s="2" t="n">
        <v>46014</v>
      </c>
      <c r="F2286" s="3" t="s">
        <v>34</v>
      </c>
      <c r="G2286" s="3" t="s">
        <v>55</v>
      </c>
      <c r="H2286" s="3" t="s">
        <v>44</v>
      </c>
      <c r="I2286" s="3" t="n">
        <f aca="false">YEAR(E2286)</f>
        <v>2025</v>
      </c>
      <c r="J2286" s="3" t="n">
        <f aca="false">MONTH(E2286)</f>
        <v>12</v>
      </c>
      <c r="K2286" s="3" t="n">
        <f aca="false">COUNTIFS($B$2:$B$4077,B2286,$C$2:$C$4077,C2286,$I$2:$I$4077,I2286)</f>
        <v>6</v>
      </c>
      <c r="L2286" s="3" t="n">
        <f aca="false">IF(COUNTIFS($B$2:B2286,B2286,$C$2:C2286,C2286,$I$2:I2286,I2286)=1,1,0)</f>
        <v>0</v>
      </c>
      <c r="M2286" s="3" t="n">
        <f aca="false">IF(K2286&gt;=Parametri!$B$1,1,0)</f>
        <v>1</v>
      </c>
      <c r="N2286" s="3" t="n">
        <f aca="false">L2286*M2286</f>
        <v>0</v>
      </c>
    </row>
    <row r="2287" customFormat="false" ht="15" hidden="false" customHeight="false" outlineLevel="0" collapsed="false">
      <c r="A2287" s="0" t="s">
        <v>3633</v>
      </c>
      <c r="B2287" s="0" t="s">
        <v>17</v>
      </c>
      <c r="C2287" s="0" t="s">
        <v>897</v>
      </c>
      <c r="D2287" s="0" t="s">
        <v>77</v>
      </c>
      <c r="E2287" s="2" t="n">
        <v>46057</v>
      </c>
      <c r="F2287" s="3" t="s">
        <v>20</v>
      </c>
      <c r="G2287" s="3" t="s">
        <v>72</v>
      </c>
      <c r="H2287" s="3" t="s">
        <v>22</v>
      </c>
      <c r="I2287" s="3" t="n">
        <f aca="false">YEAR(E2287)</f>
        <v>2026</v>
      </c>
      <c r="J2287" s="3" t="n">
        <f aca="false">MONTH(E2287)</f>
        <v>2</v>
      </c>
      <c r="K2287" s="3" t="n">
        <f aca="false">COUNTIFS($B$2:$B$4077,B2287,$C$2:$C$4077,C2287,$I$2:$I$4077,I2287)</f>
        <v>4</v>
      </c>
      <c r="L2287" s="3" t="n">
        <f aca="false">IF(COUNTIFS($B$2:B2287,B2287,$C$2:C2287,C2287,$I$2:I2287,I2287)=1,1,0)</f>
        <v>0</v>
      </c>
      <c r="M2287" s="3" t="n">
        <f aca="false">IF(K2287&gt;=Parametri!$B$1,1,0)</f>
        <v>1</v>
      </c>
      <c r="N2287" s="3" t="n">
        <f aca="false">L2287*M2287</f>
        <v>0</v>
      </c>
    </row>
    <row r="2288" customFormat="false" ht="15" hidden="false" customHeight="false" outlineLevel="0" collapsed="false">
      <c r="A2288" s="0" t="s">
        <v>3634</v>
      </c>
      <c r="B2288" s="0" t="s">
        <v>17</v>
      </c>
      <c r="C2288" s="0" t="s">
        <v>915</v>
      </c>
      <c r="D2288" s="0" t="s">
        <v>33</v>
      </c>
      <c r="E2288" s="2" t="n">
        <v>45775</v>
      </c>
      <c r="F2288" s="3" t="s">
        <v>20</v>
      </c>
      <c r="G2288" s="3" t="s">
        <v>55</v>
      </c>
      <c r="H2288" s="3" t="s">
        <v>22</v>
      </c>
      <c r="I2288" s="3" t="n">
        <f aca="false">YEAR(E2288)</f>
        <v>2025</v>
      </c>
      <c r="J2288" s="3" t="n">
        <f aca="false">MONTH(E2288)</f>
        <v>4</v>
      </c>
      <c r="K2288" s="3" t="n">
        <f aca="false">COUNTIFS($B$2:$B$4077,B2288,$C$2:$C$4077,C2288,$I$2:$I$4077,I2288)</f>
        <v>3</v>
      </c>
      <c r="L2288" s="3" t="n">
        <f aca="false">IF(COUNTIFS($B$2:B2288,B2288,$C$2:C2288,C2288,$I$2:I2288,I2288)=1,1,0)</f>
        <v>0</v>
      </c>
      <c r="M2288" s="3" t="n">
        <f aca="false">IF(K2288&gt;=Parametri!$B$1,1,0)</f>
        <v>1</v>
      </c>
      <c r="N2288" s="3" t="n">
        <f aca="false">L2288*M2288</f>
        <v>0</v>
      </c>
    </row>
    <row r="2289" customFormat="false" ht="15" hidden="false" customHeight="false" outlineLevel="0" collapsed="false">
      <c r="A2289" s="0" t="s">
        <v>3635</v>
      </c>
      <c r="B2289" s="0" t="s">
        <v>50</v>
      </c>
      <c r="C2289" s="0" t="s">
        <v>3636</v>
      </c>
      <c r="D2289" s="0" t="s">
        <v>63</v>
      </c>
      <c r="E2289" s="2" t="n">
        <v>45720</v>
      </c>
      <c r="F2289" s="3" t="s">
        <v>20</v>
      </c>
      <c r="G2289" s="3" t="s">
        <v>72</v>
      </c>
      <c r="H2289" s="3" t="s">
        <v>48</v>
      </c>
      <c r="I2289" s="3" t="n">
        <f aca="false">YEAR(E2289)</f>
        <v>2025</v>
      </c>
      <c r="J2289" s="3" t="n">
        <f aca="false">MONTH(E2289)</f>
        <v>3</v>
      </c>
      <c r="K2289" s="3" t="n">
        <f aca="false">COUNTIFS($B$2:$B$4077,B2289,$C$2:$C$4077,C2289,$I$2:$I$4077,I2289)</f>
        <v>1</v>
      </c>
      <c r="L2289" s="3" t="n">
        <f aca="false">IF(COUNTIFS($B$2:B2289,B2289,$C$2:C2289,C2289,$I$2:I2289,I2289)=1,1,0)</f>
        <v>1</v>
      </c>
      <c r="M2289" s="3" t="n">
        <f aca="false">IF(K2289&gt;=Parametri!$B$1,1,0)</f>
        <v>0</v>
      </c>
      <c r="N2289" s="3" t="n">
        <f aca="false">L2289*M2289</f>
        <v>0</v>
      </c>
    </row>
    <row r="2290" customFormat="false" ht="15" hidden="false" customHeight="false" outlineLevel="0" collapsed="false">
      <c r="A2290" s="0" t="s">
        <v>3637</v>
      </c>
      <c r="B2290" s="0" t="s">
        <v>79</v>
      </c>
      <c r="C2290" s="0" t="s">
        <v>883</v>
      </c>
      <c r="D2290" s="0" t="s">
        <v>19</v>
      </c>
      <c r="E2290" s="2" t="n">
        <v>46179</v>
      </c>
      <c r="F2290" s="3" t="s">
        <v>20</v>
      </c>
      <c r="G2290" s="3" t="s">
        <v>28</v>
      </c>
      <c r="H2290" s="3" t="s">
        <v>22</v>
      </c>
      <c r="I2290" s="3" t="n">
        <f aca="false">YEAR(E2290)</f>
        <v>2026</v>
      </c>
      <c r="J2290" s="3" t="n">
        <f aca="false">MONTH(E2290)</f>
        <v>6</v>
      </c>
      <c r="K2290" s="3" t="n">
        <f aca="false">COUNTIFS($B$2:$B$4077,B2290,$C$2:$C$4077,C2290,$I$2:$I$4077,I2290)</f>
        <v>2</v>
      </c>
      <c r="L2290" s="3" t="n">
        <f aca="false">IF(COUNTIFS($B$2:B2290,B2290,$C$2:C2290,C2290,$I$2:I2290,I2290)=1,1,0)</f>
        <v>0</v>
      </c>
      <c r="M2290" s="3" t="n">
        <f aca="false">IF(K2290&gt;=Parametri!$B$1,1,0)</f>
        <v>1</v>
      </c>
      <c r="N2290" s="3" t="n">
        <f aca="false">L2290*M2290</f>
        <v>0</v>
      </c>
    </row>
    <row r="2291" customFormat="false" ht="15" hidden="false" customHeight="false" outlineLevel="0" collapsed="false">
      <c r="A2291" s="0" t="s">
        <v>3638</v>
      </c>
      <c r="B2291" s="0" t="s">
        <v>24</v>
      </c>
      <c r="C2291" s="0" t="s">
        <v>2289</v>
      </c>
      <c r="D2291" s="0" t="s">
        <v>38</v>
      </c>
      <c r="E2291" s="2" t="n">
        <v>45297</v>
      </c>
      <c r="F2291" s="3" t="s">
        <v>27</v>
      </c>
      <c r="G2291" s="3" t="s">
        <v>39</v>
      </c>
      <c r="H2291" s="3" t="s">
        <v>29</v>
      </c>
      <c r="I2291" s="3" t="n">
        <f aca="false">YEAR(E2291)</f>
        <v>2024</v>
      </c>
      <c r="J2291" s="3" t="n">
        <f aca="false">MONTH(E2291)</f>
        <v>1</v>
      </c>
      <c r="K2291" s="3" t="n">
        <f aca="false">COUNTIFS($B$2:$B$4077,B2291,$C$2:$C$4077,C2291,$I$2:$I$4077,I2291)</f>
        <v>2</v>
      </c>
      <c r="L2291" s="3" t="n">
        <f aca="false">IF(COUNTIFS($B$2:B2291,B2291,$C$2:C2291,C2291,$I$2:I2291,I2291)=1,1,0)</f>
        <v>1</v>
      </c>
      <c r="M2291" s="3" t="n">
        <f aca="false">IF(K2291&gt;=Parametri!$B$1,1,0)</f>
        <v>1</v>
      </c>
      <c r="N2291" s="3" t="n">
        <f aca="false">L2291*M2291</f>
        <v>1</v>
      </c>
    </row>
    <row r="2292" customFormat="false" ht="15" hidden="false" customHeight="false" outlineLevel="0" collapsed="false">
      <c r="A2292" s="0" t="s">
        <v>3639</v>
      </c>
      <c r="B2292" s="0" t="s">
        <v>46</v>
      </c>
      <c r="C2292" s="0" t="s">
        <v>1512</v>
      </c>
      <c r="D2292" s="0" t="s">
        <v>38</v>
      </c>
      <c r="E2292" s="2" t="n">
        <v>45852</v>
      </c>
      <c r="F2292" s="3" t="s">
        <v>20</v>
      </c>
      <c r="G2292" s="3" t="s">
        <v>72</v>
      </c>
      <c r="H2292" s="3" t="s">
        <v>48</v>
      </c>
      <c r="I2292" s="3" t="n">
        <f aca="false">YEAR(E2292)</f>
        <v>2025</v>
      </c>
      <c r="J2292" s="3" t="n">
        <f aca="false">MONTH(E2292)</f>
        <v>7</v>
      </c>
      <c r="K2292" s="3" t="n">
        <f aca="false">COUNTIFS($B$2:$B$4077,B2292,$C$2:$C$4077,C2292,$I$2:$I$4077,I2292)</f>
        <v>3</v>
      </c>
      <c r="L2292" s="3" t="n">
        <f aca="false">IF(COUNTIFS($B$2:B2292,B2292,$C$2:C2292,C2292,$I$2:I2292,I2292)=1,1,0)</f>
        <v>0</v>
      </c>
      <c r="M2292" s="3" t="n">
        <f aca="false">IF(K2292&gt;=Parametri!$B$1,1,0)</f>
        <v>1</v>
      </c>
      <c r="N2292" s="3" t="n">
        <f aca="false">L2292*M2292</f>
        <v>0</v>
      </c>
    </row>
    <row r="2293" customFormat="false" ht="15" hidden="false" customHeight="false" outlineLevel="0" collapsed="false">
      <c r="A2293" s="0" t="s">
        <v>3640</v>
      </c>
      <c r="B2293" s="0" t="s">
        <v>68</v>
      </c>
      <c r="C2293" s="0" t="s">
        <v>3641</v>
      </c>
      <c r="D2293" s="0" t="s">
        <v>33</v>
      </c>
      <c r="E2293" s="2" t="n">
        <v>45579</v>
      </c>
      <c r="F2293" s="3" t="s">
        <v>20</v>
      </c>
      <c r="G2293" s="3" t="s">
        <v>35</v>
      </c>
      <c r="H2293" s="3" t="s">
        <v>22</v>
      </c>
      <c r="I2293" s="3" t="n">
        <f aca="false">YEAR(E2293)</f>
        <v>2024</v>
      </c>
      <c r="J2293" s="3" t="n">
        <f aca="false">MONTH(E2293)</f>
        <v>10</v>
      </c>
      <c r="K2293" s="3" t="n">
        <f aca="false">COUNTIFS($B$2:$B$4077,B2293,$C$2:$C$4077,C2293,$I$2:$I$4077,I2293)</f>
        <v>2</v>
      </c>
      <c r="L2293" s="3" t="n">
        <f aca="false">IF(COUNTIFS($B$2:B2293,B2293,$C$2:C2293,C2293,$I$2:I2293,I2293)=1,1,0)</f>
        <v>1</v>
      </c>
      <c r="M2293" s="3" t="n">
        <f aca="false">IF(K2293&gt;=Parametri!$B$1,1,0)</f>
        <v>1</v>
      </c>
      <c r="N2293" s="3" t="n">
        <f aca="false">L2293*M2293</f>
        <v>1</v>
      </c>
    </row>
    <row r="2294" customFormat="false" ht="15" hidden="false" customHeight="false" outlineLevel="0" collapsed="false">
      <c r="A2294" s="0" t="s">
        <v>3642</v>
      </c>
      <c r="B2294" s="0" t="s">
        <v>41</v>
      </c>
      <c r="C2294" s="0" t="s">
        <v>3399</v>
      </c>
      <c r="D2294" s="0" t="s">
        <v>77</v>
      </c>
      <c r="E2294" s="2" t="n">
        <v>46086</v>
      </c>
      <c r="F2294" s="3" t="s">
        <v>20</v>
      </c>
      <c r="G2294" s="3" t="s">
        <v>21</v>
      </c>
      <c r="H2294" s="3" t="s">
        <v>22</v>
      </c>
      <c r="I2294" s="3" t="n">
        <f aca="false">YEAR(E2294)</f>
        <v>2026</v>
      </c>
      <c r="J2294" s="3" t="n">
        <f aca="false">MONTH(E2294)</f>
        <v>3</v>
      </c>
      <c r="K2294" s="3" t="n">
        <f aca="false">COUNTIFS($B$2:$B$4077,B2294,$C$2:$C$4077,C2294,$I$2:$I$4077,I2294)</f>
        <v>2</v>
      </c>
      <c r="L2294" s="3" t="n">
        <f aca="false">IF(COUNTIFS($B$2:B2294,B2294,$C$2:C2294,C2294,$I$2:I2294,I2294)=1,1,0)</f>
        <v>0</v>
      </c>
      <c r="M2294" s="3" t="n">
        <f aca="false">IF(K2294&gt;=Parametri!$B$1,1,0)</f>
        <v>1</v>
      </c>
      <c r="N2294" s="3" t="n">
        <f aca="false">L2294*M2294</f>
        <v>0</v>
      </c>
    </row>
    <row r="2295" customFormat="false" ht="15" hidden="false" customHeight="false" outlineLevel="0" collapsed="false">
      <c r="A2295" s="0" t="s">
        <v>3643</v>
      </c>
      <c r="B2295" s="0" t="s">
        <v>124</v>
      </c>
      <c r="C2295" s="0" t="s">
        <v>1235</v>
      </c>
      <c r="D2295" s="0" t="s">
        <v>54</v>
      </c>
      <c r="E2295" s="2" t="n">
        <v>45986</v>
      </c>
      <c r="F2295" s="3" t="s">
        <v>34</v>
      </c>
      <c r="G2295" s="3" t="s">
        <v>39</v>
      </c>
      <c r="H2295" s="3" t="s">
        <v>22</v>
      </c>
      <c r="I2295" s="3" t="n">
        <f aca="false">YEAR(E2295)</f>
        <v>2025</v>
      </c>
      <c r="J2295" s="3" t="n">
        <f aca="false">MONTH(E2295)</f>
        <v>11</v>
      </c>
      <c r="K2295" s="3" t="n">
        <f aca="false">COUNTIFS($B$2:$B$4077,B2295,$C$2:$C$4077,C2295,$I$2:$I$4077,I2295)</f>
        <v>1</v>
      </c>
      <c r="L2295" s="3" t="n">
        <f aca="false">IF(COUNTIFS($B$2:B2295,B2295,$C$2:C2295,C2295,$I$2:I2295,I2295)=1,1,0)</f>
        <v>1</v>
      </c>
      <c r="M2295" s="3" t="n">
        <f aca="false">IF(K2295&gt;=Parametri!$B$1,1,0)</f>
        <v>0</v>
      </c>
      <c r="N2295" s="3" t="n">
        <f aca="false">L2295*M2295</f>
        <v>0</v>
      </c>
    </row>
    <row r="2296" customFormat="false" ht="15" hidden="false" customHeight="false" outlineLevel="0" collapsed="false">
      <c r="A2296" s="0" t="s">
        <v>3644</v>
      </c>
      <c r="B2296" s="0" t="s">
        <v>17</v>
      </c>
      <c r="C2296" s="0" t="s">
        <v>3645</v>
      </c>
      <c r="D2296" s="0" t="s">
        <v>38</v>
      </c>
      <c r="E2296" s="2" t="n">
        <v>46026</v>
      </c>
      <c r="F2296" s="3" t="s">
        <v>20</v>
      </c>
      <c r="G2296" s="3" t="s">
        <v>55</v>
      </c>
      <c r="H2296" s="3" t="s">
        <v>44</v>
      </c>
      <c r="I2296" s="3" t="n">
        <f aca="false">YEAR(E2296)</f>
        <v>2026</v>
      </c>
      <c r="J2296" s="3" t="n">
        <f aca="false">MONTH(E2296)</f>
        <v>1</v>
      </c>
      <c r="K2296" s="3" t="n">
        <f aca="false">COUNTIFS($B$2:$B$4077,B2296,$C$2:$C$4077,C2296,$I$2:$I$4077,I2296)</f>
        <v>1</v>
      </c>
      <c r="L2296" s="3" t="n">
        <f aca="false">IF(COUNTIFS($B$2:B2296,B2296,$C$2:C2296,C2296,$I$2:I2296,I2296)=1,1,0)</f>
        <v>1</v>
      </c>
      <c r="M2296" s="3" t="n">
        <f aca="false">IF(K2296&gt;=Parametri!$B$1,1,0)</f>
        <v>0</v>
      </c>
      <c r="N2296" s="3" t="n">
        <f aca="false">L2296*M2296</f>
        <v>0</v>
      </c>
    </row>
    <row r="2297" customFormat="false" ht="15" hidden="false" customHeight="false" outlineLevel="0" collapsed="false">
      <c r="A2297" s="0" t="s">
        <v>3646</v>
      </c>
      <c r="B2297" s="0" t="s">
        <v>79</v>
      </c>
      <c r="C2297" s="0" t="s">
        <v>358</v>
      </c>
      <c r="D2297" s="0" t="s">
        <v>19</v>
      </c>
      <c r="E2297" s="2" t="n">
        <v>45474</v>
      </c>
      <c r="F2297" s="3" t="s">
        <v>27</v>
      </c>
      <c r="G2297" s="3" t="s">
        <v>72</v>
      </c>
      <c r="H2297" s="3" t="s">
        <v>29</v>
      </c>
      <c r="I2297" s="3" t="n">
        <f aca="false">YEAR(E2297)</f>
        <v>2024</v>
      </c>
      <c r="J2297" s="3" t="n">
        <f aca="false">MONTH(E2297)</f>
        <v>7</v>
      </c>
      <c r="K2297" s="3" t="n">
        <f aca="false">COUNTIFS($B$2:$B$4077,B2297,$C$2:$C$4077,C2297,$I$2:$I$4077,I2297)</f>
        <v>2</v>
      </c>
      <c r="L2297" s="3" t="n">
        <f aca="false">IF(COUNTIFS($B$2:B2297,B2297,$C$2:C2297,C2297,$I$2:I2297,I2297)=1,1,0)</f>
        <v>1</v>
      </c>
      <c r="M2297" s="3" t="n">
        <f aca="false">IF(K2297&gt;=Parametri!$B$1,1,0)</f>
        <v>1</v>
      </c>
      <c r="N2297" s="3" t="n">
        <f aca="false">L2297*M2297</f>
        <v>1</v>
      </c>
    </row>
    <row r="2298" customFormat="false" ht="15" hidden="false" customHeight="false" outlineLevel="0" collapsed="false">
      <c r="A2298" s="0" t="s">
        <v>3647</v>
      </c>
      <c r="B2298" s="0" t="s">
        <v>17</v>
      </c>
      <c r="C2298" s="0" t="s">
        <v>753</v>
      </c>
      <c r="D2298" s="0" t="s">
        <v>26</v>
      </c>
      <c r="E2298" s="2" t="n">
        <v>45379</v>
      </c>
      <c r="F2298" s="3" t="s">
        <v>20</v>
      </c>
      <c r="G2298" s="3" t="s">
        <v>39</v>
      </c>
      <c r="H2298" s="3" t="s">
        <v>22</v>
      </c>
      <c r="I2298" s="3" t="n">
        <f aca="false">YEAR(E2298)</f>
        <v>2024</v>
      </c>
      <c r="J2298" s="3" t="n">
        <f aca="false">MONTH(E2298)</f>
        <v>3</v>
      </c>
      <c r="K2298" s="3" t="n">
        <f aca="false">COUNTIFS($B$2:$B$4077,B2298,$C$2:$C$4077,C2298,$I$2:$I$4077,I2298)</f>
        <v>2</v>
      </c>
      <c r="L2298" s="3" t="n">
        <f aca="false">IF(COUNTIFS($B$2:B2298,B2298,$C$2:C2298,C2298,$I$2:I2298,I2298)=1,1,0)</f>
        <v>0</v>
      </c>
      <c r="M2298" s="3" t="n">
        <f aca="false">IF(K2298&gt;=Parametri!$B$1,1,0)</f>
        <v>1</v>
      </c>
      <c r="N2298" s="3" t="n">
        <f aca="false">L2298*M2298</f>
        <v>0</v>
      </c>
    </row>
    <row r="2299" customFormat="false" ht="15" hidden="false" customHeight="false" outlineLevel="0" collapsed="false">
      <c r="A2299" s="0" t="s">
        <v>3648</v>
      </c>
      <c r="B2299" s="0" t="s">
        <v>50</v>
      </c>
      <c r="C2299" s="0" t="s">
        <v>954</v>
      </c>
      <c r="D2299" s="0" t="s">
        <v>33</v>
      </c>
      <c r="E2299" s="2" t="n">
        <v>45759</v>
      </c>
      <c r="F2299" s="3" t="s">
        <v>20</v>
      </c>
      <c r="G2299" s="3" t="s">
        <v>21</v>
      </c>
      <c r="H2299" s="3" t="s">
        <v>48</v>
      </c>
      <c r="I2299" s="3" t="n">
        <f aca="false">YEAR(E2299)</f>
        <v>2025</v>
      </c>
      <c r="J2299" s="3" t="n">
        <f aca="false">MONTH(E2299)</f>
        <v>4</v>
      </c>
      <c r="K2299" s="3" t="n">
        <f aca="false">COUNTIFS($B$2:$B$4077,B2299,$C$2:$C$4077,C2299,$I$2:$I$4077,I2299)</f>
        <v>2</v>
      </c>
      <c r="L2299" s="3" t="n">
        <f aca="false">IF(COUNTIFS($B$2:B2299,B2299,$C$2:C2299,C2299,$I$2:I2299,I2299)=1,1,0)</f>
        <v>1</v>
      </c>
      <c r="M2299" s="3" t="n">
        <f aca="false">IF(K2299&gt;=Parametri!$B$1,1,0)</f>
        <v>1</v>
      </c>
      <c r="N2299" s="3" t="n">
        <f aca="false">L2299*M2299</f>
        <v>1</v>
      </c>
    </row>
    <row r="2300" customFormat="false" ht="15" hidden="false" customHeight="false" outlineLevel="0" collapsed="false">
      <c r="A2300" s="0" t="s">
        <v>3649</v>
      </c>
      <c r="B2300" s="0" t="s">
        <v>41</v>
      </c>
      <c r="C2300" s="0" t="s">
        <v>1162</v>
      </c>
      <c r="D2300" s="0" t="s">
        <v>33</v>
      </c>
      <c r="E2300" s="2" t="n">
        <v>45828</v>
      </c>
      <c r="F2300" s="3" t="s">
        <v>34</v>
      </c>
      <c r="G2300" s="3" t="s">
        <v>21</v>
      </c>
      <c r="H2300" s="3" t="s">
        <v>48</v>
      </c>
      <c r="I2300" s="3" t="n">
        <f aca="false">YEAR(E2300)</f>
        <v>2025</v>
      </c>
      <c r="J2300" s="3" t="n">
        <f aca="false">MONTH(E2300)</f>
        <v>6</v>
      </c>
      <c r="K2300" s="3" t="n">
        <f aca="false">COUNTIFS($B$2:$B$4077,B2300,$C$2:$C$4077,C2300,$I$2:$I$4077,I2300)</f>
        <v>3</v>
      </c>
      <c r="L2300" s="3" t="n">
        <f aca="false">IF(COUNTIFS($B$2:B2300,B2300,$C$2:C2300,C2300,$I$2:I2300,I2300)=1,1,0)</f>
        <v>0</v>
      </c>
      <c r="M2300" s="3" t="n">
        <f aca="false">IF(K2300&gt;=Parametri!$B$1,1,0)</f>
        <v>1</v>
      </c>
      <c r="N2300" s="3" t="n">
        <f aca="false">L2300*M2300</f>
        <v>0</v>
      </c>
    </row>
    <row r="2301" customFormat="false" ht="15" hidden="false" customHeight="false" outlineLevel="0" collapsed="false">
      <c r="A2301" s="0" t="s">
        <v>3650</v>
      </c>
      <c r="B2301" s="0" t="s">
        <v>17</v>
      </c>
      <c r="C2301" s="0" t="s">
        <v>3651</v>
      </c>
      <c r="D2301" s="0" t="s">
        <v>54</v>
      </c>
      <c r="E2301" s="2" t="n">
        <v>45848</v>
      </c>
      <c r="F2301" s="3" t="s">
        <v>20</v>
      </c>
      <c r="G2301" s="3" t="s">
        <v>43</v>
      </c>
      <c r="H2301" s="3" t="s">
        <v>48</v>
      </c>
      <c r="I2301" s="3" t="n">
        <f aca="false">YEAR(E2301)</f>
        <v>2025</v>
      </c>
      <c r="J2301" s="3" t="n">
        <f aca="false">MONTH(E2301)</f>
        <v>7</v>
      </c>
      <c r="K2301" s="3" t="n">
        <f aca="false">COUNTIFS($B$2:$B$4077,B2301,$C$2:$C$4077,C2301,$I$2:$I$4077,I2301)</f>
        <v>1</v>
      </c>
      <c r="L2301" s="3" t="n">
        <f aca="false">IF(COUNTIFS($B$2:B2301,B2301,$C$2:C2301,C2301,$I$2:I2301,I2301)=1,1,0)</f>
        <v>1</v>
      </c>
      <c r="M2301" s="3" t="n">
        <f aca="false">IF(K2301&gt;=Parametri!$B$1,1,0)</f>
        <v>0</v>
      </c>
      <c r="N2301" s="3" t="n">
        <f aca="false">L2301*M2301</f>
        <v>0</v>
      </c>
    </row>
    <row r="2302" customFormat="false" ht="15" hidden="false" customHeight="false" outlineLevel="0" collapsed="false">
      <c r="A2302" s="0" t="s">
        <v>3652</v>
      </c>
      <c r="B2302" s="0" t="s">
        <v>17</v>
      </c>
      <c r="C2302" s="0" t="s">
        <v>3653</v>
      </c>
      <c r="D2302" s="0" t="s">
        <v>66</v>
      </c>
      <c r="E2302" s="2" t="n">
        <v>45554</v>
      </c>
      <c r="F2302" s="3" t="s">
        <v>20</v>
      </c>
      <c r="G2302" s="3" t="s">
        <v>55</v>
      </c>
      <c r="H2302" s="3" t="s">
        <v>48</v>
      </c>
      <c r="I2302" s="3" t="n">
        <f aca="false">YEAR(E2302)</f>
        <v>2024</v>
      </c>
      <c r="J2302" s="3" t="n">
        <f aca="false">MONTH(E2302)</f>
        <v>9</v>
      </c>
      <c r="K2302" s="3" t="n">
        <f aca="false">COUNTIFS($B$2:$B$4077,B2302,$C$2:$C$4077,C2302,$I$2:$I$4077,I2302)</f>
        <v>1</v>
      </c>
      <c r="L2302" s="3" t="n">
        <f aca="false">IF(COUNTIFS($B$2:B2302,B2302,$C$2:C2302,C2302,$I$2:I2302,I2302)=1,1,0)</f>
        <v>1</v>
      </c>
      <c r="M2302" s="3" t="n">
        <f aca="false">IF(K2302&gt;=Parametri!$B$1,1,0)</f>
        <v>0</v>
      </c>
      <c r="N2302" s="3" t="n">
        <f aca="false">L2302*M2302</f>
        <v>0</v>
      </c>
    </row>
    <row r="2303" customFormat="false" ht="15" hidden="false" customHeight="false" outlineLevel="0" collapsed="false">
      <c r="A2303" s="0" t="s">
        <v>3654</v>
      </c>
      <c r="B2303" s="0" t="s">
        <v>57</v>
      </c>
      <c r="C2303" s="0" t="s">
        <v>1267</v>
      </c>
      <c r="D2303" s="0" t="s">
        <v>63</v>
      </c>
      <c r="E2303" s="2" t="n">
        <v>46027</v>
      </c>
      <c r="F2303" s="3" t="s">
        <v>34</v>
      </c>
      <c r="G2303" s="3" t="s">
        <v>72</v>
      </c>
      <c r="H2303" s="3" t="s">
        <v>44</v>
      </c>
      <c r="I2303" s="3" t="n">
        <f aca="false">YEAR(E2303)</f>
        <v>2026</v>
      </c>
      <c r="J2303" s="3" t="n">
        <f aca="false">MONTH(E2303)</f>
        <v>1</v>
      </c>
      <c r="K2303" s="3" t="n">
        <f aca="false">COUNTIFS($B$2:$B$4077,B2303,$C$2:$C$4077,C2303,$I$2:$I$4077,I2303)</f>
        <v>1</v>
      </c>
      <c r="L2303" s="3" t="n">
        <f aca="false">IF(COUNTIFS($B$2:B2303,B2303,$C$2:C2303,C2303,$I$2:I2303,I2303)=1,1,0)</f>
        <v>1</v>
      </c>
      <c r="M2303" s="3" t="n">
        <f aca="false">IF(K2303&gt;=Parametri!$B$1,1,0)</f>
        <v>0</v>
      </c>
      <c r="N2303" s="3" t="n">
        <f aca="false">L2303*M2303</f>
        <v>0</v>
      </c>
    </row>
    <row r="2304" customFormat="false" ht="15" hidden="false" customHeight="false" outlineLevel="0" collapsed="false">
      <c r="A2304" s="0" t="s">
        <v>3655</v>
      </c>
      <c r="B2304" s="0" t="s">
        <v>17</v>
      </c>
      <c r="C2304" s="0" t="s">
        <v>458</v>
      </c>
      <c r="D2304" s="0" t="s">
        <v>66</v>
      </c>
      <c r="E2304" s="2" t="n">
        <v>45365</v>
      </c>
      <c r="F2304" s="3" t="s">
        <v>20</v>
      </c>
      <c r="G2304" s="3" t="s">
        <v>89</v>
      </c>
      <c r="H2304" s="3" t="s">
        <v>29</v>
      </c>
      <c r="I2304" s="3" t="n">
        <f aca="false">YEAR(E2304)</f>
        <v>2024</v>
      </c>
      <c r="J2304" s="3" t="n">
        <f aca="false">MONTH(E2304)</f>
        <v>3</v>
      </c>
      <c r="K2304" s="3" t="n">
        <f aca="false">COUNTIFS($B$2:$B$4077,B2304,$C$2:$C$4077,C2304,$I$2:$I$4077,I2304)</f>
        <v>2</v>
      </c>
      <c r="L2304" s="3" t="n">
        <f aca="false">IF(COUNTIFS($B$2:B2304,B2304,$C$2:C2304,C2304,$I$2:I2304,I2304)=1,1,0)</f>
        <v>1</v>
      </c>
      <c r="M2304" s="3" t="n">
        <f aca="false">IF(K2304&gt;=Parametri!$B$1,1,0)</f>
        <v>1</v>
      </c>
      <c r="N2304" s="3" t="n">
        <f aca="false">L2304*M2304</f>
        <v>1</v>
      </c>
    </row>
    <row r="2305" customFormat="false" ht="15" hidden="false" customHeight="false" outlineLevel="0" collapsed="false">
      <c r="A2305" s="0" t="s">
        <v>3656</v>
      </c>
      <c r="B2305" s="0" t="s">
        <v>50</v>
      </c>
      <c r="C2305" s="0" t="s">
        <v>1218</v>
      </c>
      <c r="D2305" s="0" t="s">
        <v>38</v>
      </c>
      <c r="E2305" s="2" t="n">
        <v>45711</v>
      </c>
      <c r="F2305" s="3" t="s">
        <v>27</v>
      </c>
      <c r="G2305" s="3" t="s">
        <v>28</v>
      </c>
      <c r="H2305" s="3" t="s">
        <v>22</v>
      </c>
      <c r="I2305" s="3" t="n">
        <f aca="false">YEAR(E2305)</f>
        <v>2025</v>
      </c>
      <c r="J2305" s="3" t="n">
        <f aca="false">MONTH(E2305)</f>
        <v>2</v>
      </c>
      <c r="K2305" s="3" t="n">
        <f aca="false">COUNTIFS($B$2:$B$4077,B2305,$C$2:$C$4077,C2305,$I$2:$I$4077,I2305)</f>
        <v>4</v>
      </c>
      <c r="L2305" s="3" t="n">
        <f aca="false">IF(COUNTIFS($B$2:B2305,B2305,$C$2:C2305,C2305,$I$2:I2305,I2305)=1,1,0)</f>
        <v>0</v>
      </c>
      <c r="M2305" s="3" t="n">
        <f aca="false">IF(K2305&gt;=Parametri!$B$1,1,0)</f>
        <v>1</v>
      </c>
      <c r="N2305" s="3" t="n">
        <f aca="false">L2305*M2305</f>
        <v>0</v>
      </c>
    </row>
    <row r="2306" customFormat="false" ht="15" hidden="false" customHeight="false" outlineLevel="0" collapsed="false">
      <c r="A2306" s="0" t="s">
        <v>3657</v>
      </c>
      <c r="B2306" s="0" t="s">
        <v>79</v>
      </c>
      <c r="C2306" s="0" t="s">
        <v>736</v>
      </c>
      <c r="D2306" s="0" t="s">
        <v>33</v>
      </c>
      <c r="E2306" s="2" t="n">
        <v>46042</v>
      </c>
      <c r="F2306" s="3" t="s">
        <v>27</v>
      </c>
      <c r="G2306" s="3" t="s">
        <v>35</v>
      </c>
      <c r="H2306" s="3" t="s">
        <v>44</v>
      </c>
      <c r="I2306" s="3" t="n">
        <f aca="false">YEAR(E2306)</f>
        <v>2026</v>
      </c>
      <c r="J2306" s="3" t="n">
        <f aca="false">MONTH(E2306)</f>
        <v>1</v>
      </c>
      <c r="K2306" s="3" t="n">
        <f aca="false">COUNTIFS($B$2:$B$4077,B2306,$C$2:$C$4077,C2306,$I$2:$I$4077,I2306)</f>
        <v>1</v>
      </c>
      <c r="L2306" s="3" t="n">
        <f aca="false">IF(COUNTIFS($B$2:B2306,B2306,$C$2:C2306,C2306,$I$2:I2306,I2306)=1,1,0)</f>
        <v>1</v>
      </c>
      <c r="M2306" s="3" t="n">
        <f aca="false">IF(K2306&gt;=Parametri!$B$1,1,0)</f>
        <v>0</v>
      </c>
      <c r="N2306" s="3" t="n">
        <f aca="false">L2306*M2306</f>
        <v>0</v>
      </c>
    </row>
    <row r="2307" customFormat="false" ht="15" hidden="false" customHeight="false" outlineLevel="0" collapsed="false">
      <c r="A2307" s="0" t="s">
        <v>3658</v>
      </c>
      <c r="B2307" s="0" t="s">
        <v>41</v>
      </c>
      <c r="C2307" s="0" t="s">
        <v>3659</v>
      </c>
      <c r="D2307" s="0" t="s">
        <v>63</v>
      </c>
      <c r="E2307" s="2" t="n">
        <v>46092</v>
      </c>
      <c r="F2307" s="3" t="s">
        <v>104</v>
      </c>
      <c r="G2307" s="3" t="s">
        <v>104</v>
      </c>
      <c r="H2307" s="3" t="s">
        <v>104</v>
      </c>
      <c r="I2307" s="3" t="n">
        <f aca="false">YEAR(E2307)</f>
        <v>2026</v>
      </c>
      <c r="J2307" s="3" t="n">
        <f aca="false">MONTH(E2307)</f>
        <v>3</v>
      </c>
      <c r="K2307" s="3" t="n">
        <f aca="false">COUNTIFS($B$2:$B$4077,B2307,$C$2:$C$4077,C2307,$I$2:$I$4077,I2307)</f>
        <v>2</v>
      </c>
      <c r="L2307" s="3" t="n">
        <f aca="false">IF(COUNTIFS($B$2:B2307,B2307,$C$2:C2307,C2307,$I$2:I2307,I2307)=1,1,0)</f>
        <v>1</v>
      </c>
      <c r="M2307" s="3" t="n">
        <f aca="false">IF(K2307&gt;=Parametri!$B$1,1,0)</f>
        <v>1</v>
      </c>
      <c r="N2307" s="3" t="n">
        <f aca="false">L2307*M2307</f>
        <v>1</v>
      </c>
    </row>
    <row r="2308" customFormat="false" ht="15" hidden="false" customHeight="false" outlineLevel="0" collapsed="false">
      <c r="A2308" s="0" t="s">
        <v>3660</v>
      </c>
      <c r="B2308" s="0" t="s">
        <v>50</v>
      </c>
      <c r="C2308" s="0" t="s">
        <v>3661</v>
      </c>
      <c r="D2308" s="0" t="s">
        <v>77</v>
      </c>
      <c r="E2308" s="2" t="n">
        <v>46252</v>
      </c>
      <c r="F2308" s="3" t="s">
        <v>20</v>
      </c>
      <c r="G2308" s="3" t="s">
        <v>39</v>
      </c>
      <c r="H2308" s="3" t="s">
        <v>48</v>
      </c>
      <c r="I2308" s="3" t="n">
        <f aca="false">YEAR(E2308)</f>
        <v>2026</v>
      </c>
      <c r="J2308" s="3" t="n">
        <f aca="false">MONTH(E2308)</f>
        <v>8</v>
      </c>
      <c r="K2308" s="3" t="n">
        <f aca="false">COUNTIFS($B$2:$B$4077,B2308,$C$2:$C$4077,C2308,$I$2:$I$4077,I2308)</f>
        <v>1</v>
      </c>
      <c r="L2308" s="3" t="n">
        <f aca="false">IF(COUNTIFS($B$2:B2308,B2308,$C$2:C2308,C2308,$I$2:I2308,I2308)=1,1,0)</f>
        <v>1</v>
      </c>
      <c r="M2308" s="3" t="n">
        <f aca="false">IF(K2308&gt;=Parametri!$B$1,1,0)</f>
        <v>0</v>
      </c>
      <c r="N2308" s="3" t="n">
        <f aca="false">L2308*M2308</f>
        <v>0</v>
      </c>
    </row>
    <row r="2309" customFormat="false" ht="15" hidden="false" customHeight="false" outlineLevel="0" collapsed="false">
      <c r="A2309" s="0" t="s">
        <v>3662</v>
      </c>
      <c r="B2309" s="0" t="s">
        <v>68</v>
      </c>
      <c r="C2309" s="0" t="s">
        <v>3663</v>
      </c>
      <c r="D2309" s="0" t="s">
        <v>77</v>
      </c>
      <c r="E2309" s="2" t="n">
        <v>45556</v>
      </c>
      <c r="F2309" s="3" t="s">
        <v>34</v>
      </c>
      <c r="G2309" s="3" t="s">
        <v>55</v>
      </c>
      <c r="H2309" s="3" t="s">
        <v>29</v>
      </c>
      <c r="I2309" s="3" t="n">
        <f aca="false">YEAR(E2309)</f>
        <v>2024</v>
      </c>
      <c r="J2309" s="3" t="n">
        <f aca="false">MONTH(E2309)</f>
        <v>9</v>
      </c>
      <c r="K2309" s="3" t="n">
        <f aca="false">COUNTIFS($B$2:$B$4077,B2309,$C$2:$C$4077,C2309,$I$2:$I$4077,I2309)</f>
        <v>1</v>
      </c>
      <c r="L2309" s="3" t="n">
        <f aca="false">IF(COUNTIFS($B$2:B2309,B2309,$C$2:C2309,C2309,$I$2:I2309,I2309)=1,1,0)</f>
        <v>1</v>
      </c>
      <c r="M2309" s="3" t="n">
        <f aca="false">IF(K2309&gt;=Parametri!$B$1,1,0)</f>
        <v>0</v>
      </c>
      <c r="N2309" s="3" t="n">
        <f aca="false">L2309*M2309</f>
        <v>0</v>
      </c>
    </row>
    <row r="2310" customFormat="false" ht="15" hidden="false" customHeight="false" outlineLevel="0" collapsed="false">
      <c r="A2310" s="0" t="s">
        <v>3664</v>
      </c>
      <c r="B2310" s="0" t="s">
        <v>50</v>
      </c>
      <c r="C2310" s="0" t="s">
        <v>804</v>
      </c>
      <c r="D2310" s="0" t="s">
        <v>38</v>
      </c>
      <c r="E2310" s="2" t="n">
        <v>45907</v>
      </c>
      <c r="F2310" s="3" t="s">
        <v>34</v>
      </c>
      <c r="G2310" s="3" t="s">
        <v>55</v>
      </c>
      <c r="H2310" s="3" t="s">
        <v>29</v>
      </c>
      <c r="I2310" s="3" t="n">
        <f aca="false">YEAR(E2310)</f>
        <v>2025</v>
      </c>
      <c r="J2310" s="3" t="n">
        <f aca="false">MONTH(E2310)</f>
        <v>9</v>
      </c>
      <c r="K2310" s="3" t="n">
        <f aca="false">COUNTIFS($B$2:$B$4077,B2310,$C$2:$C$4077,C2310,$I$2:$I$4077,I2310)</f>
        <v>1</v>
      </c>
      <c r="L2310" s="3" t="n">
        <f aca="false">IF(COUNTIFS($B$2:B2310,B2310,$C$2:C2310,C2310,$I$2:I2310,I2310)=1,1,0)</f>
        <v>1</v>
      </c>
      <c r="M2310" s="3" t="n">
        <f aca="false">IF(K2310&gt;=Parametri!$B$1,1,0)</f>
        <v>0</v>
      </c>
      <c r="N2310" s="3" t="n">
        <f aca="false">L2310*M2310</f>
        <v>0</v>
      </c>
    </row>
    <row r="2311" customFormat="false" ht="15" hidden="false" customHeight="false" outlineLevel="0" collapsed="false">
      <c r="A2311" s="0" t="s">
        <v>3665</v>
      </c>
      <c r="B2311" s="0" t="s">
        <v>68</v>
      </c>
      <c r="C2311" s="0" t="s">
        <v>2182</v>
      </c>
      <c r="D2311" s="0" t="s">
        <v>63</v>
      </c>
      <c r="E2311" s="2" t="n">
        <v>45792</v>
      </c>
      <c r="F2311" s="3" t="s">
        <v>27</v>
      </c>
      <c r="G2311" s="3" t="s">
        <v>72</v>
      </c>
      <c r="H2311" s="3" t="s">
        <v>48</v>
      </c>
      <c r="I2311" s="3" t="n">
        <f aca="false">YEAR(E2311)</f>
        <v>2025</v>
      </c>
      <c r="J2311" s="3" t="n">
        <f aca="false">MONTH(E2311)</f>
        <v>5</v>
      </c>
      <c r="K2311" s="3" t="n">
        <f aca="false">COUNTIFS($B$2:$B$4077,B2311,$C$2:$C$4077,C2311,$I$2:$I$4077,I2311)</f>
        <v>1</v>
      </c>
      <c r="L2311" s="3" t="n">
        <f aca="false">IF(COUNTIFS($B$2:B2311,B2311,$C$2:C2311,C2311,$I$2:I2311,I2311)=1,1,0)</f>
        <v>1</v>
      </c>
      <c r="M2311" s="3" t="n">
        <f aca="false">IF(K2311&gt;=Parametri!$B$1,1,0)</f>
        <v>0</v>
      </c>
      <c r="N2311" s="3" t="n">
        <f aca="false">L2311*M2311</f>
        <v>0</v>
      </c>
    </row>
    <row r="2312" customFormat="false" ht="15" hidden="false" customHeight="false" outlineLevel="0" collapsed="false">
      <c r="A2312" s="0" t="s">
        <v>3666</v>
      </c>
      <c r="B2312" s="0" t="s">
        <v>124</v>
      </c>
      <c r="C2312" s="0" t="s">
        <v>2467</v>
      </c>
      <c r="D2312" s="0" t="s">
        <v>54</v>
      </c>
      <c r="E2312" s="2" t="n">
        <v>45420</v>
      </c>
      <c r="F2312" s="3" t="s">
        <v>20</v>
      </c>
      <c r="G2312" s="3" t="s">
        <v>43</v>
      </c>
      <c r="H2312" s="3" t="s">
        <v>44</v>
      </c>
      <c r="I2312" s="3" t="n">
        <f aca="false">YEAR(E2312)</f>
        <v>2024</v>
      </c>
      <c r="J2312" s="3" t="n">
        <f aca="false">MONTH(E2312)</f>
        <v>5</v>
      </c>
      <c r="K2312" s="3" t="n">
        <f aca="false">COUNTIFS($B$2:$B$4077,B2312,$C$2:$C$4077,C2312,$I$2:$I$4077,I2312)</f>
        <v>2</v>
      </c>
      <c r="L2312" s="3" t="n">
        <f aca="false">IF(COUNTIFS($B$2:B2312,B2312,$C$2:C2312,C2312,$I$2:I2312,I2312)=1,1,0)</f>
        <v>1</v>
      </c>
      <c r="M2312" s="3" t="n">
        <f aca="false">IF(K2312&gt;=Parametri!$B$1,1,0)</f>
        <v>1</v>
      </c>
      <c r="N2312" s="3" t="n">
        <f aca="false">L2312*M2312</f>
        <v>1</v>
      </c>
    </row>
    <row r="2313" customFormat="false" ht="15" hidden="false" customHeight="false" outlineLevel="0" collapsed="false">
      <c r="A2313" s="0" t="s">
        <v>3667</v>
      </c>
      <c r="B2313" s="0" t="s">
        <v>50</v>
      </c>
      <c r="C2313" s="0" t="s">
        <v>241</v>
      </c>
      <c r="D2313" s="0" t="s">
        <v>63</v>
      </c>
      <c r="E2313" s="2" t="n">
        <v>46156</v>
      </c>
      <c r="F2313" s="3" t="s">
        <v>20</v>
      </c>
      <c r="G2313" s="3" t="s">
        <v>28</v>
      </c>
      <c r="H2313" s="3" t="s">
        <v>29</v>
      </c>
      <c r="I2313" s="3" t="n">
        <f aca="false">YEAR(E2313)</f>
        <v>2026</v>
      </c>
      <c r="J2313" s="3" t="n">
        <f aca="false">MONTH(E2313)</f>
        <v>5</v>
      </c>
      <c r="K2313" s="3" t="n">
        <f aca="false">COUNTIFS($B$2:$B$4077,B2313,$C$2:$C$4077,C2313,$I$2:$I$4077,I2313)</f>
        <v>1</v>
      </c>
      <c r="L2313" s="3" t="n">
        <f aca="false">IF(COUNTIFS($B$2:B2313,B2313,$C$2:C2313,C2313,$I$2:I2313,I2313)=1,1,0)</f>
        <v>1</v>
      </c>
      <c r="M2313" s="3" t="n">
        <f aca="false">IF(K2313&gt;=Parametri!$B$1,1,0)</f>
        <v>0</v>
      </c>
      <c r="N2313" s="3" t="n">
        <f aca="false">L2313*M2313</f>
        <v>0</v>
      </c>
    </row>
    <row r="2314" customFormat="false" ht="15" hidden="false" customHeight="false" outlineLevel="0" collapsed="false">
      <c r="A2314" s="0" t="s">
        <v>3668</v>
      </c>
      <c r="B2314" s="0" t="s">
        <v>79</v>
      </c>
      <c r="C2314" s="0" t="s">
        <v>497</v>
      </c>
      <c r="D2314" s="0" t="s">
        <v>19</v>
      </c>
      <c r="E2314" s="2" t="n">
        <v>46183</v>
      </c>
      <c r="F2314" s="3" t="s">
        <v>27</v>
      </c>
      <c r="G2314" s="3" t="s">
        <v>35</v>
      </c>
      <c r="H2314" s="3" t="s">
        <v>22</v>
      </c>
      <c r="I2314" s="3" t="n">
        <f aca="false">YEAR(E2314)</f>
        <v>2026</v>
      </c>
      <c r="J2314" s="3" t="n">
        <f aca="false">MONTH(E2314)</f>
        <v>6</v>
      </c>
      <c r="K2314" s="3" t="n">
        <f aca="false">COUNTIFS($B$2:$B$4077,B2314,$C$2:$C$4077,C2314,$I$2:$I$4077,I2314)</f>
        <v>1</v>
      </c>
      <c r="L2314" s="3" t="n">
        <f aca="false">IF(COUNTIFS($B$2:B2314,B2314,$C$2:C2314,C2314,$I$2:I2314,I2314)=1,1,0)</f>
        <v>1</v>
      </c>
      <c r="M2314" s="3" t="n">
        <f aca="false">IF(K2314&gt;=Parametri!$B$1,1,0)</f>
        <v>0</v>
      </c>
      <c r="N2314" s="3" t="n">
        <f aca="false">L2314*M2314</f>
        <v>0</v>
      </c>
    </row>
    <row r="2315" customFormat="false" ht="15" hidden="false" customHeight="false" outlineLevel="0" collapsed="false">
      <c r="A2315" s="0" t="s">
        <v>3669</v>
      </c>
      <c r="B2315" s="0" t="s">
        <v>31</v>
      </c>
      <c r="C2315" s="0" t="s">
        <v>3670</v>
      </c>
      <c r="D2315" s="0" t="s">
        <v>19</v>
      </c>
      <c r="E2315" s="2" t="n">
        <v>45565</v>
      </c>
      <c r="F2315" s="3" t="s">
        <v>20</v>
      </c>
      <c r="G2315" s="3" t="s">
        <v>43</v>
      </c>
      <c r="H2315" s="3" t="s">
        <v>48</v>
      </c>
      <c r="I2315" s="3" t="n">
        <f aca="false">YEAR(E2315)</f>
        <v>2024</v>
      </c>
      <c r="J2315" s="3" t="n">
        <f aca="false">MONTH(E2315)</f>
        <v>9</v>
      </c>
      <c r="K2315" s="3" t="n">
        <f aca="false">COUNTIFS($B$2:$B$4077,B2315,$C$2:$C$4077,C2315,$I$2:$I$4077,I2315)</f>
        <v>1</v>
      </c>
      <c r="L2315" s="3" t="n">
        <f aca="false">IF(COUNTIFS($B$2:B2315,B2315,$C$2:C2315,C2315,$I$2:I2315,I2315)=1,1,0)</f>
        <v>1</v>
      </c>
      <c r="M2315" s="3" t="n">
        <f aca="false">IF(K2315&gt;=Parametri!$B$1,1,0)</f>
        <v>0</v>
      </c>
      <c r="N2315" s="3" t="n">
        <f aca="false">L2315*M2315</f>
        <v>0</v>
      </c>
    </row>
    <row r="2316" customFormat="false" ht="15" hidden="false" customHeight="false" outlineLevel="0" collapsed="false">
      <c r="A2316" s="0" t="s">
        <v>3671</v>
      </c>
      <c r="B2316" s="0" t="s">
        <v>79</v>
      </c>
      <c r="C2316" s="0" t="s">
        <v>909</v>
      </c>
      <c r="D2316" s="0" t="s">
        <v>38</v>
      </c>
      <c r="E2316" s="2" t="n">
        <v>46040</v>
      </c>
      <c r="F2316" s="3" t="s">
        <v>27</v>
      </c>
      <c r="G2316" s="3" t="s">
        <v>35</v>
      </c>
      <c r="H2316" s="3" t="s">
        <v>48</v>
      </c>
      <c r="I2316" s="3" t="n">
        <f aca="false">YEAR(E2316)</f>
        <v>2026</v>
      </c>
      <c r="J2316" s="3" t="n">
        <f aca="false">MONTH(E2316)</f>
        <v>1</v>
      </c>
      <c r="K2316" s="3" t="n">
        <f aca="false">COUNTIFS($B$2:$B$4077,B2316,$C$2:$C$4077,C2316,$I$2:$I$4077,I2316)</f>
        <v>6</v>
      </c>
      <c r="L2316" s="3" t="n">
        <f aca="false">IF(COUNTIFS($B$2:B2316,B2316,$C$2:C2316,C2316,$I$2:I2316,I2316)=1,1,0)</f>
        <v>0</v>
      </c>
      <c r="M2316" s="3" t="n">
        <f aca="false">IF(K2316&gt;=Parametri!$B$1,1,0)</f>
        <v>1</v>
      </c>
      <c r="N2316" s="3" t="n">
        <f aca="false">L2316*M2316</f>
        <v>0</v>
      </c>
    </row>
    <row r="2317" customFormat="false" ht="15" hidden="false" customHeight="false" outlineLevel="0" collapsed="false">
      <c r="A2317" s="0" t="s">
        <v>3672</v>
      </c>
      <c r="B2317" s="0" t="s">
        <v>68</v>
      </c>
      <c r="C2317" s="0" t="s">
        <v>3673</v>
      </c>
      <c r="D2317" s="0" t="s">
        <v>63</v>
      </c>
      <c r="E2317" s="2" t="n">
        <v>45957</v>
      </c>
      <c r="F2317" s="3" t="s">
        <v>20</v>
      </c>
      <c r="G2317" s="3" t="s">
        <v>21</v>
      </c>
      <c r="H2317" s="3" t="s">
        <v>29</v>
      </c>
      <c r="I2317" s="3" t="n">
        <f aca="false">YEAR(E2317)</f>
        <v>2025</v>
      </c>
      <c r="J2317" s="3" t="n">
        <f aca="false">MONTH(E2317)</f>
        <v>10</v>
      </c>
      <c r="K2317" s="3" t="n">
        <f aca="false">COUNTIFS($B$2:$B$4077,B2317,$C$2:$C$4077,C2317,$I$2:$I$4077,I2317)</f>
        <v>1</v>
      </c>
      <c r="L2317" s="3" t="n">
        <f aca="false">IF(COUNTIFS($B$2:B2317,B2317,$C$2:C2317,C2317,$I$2:I2317,I2317)=1,1,0)</f>
        <v>1</v>
      </c>
      <c r="M2317" s="3" t="n">
        <f aca="false">IF(K2317&gt;=Parametri!$B$1,1,0)</f>
        <v>0</v>
      </c>
      <c r="N2317" s="3" t="n">
        <f aca="false">L2317*M2317</f>
        <v>0</v>
      </c>
    </row>
    <row r="2318" customFormat="false" ht="15" hidden="false" customHeight="false" outlineLevel="0" collapsed="false">
      <c r="A2318" s="0" t="s">
        <v>3674</v>
      </c>
      <c r="B2318" s="0" t="s">
        <v>68</v>
      </c>
      <c r="C2318" s="0" t="s">
        <v>2366</v>
      </c>
      <c r="D2318" s="0" t="s">
        <v>63</v>
      </c>
      <c r="E2318" s="2" t="n">
        <v>45413</v>
      </c>
      <c r="F2318" s="3" t="s">
        <v>27</v>
      </c>
      <c r="G2318" s="3" t="s">
        <v>28</v>
      </c>
      <c r="H2318" s="3" t="s">
        <v>44</v>
      </c>
      <c r="I2318" s="3" t="n">
        <f aca="false">YEAR(E2318)</f>
        <v>2024</v>
      </c>
      <c r="J2318" s="3" t="n">
        <f aca="false">MONTH(E2318)</f>
        <v>5</v>
      </c>
      <c r="K2318" s="3" t="n">
        <f aca="false">COUNTIFS($B$2:$B$4077,B2318,$C$2:$C$4077,C2318,$I$2:$I$4077,I2318)</f>
        <v>4</v>
      </c>
      <c r="L2318" s="3" t="n">
        <f aca="false">IF(COUNTIFS($B$2:B2318,B2318,$C$2:C2318,C2318,$I$2:I2318,I2318)=1,1,0)</f>
        <v>0</v>
      </c>
      <c r="M2318" s="3" t="n">
        <f aca="false">IF(K2318&gt;=Parametri!$B$1,1,0)</f>
        <v>1</v>
      </c>
      <c r="N2318" s="3" t="n">
        <f aca="false">L2318*M2318</f>
        <v>0</v>
      </c>
    </row>
    <row r="2319" customFormat="false" ht="15" hidden="false" customHeight="false" outlineLevel="0" collapsed="false">
      <c r="A2319" s="0" t="s">
        <v>3675</v>
      </c>
      <c r="B2319" s="0" t="s">
        <v>41</v>
      </c>
      <c r="C2319" s="0" t="s">
        <v>335</v>
      </c>
      <c r="D2319" s="0" t="s">
        <v>19</v>
      </c>
      <c r="E2319" s="2" t="n">
        <v>45507</v>
      </c>
      <c r="F2319" s="3" t="s">
        <v>20</v>
      </c>
      <c r="G2319" s="3" t="s">
        <v>55</v>
      </c>
      <c r="H2319" s="3" t="s">
        <v>22</v>
      </c>
      <c r="I2319" s="3" t="n">
        <f aca="false">YEAR(E2319)</f>
        <v>2024</v>
      </c>
      <c r="J2319" s="3" t="n">
        <f aca="false">MONTH(E2319)</f>
        <v>8</v>
      </c>
      <c r="K2319" s="3" t="n">
        <f aca="false">COUNTIFS($B$2:$B$4077,B2319,$C$2:$C$4077,C2319,$I$2:$I$4077,I2319)</f>
        <v>1</v>
      </c>
      <c r="L2319" s="3" t="n">
        <f aca="false">IF(COUNTIFS($B$2:B2319,B2319,$C$2:C2319,C2319,$I$2:I2319,I2319)=1,1,0)</f>
        <v>1</v>
      </c>
      <c r="M2319" s="3" t="n">
        <f aca="false">IF(K2319&gt;=Parametri!$B$1,1,0)</f>
        <v>0</v>
      </c>
      <c r="N2319" s="3" t="n">
        <f aca="false">L2319*M2319</f>
        <v>0</v>
      </c>
    </row>
    <row r="2320" customFormat="false" ht="15" hidden="false" customHeight="false" outlineLevel="0" collapsed="false">
      <c r="A2320" s="0" t="s">
        <v>3676</v>
      </c>
      <c r="B2320" s="0" t="s">
        <v>68</v>
      </c>
      <c r="C2320" s="0" t="s">
        <v>725</v>
      </c>
      <c r="D2320" s="0" t="s">
        <v>33</v>
      </c>
      <c r="E2320" s="2" t="n">
        <v>45404</v>
      </c>
      <c r="F2320" s="3" t="s">
        <v>20</v>
      </c>
      <c r="G2320" s="3" t="s">
        <v>72</v>
      </c>
      <c r="H2320" s="3" t="s">
        <v>22</v>
      </c>
      <c r="I2320" s="3" t="n">
        <f aca="false">YEAR(E2320)</f>
        <v>2024</v>
      </c>
      <c r="J2320" s="3" t="n">
        <f aca="false">MONTH(E2320)</f>
        <v>4</v>
      </c>
      <c r="K2320" s="3" t="n">
        <f aca="false">COUNTIFS($B$2:$B$4077,B2320,$C$2:$C$4077,C2320,$I$2:$I$4077,I2320)</f>
        <v>2</v>
      </c>
      <c r="L2320" s="3" t="n">
        <f aca="false">IF(COUNTIFS($B$2:B2320,B2320,$C$2:C2320,C2320,$I$2:I2320,I2320)=1,1,0)</f>
        <v>0</v>
      </c>
      <c r="M2320" s="3" t="n">
        <f aca="false">IF(K2320&gt;=Parametri!$B$1,1,0)</f>
        <v>1</v>
      </c>
      <c r="N2320" s="3" t="n">
        <f aca="false">L2320*M2320</f>
        <v>0</v>
      </c>
    </row>
    <row r="2321" customFormat="false" ht="15" hidden="false" customHeight="false" outlineLevel="0" collapsed="false">
      <c r="A2321" s="0" t="s">
        <v>3677</v>
      </c>
      <c r="B2321" s="0" t="s">
        <v>24</v>
      </c>
      <c r="C2321" s="0" t="s">
        <v>204</v>
      </c>
      <c r="D2321" s="0" t="s">
        <v>54</v>
      </c>
      <c r="E2321" s="2" t="n">
        <v>46203</v>
      </c>
      <c r="F2321" s="3" t="s">
        <v>34</v>
      </c>
      <c r="G2321" s="3" t="s">
        <v>21</v>
      </c>
      <c r="H2321" s="3" t="s">
        <v>44</v>
      </c>
      <c r="I2321" s="3" t="n">
        <f aca="false">YEAR(E2321)</f>
        <v>2026</v>
      </c>
      <c r="J2321" s="3" t="n">
        <f aca="false">MONTH(E2321)</f>
        <v>6</v>
      </c>
      <c r="K2321" s="3" t="n">
        <f aca="false">COUNTIFS($B$2:$B$4077,B2321,$C$2:$C$4077,C2321,$I$2:$I$4077,I2321)</f>
        <v>2</v>
      </c>
      <c r="L2321" s="3" t="n">
        <f aca="false">IF(COUNTIFS($B$2:B2321,B2321,$C$2:C2321,C2321,$I$2:I2321,I2321)=1,1,0)</f>
        <v>0</v>
      </c>
      <c r="M2321" s="3" t="n">
        <f aca="false">IF(K2321&gt;=Parametri!$B$1,1,0)</f>
        <v>1</v>
      </c>
      <c r="N2321" s="3" t="n">
        <f aca="false">L2321*M2321</f>
        <v>0</v>
      </c>
    </row>
    <row r="2322" customFormat="false" ht="15" hidden="false" customHeight="false" outlineLevel="0" collapsed="false">
      <c r="A2322" s="0" t="s">
        <v>3678</v>
      </c>
      <c r="B2322" s="0" t="s">
        <v>68</v>
      </c>
      <c r="C2322" s="0" t="s">
        <v>106</v>
      </c>
      <c r="D2322" s="0" t="s">
        <v>33</v>
      </c>
      <c r="E2322" s="2" t="n">
        <v>45942</v>
      </c>
      <c r="F2322" s="3" t="s">
        <v>34</v>
      </c>
      <c r="G2322" s="3" t="s">
        <v>35</v>
      </c>
      <c r="H2322" s="3" t="s">
        <v>29</v>
      </c>
      <c r="I2322" s="3" t="n">
        <f aca="false">YEAR(E2322)</f>
        <v>2025</v>
      </c>
      <c r="J2322" s="3" t="n">
        <f aca="false">MONTH(E2322)</f>
        <v>10</v>
      </c>
      <c r="K2322" s="3" t="n">
        <f aca="false">COUNTIFS($B$2:$B$4077,B2322,$C$2:$C$4077,C2322,$I$2:$I$4077,I2322)</f>
        <v>2</v>
      </c>
      <c r="L2322" s="3" t="n">
        <f aca="false">IF(COUNTIFS($B$2:B2322,B2322,$C$2:C2322,C2322,$I$2:I2322,I2322)=1,1,0)</f>
        <v>0</v>
      </c>
      <c r="M2322" s="3" t="n">
        <f aca="false">IF(K2322&gt;=Parametri!$B$1,1,0)</f>
        <v>1</v>
      </c>
      <c r="N2322" s="3" t="n">
        <f aca="false">L2322*M2322</f>
        <v>0</v>
      </c>
    </row>
    <row r="2323" customFormat="false" ht="15" hidden="false" customHeight="false" outlineLevel="0" collapsed="false">
      <c r="A2323" s="0" t="s">
        <v>3679</v>
      </c>
      <c r="B2323" s="0" t="s">
        <v>50</v>
      </c>
      <c r="C2323" s="0" t="s">
        <v>1164</v>
      </c>
      <c r="D2323" s="0" t="s">
        <v>77</v>
      </c>
      <c r="E2323" s="2" t="n">
        <v>46089</v>
      </c>
      <c r="F2323" s="3" t="s">
        <v>20</v>
      </c>
      <c r="G2323" s="3" t="s">
        <v>39</v>
      </c>
      <c r="H2323" s="3" t="s">
        <v>22</v>
      </c>
      <c r="I2323" s="3" t="n">
        <f aca="false">YEAR(E2323)</f>
        <v>2026</v>
      </c>
      <c r="J2323" s="3" t="n">
        <f aca="false">MONTH(E2323)</f>
        <v>3</v>
      </c>
      <c r="K2323" s="3" t="n">
        <f aca="false">COUNTIFS($B$2:$B$4077,B2323,$C$2:$C$4077,C2323,$I$2:$I$4077,I2323)</f>
        <v>3</v>
      </c>
      <c r="L2323" s="3" t="n">
        <f aca="false">IF(COUNTIFS($B$2:B2323,B2323,$C$2:C2323,C2323,$I$2:I2323,I2323)=1,1,0)</f>
        <v>0</v>
      </c>
      <c r="M2323" s="3" t="n">
        <f aca="false">IF(K2323&gt;=Parametri!$B$1,1,0)</f>
        <v>1</v>
      </c>
      <c r="N2323" s="3" t="n">
        <f aca="false">L2323*M2323</f>
        <v>0</v>
      </c>
    </row>
    <row r="2324" customFormat="false" ht="15" hidden="false" customHeight="false" outlineLevel="0" collapsed="false">
      <c r="A2324" s="0" t="s">
        <v>3680</v>
      </c>
      <c r="B2324" s="0" t="s">
        <v>79</v>
      </c>
      <c r="C2324" s="0" t="s">
        <v>2095</v>
      </c>
      <c r="D2324" s="0" t="s">
        <v>26</v>
      </c>
      <c r="E2324" s="2" t="n">
        <v>45320</v>
      </c>
      <c r="F2324" s="3" t="s">
        <v>27</v>
      </c>
      <c r="G2324" s="3" t="s">
        <v>43</v>
      </c>
      <c r="H2324" s="3" t="s">
        <v>29</v>
      </c>
      <c r="I2324" s="3" t="n">
        <f aca="false">YEAR(E2324)</f>
        <v>2024</v>
      </c>
      <c r="J2324" s="3" t="n">
        <f aca="false">MONTH(E2324)</f>
        <v>1</v>
      </c>
      <c r="K2324" s="3" t="n">
        <f aca="false">COUNTIFS($B$2:$B$4077,B2324,$C$2:$C$4077,C2324,$I$2:$I$4077,I2324)</f>
        <v>4</v>
      </c>
      <c r="L2324" s="3" t="n">
        <f aca="false">IF(COUNTIFS($B$2:B2324,B2324,$C$2:C2324,C2324,$I$2:I2324,I2324)=1,1,0)</f>
        <v>1</v>
      </c>
      <c r="M2324" s="3" t="n">
        <f aca="false">IF(K2324&gt;=Parametri!$B$1,1,0)</f>
        <v>1</v>
      </c>
      <c r="N2324" s="3" t="n">
        <f aca="false">L2324*M2324</f>
        <v>1</v>
      </c>
    </row>
    <row r="2325" customFormat="false" ht="15" hidden="false" customHeight="false" outlineLevel="0" collapsed="false">
      <c r="A2325" s="0" t="s">
        <v>3681</v>
      </c>
      <c r="B2325" s="0" t="s">
        <v>124</v>
      </c>
      <c r="C2325" s="0" t="s">
        <v>1150</v>
      </c>
      <c r="D2325" s="0" t="s">
        <v>63</v>
      </c>
      <c r="E2325" s="2" t="n">
        <v>45429</v>
      </c>
      <c r="F2325" s="3" t="s">
        <v>27</v>
      </c>
      <c r="G2325" s="3" t="s">
        <v>39</v>
      </c>
      <c r="H2325" s="3" t="s">
        <v>48</v>
      </c>
      <c r="I2325" s="3" t="n">
        <f aca="false">YEAR(E2325)</f>
        <v>2024</v>
      </c>
      <c r="J2325" s="3" t="n">
        <f aca="false">MONTH(E2325)</f>
        <v>5</v>
      </c>
      <c r="K2325" s="3" t="n">
        <f aca="false">COUNTIFS($B$2:$B$4077,B2325,$C$2:$C$4077,C2325,$I$2:$I$4077,I2325)</f>
        <v>2</v>
      </c>
      <c r="L2325" s="3" t="n">
        <f aca="false">IF(COUNTIFS($B$2:B2325,B2325,$C$2:C2325,C2325,$I$2:I2325,I2325)=1,1,0)</f>
        <v>0</v>
      </c>
      <c r="M2325" s="3" t="n">
        <f aca="false">IF(K2325&gt;=Parametri!$B$1,1,0)</f>
        <v>1</v>
      </c>
      <c r="N2325" s="3" t="n">
        <f aca="false">L2325*M2325</f>
        <v>0</v>
      </c>
    </row>
    <row r="2326" customFormat="false" ht="15" hidden="false" customHeight="false" outlineLevel="0" collapsed="false">
      <c r="A2326" s="0" t="s">
        <v>3682</v>
      </c>
      <c r="B2326" s="0" t="s">
        <v>57</v>
      </c>
      <c r="C2326" s="0" t="s">
        <v>2136</v>
      </c>
      <c r="D2326" s="0" t="s">
        <v>77</v>
      </c>
      <c r="E2326" s="2" t="n">
        <v>46075</v>
      </c>
      <c r="F2326" s="3" t="s">
        <v>20</v>
      </c>
      <c r="G2326" s="3" t="s">
        <v>72</v>
      </c>
      <c r="H2326" s="3" t="s">
        <v>22</v>
      </c>
      <c r="I2326" s="3" t="n">
        <f aca="false">YEAR(E2326)</f>
        <v>2026</v>
      </c>
      <c r="J2326" s="3" t="n">
        <f aca="false">MONTH(E2326)</f>
        <v>2</v>
      </c>
      <c r="K2326" s="3" t="n">
        <f aca="false">COUNTIFS($B$2:$B$4077,B2326,$C$2:$C$4077,C2326,$I$2:$I$4077,I2326)</f>
        <v>2</v>
      </c>
      <c r="L2326" s="3" t="n">
        <f aca="false">IF(COUNTIFS($B$2:B2326,B2326,$C$2:C2326,C2326,$I$2:I2326,I2326)=1,1,0)</f>
        <v>0</v>
      </c>
      <c r="M2326" s="3" t="n">
        <f aca="false">IF(K2326&gt;=Parametri!$B$1,1,0)</f>
        <v>1</v>
      </c>
      <c r="N2326" s="3" t="n">
        <f aca="false">L2326*M2326</f>
        <v>0</v>
      </c>
    </row>
    <row r="2327" customFormat="false" ht="15" hidden="false" customHeight="false" outlineLevel="0" collapsed="false">
      <c r="A2327" s="0" t="s">
        <v>3683</v>
      </c>
      <c r="B2327" s="0" t="s">
        <v>41</v>
      </c>
      <c r="C2327" s="0" t="s">
        <v>3684</v>
      </c>
      <c r="D2327" s="0" t="s">
        <v>19</v>
      </c>
      <c r="E2327" s="2" t="n">
        <v>45720</v>
      </c>
      <c r="F2327" s="3" t="s">
        <v>27</v>
      </c>
      <c r="G2327" s="3" t="s">
        <v>72</v>
      </c>
      <c r="H2327" s="3" t="s">
        <v>44</v>
      </c>
      <c r="I2327" s="3" t="n">
        <f aca="false">YEAR(E2327)</f>
        <v>2025</v>
      </c>
      <c r="J2327" s="3" t="n">
        <f aca="false">MONTH(E2327)</f>
        <v>3</v>
      </c>
      <c r="K2327" s="3" t="n">
        <f aca="false">COUNTIFS($B$2:$B$4077,B2327,$C$2:$C$4077,C2327,$I$2:$I$4077,I2327)</f>
        <v>1</v>
      </c>
      <c r="L2327" s="3" t="n">
        <f aca="false">IF(COUNTIFS($B$2:B2327,B2327,$C$2:C2327,C2327,$I$2:I2327,I2327)=1,1,0)</f>
        <v>1</v>
      </c>
      <c r="M2327" s="3" t="n">
        <f aca="false">IF(K2327&gt;=Parametri!$B$1,1,0)</f>
        <v>0</v>
      </c>
      <c r="N2327" s="3" t="n">
        <f aca="false">L2327*M2327</f>
        <v>0</v>
      </c>
    </row>
    <row r="2328" customFormat="false" ht="15" hidden="false" customHeight="false" outlineLevel="0" collapsed="false">
      <c r="A2328" s="0" t="s">
        <v>3685</v>
      </c>
      <c r="B2328" s="0" t="s">
        <v>124</v>
      </c>
      <c r="C2328" s="0" t="s">
        <v>3283</v>
      </c>
      <c r="D2328" s="0" t="s">
        <v>38</v>
      </c>
      <c r="E2328" s="2" t="n">
        <v>45298</v>
      </c>
      <c r="F2328" s="3" t="s">
        <v>34</v>
      </c>
      <c r="G2328" s="3" t="s">
        <v>43</v>
      </c>
      <c r="H2328" s="3" t="s">
        <v>22</v>
      </c>
      <c r="I2328" s="3" t="n">
        <f aca="false">YEAR(E2328)</f>
        <v>2024</v>
      </c>
      <c r="J2328" s="3" t="n">
        <f aca="false">MONTH(E2328)</f>
        <v>1</v>
      </c>
      <c r="K2328" s="3" t="n">
        <f aca="false">COUNTIFS($B$2:$B$4077,B2328,$C$2:$C$4077,C2328,$I$2:$I$4077,I2328)</f>
        <v>1</v>
      </c>
      <c r="L2328" s="3" t="n">
        <f aca="false">IF(COUNTIFS($B$2:B2328,B2328,$C$2:C2328,C2328,$I$2:I2328,I2328)=1,1,0)</f>
        <v>1</v>
      </c>
      <c r="M2328" s="3" t="n">
        <f aca="false">IF(K2328&gt;=Parametri!$B$1,1,0)</f>
        <v>0</v>
      </c>
      <c r="N2328" s="3" t="n">
        <f aca="false">L2328*M2328</f>
        <v>0</v>
      </c>
    </row>
    <row r="2329" customFormat="false" ht="15" hidden="false" customHeight="false" outlineLevel="0" collapsed="false">
      <c r="A2329" s="0" t="s">
        <v>3686</v>
      </c>
      <c r="B2329" s="0" t="s">
        <v>31</v>
      </c>
      <c r="C2329" s="0" t="s">
        <v>712</v>
      </c>
      <c r="D2329" s="0" t="s">
        <v>63</v>
      </c>
      <c r="E2329" s="2" t="n">
        <v>46102</v>
      </c>
      <c r="F2329" s="3" t="s">
        <v>20</v>
      </c>
      <c r="G2329" s="3" t="s">
        <v>43</v>
      </c>
      <c r="H2329" s="3" t="s">
        <v>44</v>
      </c>
      <c r="I2329" s="3" t="n">
        <f aca="false">YEAR(E2329)</f>
        <v>2026</v>
      </c>
      <c r="J2329" s="3" t="n">
        <f aca="false">MONTH(E2329)</f>
        <v>3</v>
      </c>
      <c r="K2329" s="3" t="n">
        <f aca="false">COUNTIFS($B$2:$B$4077,B2329,$C$2:$C$4077,C2329,$I$2:$I$4077,I2329)</f>
        <v>2</v>
      </c>
      <c r="L2329" s="3" t="n">
        <f aca="false">IF(COUNTIFS($B$2:B2329,B2329,$C$2:C2329,C2329,$I$2:I2329,I2329)=1,1,0)</f>
        <v>0</v>
      </c>
      <c r="M2329" s="3" t="n">
        <f aca="false">IF(K2329&gt;=Parametri!$B$1,1,0)</f>
        <v>1</v>
      </c>
      <c r="N2329" s="3" t="n">
        <f aca="false">L2329*M2329</f>
        <v>0</v>
      </c>
    </row>
    <row r="2330" customFormat="false" ht="15" hidden="false" customHeight="false" outlineLevel="0" collapsed="false">
      <c r="A2330" s="0" t="s">
        <v>3687</v>
      </c>
      <c r="B2330" s="0" t="s">
        <v>31</v>
      </c>
      <c r="C2330" s="0" t="s">
        <v>53</v>
      </c>
      <c r="D2330" s="0" t="s">
        <v>66</v>
      </c>
      <c r="E2330" s="2" t="n">
        <v>45640</v>
      </c>
      <c r="F2330" s="3" t="s">
        <v>20</v>
      </c>
      <c r="G2330" s="3" t="s">
        <v>39</v>
      </c>
      <c r="H2330" s="3" t="s">
        <v>22</v>
      </c>
      <c r="I2330" s="3" t="n">
        <f aca="false">YEAR(E2330)</f>
        <v>2024</v>
      </c>
      <c r="J2330" s="3" t="n">
        <f aca="false">MONTH(E2330)</f>
        <v>12</v>
      </c>
      <c r="K2330" s="3" t="n">
        <f aca="false">COUNTIFS($B$2:$B$4077,B2330,$C$2:$C$4077,C2330,$I$2:$I$4077,I2330)</f>
        <v>3</v>
      </c>
      <c r="L2330" s="3" t="n">
        <f aca="false">IF(COUNTIFS($B$2:B2330,B2330,$C$2:C2330,C2330,$I$2:I2330,I2330)=1,1,0)</f>
        <v>0</v>
      </c>
      <c r="M2330" s="3" t="n">
        <f aca="false">IF(K2330&gt;=Parametri!$B$1,1,0)</f>
        <v>1</v>
      </c>
      <c r="N2330" s="3" t="n">
        <f aca="false">L2330*M2330</f>
        <v>0</v>
      </c>
    </row>
    <row r="2331" customFormat="false" ht="15" hidden="false" customHeight="false" outlineLevel="0" collapsed="false">
      <c r="A2331" s="0" t="s">
        <v>3688</v>
      </c>
      <c r="B2331" s="0" t="s">
        <v>50</v>
      </c>
      <c r="C2331" s="0" t="s">
        <v>1164</v>
      </c>
      <c r="D2331" s="0" t="s">
        <v>19</v>
      </c>
      <c r="E2331" s="2" t="n">
        <v>45335</v>
      </c>
      <c r="F2331" s="3" t="s">
        <v>20</v>
      </c>
      <c r="G2331" s="3" t="s">
        <v>72</v>
      </c>
      <c r="H2331" s="3" t="s">
        <v>44</v>
      </c>
      <c r="I2331" s="3" t="n">
        <f aca="false">YEAR(E2331)</f>
        <v>2024</v>
      </c>
      <c r="J2331" s="3" t="n">
        <f aca="false">MONTH(E2331)</f>
        <v>2</v>
      </c>
      <c r="K2331" s="3" t="n">
        <f aca="false">COUNTIFS($B$2:$B$4077,B2331,$C$2:$C$4077,C2331,$I$2:$I$4077,I2331)</f>
        <v>4</v>
      </c>
      <c r="L2331" s="3" t="n">
        <f aca="false">IF(COUNTIFS($B$2:B2331,B2331,$C$2:C2331,C2331,$I$2:I2331,I2331)=1,1,0)</f>
        <v>0</v>
      </c>
      <c r="M2331" s="3" t="n">
        <f aca="false">IF(K2331&gt;=Parametri!$B$1,1,0)</f>
        <v>1</v>
      </c>
      <c r="N2331" s="3" t="n">
        <f aca="false">L2331*M2331</f>
        <v>0</v>
      </c>
    </row>
    <row r="2332" customFormat="false" ht="15" hidden="false" customHeight="false" outlineLevel="0" collapsed="false">
      <c r="A2332" s="0" t="s">
        <v>3689</v>
      </c>
      <c r="B2332" s="0" t="s">
        <v>79</v>
      </c>
      <c r="C2332" s="0" t="s">
        <v>610</v>
      </c>
      <c r="D2332" s="0" t="s">
        <v>38</v>
      </c>
      <c r="E2332" s="2" t="n">
        <v>45336</v>
      </c>
      <c r="F2332" s="3" t="s">
        <v>20</v>
      </c>
      <c r="G2332" s="3" t="s">
        <v>72</v>
      </c>
      <c r="H2332" s="3" t="s">
        <v>44</v>
      </c>
      <c r="I2332" s="3" t="n">
        <f aca="false">YEAR(E2332)</f>
        <v>2024</v>
      </c>
      <c r="J2332" s="3" t="n">
        <f aca="false">MONTH(E2332)</f>
        <v>2</v>
      </c>
      <c r="K2332" s="3" t="n">
        <f aca="false">COUNTIFS($B$2:$B$4077,B2332,$C$2:$C$4077,C2332,$I$2:$I$4077,I2332)</f>
        <v>3</v>
      </c>
      <c r="L2332" s="3" t="n">
        <f aca="false">IF(COUNTIFS($B$2:B2332,B2332,$C$2:C2332,C2332,$I$2:I2332,I2332)=1,1,0)</f>
        <v>0</v>
      </c>
      <c r="M2332" s="3" t="n">
        <f aca="false">IF(K2332&gt;=Parametri!$B$1,1,0)</f>
        <v>1</v>
      </c>
      <c r="N2332" s="3" t="n">
        <f aca="false">L2332*M2332</f>
        <v>0</v>
      </c>
    </row>
    <row r="2333" customFormat="false" ht="15" hidden="false" customHeight="false" outlineLevel="0" collapsed="false">
      <c r="A2333" s="0" t="s">
        <v>3690</v>
      </c>
      <c r="B2333" s="0" t="s">
        <v>41</v>
      </c>
      <c r="C2333" s="0" t="s">
        <v>3691</v>
      </c>
      <c r="D2333" s="0" t="s">
        <v>54</v>
      </c>
      <c r="E2333" s="2" t="n">
        <v>45468</v>
      </c>
      <c r="F2333" s="3" t="s">
        <v>20</v>
      </c>
      <c r="G2333" s="3" t="s">
        <v>39</v>
      </c>
      <c r="H2333" s="3" t="s">
        <v>29</v>
      </c>
      <c r="I2333" s="3" t="n">
        <f aca="false">YEAR(E2333)</f>
        <v>2024</v>
      </c>
      <c r="J2333" s="3" t="n">
        <f aca="false">MONTH(E2333)</f>
        <v>6</v>
      </c>
      <c r="K2333" s="3" t="n">
        <f aca="false">COUNTIFS($B$2:$B$4077,B2333,$C$2:$C$4077,C2333,$I$2:$I$4077,I2333)</f>
        <v>2</v>
      </c>
      <c r="L2333" s="3" t="n">
        <f aca="false">IF(COUNTIFS($B$2:B2333,B2333,$C$2:C2333,C2333,$I$2:I2333,I2333)=1,1,0)</f>
        <v>1</v>
      </c>
      <c r="M2333" s="3" t="n">
        <f aca="false">IF(K2333&gt;=Parametri!$B$1,1,0)</f>
        <v>1</v>
      </c>
      <c r="N2333" s="3" t="n">
        <f aca="false">L2333*M2333</f>
        <v>1</v>
      </c>
    </row>
    <row r="2334" customFormat="false" ht="15" hidden="false" customHeight="false" outlineLevel="0" collapsed="false">
      <c r="A2334" s="0" t="s">
        <v>3692</v>
      </c>
      <c r="B2334" s="0" t="s">
        <v>79</v>
      </c>
      <c r="C2334" s="0" t="s">
        <v>727</v>
      </c>
      <c r="D2334" s="0" t="s">
        <v>66</v>
      </c>
      <c r="E2334" s="2" t="n">
        <v>45937</v>
      </c>
      <c r="F2334" s="3" t="s">
        <v>20</v>
      </c>
      <c r="G2334" s="3" t="s">
        <v>72</v>
      </c>
      <c r="H2334" s="3" t="s">
        <v>48</v>
      </c>
      <c r="I2334" s="3" t="n">
        <f aca="false">YEAR(E2334)</f>
        <v>2025</v>
      </c>
      <c r="J2334" s="3" t="n">
        <f aca="false">MONTH(E2334)</f>
        <v>10</v>
      </c>
      <c r="K2334" s="3" t="n">
        <f aca="false">COUNTIFS($B$2:$B$4077,B2334,$C$2:$C$4077,C2334,$I$2:$I$4077,I2334)</f>
        <v>3</v>
      </c>
      <c r="L2334" s="3" t="n">
        <f aca="false">IF(COUNTIFS($B$2:B2334,B2334,$C$2:C2334,C2334,$I$2:I2334,I2334)=1,1,0)</f>
        <v>0</v>
      </c>
      <c r="M2334" s="3" t="n">
        <f aca="false">IF(K2334&gt;=Parametri!$B$1,1,0)</f>
        <v>1</v>
      </c>
      <c r="N2334" s="3" t="n">
        <f aca="false">L2334*M2334</f>
        <v>0</v>
      </c>
    </row>
    <row r="2335" customFormat="false" ht="15" hidden="false" customHeight="false" outlineLevel="0" collapsed="false">
      <c r="A2335" s="0" t="s">
        <v>3693</v>
      </c>
      <c r="B2335" s="0" t="s">
        <v>17</v>
      </c>
      <c r="C2335" s="0" t="s">
        <v>3694</v>
      </c>
      <c r="D2335" s="0" t="s">
        <v>66</v>
      </c>
      <c r="E2335" s="2" t="n">
        <v>45822</v>
      </c>
      <c r="F2335" s="3" t="s">
        <v>27</v>
      </c>
      <c r="G2335" s="3" t="s">
        <v>21</v>
      </c>
      <c r="H2335" s="3" t="s">
        <v>48</v>
      </c>
      <c r="I2335" s="3" t="n">
        <f aca="false">YEAR(E2335)</f>
        <v>2025</v>
      </c>
      <c r="J2335" s="3" t="n">
        <f aca="false">MONTH(E2335)</f>
        <v>6</v>
      </c>
      <c r="K2335" s="3" t="n">
        <f aca="false">COUNTIFS($B$2:$B$4077,B2335,$C$2:$C$4077,C2335,$I$2:$I$4077,I2335)</f>
        <v>2</v>
      </c>
      <c r="L2335" s="3" t="n">
        <f aca="false">IF(COUNTIFS($B$2:B2335,B2335,$C$2:C2335,C2335,$I$2:I2335,I2335)=1,1,0)</f>
        <v>1</v>
      </c>
      <c r="M2335" s="3" t="n">
        <f aca="false">IF(K2335&gt;=Parametri!$B$1,1,0)</f>
        <v>1</v>
      </c>
      <c r="N2335" s="3" t="n">
        <f aca="false">L2335*M2335</f>
        <v>1</v>
      </c>
    </row>
    <row r="2336" customFormat="false" ht="15" hidden="false" customHeight="false" outlineLevel="0" collapsed="false">
      <c r="A2336" s="0" t="s">
        <v>3695</v>
      </c>
      <c r="B2336" s="0" t="s">
        <v>24</v>
      </c>
      <c r="C2336" s="0" t="s">
        <v>1608</v>
      </c>
      <c r="D2336" s="0" t="s">
        <v>26</v>
      </c>
      <c r="E2336" s="2" t="n">
        <v>46172</v>
      </c>
      <c r="F2336" s="3" t="s">
        <v>27</v>
      </c>
      <c r="G2336" s="3" t="s">
        <v>28</v>
      </c>
      <c r="H2336" s="3" t="s">
        <v>48</v>
      </c>
      <c r="I2336" s="3" t="n">
        <f aca="false">YEAR(E2336)</f>
        <v>2026</v>
      </c>
      <c r="J2336" s="3" t="n">
        <f aca="false">MONTH(E2336)</f>
        <v>5</v>
      </c>
      <c r="K2336" s="3" t="n">
        <f aca="false">COUNTIFS($B$2:$B$4077,B2336,$C$2:$C$4077,C2336,$I$2:$I$4077,I2336)</f>
        <v>1</v>
      </c>
      <c r="L2336" s="3" t="n">
        <f aca="false">IF(COUNTIFS($B$2:B2336,B2336,$C$2:C2336,C2336,$I$2:I2336,I2336)=1,1,0)</f>
        <v>1</v>
      </c>
      <c r="M2336" s="3" t="n">
        <f aca="false">IF(K2336&gt;=Parametri!$B$1,1,0)</f>
        <v>0</v>
      </c>
      <c r="N2336" s="3" t="n">
        <f aca="false">L2336*M2336</f>
        <v>0</v>
      </c>
    </row>
    <row r="2337" customFormat="false" ht="15" hidden="false" customHeight="false" outlineLevel="0" collapsed="false">
      <c r="A2337" s="0" t="s">
        <v>3696</v>
      </c>
      <c r="B2337" s="0" t="s">
        <v>17</v>
      </c>
      <c r="C2337" s="0" t="s">
        <v>1690</v>
      </c>
      <c r="D2337" s="0" t="s">
        <v>66</v>
      </c>
      <c r="E2337" s="2" t="n">
        <v>45803</v>
      </c>
      <c r="F2337" s="3" t="s">
        <v>20</v>
      </c>
      <c r="G2337" s="3" t="s">
        <v>55</v>
      </c>
      <c r="H2337" s="3" t="s">
        <v>48</v>
      </c>
      <c r="I2337" s="3" t="n">
        <f aca="false">YEAR(E2337)</f>
        <v>2025</v>
      </c>
      <c r="J2337" s="3" t="n">
        <f aca="false">MONTH(E2337)</f>
        <v>5</v>
      </c>
      <c r="K2337" s="3" t="n">
        <f aca="false">COUNTIFS($B$2:$B$4077,B2337,$C$2:$C$4077,C2337,$I$2:$I$4077,I2337)</f>
        <v>3</v>
      </c>
      <c r="L2337" s="3" t="n">
        <f aca="false">IF(COUNTIFS($B$2:B2337,B2337,$C$2:C2337,C2337,$I$2:I2337,I2337)=1,1,0)</f>
        <v>0</v>
      </c>
      <c r="M2337" s="3" t="n">
        <f aca="false">IF(K2337&gt;=Parametri!$B$1,1,0)</f>
        <v>1</v>
      </c>
      <c r="N2337" s="3" t="n">
        <f aca="false">L2337*M2337</f>
        <v>0</v>
      </c>
    </row>
    <row r="2338" customFormat="false" ht="15" hidden="false" customHeight="false" outlineLevel="0" collapsed="false">
      <c r="A2338" s="0" t="s">
        <v>3697</v>
      </c>
      <c r="B2338" s="0" t="s">
        <v>31</v>
      </c>
      <c r="C2338" s="0" t="s">
        <v>2597</v>
      </c>
      <c r="D2338" s="0" t="s">
        <v>38</v>
      </c>
      <c r="E2338" s="2" t="n">
        <v>45956</v>
      </c>
      <c r="F2338" s="3" t="s">
        <v>20</v>
      </c>
      <c r="G2338" s="3" t="s">
        <v>35</v>
      </c>
      <c r="H2338" s="3" t="s">
        <v>22</v>
      </c>
      <c r="I2338" s="3" t="n">
        <f aca="false">YEAR(E2338)</f>
        <v>2025</v>
      </c>
      <c r="J2338" s="3" t="n">
        <f aca="false">MONTH(E2338)</f>
        <v>10</v>
      </c>
      <c r="K2338" s="3" t="n">
        <f aca="false">COUNTIFS($B$2:$B$4077,B2338,$C$2:$C$4077,C2338,$I$2:$I$4077,I2338)</f>
        <v>1</v>
      </c>
      <c r="L2338" s="3" t="n">
        <f aca="false">IF(COUNTIFS($B$2:B2338,B2338,$C$2:C2338,C2338,$I$2:I2338,I2338)=1,1,0)</f>
        <v>1</v>
      </c>
      <c r="M2338" s="3" t="n">
        <f aca="false">IF(K2338&gt;=Parametri!$B$1,1,0)</f>
        <v>0</v>
      </c>
      <c r="N2338" s="3" t="n">
        <f aca="false">L2338*M2338</f>
        <v>0</v>
      </c>
    </row>
    <row r="2339" customFormat="false" ht="15" hidden="false" customHeight="false" outlineLevel="0" collapsed="false">
      <c r="A2339" s="0" t="s">
        <v>3698</v>
      </c>
      <c r="B2339" s="0" t="s">
        <v>31</v>
      </c>
      <c r="C2339" s="0" t="s">
        <v>539</v>
      </c>
      <c r="D2339" s="0" t="s">
        <v>66</v>
      </c>
      <c r="E2339" s="2" t="n">
        <v>45476</v>
      </c>
      <c r="F2339" s="3" t="s">
        <v>20</v>
      </c>
      <c r="G2339" s="3" t="s">
        <v>43</v>
      </c>
      <c r="H2339" s="3" t="s">
        <v>48</v>
      </c>
      <c r="I2339" s="3" t="n">
        <f aca="false">YEAR(E2339)</f>
        <v>2024</v>
      </c>
      <c r="J2339" s="3" t="n">
        <f aca="false">MONTH(E2339)</f>
        <v>7</v>
      </c>
      <c r="K2339" s="3" t="n">
        <f aca="false">COUNTIFS($B$2:$B$4077,B2339,$C$2:$C$4077,C2339,$I$2:$I$4077,I2339)</f>
        <v>1</v>
      </c>
      <c r="L2339" s="3" t="n">
        <f aca="false">IF(COUNTIFS($B$2:B2339,B2339,$C$2:C2339,C2339,$I$2:I2339,I2339)=1,1,0)</f>
        <v>1</v>
      </c>
      <c r="M2339" s="3" t="n">
        <f aca="false">IF(K2339&gt;=Parametri!$B$1,1,0)</f>
        <v>0</v>
      </c>
      <c r="N2339" s="3" t="n">
        <f aca="false">L2339*M2339</f>
        <v>0</v>
      </c>
    </row>
    <row r="2340" customFormat="false" ht="15" hidden="false" customHeight="false" outlineLevel="0" collapsed="false">
      <c r="A2340" s="0" t="s">
        <v>3699</v>
      </c>
      <c r="B2340" s="0" t="s">
        <v>79</v>
      </c>
      <c r="C2340" s="0" t="s">
        <v>1052</v>
      </c>
      <c r="D2340" s="0" t="s">
        <v>66</v>
      </c>
      <c r="E2340" s="2" t="n">
        <v>46087</v>
      </c>
      <c r="F2340" s="3" t="s">
        <v>20</v>
      </c>
      <c r="G2340" s="3" t="s">
        <v>39</v>
      </c>
      <c r="H2340" s="3" t="s">
        <v>48</v>
      </c>
      <c r="I2340" s="3" t="n">
        <f aca="false">YEAR(E2340)</f>
        <v>2026</v>
      </c>
      <c r="J2340" s="3" t="n">
        <f aca="false">MONTH(E2340)</f>
        <v>3</v>
      </c>
      <c r="K2340" s="3" t="n">
        <f aca="false">COUNTIFS($B$2:$B$4077,B2340,$C$2:$C$4077,C2340,$I$2:$I$4077,I2340)</f>
        <v>1</v>
      </c>
      <c r="L2340" s="3" t="n">
        <f aca="false">IF(COUNTIFS($B$2:B2340,B2340,$C$2:C2340,C2340,$I$2:I2340,I2340)=1,1,0)</f>
        <v>1</v>
      </c>
      <c r="M2340" s="3" t="n">
        <f aca="false">IF(K2340&gt;=Parametri!$B$1,1,0)</f>
        <v>0</v>
      </c>
      <c r="N2340" s="3" t="n">
        <f aca="false">L2340*M2340</f>
        <v>0</v>
      </c>
    </row>
    <row r="2341" customFormat="false" ht="15" hidden="false" customHeight="false" outlineLevel="0" collapsed="false">
      <c r="A2341" s="0" t="s">
        <v>3700</v>
      </c>
      <c r="B2341" s="0" t="s">
        <v>124</v>
      </c>
      <c r="C2341" s="0" t="s">
        <v>810</v>
      </c>
      <c r="D2341" s="0" t="s">
        <v>54</v>
      </c>
      <c r="E2341" s="2" t="n">
        <v>45686</v>
      </c>
      <c r="F2341" s="3" t="s">
        <v>34</v>
      </c>
      <c r="G2341" s="3" t="s">
        <v>55</v>
      </c>
      <c r="H2341" s="3" t="s">
        <v>48</v>
      </c>
      <c r="I2341" s="3" t="n">
        <f aca="false">YEAR(E2341)</f>
        <v>2025</v>
      </c>
      <c r="J2341" s="3" t="n">
        <f aca="false">MONTH(E2341)</f>
        <v>1</v>
      </c>
      <c r="K2341" s="3" t="n">
        <f aca="false">COUNTIFS($B$2:$B$4077,B2341,$C$2:$C$4077,C2341,$I$2:$I$4077,I2341)</f>
        <v>3</v>
      </c>
      <c r="L2341" s="3" t="n">
        <f aca="false">IF(COUNTIFS($B$2:B2341,B2341,$C$2:C2341,C2341,$I$2:I2341,I2341)=1,1,0)</f>
        <v>0</v>
      </c>
      <c r="M2341" s="3" t="n">
        <f aca="false">IF(K2341&gt;=Parametri!$B$1,1,0)</f>
        <v>1</v>
      </c>
      <c r="N2341" s="3" t="n">
        <f aca="false">L2341*M2341</f>
        <v>0</v>
      </c>
    </row>
    <row r="2342" customFormat="false" ht="15" hidden="false" customHeight="false" outlineLevel="0" collapsed="false">
      <c r="A2342" s="0" t="s">
        <v>3701</v>
      </c>
      <c r="B2342" s="0" t="s">
        <v>50</v>
      </c>
      <c r="C2342" s="0" t="s">
        <v>3702</v>
      </c>
      <c r="D2342" s="0" t="s">
        <v>26</v>
      </c>
      <c r="E2342" s="2" t="n">
        <v>45823</v>
      </c>
      <c r="F2342" s="3" t="s">
        <v>20</v>
      </c>
      <c r="G2342" s="3" t="s">
        <v>28</v>
      </c>
      <c r="H2342" s="3" t="s">
        <v>29</v>
      </c>
      <c r="I2342" s="3" t="n">
        <f aca="false">YEAR(E2342)</f>
        <v>2025</v>
      </c>
      <c r="J2342" s="3" t="n">
        <f aca="false">MONTH(E2342)</f>
        <v>6</v>
      </c>
      <c r="K2342" s="3" t="n">
        <f aca="false">COUNTIFS($B$2:$B$4077,B2342,$C$2:$C$4077,C2342,$I$2:$I$4077,I2342)</f>
        <v>1</v>
      </c>
      <c r="L2342" s="3" t="n">
        <f aca="false">IF(COUNTIFS($B$2:B2342,B2342,$C$2:C2342,C2342,$I$2:I2342,I2342)=1,1,0)</f>
        <v>1</v>
      </c>
      <c r="M2342" s="3" t="n">
        <f aca="false">IF(K2342&gt;=Parametri!$B$1,1,0)</f>
        <v>0</v>
      </c>
      <c r="N2342" s="3" t="n">
        <f aca="false">L2342*M2342</f>
        <v>0</v>
      </c>
    </row>
    <row r="2343" customFormat="false" ht="15" hidden="false" customHeight="false" outlineLevel="0" collapsed="false">
      <c r="A2343" s="0" t="s">
        <v>3703</v>
      </c>
      <c r="B2343" s="0" t="s">
        <v>57</v>
      </c>
      <c r="C2343" s="0" t="s">
        <v>2747</v>
      </c>
      <c r="D2343" s="0" t="s">
        <v>33</v>
      </c>
      <c r="E2343" s="2" t="n">
        <v>45679</v>
      </c>
      <c r="F2343" s="3" t="s">
        <v>20</v>
      </c>
      <c r="G2343" s="3" t="s">
        <v>35</v>
      </c>
      <c r="H2343" s="3" t="s">
        <v>44</v>
      </c>
      <c r="I2343" s="3" t="n">
        <f aca="false">YEAR(E2343)</f>
        <v>2025</v>
      </c>
      <c r="J2343" s="3" t="n">
        <f aca="false">MONTH(E2343)</f>
        <v>1</v>
      </c>
      <c r="K2343" s="3" t="n">
        <f aca="false">COUNTIFS($B$2:$B$4077,B2343,$C$2:$C$4077,C2343,$I$2:$I$4077,I2343)</f>
        <v>1</v>
      </c>
      <c r="L2343" s="3" t="n">
        <f aca="false">IF(COUNTIFS($B$2:B2343,B2343,$C$2:C2343,C2343,$I$2:I2343,I2343)=1,1,0)</f>
        <v>1</v>
      </c>
      <c r="M2343" s="3" t="n">
        <f aca="false">IF(K2343&gt;=Parametri!$B$1,1,0)</f>
        <v>0</v>
      </c>
      <c r="N2343" s="3" t="n">
        <f aca="false">L2343*M2343</f>
        <v>0</v>
      </c>
    </row>
    <row r="2344" customFormat="false" ht="15" hidden="false" customHeight="false" outlineLevel="0" collapsed="false">
      <c r="A2344" s="0" t="s">
        <v>3704</v>
      </c>
      <c r="B2344" s="0" t="s">
        <v>124</v>
      </c>
      <c r="C2344" s="0" t="s">
        <v>2778</v>
      </c>
      <c r="D2344" s="0" t="s">
        <v>66</v>
      </c>
      <c r="E2344" s="2" t="n">
        <v>45737</v>
      </c>
      <c r="F2344" s="3" t="s">
        <v>20</v>
      </c>
      <c r="G2344" s="3" t="s">
        <v>89</v>
      </c>
      <c r="H2344" s="3" t="s">
        <v>44</v>
      </c>
      <c r="I2344" s="3" t="n">
        <f aca="false">YEAR(E2344)</f>
        <v>2025</v>
      </c>
      <c r="J2344" s="3" t="n">
        <f aca="false">MONTH(E2344)</f>
        <v>3</v>
      </c>
      <c r="K2344" s="3" t="n">
        <f aca="false">COUNTIFS($B$2:$B$4077,B2344,$C$2:$C$4077,C2344,$I$2:$I$4077,I2344)</f>
        <v>2</v>
      </c>
      <c r="L2344" s="3" t="n">
        <f aca="false">IF(COUNTIFS($B$2:B2344,B2344,$C$2:C2344,C2344,$I$2:I2344,I2344)=1,1,0)</f>
        <v>0</v>
      </c>
      <c r="M2344" s="3" t="n">
        <f aca="false">IF(K2344&gt;=Parametri!$B$1,1,0)</f>
        <v>1</v>
      </c>
      <c r="N2344" s="3" t="n">
        <f aca="false">L2344*M2344</f>
        <v>0</v>
      </c>
    </row>
    <row r="2345" customFormat="false" ht="15" hidden="false" customHeight="false" outlineLevel="0" collapsed="false">
      <c r="A2345" s="0" t="s">
        <v>3705</v>
      </c>
      <c r="B2345" s="0" t="s">
        <v>57</v>
      </c>
      <c r="C2345" s="0" t="s">
        <v>1831</v>
      </c>
      <c r="D2345" s="0" t="s">
        <v>19</v>
      </c>
      <c r="E2345" s="2" t="n">
        <v>46259</v>
      </c>
      <c r="F2345" s="3" t="s">
        <v>20</v>
      </c>
      <c r="G2345" s="3" t="s">
        <v>55</v>
      </c>
      <c r="H2345" s="3" t="s">
        <v>29</v>
      </c>
      <c r="I2345" s="3" t="n">
        <f aca="false">YEAR(E2345)</f>
        <v>2026</v>
      </c>
      <c r="J2345" s="3" t="n">
        <f aca="false">MONTH(E2345)</f>
        <v>8</v>
      </c>
      <c r="K2345" s="3" t="n">
        <f aca="false">COUNTIFS($B$2:$B$4077,B2345,$C$2:$C$4077,C2345,$I$2:$I$4077,I2345)</f>
        <v>1</v>
      </c>
      <c r="L2345" s="3" t="n">
        <f aca="false">IF(COUNTIFS($B$2:B2345,B2345,$C$2:C2345,C2345,$I$2:I2345,I2345)=1,1,0)</f>
        <v>1</v>
      </c>
      <c r="M2345" s="3" t="n">
        <f aca="false">IF(K2345&gt;=Parametri!$B$1,1,0)</f>
        <v>0</v>
      </c>
      <c r="N2345" s="3" t="n">
        <f aca="false">L2345*M2345</f>
        <v>0</v>
      </c>
    </row>
    <row r="2346" customFormat="false" ht="15" hidden="false" customHeight="false" outlineLevel="0" collapsed="false">
      <c r="A2346" s="0" t="s">
        <v>3706</v>
      </c>
      <c r="B2346" s="0" t="s">
        <v>24</v>
      </c>
      <c r="C2346" s="0" t="s">
        <v>25</v>
      </c>
      <c r="D2346" s="0" t="s">
        <v>26</v>
      </c>
      <c r="E2346" s="2" t="n">
        <v>45588</v>
      </c>
      <c r="F2346" s="3" t="s">
        <v>20</v>
      </c>
      <c r="G2346" s="3" t="s">
        <v>21</v>
      </c>
      <c r="H2346" s="3" t="s">
        <v>22</v>
      </c>
      <c r="I2346" s="3" t="n">
        <f aca="false">YEAR(E2346)</f>
        <v>2024</v>
      </c>
      <c r="J2346" s="3" t="n">
        <f aca="false">MONTH(E2346)</f>
        <v>10</v>
      </c>
      <c r="K2346" s="3" t="n">
        <f aca="false">COUNTIFS($B$2:$B$4077,B2346,$C$2:$C$4077,C2346,$I$2:$I$4077,I2346)</f>
        <v>5</v>
      </c>
      <c r="L2346" s="3" t="n">
        <f aca="false">IF(COUNTIFS($B$2:B2346,B2346,$C$2:C2346,C2346,$I$2:I2346,I2346)=1,1,0)</f>
        <v>0</v>
      </c>
      <c r="M2346" s="3" t="n">
        <f aca="false">IF(K2346&gt;=Parametri!$B$1,1,0)</f>
        <v>1</v>
      </c>
      <c r="N2346" s="3" t="n">
        <f aca="false">L2346*M2346</f>
        <v>0</v>
      </c>
    </row>
    <row r="2347" customFormat="false" ht="15" hidden="false" customHeight="false" outlineLevel="0" collapsed="false">
      <c r="A2347" s="0" t="s">
        <v>3707</v>
      </c>
      <c r="B2347" s="0" t="s">
        <v>31</v>
      </c>
      <c r="C2347" s="0" t="s">
        <v>1514</v>
      </c>
      <c r="D2347" s="0" t="s">
        <v>19</v>
      </c>
      <c r="E2347" s="2" t="n">
        <v>45718</v>
      </c>
      <c r="F2347" s="3" t="s">
        <v>20</v>
      </c>
      <c r="G2347" s="3" t="s">
        <v>35</v>
      </c>
      <c r="H2347" s="3" t="s">
        <v>29</v>
      </c>
      <c r="I2347" s="3" t="n">
        <f aca="false">YEAR(E2347)</f>
        <v>2025</v>
      </c>
      <c r="J2347" s="3" t="n">
        <f aca="false">MONTH(E2347)</f>
        <v>3</v>
      </c>
      <c r="K2347" s="3" t="n">
        <f aca="false">COUNTIFS($B$2:$B$4077,B2347,$C$2:$C$4077,C2347,$I$2:$I$4077,I2347)</f>
        <v>1</v>
      </c>
      <c r="L2347" s="3" t="n">
        <f aca="false">IF(COUNTIFS($B$2:B2347,B2347,$C$2:C2347,C2347,$I$2:I2347,I2347)=1,1,0)</f>
        <v>1</v>
      </c>
      <c r="M2347" s="3" t="n">
        <f aca="false">IF(K2347&gt;=Parametri!$B$1,1,0)</f>
        <v>0</v>
      </c>
      <c r="N2347" s="3" t="n">
        <f aca="false">L2347*M2347</f>
        <v>0</v>
      </c>
    </row>
    <row r="2348" customFormat="false" ht="15" hidden="false" customHeight="false" outlineLevel="0" collapsed="false">
      <c r="A2348" s="0" t="s">
        <v>3708</v>
      </c>
      <c r="B2348" s="0" t="s">
        <v>41</v>
      </c>
      <c r="C2348" s="0" t="s">
        <v>3709</v>
      </c>
      <c r="D2348" s="0" t="s">
        <v>77</v>
      </c>
      <c r="E2348" s="2" t="n">
        <v>45651</v>
      </c>
      <c r="F2348" s="3" t="s">
        <v>27</v>
      </c>
      <c r="G2348" s="3" t="s">
        <v>89</v>
      </c>
      <c r="H2348" s="3" t="s">
        <v>44</v>
      </c>
      <c r="I2348" s="3" t="n">
        <f aca="false">YEAR(E2348)</f>
        <v>2024</v>
      </c>
      <c r="J2348" s="3" t="n">
        <f aca="false">MONTH(E2348)</f>
        <v>12</v>
      </c>
      <c r="K2348" s="3" t="n">
        <f aca="false">COUNTIFS($B$2:$B$4077,B2348,$C$2:$C$4077,C2348,$I$2:$I$4077,I2348)</f>
        <v>1</v>
      </c>
      <c r="L2348" s="3" t="n">
        <f aca="false">IF(COUNTIFS($B$2:B2348,B2348,$C$2:C2348,C2348,$I$2:I2348,I2348)=1,1,0)</f>
        <v>1</v>
      </c>
      <c r="M2348" s="3" t="n">
        <f aca="false">IF(K2348&gt;=Parametri!$B$1,1,0)</f>
        <v>0</v>
      </c>
      <c r="N2348" s="3" t="n">
        <f aca="false">L2348*M2348</f>
        <v>0</v>
      </c>
    </row>
    <row r="2349" customFormat="false" ht="15" hidden="false" customHeight="false" outlineLevel="0" collapsed="false">
      <c r="A2349" s="0" t="s">
        <v>3710</v>
      </c>
      <c r="B2349" s="0" t="s">
        <v>17</v>
      </c>
      <c r="C2349" s="0" t="s">
        <v>3711</v>
      </c>
      <c r="D2349" s="0" t="s">
        <v>77</v>
      </c>
      <c r="E2349" s="2" t="n">
        <v>45994</v>
      </c>
      <c r="F2349" s="3" t="s">
        <v>27</v>
      </c>
      <c r="G2349" s="3" t="s">
        <v>55</v>
      </c>
      <c r="H2349" s="3" t="s">
        <v>29</v>
      </c>
      <c r="I2349" s="3" t="n">
        <f aca="false">YEAR(E2349)</f>
        <v>2025</v>
      </c>
      <c r="J2349" s="3" t="n">
        <f aca="false">MONTH(E2349)</f>
        <v>12</v>
      </c>
      <c r="K2349" s="3" t="n">
        <f aca="false">COUNTIFS($B$2:$B$4077,B2349,$C$2:$C$4077,C2349,$I$2:$I$4077,I2349)</f>
        <v>1</v>
      </c>
      <c r="L2349" s="3" t="n">
        <f aca="false">IF(COUNTIFS($B$2:B2349,B2349,$C$2:C2349,C2349,$I$2:I2349,I2349)=1,1,0)</f>
        <v>1</v>
      </c>
      <c r="M2349" s="3" t="n">
        <f aca="false">IF(K2349&gt;=Parametri!$B$1,1,0)</f>
        <v>0</v>
      </c>
      <c r="N2349" s="3" t="n">
        <f aca="false">L2349*M2349</f>
        <v>0</v>
      </c>
    </row>
    <row r="2350" customFormat="false" ht="15" hidden="false" customHeight="false" outlineLevel="0" collapsed="false">
      <c r="A2350" s="0" t="s">
        <v>3712</v>
      </c>
      <c r="B2350" s="0" t="s">
        <v>50</v>
      </c>
      <c r="C2350" s="0" t="s">
        <v>1436</v>
      </c>
      <c r="D2350" s="0" t="s">
        <v>63</v>
      </c>
      <c r="E2350" s="2" t="n">
        <v>46238</v>
      </c>
      <c r="F2350" s="3" t="s">
        <v>34</v>
      </c>
      <c r="G2350" s="3" t="s">
        <v>72</v>
      </c>
      <c r="H2350" s="3" t="s">
        <v>22</v>
      </c>
      <c r="I2350" s="3" t="n">
        <f aca="false">YEAR(E2350)</f>
        <v>2026</v>
      </c>
      <c r="J2350" s="3" t="n">
        <f aca="false">MONTH(E2350)</f>
        <v>8</v>
      </c>
      <c r="K2350" s="3" t="n">
        <f aca="false">COUNTIFS($B$2:$B$4077,B2350,$C$2:$C$4077,C2350,$I$2:$I$4077,I2350)</f>
        <v>3</v>
      </c>
      <c r="L2350" s="3" t="n">
        <f aca="false">IF(COUNTIFS($B$2:B2350,B2350,$C$2:C2350,C2350,$I$2:I2350,I2350)=1,1,0)</f>
        <v>0</v>
      </c>
      <c r="M2350" s="3" t="n">
        <f aca="false">IF(K2350&gt;=Parametri!$B$1,1,0)</f>
        <v>1</v>
      </c>
      <c r="N2350" s="3" t="n">
        <f aca="false">L2350*M2350</f>
        <v>0</v>
      </c>
    </row>
    <row r="2351" customFormat="false" ht="15" hidden="false" customHeight="false" outlineLevel="0" collapsed="false">
      <c r="A2351" s="0" t="s">
        <v>3713</v>
      </c>
      <c r="B2351" s="0" t="s">
        <v>31</v>
      </c>
      <c r="C2351" s="0" t="s">
        <v>3714</v>
      </c>
      <c r="D2351" s="0" t="s">
        <v>54</v>
      </c>
      <c r="E2351" s="2" t="n">
        <v>45844</v>
      </c>
      <c r="F2351" s="3" t="s">
        <v>20</v>
      </c>
      <c r="G2351" s="3" t="s">
        <v>39</v>
      </c>
      <c r="H2351" s="3" t="s">
        <v>48</v>
      </c>
      <c r="I2351" s="3" t="n">
        <f aca="false">YEAR(E2351)</f>
        <v>2025</v>
      </c>
      <c r="J2351" s="3" t="n">
        <f aca="false">MONTH(E2351)</f>
        <v>7</v>
      </c>
      <c r="K2351" s="3" t="n">
        <f aca="false">COUNTIFS($B$2:$B$4077,B2351,$C$2:$C$4077,C2351,$I$2:$I$4077,I2351)</f>
        <v>1</v>
      </c>
      <c r="L2351" s="3" t="n">
        <f aca="false">IF(COUNTIFS($B$2:B2351,B2351,$C$2:C2351,C2351,$I$2:I2351,I2351)=1,1,0)</f>
        <v>1</v>
      </c>
      <c r="M2351" s="3" t="n">
        <f aca="false">IF(K2351&gt;=Parametri!$B$1,1,0)</f>
        <v>0</v>
      </c>
      <c r="N2351" s="3" t="n">
        <f aca="false">L2351*M2351</f>
        <v>0</v>
      </c>
    </row>
    <row r="2352" customFormat="false" ht="15" hidden="false" customHeight="false" outlineLevel="0" collapsed="false">
      <c r="A2352" s="0" t="s">
        <v>3715</v>
      </c>
      <c r="B2352" s="0" t="s">
        <v>46</v>
      </c>
      <c r="C2352" s="0" t="s">
        <v>3716</v>
      </c>
      <c r="D2352" s="0" t="s">
        <v>54</v>
      </c>
      <c r="E2352" s="2" t="n">
        <v>46058</v>
      </c>
      <c r="F2352" s="3" t="s">
        <v>20</v>
      </c>
      <c r="G2352" s="3" t="s">
        <v>28</v>
      </c>
      <c r="H2352" s="3" t="s">
        <v>22</v>
      </c>
      <c r="I2352" s="3" t="n">
        <f aca="false">YEAR(E2352)</f>
        <v>2026</v>
      </c>
      <c r="J2352" s="3" t="n">
        <f aca="false">MONTH(E2352)</f>
        <v>2</v>
      </c>
      <c r="K2352" s="3" t="n">
        <f aca="false">COUNTIFS($B$2:$B$4077,B2352,$C$2:$C$4077,C2352,$I$2:$I$4077,I2352)</f>
        <v>1</v>
      </c>
      <c r="L2352" s="3" t="n">
        <f aca="false">IF(COUNTIFS($B$2:B2352,B2352,$C$2:C2352,C2352,$I$2:I2352,I2352)=1,1,0)</f>
        <v>1</v>
      </c>
      <c r="M2352" s="3" t="n">
        <f aca="false">IF(K2352&gt;=Parametri!$B$1,1,0)</f>
        <v>0</v>
      </c>
      <c r="N2352" s="3" t="n">
        <f aca="false">L2352*M2352</f>
        <v>0</v>
      </c>
    </row>
    <row r="2353" customFormat="false" ht="15" hidden="false" customHeight="false" outlineLevel="0" collapsed="false">
      <c r="A2353" s="0" t="s">
        <v>3717</v>
      </c>
      <c r="B2353" s="0" t="s">
        <v>17</v>
      </c>
      <c r="C2353" s="0" t="s">
        <v>3718</v>
      </c>
      <c r="D2353" s="0" t="s">
        <v>19</v>
      </c>
      <c r="E2353" s="2" t="n">
        <v>45379</v>
      </c>
      <c r="F2353" s="3" t="s">
        <v>34</v>
      </c>
      <c r="G2353" s="3" t="s">
        <v>28</v>
      </c>
      <c r="H2353" s="3" t="s">
        <v>44</v>
      </c>
      <c r="I2353" s="3" t="n">
        <f aca="false">YEAR(E2353)</f>
        <v>2024</v>
      </c>
      <c r="J2353" s="3" t="n">
        <f aca="false">MONTH(E2353)</f>
        <v>3</v>
      </c>
      <c r="K2353" s="3" t="n">
        <f aca="false">COUNTIFS($B$2:$B$4077,B2353,$C$2:$C$4077,C2353,$I$2:$I$4077,I2353)</f>
        <v>1</v>
      </c>
      <c r="L2353" s="3" t="n">
        <f aca="false">IF(COUNTIFS($B$2:B2353,B2353,$C$2:C2353,C2353,$I$2:I2353,I2353)=1,1,0)</f>
        <v>1</v>
      </c>
      <c r="M2353" s="3" t="n">
        <f aca="false">IF(K2353&gt;=Parametri!$B$1,1,0)</f>
        <v>0</v>
      </c>
      <c r="N2353" s="3" t="n">
        <f aca="false">L2353*M2353</f>
        <v>0</v>
      </c>
    </row>
    <row r="2354" customFormat="false" ht="15" hidden="false" customHeight="false" outlineLevel="0" collapsed="false">
      <c r="A2354" s="0" t="s">
        <v>3719</v>
      </c>
      <c r="B2354" s="0" t="s">
        <v>17</v>
      </c>
      <c r="C2354" s="0" t="s">
        <v>3720</v>
      </c>
      <c r="D2354" s="0" t="s">
        <v>26</v>
      </c>
      <c r="E2354" s="2" t="n">
        <v>46080</v>
      </c>
      <c r="F2354" s="3" t="s">
        <v>27</v>
      </c>
      <c r="G2354" s="3" t="s">
        <v>28</v>
      </c>
      <c r="H2354" s="3" t="s">
        <v>29</v>
      </c>
      <c r="I2354" s="3" t="n">
        <f aca="false">YEAR(E2354)</f>
        <v>2026</v>
      </c>
      <c r="J2354" s="3" t="n">
        <f aca="false">MONTH(E2354)</f>
        <v>2</v>
      </c>
      <c r="K2354" s="3" t="n">
        <f aca="false">COUNTIFS($B$2:$B$4077,B2354,$C$2:$C$4077,C2354,$I$2:$I$4077,I2354)</f>
        <v>1</v>
      </c>
      <c r="L2354" s="3" t="n">
        <f aca="false">IF(COUNTIFS($B$2:B2354,B2354,$C$2:C2354,C2354,$I$2:I2354,I2354)=1,1,0)</f>
        <v>1</v>
      </c>
      <c r="M2354" s="3" t="n">
        <f aca="false">IF(K2354&gt;=Parametri!$B$1,1,0)</f>
        <v>0</v>
      </c>
      <c r="N2354" s="3" t="n">
        <f aca="false">L2354*M2354</f>
        <v>0</v>
      </c>
    </row>
    <row r="2355" customFormat="false" ht="15" hidden="false" customHeight="false" outlineLevel="0" collapsed="false">
      <c r="A2355" s="0" t="s">
        <v>3721</v>
      </c>
      <c r="B2355" s="0" t="s">
        <v>124</v>
      </c>
      <c r="C2355" s="0" t="s">
        <v>806</v>
      </c>
      <c r="D2355" s="0" t="s">
        <v>38</v>
      </c>
      <c r="E2355" s="2" t="n">
        <v>46161</v>
      </c>
      <c r="F2355" s="3" t="s">
        <v>34</v>
      </c>
      <c r="G2355" s="3" t="s">
        <v>21</v>
      </c>
      <c r="H2355" s="3" t="s">
        <v>44</v>
      </c>
      <c r="I2355" s="3" t="n">
        <f aca="false">YEAR(E2355)</f>
        <v>2026</v>
      </c>
      <c r="J2355" s="3" t="n">
        <f aca="false">MONTH(E2355)</f>
        <v>5</v>
      </c>
      <c r="K2355" s="3" t="n">
        <f aca="false">COUNTIFS($B$2:$B$4077,B2355,$C$2:$C$4077,C2355,$I$2:$I$4077,I2355)</f>
        <v>4</v>
      </c>
      <c r="L2355" s="3" t="n">
        <f aca="false">IF(COUNTIFS($B$2:B2355,B2355,$C$2:C2355,C2355,$I$2:I2355,I2355)=1,1,0)</f>
        <v>0</v>
      </c>
      <c r="M2355" s="3" t="n">
        <f aca="false">IF(K2355&gt;=Parametri!$B$1,1,0)</f>
        <v>1</v>
      </c>
      <c r="N2355" s="3" t="n">
        <f aca="false">L2355*M2355</f>
        <v>0</v>
      </c>
    </row>
    <row r="2356" customFormat="false" ht="15" hidden="false" customHeight="false" outlineLevel="0" collapsed="false">
      <c r="A2356" s="0" t="s">
        <v>3722</v>
      </c>
      <c r="B2356" s="0" t="s">
        <v>79</v>
      </c>
      <c r="C2356" s="0" t="s">
        <v>116</v>
      </c>
      <c r="D2356" s="0" t="s">
        <v>77</v>
      </c>
      <c r="E2356" s="2" t="n">
        <v>45877</v>
      </c>
      <c r="F2356" s="3" t="s">
        <v>20</v>
      </c>
      <c r="G2356" s="3" t="s">
        <v>35</v>
      </c>
      <c r="H2356" s="3" t="s">
        <v>48</v>
      </c>
      <c r="I2356" s="3" t="n">
        <f aca="false">YEAR(E2356)</f>
        <v>2025</v>
      </c>
      <c r="J2356" s="3" t="n">
        <f aca="false">MONTH(E2356)</f>
        <v>8</v>
      </c>
      <c r="K2356" s="3" t="n">
        <f aca="false">COUNTIFS($B$2:$B$4077,B2356,$C$2:$C$4077,C2356,$I$2:$I$4077,I2356)</f>
        <v>6</v>
      </c>
      <c r="L2356" s="3" t="n">
        <f aca="false">IF(COUNTIFS($B$2:B2356,B2356,$C$2:C2356,C2356,$I$2:I2356,I2356)=1,1,0)</f>
        <v>0</v>
      </c>
      <c r="M2356" s="3" t="n">
        <f aca="false">IF(K2356&gt;=Parametri!$B$1,1,0)</f>
        <v>1</v>
      </c>
      <c r="N2356" s="3" t="n">
        <f aca="false">L2356*M2356</f>
        <v>0</v>
      </c>
    </row>
    <row r="2357" customFormat="false" ht="15" hidden="false" customHeight="false" outlineLevel="0" collapsed="false">
      <c r="A2357" s="0" t="s">
        <v>3723</v>
      </c>
      <c r="B2357" s="0" t="s">
        <v>50</v>
      </c>
      <c r="C2357" s="0" t="s">
        <v>1164</v>
      </c>
      <c r="D2357" s="0" t="s">
        <v>26</v>
      </c>
      <c r="E2357" s="2" t="n">
        <v>46072</v>
      </c>
      <c r="F2357" s="3" t="s">
        <v>27</v>
      </c>
      <c r="G2357" s="3" t="s">
        <v>39</v>
      </c>
      <c r="H2357" s="3" t="s">
        <v>29</v>
      </c>
      <c r="I2357" s="3" t="n">
        <f aca="false">YEAR(E2357)</f>
        <v>2026</v>
      </c>
      <c r="J2357" s="3" t="n">
        <f aca="false">MONTH(E2357)</f>
        <v>2</v>
      </c>
      <c r="K2357" s="3" t="n">
        <f aca="false">COUNTIFS($B$2:$B$4077,B2357,$C$2:$C$4077,C2357,$I$2:$I$4077,I2357)</f>
        <v>3</v>
      </c>
      <c r="L2357" s="3" t="n">
        <f aca="false">IF(COUNTIFS($B$2:B2357,B2357,$C$2:C2357,C2357,$I$2:I2357,I2357)=1,1,0)</f>
        <v>0</v>
      </c>
      <c r="M2357" s="3" t="n">
        <f aca="false">IF(K2357&gt;=Parametri!$B$1,1,0)</f>
        <v>1</v>
      </c>
      <c r="N2357" s="3" t="n">
        <f aca="false">L2357*M2357</f>
        <v>0</v>
      </c>
    </row>
    <row r="2358" customFormat="false" ht="15" hidden="false" customHeight="false" outlineLevel="0" collapsed="false">
      <c r="A2358" s="0" t="s">
        <v>3724</v>
      </c>
      <c r="B2358" s="0" t="s">
        <v>68</v>
      </c>
      <c r="C2358" s="0" t="s">
        <v>3725</v>
      </c>
      <c r="D2358" s="0" t="s">
        <v>63</v>
      </c>
      <c r="E2358" s="2" t="n">
        <v>46112</v>
      </c>
      <c r="F2358" s="3" t="s">
        <v>20</v>
      </c>
      <c r="G2358" s="3" t="s">
        <v>55</v>
      </c>
      <c r="H2358" s="3" t="s">
        <v>22</v>
      </c>
      <c r="I2358" s="3" t="n">
        <f aca="false">YEAR(E2358)</f>
        <v>2026</v>
      </c>
      <c r="J2358" s="3" t="n">
        <f aca="false">MONTH(E2358)</f>
        <v>3</v>
      </c>
      <c r="K2358" s="3" t="n">
        <f aca="false">COUNTIFS($B$2:$B$4077,B2358,$C$2:$C$4077,C2358,$I$2:$I$4077,I2358)</f>
        <v>1</v>
      </c>
      <c r="L2358" s="3" t="n">
        <f aca="false">IF(COUNTIFS($B$2:B2358,B2358,$C$2:C2358,C2358,$I$2:I2358,I2358)=1,1,0)</f>
        <v>1</v>
      </c>
      <c r="M2358" s="3" t="n">
        <f aca="false">IF(K2358&gt;=Parametri!$B$1,1,0)</f>
        <v>0</v>
      </c>
      <c r="N2358" s="3" t="n">
        <f aca="false">L2358*M2358</f>
        <v>0</v>
      </c>
    </row>
    <row r="2359" customFormat="false" ht="15" hidden="false" customHeight="false" outlineLevel="0" collapsed="false">
      <c r="A2359" s="0" t="s">
        <v>3726</v>
      </c>
      <c r="B2359" s="0" t="s">
        <v>17</v>
      </c>
      <c r="C2359" s="0" t="s">
        <v>110</v>
      </c>
      <c r="D2359" s="0" t="s">
        <v>54</v>
      </c>
      <c r="E2359" s="2" t="n">
        <v>45628</v>
      </c>
      <c r="F2359" s="3" t="s">
        <v>34</v>
      </c>
      <c r="G2359" s="3" t="s">
        <v>72</v>
      </c>
      <c r="H2359" s="3" t="s">
        <v>48</v>
      </c>
      <c r="I2359" s="3" t="n">
        <f aca="false">YEAR(E2359)</f>
        <v>2024</v>
      </c>
      <c r="J2359" s="3" t="n">
        <f aca="false">MONTH(E2359)</f>
        <v>12</v>
      </c>
      <c r="K2359" s="3" t="n">
        <f aca="false">COUNTIFS($B$2:$B$4077,B2359,$C$2:$C$4077,C2359,$I$2:$I$4077,I2359)</f>
        <v>2</v>
      </c>
      <c r="L2359" s="3" t="n">
        <f aca="false">IF(COUNTIFS($B$2:B2359,B2359,$C$2:C2359,C2359,$I$2:I2359,I2359)=1,1,0)</f>
        <v>0</v>
      </c>
      <c r="M2359" s="3" t="n">
        <f aca="false">IF(K2359&gt;=Parametri!$B$1,1,0)</f>
        <v>1</v>
      </c>
      <c r="N2359" s="3" t="n">
        <f aca="false">L2359*M2359</f>
        <v>0</v>
      </c>
    </row>
    <row r="2360" customFormat="false" ht="15" hidden="false" customHeight="false" outlineLevel="0" collapsed="false">
      <c r="A2360" s="0" t="s">
        <v>3727</v>
      </c>
      <c r="B2360" s="0" t="s">
        <v>57</v>
      </c>
      <c r="C2360" s="0" t="s">
        <v>436</v>
      </c>
      <c r="D2360" s="0" t="s">
        <v>66</v>
      </c>
      <c r="E2360" s="2" t="n">
        <v>46057</v>
      </c>
      <c r="F2360" s="3" t="s">
        <v>34</v>
      </c>
      <c r="G2360" s="3" t="s">
        <v>72</v>
      </c>
      <c r="H2360" s="3" t="s">
        <v>22</v>
      </c>
      <c r="I2360" s="3" t="n">
        <f aca="false">YEAR(E2360)</f>
        <v>2026</v>
      </c>
      <c r="J2360" s="3" t="n">
        <f aca="false">MONTH(E2360)</f>
        <v>2</v>
      </c>
      <c r="K2360" s="3" t="n">
        <f aca="false">COUNTIFS($B$2:$B$4077,B2360,$C$2:$C$4077,C2360,$I$2:$I$4077,I2360)</f>
        <v>1</v>
      </c>
      <c r="L2360" s="3" t="n">
        <f aca="false">IF(COUNTIFS($B$2:B2360,B2360,$C$2:C2360,C2360,$I$2:I2360,I2360)=1,1,0)</f>
        <v>1</v>
      </c>
      <c r="M2360" s="3" t="n">
        <f aca="false">IF(K2360&gt;=Parametri!$B$1,1,0)</f>
        <v>0</v>
      </c>
      <c r="N2360" s="3" t="n">
        <f aca="false">L2360*M2360</f>
        <v>0</v>
      </c>
    </row>
    <row r="2361" customFormat="false" ht="15" hidden="false" customHeight="false" outlineLevel="0" collapsed="false">
      <c r="A2361" s="0" t="s">
        <v>3728</v>
      </c>
      <c r="B2361" s="0" t="s">
        <v>46</v>
      </c>
      <c r="C2361" s="0" t="s">
        <v>3729</v>
      </c>
      <c r="D2361" s="0" t="s">
        <v>19</v>
      </c>
      <c r="E2361" s="2" t="n">
        <v>46077</v>
      </c>
      <c r="F2361" s="3" t="s">
        <v>27</v>
      </c>
      <c r="G2361" s="3" t="s">
        <v>39</v>
      </c>
      <c r="H2361" s="3" t="s">
        <v>48</v>
      </c>
      <c r="I2361" s="3" t="n">
        <f aca="false">YEAR(E2361)</f>
        <v>2026</v>
      </c>
      <c r="J2361" s="3" t="n">
        <f aca="false">MONTH(E2361)</f>
        <v>2</v>
      </c>
      <c r="K2361" s="3" t="n">
        <f aca="false">COUNTIFS($B$2:$B$4077,B2361,$C$2:$C$4077,C2361,$I$2:$I$4077,I2361)</f>
        <v>1</v>
      </c>
      <c r="L2361" s="3" t="n">
        <f aca="false">IF(COUNTIFS($B$2:B2361,B2361,$C$2:C2361,C2361,$I$2:I2361,I2361)=1,1,0)</f>
        <v>1</v>
      </c>
      <c r="M2361" s="3" t="n">
        <f aca="false">IF(K2361&gt;=Parametri!$B$1,1,0)</f>
        <v>0</v>
      </c>
      <c r="N2361" s="3" t="n">
        <f aca="false">L2361*M2361</f>
        <v>0</v>
      </c>
    </row>
    <row r="2362" customFormat="false" ht="15" hidden="false" customHeight="false" outlineLevel="0" collapsed="false">
      <c r="A2362" s="0" t="s">
        <v>3730</v>
      </c>
      <c r="B2362" s="0" t="s">
        <v>41</v>
      </c>
      <c r="C2362" s="0" t="s">
        <v>3731</v>
      </c>
      <c r="D2362" s="0" t="s">
        <v>33</v>
      </c>
      <c r="E2362" s="2" t="n">
        <v>46047</v>
      </c>
      <c r="F2362" s="3" t="s">
        <v>20</v>
      </c>
      <c r="G2362" s="3" t="s">
        <v>39</v>
      </c>
      <c r="H2362" s="3" t="s">
        <v>22</v>
      </c>
      <c r="I2362" s="3" t="n">
        <f aca="false">YEAR(E2362)</f>
        <v>2026</v>
      </c>
      <c r="J2362" s="3" t="n">
        <f aca="false">MONTH(E2362)</f>
        <v>1</v>
      </c>
      <c r="K2362" s="3" t="n">
        <f aca="false">COUNTIFS($B$2:$B$4077,B2362,$C$2:$C$4077,C2362,$I$2:$I$4077,I2362)</f>
        <v>1</v>
      </c>
      <c r="L2362" s="3" t="n">
        <f aca="false">IF(COUNTIFS($B$2:B2362,B2362,$C$2:C2362,C2362,$I$2:I2362,I2362)=1,1,0)</f>
        <v>1</v>
      </c>
      <c r="M2362" s="3" t="n">
        <f aca="false">IF(K2362&gt;=Parametri!$B$1,1,0)</f>
        <v>0</v>
      </c>
      <c r="N2362" s="3" t="n">
        <f aca="false">L2362*M2362</f>
        <v>0</v>
      </c>
    </row>
    <row r="2363" customFormat="false" ht="15" hidden="false" customHeight="false" outlineLevel="0" collapsed="false">
      <c r="A2363" s="0" t="s">
        <v>3732</v>
      </c>
      <c r="B2363" s="0" t="s">
        <v>24</v>
      </c>
      <c r="C2363" s="0" t="s">
        <v>2982</v>
      </c>
      <c r="D2363" s="0" t="s">
        <v>33</v>
      </c>
      <c r="E2363" s="2" t="n">
        <v>45582</v>
      </c>
      <c r="F2363" s="3" t="s">
        <v>20</v>
      </c>
      <c r="G2363" s="3" t="s">
        <v>21</v>
      </c>
      <c r="H2363" s="3" t="s">
        <v>22</v>
      </c>
      <c r="I2363" s="3" t="n">
        <f aca="false">YEAR(E2363)</f>
        <v>2024</v>
      </c>
      <c r="J2363" s="3" t="n">
        <f aca="false">MONTH(E2363)</f>
        <v>10</v>
      </c>
      <c r="K2363" s="3" t="n">
        <f aca="false">COUNTIFS($B$2:$B$4077,B2363,$C$2:$C$4077,C2363,$I$2:$I$4077,I2363)</f>
        <v>2</v>
      </c>
      <c r="L2363" s="3" t="n">
        <f aca="false">IF(COUNTIFS($B$2:B2363,B2363,$C$2:C2363,C2363,$I$2:I2363,I2363)=1,1,0)</f>
        <v>0</v>
      </c>
      <c r="M2363" s="3" t="n">
        <f aca="false">IF(K2363&gt;=Parametri!$B$1,1,0)</f>
        <v>1</v>
      </c>
      <c r="N2363" s="3" t="n">
        <f aca="false">L2363*M2363</f>
        <v>0</v>
      </c>
    </row>
    <row r="2364" customFormat="false" ht="15" hidden="false" customHeight="false" outlineLevel="0" collapsed="false">
      <c r="A2364" s="0" t="s">
        <v>3733</v>
      </c>
      <c r="B2364" s="0" t="s">
        <v>50</v>
      </c>
      <c r="C2364" s="0" t="s">
        <v>3734</v>
      </c>
      <c r="D2364" s="0" t="s">
        <v>38</v>
      </c>
      <c r="E2364" s="2" t="n">
        <v>46260</v>
      </c>
      <c r="F2364" s="3" t="s">
        <v>20</v>
      </c>
      <c r="G2364" s="3" t="s">
        <v>35</v>
      </c>
      <c r="H2364" s="3" t="s">
        <v>29</v>
      </c>
      <c r="I2364" s="3" t="n">
        <f aca="false">YEAR(E2364)</f>
        <v>2026</v>
      </c>
      <c r="J2364" s="3" t="n">
        <f aca="false">MONTH(E2364)</f>
        <v>8</v>
      </c>
      <c r="K2364" s="3" t="n">
        <f aca="false">COUNTIFS($B$2:$B$4077,B2364,$C$2:$C$4077,C2364,$I$2:$I$4077,I2364)</f>
        <v>1</v>
      </c>
      <c r="L2364" s="3" t="n">
        <f aca="false">IF(COUNTIFS($B$2:B2364,B2364,$C$2:C2364,C2364,$I$2:I2364,I2364)=1,1,0)</f>
        <v>1</v>
      </c>
      <c r="M2364" s="3" t="n">
        <f aca="false">IF(K2364&gt;=Parametri!$B$1,1,0)</f>
        <v>0</v>
      </c>
      <c r="N2364" s="3" t="n">
        <f aca="false">L2364*M2364</f>
        <v>0</v>
      </c>
    </row>
    <row r="2365" customFormat="false" ht="15" hidden="false" customHeight="false" outlineLevel="0" collapsed="false">
      <c r="A2365" s="0" t="s">
        <v>3735</v>
      </c>
      <c r="B2365" s="0" t="s">
        <v>79</v>
      </c>
      <c r="C2365" s="0" t="s">
        <v>3736</v>
      </c>
      <c r="D2365" s="0" t="s">
        <v>77</v>
      </c>
      <c r="E2365" s="2" t="n">
        <v>45849</v>
      </c>
      <c r="F2365" s="3" t="s">
        <v>20</v>
      </c>
      <c r="G2365" s="3" t="s">
        <v>39</v>
      </c>
      <c r="H2365" s="3" t="s">
        <v>44</v>
      </c>
      <c r="I2365" s="3" t="n">
        <f aca="false">YEAR(E2365)</f>
        <v>2025</v>
      </c>
      <c r="J2365" s="3" t="n">
        <f aca="false">MONTH(E2365)</f>
        <v>7</v>
      </c>
      <c r="K2365" s="3" t="n">
        <f aca="false">COUNTIFS($B$2:$B$4077,B2365,$C$2:$C$4077,C2365,$I$2:$I$4077,I2365)</f>
        <v>1</v>
      </c>
      <c r="L2365" s="3" t="n">
        <f aca="false">IF(COUNTIFS($B$2:B2365,B2365,$C$2:C2365,C2365,$I$2:I2365,I2365)=1,1,0)</f>
        <v>1</v>
      </c>
      <c r="M2365" s="3" t="n">
        <f aca="false">IF(K2365&gt;=Parametri!$B$1,1,0)</f>
        <v>0</v>
      </c>
      <c r="N2365" s="3" t="n">
        <f aca="false">L2365*M2365</f>
        <v>0</v>
      </c>
    </row>
    <row r="2366" customFormat="false" ht="15" hidden="false" customHeight="false" outlineLevel="0" collapsed="false">
      <c r="A2366" s="0" t="s">
        <v>3737</v>
      </c>
      <c r="B2366" s="0" t="s">
        <v>124</v>
      </c>
      <c r="C2366" s="0" t="s">
        <v>393</v>
      </c>
      <c r="D2366" s="0" t="s">
        <v>77</v>
      </c>
      <c r="E2366" s="2" t="n">
        <v>45371</v>
      </c>
      <c r="F2366" s="3" t="s">
        <v>20</v>
      </c>
      <c r="G2366" s="3" t="s">
        <v>28</v>
      </c>
      <c r="H2366" s="3" t="s">
        <v>29</v>
      </c>
      <c r="I2366" s="3" t="n">
        <f aca="false">YEAR(E2366)</f>
        <v>2024</v>
      </c>
      <c r="J2366" s="3" t="n">
        <f aca="false">MONTH(E2366)</f>
        <v>3</v>
      </c>
      <c r="K2366" s="3" t="n">
        <f aca="false">COUNTIFS($B$2:$B$4077,B2366,$C$2:$C$4077,C2366,$I$2:$I$4077,I2366)</f>
        <v>3</v>
      </c>
      <c r="L2366" s="3" t="n">
        <f aca="false">IF(COUNTIFS($B$2:B2366,B2366,$C$2:C2366,C2366,$I$2:I2366,I2366)=1,1,0)</f>
        <v>0</v>
      </c>
      <c r="M2366" s="3" t="n">
        <f aca="false">IF(K2366&gt;=Parametri!$B$1,1,0)</f>
        <v>1</v>
      </c>
      <c r="N2366" s="3" t="n">
        <f aca="false">L2366*M2366</f>
        <v>0</v>
      </c>
    </row>
    <row r="2367" customFormat="false" ht="15" hidden="false" customHeight="false" outlineLevel="0" collapsed="false">
      <c r="A2367" s="0" t="s">
        <v>3738</v>
      </c>
      <c r="B2367" s="0" t="s">
        <v>24</v>
      </c>
      <c r="C2367" s="0" t="s">
        <v>271</v>
      </c>
      <c r="D2367" s="0" t="s">
        <v>19</v>
      </c>
      <c r="E2367" s="2" t="n">
        <v>45568</v>
      </c>
      <c r="F2367" s="3" t="s">
        <v>27</v>
      </c>
      <c r="G2367" s="3" t="s">
        <v>35</v>
      </c>
      <c r="H2367" s="3" t="s">
        <v>29</v>
      </c>
      <c r="I2367" s="3" t="n">
        <f aca="false">YEAR(E2367)</f>
        <v>2024</v>
      </c>
      <c r="J2367" s="3" t="n">
        <f aca="false">MONTH(E2367)</f>
        <v>10</v>
      </c>
      <c r="K2367" s="3" t="n">
        <f aca="false">COUNTIFS($B$2:$B$4077,B2367,$C$2:$C$4077,C2367,$I$2:$I$4077,I2367)</f>
        <v>6</v>
      </c>
      <c r="L2367" s="3" t="n">
        <f aca="false">IF(COUNTIFS($B$2:B2367,B2367,$C$2:C2367,C2367,$I$2:I2367,I2367)=1,1,0)</f>
        <v>0</v>
      </c>
      <c r="M2367" s="3" t="n">
        <f aca="false">IF(K2367&gt;=Parametri!$B$1,1,0)</f>
        <v>1</v>
      </c>
      <c r="N2367" s="3" t="n">
        <f aca="false">L2367*M2367</f>
        <v>0</v>
      </c>
    </row>
    <row r="2368" customFormat="false" ht="15" hidden="false" customHeight="false" outlineLevel="0" collapsed="false">
      <c r="A2368" s="0" t="s">
        <v>3739</v>
      </c>
      <c r="B2368" s="0" t="s">
        <v>57</v>
      </c>
      <c r="C2368" s="0" t="s">
        <v>216</v>
      </c>
      <c r="D2368" s="0" t="s">
        <v>38</v>
      </c>
      <c r="E2368" s="2" t="n">
        <v>46038</v>
      </c>
      <c r="F2368" s="3" t="s">
        <v>27</v>
      </c>
      <c r="G2368" s="3" t="s">
        <v>39</v>
      </c>
      <c r="H2368" s="3" t="s">
        <v>44</v>
      </c>
      <c r="I2368" s="3" t="n">
        <f aca="false">YEAR(E2368)</f>
        <v>2026</v>
      </c>
      <c r="J2368" s="3" t="n">
        <f aca="false">MONTH(E2368)</f>
        <v>1</v>
      </c>
      <c r="K2368" s="3" t="n">
        <f aca="false">COUNTIFS($B$2:$B$4077,B2368,$C$2:$C$4077,C2368,$I$2:$I$4077,I2368)</f>
        <v>7</v>
      </c>
      <c r="L2368" s="3" t="n">
        <f aca="false">IF(COUNTIFS($B$2:B2368,B2368,$C$2:C2368,C2368,$I$2:I2368,I2368)=1,1,0)</f>
        <v>0</v>
      </c>
      <c r="M2368" s="3" t="n">
        <f aca="false">IF(K2368&gt;=Parametri!$B$1,1,0)</f>
        <v>1</v>
      </c>
      <c r="N2368" s="3" t="n">
        <f aca="false">L2368*M2368</f>
        <v>0</v>
      </c>
    </row>
    <row r="2369" customFormat="false" ht="15" hidden="false" customHeight="false" outlineLevel="0" collapsed="false">
      <c r="A2369" s="0" t="s">
        <v>3740</v>
      </c>
      <c r="B2369" s="0" t="s">
        <v>124</v>
      </c>
      <c r="C2369" s="0" t="s">
        <v>1546</v>
      </c>
      <c r="D2369" s="0" t="s">
        <v>33</v>
      </c>
      <c r="E2369" s="2" t="n">
        <v>45445</v>
      </c>
      <c r="F2369" s="3" t="s">
        <v>20</v>
      </c>
      <c r="G2369" s="3" t="s">
        <v>104</v>
      </c>
      <c r="H2369" s="3" t="s">
        <v>44</v>
      </c>
      <c r="I2369" s="3" t="n">
        <f aca="false">YEAR(E2369)</f>
        <v>2024</v>
      </c>
      <c r="J2369" s="3" t="n">
        <f aca="false">MONTH(E2369)</f>
        <v>6</v>
      </c>
      <c r="K2369" s="3" t="n">
        <f aca="false">COUNTIFS($B$2:$B$4077,B2369,$C$2:$C$4077,C2369,$I$2:$I$4077,I2369)</f>
        <v>3</v>
      </c>
      <c r="L2369" s="3" t="n">
        <f aca="false">IF(COUNTIFS($B$2:B2369,B2369,$C$2:C2369,C2369,$I$2:I2369,I2369)=1,1,0)</f>
        <v>0</v>
      </c>
      <c r="M2369" s="3" t="n">
        <f aca="false">IF(K2369&gt;=Parametri!$B$1,1,0)</f>
        <v>1</v>
      </c>
      <c r="N2369" s="3" t="n">
        <f aca="false">L2369*M2369</f>
        <v>0</v>
      </c>
    </row>
    <row r="2370" customFormat="false" ht="15" hidden="false" customHeight="false" outlineLevel="0" collapsed="false">
      <c r="A2370" s="0" t="s">
        <v>3741</v>
      </c>
      <c r="B2370" s="0" t="s">
        <v>17</v>
      </c>
      <c r="C2370" s="0" t="s">
        <v>791</v>
      </c>
      <c r="D2370" s="0" t="s">
        <v>19</v>
      </c>
      <c r="E2370" s="2" t="n">
        <v>45588</v>
      </c>
      <c r="F2370" s="3" t="s">
        <v>20</v>
      </c>
      <c r="G2370" s="3" t="s">
        <v>72</v>
      </c>
      <c r="H2370" s="3" t="s">
        <v>29</v>
      </c>
      <c r="I2370" s="3" t="n">
        <f aca="false">YEAR(E2370)</f>
        <v>2024</v>
      </c>
      <c r="J2370" s="3" t="n">
        <f aca="false">MONTH(E2370)</f>
        <v>10</v>
      </c>
      <c r="K2370" s="3" t="n">
        <f aca="false">COUNTIFS($B$2:$B$4077,B2370,$C$2:$C$4077,C2370,$I$2:$I$4077,I2370)</f>
        <v>7</v>
      </c>
      <c r="L2370" s="3" t="n">
        <f aca="false">IF(COUNTIFS($B$2:B2370,B2370,$C$2:C2370,C2370,$I$2:I2370,I2370)=1,1,0)</f>
        <v>0</v>
      </c>
      <c r="M2370" s="3" t="n">
        <f aca="false">IF(K2370&gt;=Parametri!$B$1,1,0)</f>
        <v>1</v>
      </c>
      <c r="N2370" s="3" t="n">
        <f aca="false">L2370*M2370</f>
        <v>0</v>
      </c>
    </row>
    <row r="2371" customFormat="false" ht="15" hidden="false" customHeight="false" outlineLevel="0" collapsed="false">
      <c r="A2371" s="0" t="s">
        <v>3742</v>
      </c>
      <c r="B2371" s="0" t="s">
        <v>57</v>
      </c>
      <c r="C2371" s="0" t="s">
        <v>419</v>
      </c>
      <c r="D2371" s="0" t="s">
        <v>19</v>
      </c>
      <c r="E2371" s="2" t="n">
        <v>45543</v>
      </c>
      <c r="F2371" s="3" t="s">
        <v>20</v>
      </c>
      <c r="G2371" s="3" t="s">
        <v>55</v>
      </c>
      <c r="H2371" s="3" t="s">
        <v>48</v>
      </c>
      <c r="I2371" s="3" t="n">
        <f aca="false">YEAR(E2371)</f>
        <v>2024</v>
      </c>
      <c r="J2371" s="3" t="n">
        <f aca="false">MONTH(E2371)</f>
        <v>9</v>
      </c>
      <c r="K2371" s="3" t="n">
        <f aca="false">COUNTIFS($B$2:$B$4077,B2371,$C$2:$C$4077,C2371,$I$2:$I$4077,I2371)</f>
        <v>3</v>
      </c>
      <c r="L2371" s="3" t="n">
        <f aca="false">IF(COUNTIFS($B$2:B2371,B2371,$C$2:C2371,C2371,$I$2:I2371,I2371)=1,1,0)</f>
        <v>0</v>
      </c>
      <c r="M2371" s="3" t="n">
        <f aca="false">IF(K2371&gt;=Parametri!$B$1,1,0)</f>
        <v>1</v>
      </c>
      <c r="N2371" s="3" t="n">
        <f aca="false">L2371*M2371</f>
        <v>0</v>
      </c>
    </row>
    <row r="2372" customFormat="false" ht="15" hidden="false" customHeight="false" outlineLevel="0" collapsed="false">
      <c r="A2372" s="0" t="s">
        <v>3743</v>
      </c>
      <c r="B2372" s="0" t="s">
        <v>124</v>
      </c>
      <c r="C2372" s="0" t="s">
        <v>1330</v>
      </c>
      <c r="D2372" s="0" t="s">
        <v>33</v>
      </c>
      <c r="E2372" s="2" t="n">
        <v>45943</v>
      </c>
      <c r="F2372" s="3" t="s">
        <v>20</v>
      </c>
      <c r="G2372" s="3" t="s">
        <v>28</v>
      </c>
      <c r="H2372" s="3" t="s">
        <v>22</v>
      </c>
      <c r="I2372" s="3" t="n">
        <f aca="false">YEAR(E2372)</f>
        <v>2025</v>
      </c>
      <c r="J2372" s="3" t="n">
        <f aca="false">MONTH(E2372)</f>
        <v>10</v>
      </c>
      <c r="K2372" s="3" t="n">
        <f aca="false">COUNTIFS($B$2:$B$4077,B2372,$C$2:$C$4077,C2372,$I$2:$I$4077,I2372)</f>
        <v>1</v>
      </c>
      <c r="L2372" s="3" t="n">
        <f aca="false">IF(COUNTIFS($B$2:B2372,B2372,$C$2:C2372,C2372,$I$2:I2372,I2372)=1,1,0)</f>
        <v>1</v>
      </c>
      <c r="M2372" s="3" t="n">
        <f aca="false">IF(K2372&gt;=Parametri!$B$1,1,0)</f>
        <v>0</v>
      </c>
      <c r="N2372" s="3" t="n">
        <f aca="false">L2372*M2372</f>
        <v>0</v>
      </c>
    </row>
    <row r="2373" customFormat="false" ht="15" hidden="false" customHeight="false" outlineLevel="0" collapsed="false">
      <c r="A2373" s="0" t="s">
        <v>3744</v>
      </c>
      <c r="B2373" s="0" t="s">
        <v>124</v>
      </c>
      <c r="C2373" s="0" t="s">
        <v>2966</v>
      </c>
      <c r="D2373" s="0" t="s">
        <v>19</v>
      </c>
      <c r="E2373" s="2" t="n">
        <v>46175</v>
      </c>
      <c r="F2373" s="3" t="s">
        <v>34</v>
      </c>
      <c r="G2373" s="3" t="s">
        <v>72</v>
      </c>
      <c r="H2373" s="3" t="s">
        <v>29</v>
      </c>
      <c r="I2373" s="3" t="n">
        <f aca="false">YEAR(E2373)</f>
        <v>2026</v>
      </c>
      <c r="J2373" s="3" t="n">
        <f aca="false">MONTH(E2373)</f>
        <v>6</v>
      </c>
      <c r="K2373" s="3" t="n">
        <f aca="false">COUNTIFS($B$2:$B$4077,B2373,$C$2:$C$4077,C2373,$I$2:$I$4077,I2373)</f>
        <v>3</v>
      </c>
      <c r="L2373" s="3" t="n">
        <f aca="false">IF(COUNTIFS($B$2:B2373,B2373,$C$2:C2373,C2373,$I$2:I2373,I2373)=1,1,0)</f>
        <v>0</v>
      </c>
      <c r="M2373" s="3" t="n">
        <f aca="false">IF(K2373&gt;=Parametri!$B$1,1,0)</f>
        <v>1</v>
      </c>
      <c r="N2373" s="3" t="n">
        <f aca="false">L2373*M2373</f>
        <v>0</v>
      </c>
    </row>
    <row r="2374" customFormat="false" ht="15" hidden="false" customHeight="false" outlineLevel="0" collapsed="false">
      <c r="A2374" s="0" t="s">
        <v>3745</v>
      </c>
      <c r="B2374" s="0" t="s">
        <v>46</v>
      </c>
      <c r="C2374" s="0" t="s">
        <v>962</v>
      </c>
      <c r="D2374" s="0" t="s">
        <v>38</v>
      </c>
      <c r="E2374" s="2" t="n">
        <v>45687</v>
      </c>
      <c r="F2374" s="3" t="s">
        <v>20</v>
      </c>
      <c r="G2374" s="3" t="s">
        <v>39</v>
      </c>
      <c r="H2374" s="3" t="s">
        <v>44</v>
      </c>
      <c r="I2374" s="3" t="n">
        <f aca="false">YEAR(E2374)</f>
        <v>2025</v>
      </c>
      <c r="J2374" s="3" t="n">
        <f aca="false">MONTH(E2374)</f>
        <v>1</v>
      </c>
      <c r="K2374" s="3" t="n">
        <f aca="false">COUNTIFS($B$2:$B$4077,B2374,$C$2:$C$4077,C2374,$I$2:$I$4077,I2374)</f>
        <v>5</v>
      </c>
      <c r="L2374" s="3" t="n">
        <f aca="false">IF(COUNTIFS($B$2:B2374,B2374,$C$2:C2374,C2374,$I$2:I2374,I2374)=1,1,0)</f>
        <v>0</v>
      </c>
      <c r="M2374" s="3" t="n">
        <f aca="false">IF(K2374&gt;=Parametri!$B$1,1,0)</f>
        <v>1</v>
      </c>
      <c r="N2374" s="3" t="n">
        <f aca="false">L2374*M2374</f>
        <v>0</v>
      </c>
    </row>
    <row r="2375" customFormat="false" ht="15" hidden="false" customHeight="false" outlineLevel="0" collapsed="false">
      <c r="A2375" s="0" t="s">
        <v>3746</v>
      </c>
      <c r="B2375" s="0" t="s">
        <v>124</v>
      </c>
      <c r="C2375" s="0" t="s">
        <v>3747</v>
      </c>
      <c r="D2375" s="0" t="s">
        <v>54</v>
      </c>
      <c r="E2375" s="2" t="n">
        <v>45995</v>
      </c>
      <c r="F2375" s="3" t="s">
        <v>20</v>
      </c>
      <c r="G2375" s="3" t="s">
        <v>89</v>
      </c>
      <c r="H2375" s="3" t="s">
        <v>22</v>
      </c>
      <c r="I2375" s="3" t="n">
        <f aca="false">YEAR(E2375)</f>
        <v>2025</v>
      </c>
      <c r="J2375" s="3" t="n">
        <f aca="false">MONTH(E2375)</f>
        <v>12</v>
      </c>
      <c r="K2375" s="3" t="n">
        <f aca="false">COUNTIFS($B$2:$B$4077,B2375,$C$2:$C$4077,C2375,$I$2:$I$4077,I2375)</f>
        <v>2</v>
      </c>
      <c r="L2375" s="3" t="n">
        <f aca="false">IF(COUNTIFS($B$2:B2375,B2375,$C$2:C2375,C2375,$I$2:I2375,I2375)=1,1,0)</f>
        <v>1</v>
      </c>
      <c r="M2375" s="3" t="n">
        <f aca="false">IF(K2375&gt;=Parametri!$B$1,1,0)</f>
        <v>1</v>
      </c>
      <c r="N2375" s="3" t="n">
        <f aca="false">L2375*M2375</f>
        <v>1</v>
      </c>
    </row>
    <row r="2376" customFormat="false" ht="15" hidden="false" customHeight="false" outlineLevel="0" collapsed="false">
      <c r="A2376" s="0" t="s">
        <v>3748</v>
      </c>
      <c r="B2376" s="0" t="s">
        <v>17</v>
      </c>
      <c r="C2376" s="0" t="s">
        <v>3749</v>
      </c>
      <c r="D2376" s="0" t="s">
        <v>26</v>
      </c>
      <c r="E2376" s="2" t="n">
        <v>46118</v>
      </c>
      <c r="F2376" s="3" t="s">
        <v>34</v>
      </c>
      <c r="G2376" s="3" t="s">
        <v>21</v>
      </c>
      <c r="H2376" s="3" t="s">
        <v>22</v>
      </c>
      <c r="I2376" s="3" t="n">
        <f aca="false">YEAR(E2376)</f>
        <v>2026</v>
      </c>
      <c r="J2376" s="3" t="n">
        <f aca="false">MONTH(E2376)</f>
        <v>4</v>
      </c>
      <c r="K2376" s="3" t="n">
        <f aca="false">COUNTIFS($B$2:$B$4077,B2376,$C$2:$C$4077,C2376,$I$2:$I$4077,I2376)</f>
        <v>2</v>
      </c>
      <c r="L2376" s="3" t="n">
        <f aca="false">IF(COUNTIFS($B$2:B2376,B2376,$C$2:C2376,C2376,$I$2:I2376,I2376)=1,1,0)</f>
        <v>1</v>
      </c>
      <c r="M2376" s="3" t="n">
        <f aca="false">IF(K2376&gt;=Parametri!$B$1,1,0)</f>
        <v>1</v>
      </c>
      <c r="N2376" s="3" t="n">
        <f aca="false">L2376*M2376</f>
        <v>1</v>
      </c>
    </row>
    <row r="2377" customFormat="false" ht="15" hidden="false" customHeight="false" outlineLevel="0" collapsed="false">
      <c r="A2377" s="0" t="s">
        <v>3750</v>
      </c>
      <c r="B2377" s="0" t="s">
        <v>24</v>
      </c>
      <c r="C2377" s="0" t="s">
        <v>3751</v>
      </c>
      <c r="D2377" s="0" t="s">
        <v>77</v>
      </c>
      <c r="E2377" s="2" t="n">
        <v>45453</v>
      </c>
      <c r="F2377" s="3" t="s">
        <v>20</v>
      </c>
      <c r="G2377" s="3" t="s">
        <v>43</v>
      </c>
      <c r="H2377" s="3" t="s">
        <v>44</v>
      </c>
      <c r="I2377" s="3" t="n">
        <f aca="false">YEAR(E2377)</f>
        <v>2024</v>
      </c>
      <c r="J2377" s="3" t="n">
        <f aca="false">MONTH(E2377)</f>
        <v>6</v>
      </c>
      <c r="K2377" s="3" t="n">
        <f aca="false">COUNTIFS($B$2:$B$4077,B2377,$C$2:$C$4077,C2377,$I$2:$I$4077,I2377)</f>
        <v>1</v>
      </c>
      <c r="L2377" s="3" t="n">
        <f aca="false">IF(COUNTIFS($B$2:B2377,B2377,$C$2:C2377,C2377,$I$2:I2377,I2377)=1,1,0)</f>
        <v>1</v>
      </c>
      <c r="M2377" s="3" t="n">
        <f aca="false">IF(K2377&gt;=Parametri!$B$1,1,0)</f>
        <v>0</v>
      </c>
      <c r="N2377" s="3" t="n">
        <f aca="false">L2377*M2377</f>
        <v>0</v>
      </c>
    </row>
    <row r="2378" customFormat="false" ht="15" hidden="false" customHeight="false" outlineLevel="0" collapsed="false">
      <c r="A2378" s="0" t="s">
        <v>3752</v>
      </c>
      <c r="B2378" s="0" t="s">
        <v>41</v>
      </c>
      <c r="C2378" s="0" t="s">
        <v>2322</v>
      </c>
      <c r="D2378" s="0" t="s">
        <v>77</v>
      </c>
      <c r="E2378" s="2" t="n">
        <v>45456</v>
      </c>
      <c r="F2378" s="3" t="s">
        <v>20</v>
      </c>
      <c r="G2378" s="3" t="s">
        <v>104</v>
      </c>
      <c r="H2378" s="3" t="s">
        <v>48</v>
      </c>
      <c r="I2378" s="3" t="n">
        <f aca="false">YEAR(E2378)</f>
        <v>2024</v>
      </c>
      <c r="J2378" s="3" t="n">
        <f aca="false">MONTH(E2378)</f>
        <v>6</v>
      </c>
      <c r="K2378" s="3" t="n">
        <f aca="false">COUNTIFS($B$2:$B$4077,B2378,$C$2:$C$4077,C2378,$I$2:$I$4077,I2378)</f>
        <v>1</v>
      </c>
      <c r="L2378" s="3" t="n">
        <f aca="false">IF(COUNTIFS($B$2:B2378,B2378,$C$2:C2378,C2378,$I$2:I2378,I2378)=1,1,0)</f>
        <v>1</v>
      </c>
      <c r="M2378" s="3" t="n">
        <f aca="false">IF(K2378&gt;=Parametri!$B$1,1,0)</f>
        <v>0</v>
      </c>
      <c r="N2378" s="3" t="n">
        <f aca="false">L2378*M2378</f>
        <v>0</v>
      </c>
    </row>
    <row r="2379" customFormat="false" ht="15" hidden="false" customHeight="false" outlineLevel="0" collapsed="false">
      <c r="A2379" s="0" t="s">
        <v>3753</v>
      </c>
      <c r="B2379" s="0" t="s">
        <v>68</v>
      </c>
      <c r="C2379" s="0" t="s">
        <v>3754</v>
      </c>
      <c r="D2379" s="0" t="s">
        <v>54</v>
      </c>
      <c r="E2379" s="2" t="n">
        <v>46079</v>
      </c>
      <c r="F2379" s="3" t="s">
        <v>27</v>
      </c>
      <c r="G2379" s="3" t="s">
        <v>55</v>
      </c>
      <c r="H2379" s="3" t="s">
        <v>29</v>
      </c>
      <c r="I2379" s="3" t="n">
        <f aca="false">YEAR(E2379)</f>
        <v>2026</v>
      </c>
      <c r="J2379" s="3" t="n">
        <f aca="false">MONTH(E2379)</f>
        <v>2</v>
      </c>
      <c r="K2379" s="3" t="n">
        <f aca="false">COUNTIFS($B$2:$B$4077,B2379,$C$2:$C$4077,C2379,$I$2:$I$4077,I2379)</f>
        <v>1</v>
      </c>
      <c r="L2379" s="3" t="n">
        <f aca="false">IF(COUNTIFS($B$2:B2379,B2379,$C$2:C2379,C2379,$I$2:I2379,I2379)=1,1,0)</f>
        <v>1</v>
      </c>
      <c r="M2379" s="3" t="n">
        <f aca="false">IF(K2379&gt;=Parametri!$B$1,1,0)</f>
        <v>0</v>
      </c>
      <c r="N2379" s="3" t="n">
        <f aca="false">L2379*M2379</f>
        <v>0</v>
      </c>
    </row>
    <row r="2380" customFormat="false" ht="15" hidden="false" customHeight="false" outlineLevel="0" collapsed="false">
      <c r="A2380" s="0" t="s">
        <v>3755</v>
      </c>
      <c r="B2380" s="0" t="s">
        <v>124</v>
      </c>
      <c r="C2380" s="0" t="s">
        <v>1407</v>
      </c>
      <c r="D2380" s="0" t="s">
        <v>63</v>
      </c>
      <c r="E2380" s="2" t="n">
        <v>45680</v>
      </c>
      <c r="F2380" s="3" t="s">
        <v>20</v>
      </c>
      <c r="G2380" s="3" t="s">
        <v>43</v>
      </c>
      <c r="H2380" s="3" t="s">
        <v>44</v>
      </c>
      <c r="I2380" s="3" t="n">
        <f aca="false">YEAR(E2380)</f>
        <v>2025</v>
      </c>
      <c r="J2380" s="3" t="n">
        <f aca="false">MONTH(E2380)</f>
        <v>1</v>
      </c>
      <c r="K2380" s="3" t="n">
        <f aca="false">COUNTIFS($B$2:$B$4077,B2380,$C$2:$C$4077,C2380,$I$2:$I$4077,I2380)</f>
        <v>4</v>
      </c>
      <c r="L2380" s="3" t="n">
        <f aca="false">IF(COUNTIFS($B$2:B2380,B2380,$C$2:C2380,C2380,$I$2:I2380,I2380)=1,1,0)</f>
        <v>0</v>
      </c>
      <c r="M2380" s="3" t="n">
        <f aca="false">IF(K2380&gt;=Parametri!$B$1,1,0)</f>
        <v>1</v>
      </c>
      <c r="N2380" s="3" t="n">
        <f aca="false">L2380*M2380</f>
        <v>0</v>
      </c>
    </row>
    <row r="2381" customFormat="false" ht="15" hidden="false" customHeight="false" outlineLevel="0" collapsed="false">
      <c r="A2381" s="0" t="s">
        <v>3756</v>
      </c>
      <c r="B2381" s="0" t="s">
        <v>50</v>
      </c>
      <c r="C2381" s="0" t="s">
        <v>954</v>
      </c>
      <c r="D2381" s="0" t="s">
        <v>63</v>
      </c>
      <c r="E2381" s="2" t="n">
        <v>45785</v>
      </c>
      <c r="F2381" s="3" t="s">
        <v>20</v>
      </c>
      <c r="G2381" s="3" t="s">
        <v>35</v>
      </c>
      <c r="H2381" s="3" t="s">
        <v>48</v>
      </c>
      <c r="I2381" s="3" t="n">
        <f aca="false">YEAR(E2381)</f>
        <v>2025</v>
      </c>
      <c r="J2381" s="3" t="n">
        <f aca="false">MONTH(E2381)</f>
        <v>5</v>
      </c>
      <c r="K2381" s="3" t="n">
        <f aca="false">COUNTIFS($B$2:$B$4077,B2381,$C$2:$C$4077,C2381,$I$2:$I$4077,I2381)</f>
        <v>2</v>
      </c>
      <c r="L2381" s="3" t="n">
        <f aca="false">IF(COUNTIFS($B$2:B2381,B2381,$C$2:C2381,C2381,$I$2:I2381,I2381)=1,1,0)</f>
        <v>0</v>
      </c>
      <c r="M2381" s="3" t="n">
        <f aca="false">IF(K2381&gt;=Parametri!$B$1,1,0)</f>
        <v>1</v>
      </c>
      <c r="N2381" s="3" t="n">
        <f aca="false">L2381*M2381</f>
        <v>0</v>
      </c>
    </row>
    <row r="2382" customFormat="false" ht="15" hidden="false" customHeight="false" outlineLevel="0" collapsed="false">
      <c r="A2382" s="0" t="s">
        <v>3757</v>
      </c>
      <c r="B2382" s="0" t="s">
        <v>46</v>
      </c>
      <c r="C2382" s="0" t="s">
        <v>3758</v>
      </c>
      <c r="D2382" s="0" t="s">
        <v>66</v>
      </c>
      <c r="E2382" s="2" t="n">
        <v>45911</v>
      </c>
      <c r="F2382" s="3" t="s">
        <v>27</v>
      </c>
      <c r="G2382" s="3" t="s">
        <v>72</v>
      </c>
      <c r="H2382" s="3" t="s">
        <v>48</v>
      </c>
      <c r="I2382" s="3" t="n">
        <f aca="false">YEAR(E2382)</f>
        <v>2025</v>
      </c>
      <c r="J2382" s="3" t="n">
        <f aca="false">MONTH(E2382)</f>
        <v>9</v>
      </c>
      <c r="K2382" s="3" t="n">
        <f aca="false">COUNTIFS($B$2:$B$4077,B2382,$C$2:$C$4077,C2382,$I$2:$I$4077,I2382)</f>
        <v>1</v>
      </c>
      <c r="L2382" s="3" t="n">
        <f aca="false">IF(COUNTIFS($B$2:B2382,B2382,$C$2:C2382,C2382,$I$2:I2382,I2382)=1,1,0)</f>
        <v>1</v>
      </c>
      <c r="M2382" s="3" t="n">
        <f aca="false">IF(K2382&gt;=Parametri!$B$1,1,0)</f>
        <v>0</v>
      </c>
      <c r="N2382" s="3" t="n">
        <f aca="false">L2382*M2382</f>
        <v>0</v>
      </c>
    </row>
    <row r="2383" customFormat="false" ht="15" hidden="false" customHeight="false" outlineLevel="0" collapsed="false">
      <c r="A2383" s="0" t="s">
        <v>3759</v>
      </c>
      <c r="B2383" s="0" t="s">
        <v>68</v>
      </c>
      <c r="C2383" s="0" t="s">
        <v>1090</v>
      </c>
      <c r="D2383" s="0" t="s">
        <v>33</v>
      </c>
      <c r="E2383" s="2" t="n">
        <v>46220</v>
      </c>
      <c r="F2383" s="3" t="s">
        <v>34</v>
      </c>
      <c r="G2383" s="3" t="s">
        <v>28</v>
      </c>
      <c r="H2383" s="3" t="s">
        <v>29</v>
      </c>
      <c r="I2383" s="3" t="n">
        <f aca="false">YEAR(E2383)</f>
        <v>2026</v>
      </c>
      <c r="J2383" s="3" t="n">
        <f aca="false">MONTH(E2383)</f>
        <v>7</v>
      </c>
      <c r="K2383" s="3" t="n">
        <f aca="false">COUNTIFS($B$2:$B$4077,B2383,$C$2:$C$4077,C2383,$I$2:$I$4077,I2383)</f>
        <v>1</v>
      </c>
      <c r="L2383" s="3" t="n">
        <f aca="false">IF(COUNTIFS($B$2:B2383,B2383,$C$2:C2383,C2383,$I$2:I2383,I2383)=1,1,0)</f>
        <v>1</v>
      </c>
      <c r="M2383" s="3" t="n">
        <f aca="false">IF(K2383&gt;=Parametri!$B$1,1,0)</f>
        <v>0</v>
      </c>
      <c r="N2383" s="3" t="n">
        <f aca="false">L2383*M2383</f>
        <v>0</v>
      </c>
    </row>
    <row r="2384" customFormat="false" ht="15" hidden="false" customHeight="false" outlineLevel="0" collapsed="false">
      <c r="A2384" s="0" t="s">
        <v>3760</v>
      </c>
      <c r="B2384" s="0" t="s">
        <v>24</v>
      </c>
      <c r="C2384" s="0" t="s">
        <v>3761</v>
      </c>
      <c r="D2384" s="0" t="s">
        <v>38</v>
      </c>
      <c r="E2384" s="2" t="n">
        <v>46060</v>
      </c>
      <c r="F2384" s="3" t="s">
        <v>20</v>
      </c>
      <c r="G2384" s="3" t="s">
        <v>39</v>
      </c>
      <c r="H2384" s="3" t="s">
        <v>44</v>
      </c>
      <c r="I2384" s="3" t="n">
        <f aca="false">YEAR(E2384)</f>
        <v>2026</v>
      </c>
      <c r="J2384" s="3" t="n">
        <f aca="false">MONTH(E2384)</f>
        <v>2</v>
      </c>
      <c r="K2384" s="3" t="n">
        <f aca="false">COUNTIFS($B$2:$B$4077,B2384,$C$2:$C$4077,C2384,$I$2:$I$4077,I2384)</f>
        <v>1</v>
      </c>
      <c r="L2384" s="3" t="n">
        <f aca="false">IF(COUNTIFS($B$2:B2384,B2384,$C$2:C2384,C2384,$I$2:I2384,I2384)=1,1,0)</f>
        <v>1</v>
      </c>
      <c r="M2384" s="3" t="n">
        <f aca="false">IF(K2384&gt;=Parametri!$B$1,1,0)</f>
        <v>0</v>
      </c>
      <c r="N2384" s="3" t="n">
        <f aca="false">L2384*M2384</f>
        <v>0</v>
      </c>
    </row>
    <row r="2385" customFormat="false" ht="15" hidden="false" customHeight="false" outlineLevel="0" collapsed="false">
      <c r="A2385" s="0" t="s">
        <v>3762</v>
      </c>
      <c r="B2385" s="0" t="s">
        <v>68</v>
      </c>
      <c r="C2385" s="0" t="s">
        <v>3763</v>
      </c>
      <c r="D2385" s="0" t="s">
        <v>66</v>
      </c>
      <c r="E2385" s="2" t="n">
        <v>45575</v>
      </c>
      <c r="F2385" s="3" t="s">
        <v>20</v>
      </c>
      <c r="G2385" s="3" t="s">
        <v>21</v>
      </c>
      <c r="H2385" s="3" t="s">
        <v>44</v>
      </c>
      <c r="I2385" s="3" t="n">
        <f aca="false">YEAR(E2385)</f>
        <v>2024</v>
      </c>
      <c r="J2385" s="3" t="n">
        <f aca="false">MONTH(E2385)</f>
        <v>10</v>
      </c>
      <c r="K2385" s="3" t="n">
        <f aca="false">COUNTIFS($B$2:$B$4077,B2385,$C$2:$C$4077,C2385,$I$2:$I$4077,I2385)</f>
        <v>1</v>
      </c>
      <c r="L2385" s="3" t="n">
        <f aca="false">IF(COUNTIFS($B$2:B2385,B2385,$C$2:C2385,C2385,$I$2:I2385,I2385)=1,1,0)</f>
        <v>1</v>
      </c>
      <c r="M2385" s="3" t="n">
        <f aca="false">IF(K2385&gt;=Parametri!$B$1,1,0)</f>
        <v>0</v>
      </c>
      <c r="N2385" s="3" t="n">
        <f aca="false">L2385*M2385</f>
        <v>0</v>
      </c>
    </row>
    <row r="2386" customFormat="false" ht="15" hidden="false" customHeight="false" outlineLevel="0" collapsed="false">
      <c r="A2386" s="0" t="s">
        <v>3764</v>
      </c>
      <c r="B2386" s="0" t="s">
        <v>31</v>
      </c>
      <c r="C2386" s="0" t="s">
        <v>2267</v>
      </c>
      <c r="D2386" s="0" t="s">
        <v>26</v>
      </c>
      <c r="E2386" s="2" t="n">
        <v>46264</v>
      </c>
      <c r="F2386" s="3" t="s">
        <v>27</v>
      </c>
      <c r="G2386" s="3" t="s">
        <v>28</v>
      </c>
      <c r="H2386" s="3" t="s">
        <v>22</v>
      </c>
      <c r="I2386" s="3" t="n">
        <f aca="false">YEAR(E2386)</f>
        <v>2026</v>
      </c>
      <c r="J2386" s="3" t="n">
        <f aca="false">MONTH(E2386)</f>
        <v>8</v>
      </c>
      <c r="K2386" s="3" t="n">
        <f aca="false">COUNTIFS($B$2:$B$4077,B2386,$C$2:$C$4077,C2386,$I$2:$I$4077,I2386)</f>
        <v>1</v>
      </c>
      <c r="L2386" s="3" t="n">
        <f aca="false">IF(COUNTIFS($B$2:B2386,B2386,$C$2:C2386,C2386,$I$2:I2386,I2386)=1,1,0)</f>
        <v>1</v>
      </c>
      <c r="M2386" s="3" t="n">
        <f aca="false">IF(K2386&gt;=Parametri!$B$1,1,0)</f>
        <v>0</v>
      </c>
      <c r="N2386" s="3" t="n">
        <f aca="false">L2386*M2386</f>
        <v>0</v>
      </c>
    </row>
    <row r="2387" customFormat="false" ht="15" hidden="false" customHeight="false" outlineLevel="0" collapsed="false">
      <c r="A2387" s="0" t="s">
        <v>3765</v>
      </c>
      <c r="B2387" s="0" t="s">
        <v>17</v>
      </c>
      <c r="C2387" s="0" t="s">
        <v>3651</v>
      </c>
      <c r="D2387" s="0" t="s">
        <v>77</v>
      </c>
      <c r="E2387" s="2" t="n">
        <v>46240</v>
      </c>
      <c r="F2387" s="3" t="s">
        <v>27</v>
      </c>
      <c r="G2387" s="3" t="s">
        <v>35</v>
      </c>
      <c r="H2387" s="3" t="s">
        <v>22</v>
      </c>
      <c r="I2387" s="3" t="n">
        <f aca="false">YEAR(E2387)</f>
        <v>2026</v>
      </c>
      <c r="J2387" s="3" t="n">
        <f aca="false">MONTH(E2387)</f>
        <v>8</v>
      </c>
      <c r="K2387" s="3" t="n">
        <f aca="false">COUNTIFS($B$2:$B$4077,B2387,$C$2:$C$4077,C2387,$I$2:$I$4077,I2387)</f>
        <v>1</v>
      </c>
      <c r="L2387" s="3" t="n">
        <f aca="false">IF(COUNTIFS($B$2:B2387,B2387,$C$2:C2387,C2387,$I$2:I2387,I2387)=1,1,0)</f>
        <v>1</v>
      </c>
      <c r="M2387" s="3" t="n">
        <f aca="false">IF(K2387&gt;=Parametri!$B$1,1,0)</f>
        <v>0</v>
      </c>
      <c r="N2387" s="3" t="n">
        <f aca="false">L2387*M2387</f>
        <v>0</v>
      </c>
    </row>
    <row r="2388" customFormat="false" ht="15" hidden="false" customHeight="false" outlineLevel="0" collapsed="false">
      <c r="A2388" s="0" t="s">
        <v>3766</v>
      </c>
      <c r="B2388" s="0" t="s">
        <v>124</v>
      </c>
      <c r="C2388" s="0" t="s">
        <v>3072</v>
      </c>
      <c r="D2388" s="0" t="s">
        <v>63</v>
      </c>
      <c r="E2388" s="2" t="n">
        <v>45654</v>
      </c>
      <c r="F2388" s="3" t="s">
        <v>20</v>
      </c>
      <c r="G2388" s="3" t="s">
        <v>39</v>
      </c>
      <c r="H2388" s="3" t="s">
        <v>29</v>
      </c>
      <c r="I2388" s="3" t="n">
        <f aca="false">YEAR(E2388)</f>
        <v>2024</v>
      </c>
      <c r="J2388" s="3" t="n">
        <f aca="false">MONTH(E2388)</f>
        <v>12</v>
      </c>
      <c r="K2388" s="3" t="n">
        <f aca="false">COUNTIFS($B$2:$B$4077,B2388,$C$2:$C$4077,C2388,$I$2:$I$4077,I2388)</f>
        <v>2</v>
      </c>
      <c r="L2388" s="3" t="n">
        <f aca="false">IF(COUNTIFS($B$2:B2388,B2388,$C$2:C2388,C2388,$I$2:I2388,I2388)=1,1,0)</f>
        <v>0</v>
      </c>
      <c r="M2388" s="3" t="n">
        <f aca="false">IF(K2388&gt;=Parametri!$B$1,1,0)</f>
        <v>1</v>
      </c>
      <c r="N2388" s="3" t="n">
        <f aca="false">L2388*M2388</f>
        <v>0</v>
      </c>
    </row>
    <row r="2389" customFormat="false" ht="15" hidden="false" customHeight="false" outlineLevel="0" collapsed="false">
      <c r="A2389" s="0" t="s">
        <v>3767</v>
      </c>
      <c r="B2389" s="0" t="s">
        <v>41</v>
      </c>
      <c r="C2389" s="0" t="s">
        <v>3768</v>
      </c>
      <c r="D2389" s="0" t="s">
        <v>38</v>
      </c>
      <c r="E2389" s="2" t="n">
        <v>45700</v>
      </c>
      <c r="F2389" s="3" t="s">
        <v>20</v>
      </c>
      <c r="G2389" s="3" t="s">
        <v>72</v>
      </c>
      <c r="H2389" s="3" t="s">
        <v>29</v>
      </c>
      <c r="I2389" s="3" t="n">
        <f aca="false">YEAR(E2389)</f>
        <v>2025</v>
      </c>
      <c r="J2389" s="3" t="n">
        <f aca="false">MONTH(E2389)</f>
        <v>2</v>
      </c>
      <c r="K2389" s="3" t="n">
        <f aca="false">COUNTIFS($B$2:$B$4077,B2389,$C$2:$C$4077,C2389,$I$2:$I$4077,I2389)</f>
        <v>1</v>
      </c>
      <c r="L2389" s="3" t="n">
        <f aca="false">IF(COUNTIFS($B$2:B2389,B2389,$C$2:C2389,C2389,$I$2:I2389,I2389)=1,1,0)</f>
        <v>1</v>
      </c>
      <c r="M2389" s="3" t="n">
        <f aca="false">IF(K2389&gt;=Parametri!$B$1,1,0)</f>
        <v>0</v>
      </c>
      <c r="N2389" s="3" t="n">
        <f aca="false">L2389*M2389</f>
        <v>0</v>
      </c>
    </row>
    <row r="2390" customFormat="false" ht="15" hidden="false" customHeight="false" outlineLevel="0" collapsed="false">
      <c r="A2390" s="0" t="s">
        <v>3769</v>
      </c>
      <c r="B2390" s="0" t="s">
        <v>24</v>
      </c>
      <c r="C2390" s="0" t="s">
        <v>3770</v>
      </c>
      <c r="D2390" s="0" t="s">
        <v>26</v>
      </c>
      <c r="E2390" s="2" t="n">
        <v>45529</v>
      </c>
      <c r="F2390" s="3" t="s">
        <v>20</v>
      </c>
      <c r="G2390" s="3" t="s">
        <v>28</v>
      </c>
      <c r="H2390" s="3" t="s">
        <v>29</v>
      </c>
      <c r="I2390" s="3" t="n">
        <f aca="false">YEAR(E2390)</f>
        <v>2024</v>
      </c>
      <c r="J2390" s="3" t="n">
        <f aca="false">MONTH(E2390)</f>
        <v>8</v>
      </c>
      <c r="K2390" s="3" t="n">
        <f aca="false">COUNTIFS($B$2:$B$4077,B2390,$C$2:$C$4077,C2390,$I$2:$I$4077,I2390)</f>
        <v>1</v>
      </c>
      <c r="L2390" s="3" t="n">
        <f aca="false">IF(COUNTIFS($B$2:B2390,B2390,$C$2:C2390,C2390,$I$2:I2390,I2390)=1,1,0)</f>
        <v>1</v>
      </c>
      <c r="M2390" s="3" t="n">
        <f aca="false">IF(K2390&gt;=Parametri!$B$1,1,0)</f>
        <v>0</v>
      </c>
      <c r="N2390" s="3" t="n">
        <f aca="false">L2390*M2390</f>
        <v>0</v>
      </c>
    </row>
    <row r="2391" customFormat="false" ht="15" hidden="false" customHeight="false" outlineLevel="0" collapsed="false">
      <c r="A2391" s="0" t="s">
        <v>3771</v>
      </c>
      <c r="B2391" s="0" t="s">
        <v>57</v>
      </c>
      <c r="C2391" s="0" t="s">
        <v>1531</v>
      </c>
      <c r="D2391" s="0" t="s">
        <v>19</v>
      </c>
      <c r="E2391" s="2" t="n">
        <v>45311</v>
      </c>
      <c r="F2391" s="3" t="s">
        <v>27</v>
      </c>
      <c r="G2391" s="3" t="s">
        <v>43</v>
      </c>
      <c r="H2391" s="3" t="s">
        <v>48</v>
      </c>
      <c r="I2391" s="3" t="n">
        <f aca="false">YEAR(E2391)</f>
        <v>2024</v>
      </c>
      <c r="J2391" s="3" t="n">
        <f aca="false">MONTH(E2391)</f>
        <v>1</v>
      </c>
      <c r="K2391" s="3" t="n">
        <f aca="false">COUNTIFS($B$2:$B$4077,B2391,$C$2:$C$4077,C2391,$I$2:$I$4077,I2391)</f>
        <v>3</v>
      </c>
      <c r="L2391" s="3" t="n">
        <f aca="false">IF(COUNTIFS($B$2:B2391,B2391,$C$2:C2391,C2391,$I$2:I2391,I2391)=1,1,0)</f>
        <v>0</v>
      </c>
      <c r="M2391" s="3" t="n">
        <f aca="false">IF(K2391&gt;=Parametri!$B$1,1,0)</f>
        <v>1</v>
      </c>
      <c r="N2391" s="3" t="n">
        <f aca="false">L2391*M2391</f>
        <v>0</v>
      </c>
    </row>
    <row r="2392" customFormat="false" ht="15" hidden="false" customHeight="false" outlineLevel="0" collapsed="false">
      <c r="A2392" s="0" t="s">
        <v>3772</v>
      </c>
      <c r="B2392" s="0" t="s">
        <v>79</v>
      </c>
      <c r="C2392" s="0" t="s">
        <v>585</v>
      </c>
      <c r="D2392" s="0" t="s">
        <v>77</v>
      </c>
      <c r="E2392" s="2" t="n">
        <v>45935</v>
      </c>
      <c r="F2392" s="3" t="s">
        <v>20</v>
      </c>
      <c r="G2392" s="3" t="s">
        <v>28</v>
      </c>
      <c r="H2392" s="3" t="s">
        <v>29</v>
      </c>
      <c r="I2392" s="3" t="n">
        <f aca="false">YEAR(E2392)</f>
        <v>2025</v>
      </c>
      <c r="J2392" s="3" t="n">
        <f aca="false">MONTH(E2392)</f>
        <v>10</v>
      </c>
      <c r="K2392" s="3" t="n">
        <f aca="false">COUNTIFS($B$2:$B$4077,B2392,$C$2:$C$4077,C2392,$I$2:$I$4077,I2392)</f>
        <v>2</v>
      </c>
      <c r="L2392" s="3" t="n">
        <f aca="false">IF(COUNTIFS($B$2:B2392,B2392,$C$2:C2392,C2392,$I$2:I2392,I2392)=1,1,0)</f>
        <v>0</v>
      </c>
      <c r="M2392" s="3" t="n">
        <f aca="false">IF(K2392&gt;=Parametri!$B$1,1,0)</f>
        <v>1</v>
      </c>
      <c r="N2392" s="3" t="n">
        <f aca="false">L2392*M2392</f>
        <v>0</v>
      </c>
    </row>
    <row r="2393" customFormat="false" ht="15" hidden="false" customHeight="false" outlineLevel="0" collapsed="false">
      <c r="A2393" s="0" t="s">
        <v>3773</v>
      </c>
      <c r="B2393" s="0" t="s">
        <v>50</v>
      </c>
      <c r="C2393" s="0" t="s">
        <v>3774</v>
      </c>
      <c r="D2393" s="0" t="s">
        <v>33</v>
      </c>
      <c r="E2393" s="2" t="n">
        <v>45762</v>
      </c>
      <c r="F2393" s="3" t="s">
        <v>20</v>
      </c>
      <c r="G2393" s="3" t="s">
        <v>89</v>
      </c>
      <c r="H2393" s="3" t="s">
        <v>29</v>
      </c>
      <c r="I2393" s="3" t="n">
        <f aca="false">YEAR(E2393)</f>
        <v>2025</v>
      </c>
      <c r="J2393" s="3" t="n">
        <f aca="false">MONTH(E2393)</f>
        <v>4</v>
      </c>
      <c r="K2393" s="3" t="n">
        <f aca="false">COUNTIFS($B$2:$B$4077,B2393,$C$2:$C$4077,C2393,$I$2:$I$4077,I2393)</f>
        <v>1</v>
      </c>
      <c r="L2393" s="3" t="n">
        <f aca="false">IF(COUNTIFS($B$2:B2393,B2393,$C$2:C2393,C2393,$I$2:I2393,I2393)=1,1,0)</f>
        <v>1</v>
      </c>
      <c r="M2393" s="3" t="n">
        <f aca="false">IF(K2393&gt;=Parametri!$B$1,1,0)</f>
        <v>0</v>
      </c>
      <c r="N2393" s="3" t="n">
        <f aca="false">L2393*M2393</f>
        <v>0</v>
      </c>
    </row>
    <row r="2394" customFormat="false" ht="15" hidden="false" customHeight="false" outlineLevel="0" collapsed="false">
      <c r="A2394" s="0" t="s">
        <v>3775</v>
      </c>
      <c r="B2394" s="0" t="s">
        <v>24</v>
      </c>
      <c r="C2394" s="0" t="s">
        <v>3776</v>
      </c>
      <c r="D2394" s="0" t="s">
        <v>66</v>
      </c>
      <c r="E2394" s="2" t="n">
        <v>45338</v>
      </c>
      <c r="F2394" s="3" t="s">
        <v>20</v>
      </c>
      <c r="G2394" s="3" t="s">
        <v>39</v>
      </c>
      <c r="H2394" s="3" t="s">
        <v>48</v>
      </c>
      <c r="I2394" s="3" t="n">
        <f aca="false">YEAR(E2394)</f>
        <v>2024</v>
      </c>
      <c r="J2394" s="3" t="n">
        <f aca="false">MONTH(E2394)</f>
        <v>2</v>
      </c>
      <c r="K2394" s="3" t="n">
        <f aca="false">COUNTIFS($B$2:$B$4077,B2394,$C$2:$C$4077,C2394,$I$2:$I$4077,I2394)</f>
        <v>1</v>
      </c>
      <c r="L2394" s="3" t="n">
        <f aca="false">IF(COUNTIFS($B$2:B2394,B2394,$C$2:C2394,C2394,$I$2:I2394,I2394)=1,1,0)</f>
        <v>1</v>
      </c>
      <c r="M2394" s="3" t="n">
        <f aca="false">IF(K2394&gt;=Parametri!$B$1,1,0)</f>
        <v>0</v>
      </c>
      <c r="N2394" s="3" t="n">
        <f aca="false">L2394*M2394</f>
        <v>0</v>
      </c>
    </row>
    <row r="2395" customFormat="false" ht="15" hidden="false" customHeight="false" outlineLevel="0" collapsed="false">
      <c r="A2395" s="0" t="s">
        <v>3777</v>
      </c>
      <c r="B2395" s="0" t="s">
        <v>31</v>
      </c>
      <c r="C2395" s="0" t="s">
        <v>1769</v>
      </c>
      <c r="D2395" s="0" t="s">
        <v>63</v>
      </c>
      <c r="E2395" s="2" t="n">
        <v>46233</v>
      </c>
      <c r="F2395" s="3" t="s">
        <v>20</v>
      </c>
      <c r="G2395" s="3" t="s">
        <v>55</v>
      </c>
      <c r="H2395" s="3" t="s">
        <v>22</v>
      </c>
      <c r="I2395" s="3" t="n">
        <f aca="false">YEAR(E2395)</f>
        <v>2026</v>
      </c>
      <c r="J2395" s="3" t="n">
        <f aca="false">MONTH(E2395)</f>
        <v>7</v>
      </c>
      <c r="K2395" s="3" t="n">
        <f aca="false">COUNTIFS($B$2:$B$4077,B2395,$C$2:$C$4077,C2395,$I$2:$I$4077,I2395)</f>
        <v>3</v>
      </c>
      <c r="L2395" s="3" t="n">
        <f aca="false">IF(COUNTIFS($B$2:B2395,B2395,$C$2:C2395,C2395,$I$2:I2395,I2395)=1,1,0)</f>
        <v>0</v>
      </c>
      <c r="M2395" s="3" t="n">
        <f aca="false">IF(K2395&gt;=Parametri!$B$1,1,0)</f>
        <v>1</v>
      </c>
      <c r="N2395" s="3" t="n">
        <f aca="false">L2395*M2395</f>
        <v>0</v>
      </c>
    </row>
    <row r="2396" customFormat="false" ht="15" hidden="false" customHeight="false" outlineLevel="0" collapsed="false">
      <c r="A2396" s="0" t="s">
        <v>3778</v>
      </c>
      <c r="B2396" s="0" t="s">
        <v>124</v>
      </c>
      <c r="C2396" s="0" t="s">
        <v>619</v>
      </c>
      <c r="D2396" s="0" t="s">
        <v>77</v>
      </c>
      <c r="E2396" s="2" t="n">
        <v>46143</v>
      </c>
      <c r="F2396" s="3" t="s">
        <v>104</v>
      </c>
      <c r="G2396" s="3" t="s">
        <v>104</v>
      </c>
      <c r="H2396" s="3" t="s">
        <v>104</v>
      </c>
      <c r="I2396" s="3" t="n">
        <f aca="false">YEAR(E2396)</f>
        <v>2026</v>
      </c>
      <c r="J2396" s="3" t="n">
        <f aca="false">MONTH(E2396)</f>
        <v>5</v>
      </c>
      <c r="K2396" s="3" t="n">
        <f aca="false">COUNTIFS($B$2:$B$4077,B2396,$C$2:$C$4077,C2396,$I$2:$I$4077,I2396)</f>
        <v>2</v>
      </c>
      <c r="L2396" s="3" t="n">
        <f aca="false">IF(COUNTIFS($B$2:B2396,B2396,$C$2:C2396,C2396,$I$2:I2396,I2396)=1,1,0)</f>
        <v>0</v>
      </c>
      <c r="M2396" s="3" t="n">
        <f aca="false">IF(K2396&gt;=Parametri!$B$1,1,0)</f>
        <v>1</v>
      </c>
      <c r="N2396" s="3" t="n">
        <f aca="false">L2396*M2396</f>
        <v>0</v>
      </c>
    </row>
    <row r="2397" customFormat="false" ht="15" hidden="false" customHeight="false" outlineLevel="0" collapsed="false">
      <c r="A2397" s="0" t="s">
        <v>3779</v>
      </c>
      <c r="B2397" s="0" t="s">
        <v>79</v>
      </c>
      <c r="C2397" s="0" t="s">
        <v>2917</v>
      </c>
      <c r="D2397" s="0" t="s">
        <v>19</v>
      </c>
      <c r="E2397" s="2" t="n">
        <v>45996</v>
      </c>
      <c r="F2397" s="3" t="s">
        <v>27</v>
      </c>
      <c r="G2397" s="3" t="s">
        <v>28</v>
      </c>
      <c r="H2397" s="3" t="s">
        <v>48</v>
      </c>
      <c r="I2397" s="3" t="n">
        <f aca="false">YEAR(E2397)</f>
        <v>2025</v>
      </c>
      <c r="J2397" s="3" t="n">
        <f aca="false">MONTH(E2397)</f>
        <v>12</v>
      </c>
      <c r="K2397" s="3" t="n">
        <f aca="false">COUNTIFS($B$2:$B$4077,B2397,$C$2:$C$4077,C2397,$I$2:$I$4077,I2397)</f>
        <v>3</v>
      </c>
      <c r="L2397" s="3" t="n">
        <f aca="false">IF(COUNTIFS($B$2:B2397,B2397,$C$2:C2397,C2397,$I$2:I2397,I2397)=1,1,0)</f>
        <v>1</v>
      </c>
      <c r="M2397" s="3" t="n">
        <f aca="false">IF(K2397&gt;=Parametri!$B$1,1,0)</f>
        <v>1</v>
      </c>
      <c r="N2397" s="3" t="n">
        <f aca="false">L2397*M2397</f>
        <v>1</v>
      </c>
    </row>
    <row r="2398" customFormat="false" ht="15" hidden="false" customHeight="false" outlineLevel="0" collapsed="false">
      <c r="A2398" s="0" t="s">
        <v>3780</v>
      </c>
      <c r="B2398" s="0" t="s">
        <v>68</v>
      </c>
      <c r="C2398" s="0" t="s">
        <v>3781</v>
      </c>
      <c r="D2398" s="0" t="s">
        <v>26</v>
      </c>
      <c r="E2398" s="2" t="n">
        <v>45659</v>
      </c>
      <c r="F2398" s="3" t="s">
        <v>20</v>
      </c>
      <c r="G2398" s="3" t="s">
        <v>39</v>
      </c>
      <c r="H2398" s="3" t="s">
        <v>22</v>
      </c>
      <c r="I2398" s="3" t="n">
        <f aca="false">YEAR(E2398)</f>
        <v>2025</v>
      </c>
      <c r="J2398" s="3" t="n">
        <f aca="false">MONTH(E2398)</f>
        <v>1</v>
      </c>
      <c r="K2398" s="3" t="n">
        <f aca="false">COUNTIFS($B$2:$B$4077,B2398,$C$2:$C$4077,C2398,$I$2:$I$4077,I2398)</f>
        <v>1</v>
      </c>
      <c r="L2398" s="3" t="n">
        <f aca="false">IF(COUNTIFS($B$2:B2398,B2398,$C$2:C2398,C2398,$I$2:I2398,I2398)=1,1,0)</f>
        <v>1</v>
      </c>
      <c r="M2398" s="3" t="n">
        <f aca="false">IF(K2398&gt;=Parametri!$B$1,1,0)</f>
        <v>0</v>
      </c>
      <c r="N2398" s="3" t="n">
        <f aca="false">L2398*M2398</f>
        <v>0</v>
      </c>
    </row>
    <row r="2399" customFormat="false" ht="15" hidden="false" customHeight="false" outlineLevel="0" collapsed="false">
      <c r="A2399" s="0" t="s">
        <v>3782</v>
      </c>
      <c r="B2399" s="0" t="s">
        <v>79</v>
      </c>
      <c r="C2399" s="0" t="s">
        <v>2679</v>
      </c>
      <c r="D2399" s="0" t="s">
        <v>63</v>
      </c>
      <c r="E2399" s="2" t="n">
        <v>45854</v>
      </c>
      <c r="F2399" s="3" t="s">
        <v>34</v>
      </c>
      <c r="G2399" s="3" t="s">
        <v>43</v>
      </c>
      <c r="H2399" s="3" t="s">
        <v>22</v>
      </c>
      <c r="I2399" s="3" t="n">
        <f aca="false">YEAR(E2399)</f>
        <v>2025</v>
      </c>
      <c r="J2399" s="3" t="n">
        <f aca="false">MONTH(E2399)</f>
        <v>7</v>
      </c>
      <c r="K2399" s="3" t="n">
        <f aca="false">COUNTIFS($B$2:$B$4077,B2399,$C$2:$C$4077,C2399,$I$2:$I$4077,I2399)</f>
        <v>2</v>
      </c>
      <c r="L2399" s="3" t="n">
        <f aca="false">IF(COUNTIFS($B$2:B2399,B2399,$C$2:C2399,C2399,$I$2:I2399,I2399)=1,1,0)</f>
        <v>0</v>
      </c>
      <c r="M2399" s="3" t="n">
        <f aca="false">IF(K2399&gt;=Parametri!$B$1,1,0)</f>
        <v>1</v>
      </c>
      <c r="N2399" s="3" t="n">
        <f aca="false">L2399*M2399</f>
        <v>0</v>
      </c>
    </row>
    <row r="2400" customFormat="false" ht="15" hidden="false" customHeight="false" outlineLevel="0" collapsed="false">
      <c r="A2400" s="0" t="s">
        <v>3783</v>
      </c>
      <c r="B2400" s="0" t="s">
        <v>31</v>
      </c>
      <c r="C2400" s="0" t="s">
        <v>712</v>
      </c>
      <c r="D2400" s="0" t="s">
        <v>63</v>
      </c>
      <c r="E2400" s="2" t="n">
        <v>45966</v>
      </c>
      <c r="F2400" s="3" t="s">
        <v>20</v>
      </c>
      <c r="G2400" s="3" t="s">
        <v>28</v>
      </c>
      <c r="H2400" s="3" t="s">
        <v>48</v>
      </c>
      <c r="I2400" s="3" t="n">
        <f aca="false">YEAR(E2400)</f>
        <v>2025</v>
      </c>
      <c r="J2400" s="3" t="n">
        <f aca="false">MONTH(E2400)</f>
        <v>11</v>
      </c>
      <c r="K2400" s="3" t="n">
        <f aca="false">COUNTIFS($B$2:$B$4077,B2400,$C$2:$C$4077,C2400,$I$2:$I$4077,I2400)</f>
        <v>6</v>
      </c>
      <c r="L2400" s="3" t="n">
        <f aca="false">IF(COUNTIFS($B$2:B2400,B2400,$C$2:C2400,C2400,$I$2:I2400,I2400)=1,1,0)</f>
        <v>0</v>
      </c>
      <c r="M2400" s="3" t="n">
        <f aca="false">IF(K2400&gt;=Parametri!$B$1,1,0)</f>
        <v>1</v>
      </c>
      <c r="N2400" s="3" t="n">
        <f aca="false">L2400*M2400</f>
        <v>0</v>
      </c>
    </row>
    <row r="2401" customFormat="false" ht="15" hidden="false" customHeight="false" outlineLevel="0" collapsed="false">
      <c r="A2401" s="0" t="s">
        <v>3784</v>
      </c>
      <c r="B2401" s="0" t="s">
        <v>31</v>
      </c>
      <c r="C2401" s="0" t="s">
        <v>3785</v>
      </c>
      <c r="D2401" s="0" t="s">
        <v>54</v>
      </c>
      <c r="E2401" s="2" t="n">
        <v>46173</v>
      </c>
      <c r="F2401" s="3" t="s">
        <v>34</v>
      </c>
      <c r="G2401" s="3" t="s">
        <v>39</v>
      </c>
      <c r="H2401" s="3" t="s">
        <v>29</v>
      </c>
      <c r="I2401" s="3" t="n">
        <f aca="false">YEAR(E2401)</f>
        <v>2026</v>
      </c>
      <c r="J2401" s="3" t="n">
        <f aca="false">MONTH(E2401)</f>
        <v>5</v>
      </c>
      <c r="K2401" s="3" t="n">
        <f aca="false">COUNTIFS($B$2:$B$4077,B2401,$C$2:$C$4077,C2401,$I$2:$I$4077,I2401)</f>
        <v>1</v>
      </c>
      <c r="L2401" s="3" t="n">
        <f aca="false">IF(COUNTIFS($B$2:B2401,B2401,$C$2:C2401,C2401,$I$2:I2401,I2401)=1,1,0)</f>
        <v>1</v>
      </c>
      <c r="M2401" s="3" t="n">
        <f aca="false">IF(K2401&gt;=Parametri!$B$1,1,0)</f>
        <v>0</v>
      </c>
      <c r="N2401" s="3" t="n">
        <f aca="false">L2401*M2401</f>
        <v>0</v>
      </c>
    </row>
    <row r="2402" customFormat="false" ht="15" hidden="false" customHeight="false" outlineLevel="0" collapsed="false">
      <c r="A2402" s="0" t="s">
        <v>3786</v>
      </c>
      <c r="B2402" s="0" t="s">
        <v>50</v>
      </c>
      <c r="C2402" s="0" t="s">
        <v>1833</v>
      </c>
      <c r="D2402" s="0" t="s">
        <v>66</v>
      </c>
      <c r="E2402" s="2" t="n">
        <v>46072</v>
      </c>
      <c r="F2402" s="3" t="s">
        <v>20</v>
      </c>
      <c r="G2402" s="3" t="s">
        <v>55</v>
      </c>
      <c r="H2402" s="3" t="s">
        <v>29</v>
      </c>
      <c r="I2402" s="3" t="n">
        <f aca="false">YEAR(E2402)</f>
        <v>2026</v>
      </c>
      <c r="J2402" s="3" t="n">
        <f aca="false">MONTH(E2402)</f>
        <v>2</v>
      </c>
      <c r="K2402" s="3" t="n">
        <f aca="false">COUNTIFS($B$2:$B$4077,B2402,$C$2:$C$4077,C2402,$I$2:$I$4077,I2402)</f>
        <v>1</v>
      </c>
      <c r="L2402" s="3" t="n">
        <f aca="false">IF(COUNTIFS($B$2:B2402,B2402,$C$2:C2402,C2402,$I$2:I2402,I2402)=1,1,0)</f>
        <v>1</v>
      </c>
      <c r="M2402" s="3" t="n">
        <f aca="false">IF(K2402&gt;=Parametri!$B$1,1,0)</f>
        <v>0</v>
      </c>
      <c r="N2402" s="3" t="n">
        <f aca="false">L2402*M2402</f>
        <v>0</v>
      </c>
    </row>
    <row r="2403" customFormat="false" ht="15" hidden="false" customHeight="false" outlineLevel="0" collapsed="false">
      <c r="A2403" s="0" t="s">
        <v>3787</v>
      </c>
      <c r="B2403" s="0" t="s">
        <v>17</v>
      </c>
      <c r="C2403" s="0" t="s">
        <v>3788</v>
      </c>
      <c r="D2403" s="0" t="s">
        <v>38</v>
      </c>
      <c r="E2403" s="2" t="n">
        <v>45435</v>
      </c>
      <c r="F2403" s="3" t="s">
        <v>20</v>
      </c>
      <c r="G2403" s="3" t="s">
        <v>35</v>
      </c>
      <c r="H2403" s="3" t="s">
        <v>48</v>
      </c>
      <c r="I2403" s="3" t="n">
        <f aca="false">YEAR(E2403)</f>
        <v>2024</v>
      </c>
      <c r="J2403" s="3" t="n">
        <f aca="false">MONTH(E2403)</f>
        <v>5</v>
      </c>
      <c r="K2403" s="3" t="n">
        <f aca="false">COUNTIFS($B$2:$B$4077,B2403,$C$2:$C$4077,C2403,$I$2:$I$4077,I2403)</f>
        <v>1</v>
      </c>
      <c r="L2403" s="3" t="n">
        <f aca="false">IF(COUNTIFS($B$2:B2403,B2403,$C$2:C2403,C2403,$I$2:I2403,I2403)=1,1,0)</f>
        <v>1</v>
      </c>
      <c r="M2403" s="3" t="n">
        <f aca="false">IF(K2403&gt;=Parametri!$B$1,1,0)</f>
        <v>0</v>
      </c>
      <c r="N2403" s="3" t="n">
        <f aca="false">L2403*M2403</f>
        <v>0</v>
      </c>
    </row>
    <row r="2404" customFormat="false" ht="15" hidden="false" customHeight="false" outlineLevel="0" collapsed="false">
      <c r="A2404" s="0" t="s">
        <v>3789</v>
      </c>
      <c r="B2404" s="0" t="s">
        <v>50</v>
      </c>
      <c r="C2404" s="0" t="s">
        <v>2273</v>
      </c>
      <c r="D2404" s="0" t="s">
        <v>26</v>
      </c>
      <c r="E2404" s="2" t="n">
        <v>46021</v>
      </c>
      <c r="F2404" s="3" t="s">
        <v>27</v>
      </c>
      <c r="G2404" s="3" t="s">
        <v>21</v>
      </c>
      <c r="H2404" s="3" t="s">
        <v>44</v>
      </c>
      <c r="I2404" s="3" t="n">
        <f aca="false">YEAR(E2404)</f>
        <v>2025</v>
      </c>
      <c r="J2404" s="3" t="n">
        <f aca="false">MONTH(E2404)</f>
        <v>12</v>
      </c>
      <c r="K2404" s="3" t="n">
        <f aca="false">COUNTIFS($B$2:$B$4077,B2404,$C$2:$C$4077,C2404,$I$2:$I$4077,I2404)</f>
        <v>1</v>
      </c>
      <c r="L2404" s="3" t="n">
        <f aca="false">IF(COUNTIFS($B$2:B2404,B2404,$C$2:C2404,C2404,$I$2:I2404,I2404)=1,1,0)</f>
        <v>1</v>
      </c>
      <c r="M2404" s="3" t="n">
        <f aca="false">IF(K2404&gt;=Parametri!$B$1,1,0)</f>
        <v>0</v>
      </c>
      <c r="N2404" s="3" t="n">
        <f aca="false">L2404*M2404</f>
        <v>0</v>
      </c>
    </row>
    <row r="2405" customFormat="false" ht="15" hidden="false" customHeight="false" outlineLevel="0" collapsed="false">
      <c r="A2405" s="0" t="s">
        <v>3790</v>
      </c>
      <c r="B2405" s="0" t="s">
        <v>24</v>
      </c>
      <c r="C2405" s="0" t="s">
        <v>2055</v>
      </c>
      <c r="D2405" s="0" t="s">
        <v>77</v>
      </c>
      <c r="E2405" s="2" t="n">
        <v>45622</v>
      </c>
      <c r="F2405" s="3" t="s">
        <v>27</v>
      </c>
      <c r="G2405" s="3" t="s">
        <v>39</v>
      </c>
      <c r="H2405" s="3" t="s">
        <v>44</v>
      </c>
      <c r="I2405" s="3" t="n">
        <f aca="false">YEAR(E2405)</f>
        <v>2024</v>
      </c>
      <c r="J2405" s="3" t="n">
        <f aca="false">MONTH(E2405)</f>
        <v>11</v>
      </c>
      <c r="K2405" s="3" t="n">
        <f aca="false">COUNTIFS($B$2:$B$4077,B2405,$C$2:$C$4077,C2405,$I$2:$I$4077,I2405)</f>
        <v>1</v>
      </c>
      <c r="L2405" s="3" t="n">
        <f aca="false">IF(COUNTIFS($B$2:B2405,B2405,$C$2:C2405,C2405,$I$2:I2405,I2405)=1,1,0)</f>
        <v>1</v>
      </c>
      <c r="M2405" s="3" t="n">
        <f aca="false">IF(K2405&gt;=Parametri!$B$1,1,0)</f>
        <v>0</v>
      </c>
      <c r="N2405" s="3" t="n">
        <f aca="false">L2405*M2405</f>
        <v>0</v>
      </c>
    </row>
    <row r="2406" customFormat="false" ht="15" hidden="false" customHeight="false" outlineLevel="0" collapsed="false">
      <c r="A2406" s="0" t="s">
        <v>3791</v>
      </c>
      <c r="B2406" s="0" t="s">
        <v>41</v>
      </c>
      <c r="C2406" s="0" t="s">
        <v>3792</v>
      </c>
      <c r="D2406" s="0" t="s">
        <v>38</v>
      </c>
      <c r="E2406" s="2" t="n">
        <v>45718</v>
      </c>
      <c r="F2406" s="3" t="s">
        <v>20</v>
      </c>
      <c r="G2406" s="3" t="s">
        <v>39</v>
      </c>
      <c r="H2406" s="3" t="s">
        <v>29</v>
      </c>
      <c r="I2406" s="3" t="n">
        <f aca="false">YEAR(E2406)</f>
        <v>2025</v>
      </c>
      <c r="J2406" s="3" t="n">
        <f aca="false">MONTH(E2406)</f>
        <v>3</v>
      </c>
      <c r="K2406" s="3" t="n">
        <f aca="false">COUNTIFS($B$2:$B$4077,B2406,$C$2:$C$4077,C2406,$I$2:$I$4077,I2406)</f>
        <v>1</v>
      </c>
      <c r="L2406" s="3" t="n">
        <f aca="false">IF(COUNTIFS($B$2:B2406,B2406,$C$2:C2406,C2406,$I$2:I2406,I2406)=1,1,0)</f>
        <v>1</v>
      </c>
      <c r="M2406" s="3" t="n">
        <f aca="false">IF(K2406&gt;=Parametri!$B$1,1,0)</f>
        <v>0</v>
      </c>
      <c r="N2406" s="3" t="n">
        <f aca="false">L2406*M2406</f>
        <v>0</v>
      </c>
    </row>
    <row r="2407" customFormat="false" ht="15" hidden="false" customHeight="false" outlineLevel="0" collapsed="false">
      <c r="A2407" s="0" t="s">
        <v>3793</v>
      </c>
      <c r="B2407" s="0" t="s">
        <v>124</v>
      </c>
      <c r="C2407" s="0" t="s">
        <v>1819</v>
      </c>
      <c r="D2407" s="0" t="s">
        <v>33</v>
      </c>
      <c r="E2407" s="2" t="n">
        <v>45588</v>
      </c>
      <c r="F2407" s="3" t="s">
        <v>34</v>
      </c>
      <c r="G2407" s="3" t="s">
        <v>43</v>
      </c>
      <c r="H2407" s="3" t="s">
        <v>44</v>
      </c>
      <c r="I2407" s="3" t="n">
        <f aca="false">YEAR(E2407)</f>
        <v>2024</v>
      </c>
      <c r="J2407" s="3" t="n">
        <f aca="false">MONTH(E2407)</f>
        <v>10</v>
      </c>
      <c r="K2407" s="3" t="n">
        <f aca="false">COUNTIFS($B$2:$B$4077,B2407,$C$2:$C$4077,C2407,$I$2:$I$4077,I2407)</f>
        <v>1</v>
      </c>
      <c r="L2407" s="3" t="n">
        <f aca="false">IF(COUNTIFS($B$2:B2407,B2407,$C$2:C2407,C2407,$I$2:I2407,I2407)=1,1,0)</f>
        <v>1</v>
      </c>
      <c r="M2407" s="3" t="n">
        <f aca="false">IF(K2407&gt;=Parametri!$B$1,1,0)</f>
        <v>0</v>
      </c>
      <c r="N2407" s="3" t="n">
        <f aca="false">L2407*M2407</f>
        <v>0</v>
      </c>
    </row>
    <row r="2408" customFormat="false" ht="15" hidden="false" customHeight="false" outlineLevel="0" collapsed="false">
      <c r="A2408" s="0" t="s">
        <v>3794</v>
      </c>
      <c r="B2408" s="0" t="s">
        <v>79</v>
      </c>
      <c r="C2408" s="0" t="s">
        <v>3216</v>
      </c>
      <c r="D2408" s="0" t="s">
        <v>19</v>
      </c>
      <c r="E2408" s="2" t="n">
        <v>45464</v>
      </c>
      <c r="F2408" s="3" t="s">
        <v>34</v>
      </c>
      <c r="G2408" s="3" t="s">
        <v>28</v>
      </c>
      <c r="H2408" s="3" t="s">
        <v>48</v>
      </c>
      <c r="I2408" s="3" t="n">
        <f aca="false">YEAR(E2408)</f>
        <v>2024</v>
      </c>
      <c r="J2408" s="3" t="n">
        <f aca="false">MONTH(E2408)</f>
        <v>6</v>
      </c>
      <c r="K2408" s="3" t="n">
        <f aca="false">COUNTIFS($B$2:$B$4077,B2408,$C$2:$C$4077,C2408,$I$2:$I$4077,I2408)</f>
        <v>4</v>
      </c>
      <c r="L2408" s="3" t="n">
        <f aca="false">IF(COUNTIFS($B$2:B2408,B2408,$C$2:C2408,C2408,$I$2:I2408,I2408)=1,1,0)</f>
        <v>1</v>
      </c>
      <c r="M2408" s="3" t="n">
        <f aca="false">IF(K2408&gt;=Parametri!$B$1,1,0)</f>
        <v>1</v>
      </c>
      <c r="N2408" s="3" t="n">
        <f aca="false">L2408*M2408</f>
        <v>1</v>
      </c>
    </row>
    <row r="2409" customFormat="false" ht="15" hidden="false" customHeight="false" outlineLevel="0" collapsed="false">
      <c r="A2409" s="0" t="s">
        <v>3795</v>
      </c>
      <c r="B2409" s="0" t="s">
        <v>17</v>
      </c>
      <c r="C2409" s="0" t="s">
        <v>3796</v>
      </c>
      <c r="D2409" s="0" t="s">
        <v>26</v>
      </c>
      <c r="E2409" s="2" t="n">
        <v>45704</v>
      </c>
      <c r="F2409" s="3" t="s">
        <v>20</v>
      </c>
      <c r="G2409" s="3" t="s">
        <v>72</v>
      </c>
      <c r="H2409" s="3" t="s">
        <v>48</v>
      </c>
      <c r="I2409" s="3" t="n">
        <f aca="false">YEAR(E2409)</f>
        <v>2025</v>
      </c>
      <c r="J2409" s="3" t="n">
        <f aca="false">MONTH(E2409)</f>
        <v>2</v>
      </c>
      <c r="K2409" s="3" t="n">
        <f aca="false">COUNTIFS($B$2:$B$4077,B2409,$C$2:$C$4077,C2409,$I$2:$I$4077,I2409)</f>
        <v>1</v>
      </c>
      <c r="L2409" s="3" t="n">
        <f aca="false">IF(COUNTIFS($B$2:B2409,B2409,$C$2:C2409,C2409,$I$2:I2409,I2409)=1,1,0)</f>
        <v>1</v>
      </c>
      <c r="M2409" s="3" t="n">
        <f aca="false">IF(K2409&gt;=Parametri!$B$1,1,0)</f>
        <v>0</v>
      </c>
      <c r="N2409" s="3" t="n">
        <f aca="false">L2409*M2409</f>
        <v>0</v>
      </c>
    </row>
    <row r="2410" customFormat="false" ht="15" hidden="false" customHeight="false" outlineLevel="0" collapsed="false">
      <c r="A2410" s="0" t="s">
        <v>3797</v>
      </c>
      <c r="B2410" s="0" t="s">
        <v>46</v>
      </c>
      <c r="C2410" s="0" t="s">
        <v>885</v>
      </c>
      <c r="D2410" s="0" t="s">
        <v>26</v>
      </c>
      <c r="E2410" s="2" t="n">
        <v>46078</v>
      </c>
      <c r="F2410" s="3" t="s">
        <v>34</v>
      </c>
      <c r="G2410" s="3" t="s">
        <v>55</v>
      </c>
      <c r="H2410" s="3" t="s">
        <v>48</v>
      </c>
      <c r="I2410" s="3" t="n">
        <f aca="false">YEAR(E2410)</f>
        <v>2026</v>
      </c>
      <c r="J2410" s="3" t="n">
        <f aca="false">MONTH(E2410)</f>
        <v>2</v>
      </c>
      <c r="K2410" s="3" t="n">
        <f aca="false">COUNTIFS($B$2:$B$4077,B2410,$C$2:$C$4077,C2410,$I$2:$I$4077,I2410)</f>
        <v>2</v>
      </c>
      <c r="L2410" s="3" t="n">
        <f aca="false">IF(COUNTIFS($B$2:B2410,B2410,$C$2:C2410,C2410,$I$2:I2410,I2410)=1,1,0)</f>
        <v>1</v>
      </c>
      <c r="M2410" s="3" t="n">
        <f aca="false">IF(K2410&gt;=Parametri!$B$1,1,0)</f>
        <v>1</v>
      </c>
      <c r="N2410" s="3" t="n">
        <f aca="false">L2410*M2410</f>
        <v>1</v>
      </c>
    </row>
    <row r="2411" customFormat="false" ht="15" hidden="false" customHeight="false" outlineLevel="0" collapsed="false">
      <c r="A2411" s="0" t="s">
        <v>3798</v>
      </c>
      <c r="B2411" s="0" t="s">
        <v>79</v>
      </c>
      <c r="C2411" s="0" t="s">
        <v>2951</v>
      </c>
      <c r="D2411" s="0" t="s">
        <v>38</v>
      </c>
      <c r="E2411" s="2" t="n">
        <v>46082</v>
      </c>
      <c r="F2411" s="3" t="s">
        <v>20</v>
      </c>
      <c r="G2411" s="3" t="s">
        <v>28</v>
      </c>
      <c r="H2411" s="3" t="s">
        <v>22</v>
      </c>
      <c r="I2411" s="3" t="n">
        <f aca="false">YEAR(E2411)</f>
        <v>2026</v>
      </c>
      <c r="J2411" s="3" t="n">
        <f aca="false">MONTH(E2411)</f>
        <v>3</v>
      </c>
      <c r="K2411" s="3" t="n">
        <f aca="false">COUNTIFS($B$2:$B$4077,B2411,$C$2:$C$4077,C2411,$I$2:$I$4077,I2411)</f>
        <v>1</v>
      </c>
      <c r="L2411" s="3" t="n">
        <f aca="false">IF(COUNTIFS($B$2:B2411,B2411,$C$2:C2411,C2411,$I$2:I2411,I2411)=1,1,0)</f>
        <v>1</v>
      </c>
      <c r="M2411" s="3" t="n">
        <f aca="false">IF(K2411&gt;=Parametri!$B$1,1,0)</f>
        <v>0</v>
      </c>
      <c r="N2411" s="3" t="n">
        <f aca="false">L2411*M2411</f>
        <v>0</v>
      </c>
    </row>
    <row r="2412" customFormat="false" ht="15" hidden="false" customHeight="false" outlineLevel="0" collapsed="false">
      <c r="A2412" s="0" t="s">
        <v>3799</v>
      </c>
      <c r="B2412" s="0" t="s">
        <v>57</v>
      </c>
      <c r="C2412" s="0" t="s">
        <v>1054</v>
      </c>
      <c r="D2412" s="0" t="s">
        <v>26</v>
      </c>
      <c r="E2412" s="2" t="n">
        <v>45418</v>
      </c>
      <c r="F2412" s="3" t="s">
        <v>27</v>
      </c>
      <c r="G2412" s="3" t="s">
        <v>89</v>
      </c>
      <c r="H2412" s="3" t="s">
        <v>44</v>
      </c>
      <c r="I2412" s="3" t="n">
        <f aca="false">YEAR(E2412)</f>
        <v>2024</v>
      </c>
      <c r="J2412" s="3" t="n">
        <f aca="false">MONTH(E2412)</f>
        <v>5</v>
      </c>
      <c r="K2412" s="3" t="n">
        <f aca="false">COUNTIFS($B$2:$B$4077,B2412,$C$2:$C$4077,C2412,$I$2:$I$4077,I2412)</f>
        <v>2</v>
      </c>
      <c r="L2412" s="3" t="n">
        <f aca="false">IF(COUNTIFS($B$2:B2412,B2412,$C$2:C2412,C2412,$I$2:I2412,I2412)=1,1,0)</f>
        <v>0</v>
      </c>
      <c r="M2412" s="3" t="n">
        <f aca="false">IF(K2412&gt;=Parametri!$B$1,1,0)</f>
        <v>1</v>
      </c>
      <c r="N2412" s="3" t="n">
        <f aca="false">L2412*M2412</f>
        <v>0</v>
      </c>
    </row>
    <row r="2413" customFormat="false" ht="15" hidden="false" customHeight="false" outlineLevel="0" collapsed="false">
      <c r="A2413" s="0" t="s">
        <v>3800</v>
      </c>
      <c r="B2413" s="0" t="s">
        <v>124</v>
      </c>
      <c r="C2413" s="0" t="s">
        <v>3801</v>
      </c>
      <c r="D2413" s="0" t="s">
        <v>54</v>
      </c>
      <c r="E2413" s="2" t="n">
        <v>46189</v>
      </c>
      <c r="F2413" s="3" t="s">
        <v>20</v>
      </c>
      <c r="G2413" s="3" t="s">
        <v>89</v>
      </c>
      <c r="H2413" s="3" t="s">
        <v>44</v>
      </c>
      <c r="I2413" s="3" t="n">
        <f aca="false">YEAR(E2413)</f>
        <v>2026</v>
      </c>
      <c r="J2413" s="3" t="n">
        <f aca="false">MONTH(E2413)</f>
        <v>6</v>
      </c>
      <c r="K2413" s="3" t="n">
        <f aca="false">COUNTIFS($B$2:$B$4077,B2413,$C$2:$C$4077,C2413,$I$2:$I$4077,I2413)</f>
        <v>1</v>
      </c>
      <c r="L2413" s="3" t="n">
        <f aca="false">IF(COUNTIFS($B$2:B2413,B2413,$C$2:C2413,C2413,$I$2:I2413,I2413)=1,1,0)</f>
        <v>1</v>
      </c>
      <c r="M2413" s="3" t="n">
        <f aca="false">IF(K2413&gt;=Parametri!$B$1,1,0)</f>
        <v>0</v>
      </c>
      <c r="N2413" s="3" t="n">
        <f aca="false">L2413*M2413</f>
        <v>0</v>
      </c>
    </row>
    <row r="2414" customFormat="false" ht="15" hidden="false" customHeight="false" outlineLevel="0" collapsed="false">
      <c r="A2414" s="0" t="s">
        <v>3802</v>
      </c>
      <c r="B2414" s="0" t="s">
        <v>41</v>
      </c>
      <c r="C2414" s="0" t="s">
        <v>421</v>
      </c>
      <c r="D2414" s="0" t="s">
        <v>19</v>
      </c>
      <c r="E2414" s="2" t="n">
        <v>45537</v>
      </c>
      <c r="F2414" s="3" t="s">
        <v>20</v>
      </c>
      <c r="G2414" s="3" t="s">
        <v>39</v>
      </c>
      <c r="H2414" s="3" t="s">
        <v>22</v>
      </c>
      <c r="I2414" s="3" t="n">
        <f aca="false">YEAR(E2414)</f>
        <v>2024</v>
      </c>
      <c r="J2414" s="3" t="n">
        <f aca="false">MONTH(E2414)</f>
        <v>9</v>
      </c>
      <c r="K2414" s="3" t="n">
        <f aca="false">COUNTIFS($B$2:$B$4077,B2414,$C$2:$C$4077,C2414,$I$2:$I$4077,I2414)</f>
        <v>3</v>
      </c>
      <c r="L2414" s="3" t="n">
        <f aca="false">IF(COUNTIFS($B$2:B2414,B2414,$C$2:C2414,C2414,$I$2:I2414,I2414)=1,1,0)</f>
        <v>0</v>
      </c>
      <c r="M2414" s="3" t="n">
        <f aca="false">IF(K2414&gt;=Parametri!$B$1,1,0)</f>
        <v>1</v>
      </c>
      <c r="N2414" s="3" t="n">
        <f aca="false">L2414*M2414</f>
        <v>0</v>
      </c>
    </row>
    <row r="2415" customFormat="false" ht="15" hidden="false" customHeight="false" outlineLevel="0" collapsed="false">
      <c r="A2415" s="0" t="s">
        <v>3803</v>
      </c>
      <c r="B2415" s="0" t="s">
        <v>124</v>
      </c>
      <c r="C2415" s="0" t="s">
        <v>3804</v>
      </c>
      <c r="D2415" s="0" t="s">
        <v>77</v>
      </c>
      <c r="E2415" s="2" t="n">
        <v>45389</v>
      </c>
      <c r="F2415" s="3" t="s">
        <v>104</v>
      </c>
      <c r="G2415" s="3" t="s">
        <v>104</v>
      </c>
      <c r="H2415" s="3" t="s">
        <v>104</v>
      </c>
      <c r="I2415" s="3" t="n">
        <f aca="false">YEAR(E2415)</f>
        <v>2024</v>
      </c>
      <c r="J2415" s="3" t="n">
        <f aca="false">MONTH(E2415)</f>
        <v>4</v>
      </c>
      <c r="K2415" s="3" t="n">
        <f aca="false">COUNTIFS($B$2:$B$4077,B2415,$C$2:$C$4077,C2415,$I$2:$I$4077,I2415)</f>
        <v>1</v>
      </c>
      <c r="L2415" s="3" t="n">
        <f aca="false">IF(COUNTIFS($B$2:B2415,B2415,$C$2:C2415,C2415,$I$2:I2415,I2415)=1,1,0)</f>
        <v>1</v>
      </c>
      <c r="M2415" s="3" t="n">
        <f aca="false">IF(K2415&gt;=Parametri!$B$1,1,0)</f>
        <v>0</v>
      </c>
      <c r="N2415" s="3" t="n">
        <f aca="false">L2415*M2415</f>
        <v>0</v>
      </c>
    </row>
    <row r="2416" customFormat="false" ht="15" hidden="false" customHeight="false" outlineLevel="0" collapsed="false">
      <c r="A2416" s="0" t="s">
        <v>3805</v>
      </c>
      <c r="B2416" s="0" t="s">
        <v>24</v>
      </c>
      <c r="C2416" s="0" t="s">
        <v>3388</v>
      </c>
      <c r="D2416" s="0" t="s">
        <v>19</v>
      </c>
      <c r="E2416" s="2" t="n">
        <v>45744</v>
      </c>
      <c r="F2416" s="3" t="s">
        <v>20</v>
      </c>
      <c r="G2416" s="3" t="s">
        <v>104</v>
      </c>
      <c r="H2416" s="3" t="s">
        <v>104</v>
      </c>
      <c r="I2416" s="3" t="n">
        <f aca="false">YEAR(E2416)</f>
        <v>2025</v>
      </c>
      <c r="J2416" s="3" t="n">
        <f aca="false">MONTH(E2416)</f>
        <v>3</v>
      </c>
      <c r="K2416" s="3" t="n">
        <f aca="false">COUNTIFS($B$2:$B$4077,B2416,$C$2:$C$4077,C2416,$I$2:$I$4077,I2416)</f>
        <v>1</v>
      </c>
      <c r="L2416" s="3" t="n">
        <f aca="false">IF(COUNTIFS($B$2:B2416,B2416,$C$2:C2416,C2416,$I$2:I2416,I2416)=1,1,0)</f>
        <v>1</v>
      </c>
      <c r="M2416" s="3" t="n">
        <f aca="false">IF(K2416&gt;=Parametri!$B$1,1,0)</f>
        <v>0</v>
      </c>
      <c r="N2416" s="3" t="n">
        <f aca="false">L2416*M2416</f>
        <v>0</v>
      </c>
    </row>
    <row r="2417" customFormat="false" ht="15" hidden="false" customHeight="false" outlineLevel="0" collapsed="false">
      <c r="A2417" s="0" t="s">
        <v>3806</v>
      </c>
      <c r="B2417" s="0" t="s">
        <v>46</v>
      </c>
      <c r="C2417" s="0" t="s">
        <v>1739</v>
      </c>
      <c r="D2417" s="0" t="s">
        <v>54</v>
      </c>
      <c r="E2417" s="2" t="n">
        <v>46079</v>
      </c>
      <c r="F2417" s="3" t="s">
        <v>20</v>
      </c>
      <c r="G2417" s="3" t="s">
        <v>35</v>
      </c>
      <c r="H2417" s="3" t="s">
        <v>44</v>
      </c>
      <c r="I2417" s="3" t="n">
        <f aca="false">YEAR(E2417)</f>
        <v>2026</v>
      </c>
      <c r="J2417" s="3" t="n">
        <f aca="false">MONTH(E2417)</f>
        <v>2</v>
      </c>
      <c r="K2417" s="3" t="n">
        <f aca="false">COUNTIFS($B$2:$B$4077,B2417,$C$2:$C$4077,C2417,$I$2:$I$4077,I2417)</f>
        <v>1</v>
      </c>
      <c r="L2417" s="3" t="n">
        <f aca="false">IF(COUNTIFS($B$2:B2417,B2417,$C$2:C2417,C2417,$I$2:I2417,I2417)=1,1,0)</f>
        <v>1</v>
      </c>
      <c r="M2417" s="3" t="n">
        <f aca="false">IF(K2417&gt;=Parametri!$B$1,1,0)</f>
        <v>0</v>
      </c>
      <c r="N2417" s="3" t="n">
        <f aca="false">L2417*M2417</f>
        <v>0</v>
      </c>
    </row>
    <row r="2418" customFormat="false" ht="15" hidden="false" customHeight="false" outlineLevel="0" collapsed="false">
      <c r="A2418" s="0" t="s">
        <v>3807</v>
      </c>
      <c r="B2418" s="0" t="s">
        <v>57</v>
      </c>
      <c r="C2418" s="0" t="s">
        <v>3555</v>
      </c>
      <c r="D2418" s="0" t="s">
        <v>38</v>
      </c>
      <c r="E2418" s="2" t="n">
        <v>45357</v>
      </c>
      <c r="F2418" s="3" t="s">
        <v>27</v>
      </c>
      <c r="G2418" s="3" t="s">
        <v>21</v>
      </c>
      <c r="H2418" s="3" t="s">
        <v>22</v>
      </c>
      <c r="I2418" s="3" t="n">
        <f aca="false">YEAR(E2418)</f>
        <v>2024</v>
      </c>
      <c r="J2418" s="3" t="n">
        <f aca="false">MONTH(E2418)</f>
        <v>3</v>
      </c>
      <c r="K2418" s="3" t="n">
        <f aca="false">COUNTIFS($B$2:$B$4077,B2418,$C$2:$C$4077,C2418,$I$2:$I$4077,I2418)</f>
        <v>2</v>
      </c>
      <c r="L2418" s="3" t="n">
        <f aca="false">IF(COUNTIFS($B$2:B2418,B2418,$C$2:C2418,C2418,$I$2:I2418,I2418)=1,1,0)</f>
        <v>1</v>
      </c>
      <c r="M2418" s="3" t="n">
        <f aca="false">IF(K2418&gt;=Parametri!$B$1,1,0)</f>
        <v>1</v>
      </c>
      <c r="N2418" s="3" t="n">
        <f aca="false">L2418*M2418</f>
        <v>1</v>
      </c>
    </row>
    <row r="2419" customFormat="false" ht="15" hidden="false" customHeight="false" outlineLevel="0" collapsed="false">
      <c r="A2419" s="0" t="s">
        <v>3808</v>
      </c>
      <c r="B2419" s="0" t="s">
        <v>124</v>
      </c>
      <c r="C2419" s="0" t="s">
        <v>2810</v>
      </c>
      <c r="D2419" s="0" t="s">
        <v>33</v>
      </c>
      <c r="E2419" s="2" t="n">
        <v>45730</v>
      </c>
      <c r="F2419" s="3" t="s">
        <v>20</v>
      </c>
      <c r="G2419" s="3" t="s">
        <v>21</v>
      </c>
      <c r="H2419" s="3" t="s">
        <v>22</v>
      </c>
      <c r="I2419" s="3" t="n">
        <f aca="false">YEAR(E2419)</f>
        <v>2025</v>
      </c>
      <c r="J2419" s="3" t="n">
        <f aca="false">MONTH(E2419)</f>
        <v>3</v>
      </c>
      <c r="K2419" s="3" t="n">
        <f aca="false">COUNTIFS($B$2:$B$4077,B2419,$C$2:$C$4077,C2419,$I$2:$I$4077,I2419)</f>
        <v>1</v>
      </c>
      <c r="L2419" s="3" t="n">
        <f aca="false">IF(COUNTIFS($B$2:B2419,B2419,$C$2:C2419,C2419,$I$2:I2419,I2419)=1,1,0)</f>
        <v>1</v>
      </c>
      <c r="M2419" s="3" t="n">
        <f aca="false">IF(K2419&gt;=Parametri!$B$1,1,0)</f>
        <v>0</v>
      </c>
      <c r="N2419" s="3" t="n">
        <f aca="false">L2419*M2419</f>
        <v>0</v>
      </c>
    </row>
    <row r="2420" customFormat="false" ht="15" hidden="false" customHeight="false" outlineLevel="0" collapsed="false">
      <c r="A2420" s="0" t="s">
        <v>3809</v>
      </c>
      <c r="B2420" s="0" t="s">
        <v>79</v>
      </c>
      <c r="C2420" s="0" t="s">
        <v>838</v>
      </c>
      <c r="D2420" s="0" t="s">
        <v>26</v>
      </c>
      <c r="E2420" s="2" t="n">
        <v>46047</v>
      </c>
      <c r="F2420" s="3" t="s">
        <v>20</v>
      </c>
      <c r="G2420" s="3" t="s">
        <v>39</v>
      </c>
      <c r="H2420" s="3" t="s">
        <v>29</v>
      </c>
      <c r="I2420" s="3" t="n">
        <f aca="false">YEAR(E2420)</f>
        <v>2026</v>
      </c>
      <c r="J2420" s="3" t="n">
        <f aca="false">MONTH(E2420)</f>
        <v>1</v>
      </c>
      <c r="K2420" s="3" t="n">
        <f aca="false">COUNTIFS($B$2:$B$4077,B2420,$C$2:$C$4077,C2420,$I$2:$I$4077,I2420)</f>
        <v>2</v>
      </c>
      <c r="L2420" s="3" t="n">
        <f aca="false">IF(COUNTIFS($B$2:B2420,B2420,$C$2:C2420,C2420,$I$2:I2420,I2420)=1,1,0)</f>
        <v>0</v>
      </c>
      <c r="M2420" s="3" t="n">
        <f aca="false">IF(K2420&gt;=Parametri!$B$1,1,0)</f>
        <v>1</v>
      </c>
      <c r="N2420" s="3" t="n">
        <f aca="false">L2420*M2420</f>
        <v>0</v>
      </c>
    </row>
    <row r="2421" customFormat="false" ht="15" hidden="false" customHeight="false" outlineLevel="0" collapsed="false">
      <c r="A2421" s="0" t="s">
        <v>3810</v>
      </c>
      <c r="B2421" s="0" t="s">
        <v>17</v>
      </c>
      <c r="C2421" s="0" t="s">
        <v>3811</v>
      </c>
      <c r="D2421" s="0" t="s">
        <v>77</v>
      </c>
      <c r="E2421" s="2" t="n">
        <v>45936</v>
      </c>
      <c r="F2421" s="3" t="s">
        <v>20</v>
      </c>
      <c r="G2421" s="3" t="s">
        <v>72</v>
      </c>
      <c r="H2421" s="3" t="s">
        <v>48</v>
      </c>
      <c r="I2421" s="3" t="n">
        <f aca="false">YEAR(E2421)</f>
        <v>2025</v>
      </c>
      <c r="J2421" s="3" t="n">
        <f aca="false">MONTH(E2421)</f>
        <v>10</v>
      </c>
      <c r="K2421" s="3" t="n">
        <f aca="false">COUNTIFS($B$2:$B$4077,B2421,$C$2:$C$4077,C2421,$I$2:$I$4077,I2421)</f>
        <v>1</v>
      </c>
      <c r="L2421" s="3" t="n">
        <f aca="false">IF(COUNTIFS($B$2:B2421,B2421,$C$2:C2421,C2421,$I$2:I2421,I2421)=1,1,0)</f>
        <v>1</v>
      </c>
      <c r="M2421" s="3" t="n">
        <f aca="false">IF(K2421&gt;=Parametri!$B$1,1,0)</f>
        <v>0</v>
      </c>
      <c r="N2421" s="3" t="n">
        <f aca="false">L2421*M2421</f>
        <v>0</v>
      </c>
    </row>
    <row r="2422" customFormat="false" ht="15" hidden="false" customHeight="false" outlineLevel="0" collapsed="false">
      <c r="A2422" s="0" t="s">
        <v>3812</v>
      </c>
      <c r="B2422" s="0" t="s">
        <v>24</v>
      </c>
      <c r="C2422" s="0" t="s">
        <v>3761</v>
      </c>
      <c r="D2422" s="0" t="s">
        <v>33</v>
      </c>
      <c r="E2422" s="2" t="n">
        <v>45802</v>
      </c>
      <c r="F2422" s="3" t="s">
        <v>20</v>
      </c>
      <c r="G2422" s="3" t="s">
        <v>21</v>
      </c>
      <c r="H2422" s="3" t="s">
        <v>44</v>
      </c>
      <c r="I2422" s="3" t="n">
        <f aca="false">YEAR(E2422)</f>
        <v>2025</v>
      </c>
      <c r="J2422" s="3" t="n">
        <f aca="false">MONTH(E2422)</f>
        <v>5</v>
      </c>
      <c r="K2422" s="3" t="n">
        <f aca="false">COUNTIFS($B$2:$B$4077,B2422,$C$2:$C$4077,C2422,$I$2:$I$4077,I2422)</f>
        <v>1</v>
      </c>
      <c r="L2422" s="3" t="n">
        <f aca="false">IF(COUNTIFS($B$2:B2422,B2422,$C$2:C2422,C2422,$I$2:I2422,I2422)=1,1,0)</f>
        <v>1</v>
      </c>
      <c r="M2422" s="3" t="n">
        <f aca="false">IF(K2422&gt;=Parametri!$B$1,1,0)</f>
        <v>0</v>
      </c>
      <c r="N2422" s="3" t="n">
        <f aca="false">L2422*M2422</f>
        <v>0</v>
      </c>
    </row>
    <row r="2423" customFormat="false" ht="15" hidden="false" customHeight="false" outlineLevel="0" collapsed="false">
      <c r="A2423" s="0" t="s">
        <v>3813</v>
      </c>
      <c r="B2423" s="0" t="s">
        <v>68</v>
      </c>
      <c r="C2423" s="0" t="s">
        <v>936</v>
      </c>
      <c r="D2423" s="0" t="s">
        <v>66</v>
      </c>
      <c r="E2423" s="2" t="n">
        <v>45740</v>
      </c>
      <c r="F2423" s="3" t="s">
        <v>27</v>
      </c>
      <c r="G2423" s="3" t="s">
        <v>43</v>
      </c>
      <c r="H2423" s="3" t="s">
        <v>22</v>
      </c>
      <c r="I2423" s="3" t="n">
        <f aca="false">YEAR(E2423)</f>
        <v>2025</v>
      </c>
      <c r="J2423" s="3" t="n">
        <f aca="false">MONTH(E2423)</f>
        <v>3</v>
      </c>
      <c r="K2423" s="3" t="n">
        <f aca="false">COUNTIFS($B$2:$B$4077,B2423,$C$2:$C$4077,C2423,$I$2:$I$4077,I2423)</f>
        <v>2</v>
      </c>
      <c r="L2423" s="3" t="n">
        <f aca="false">IF(COUNTIFS($B$2:B2423,B2423,$C$2:C2423,C2423,$I$2:I2423,I2423)=1,1,0)</f>
        <v>0</v>
      </c>
      <c r="M2423" s="3" t="n">
        <f aca="false">IF(K2423&gt;=Parametri!$B$1,1,0)</f>
        <v>1</v>
      </c>
      <c r="N2423" s="3" t="n">
        <f aca="false">L2423*M2423</f>
        <v>0</v>
      </c>
    </row>
    <row r="2424" customFormat="false" ht="15" hidden="false" customHeight="false" outlineLevel="0" collapsed="false">
      <c r="A2424" s="0" t="s">
        <v>3814</v>
      </c>
      <c r="B2424" s="0" t="s">
        <v>41</v>
      </c>
      <c r="C2424" s="0" t="s">
        <v>3815</v>
      </c>
      <c r="D2424" s="0" t="s">
        <v>19</v>
      </c>
      <c r="E2424" s="2" t="n">
        <v>45641</v>
      </c>
      <c r="F2424" s="3" t="s">
        <v>34</v>
      </c>
      <c r="G2424" s="3" t="s">
        <v>21</v>
      </c>
      <c r="H2424" s="3" t="s">
        <v>44</v>
      </c>
      <c r="I2424" s="3" t="n">
        <f aca="false">YEAR(E2424)</f>
        <v>2024</v>
      </c>
      <c r="J2424" s="3" t="n">
        <f aca="false">MONTH(E2424)</f>
        <v>12</v>
      </c>
      <c r="K2424" s="3" t="n">
        <f aca="false">COUNTIFS($B$2:$B$4077,B2424,$C$2:$C$4077,C2424,$I$2:$I$4077,I2424)</f>
        <v>1</v>
      </c>
      <c r="L2424" s="3" t="n">
        <f aca="false">IF(COUNTIFS($B$2:B2424,B2424,$C$2:C2424,C2424,$I$2:I2424,I2424)=1,1,0)</f>
        <v>1</v>
      </c>
      <c r="M2424" s="3" t="n">
        <f aca="false">IF(K2424&gt;=Parametri!$B$1,1,0)</f>
        <v>0</v>
      </c>
      <c r="N2424" s="3" t="n">
        <f aca="false">L2424*M2424</f>
        <v>0</v>
      </c>
    </row>
    <row r="2425" customFormat="false" ht="15" hidden="false" customHeight="false" outlineLevel="0" collapsed="false">
      <c r="A2425" s="0" t="s">
        <v>3816</v>
      </c>
      <c r="B2425" s="0" t="s">
        <v>31</v>
      </c>
      <c r="C2425" s="0" t="s">
        <v>3817</v>
      </c>
      <c r="D2425" s="0" t="s">
        <v>66</v>
      </c>
      <c r="E2425" s="2" t="n">
        <v>45637</v>
      </c>
      <c r="F2425" s="3" t="s">
        <v>20</v>
      </c>
      <c r="G2425" s="3" t="s">
        <v>39</v>
      </c>
      <c r="H2425" s="3" t="s">
        <v>44</v>
      </c>
      <c r="I2425" s="3" t="n">
        <f aca="false">YEAR(E2425)</f>
        <v>2024</v>
      </c>
      <c r="J2425" s="3" t="n">
        <f aca="false">MONTH(E2425)</f>
        <v>12</v>
      </c>
      <c r="K2425" s="3" t="n">
        <f aca="false">COUNTIFS($B$2:$B$4077,B2425,$C$2:$C$4077,C2425,$I$2:$I$4077,I2425)</f>
        <v>2</v>
      </c>
      <c r="L2425" s="3" t="n">
        <f aca="false">IF(COUNTIFS($B$2:B2425,B2425,$C$2:C2425,C2425,$I$2:I2425,I2425)=1,1,0)</f>
        <v>1</v>
      </c>
      <c r="M2425" s="3" t="n">
        <f aca="false">IF(K2425&gt;=Parametri!$B$1,1,0)</f>
        <v>1</v>
      </c>
      <c r="N2425" s="3" t="n">
        <f aca="false">L2425*M2425</f>
        <v>1</v>
      </c>
    </row>
    <row r="2426" customFormat="false" ht="15" hidden="false" customHeight="false" outlineLevel="0" collapsed="false">
      <c r="A2426" s="0" t="s">
        <v>3818</v>
      </c>
      <c r="B2426" s="0" t="s">
        <v>31</v>
      </c>
      <c r="C2426" s="0" t="s">
        <v>2861</v>
      </c>
      <c r="D2426" s="0" t="s">
        <v>38</v>
      </c>
      <c r="E2426" s="2" t="n">
        <v>45935</v>
      </c>
      <c r="F2426" s="3" t="s">
        <v>20</v>
      </c>
      <c r="G2426" s="3" t="s">
        <v>72</v>
      </c>
      <c r="H2426" s="3" t="s">
        <v>44</v>
      </c>
      <c r="I2426" s="3" t="n">
        <f aca="false">YEAR(E2426)</f>
        <v>2025</v>
      </c>
      <c r="J2426" s="3" t="n">
        <f aca="false">MONTH(E2426)</f>
        <v>10</v>
      </c>
      <c r="K2426" s="3" t="n">
        <f aca="false">COUNTIFS($B$2:$B$4077,B2426,$C$2:$C$4077,C2426,$I$2:$I$4077,I2426)</f>
        <v>1</v>
      </c>
      <c r="L2426" s="3" t="n">
        <f aca="false">IF(COUNTIFS($B$2:B2426,B2426,$C$2:C2426,C2426,$I$2:I2426,I2426)=1,1,0)</f>
        <v>1</v>
      </c>
      <c r="M2426" s="3" t="n">
        <f aca="false">IF(K2426&gt;=Parametri!$B$1,1,0)</f>
        <v>0</v>
      </c>
      <c r="N2426" s="3" t="n">
        <f aca="false">L2426*M2426</f>
        <v>0</v>
      </c>
    </row>
    <row r="2427" customFormat="false" ht="15" hidden="false" customHeight="false" outlineLevel="0" collapsed="false">
      <c r="A2427" s="0" t="s">
        <v>3819</v>
      </c>
      <c r="B2427" s="0" t="s">
        <v>46</v>
      </c>
      <c r="C2427" s="0" t="s">
        <v>3820</v>
      </c>
      <c r="D2427" s="0" t="s">
        <v>77</v>
      </c>
      <c r="E2427" s="2" t="n">
        <v>45810</v>
      </c>
      <c r="F2427" s="3" t="s">
        <v>27</v>
      </c>
      <c r="G2427" s="3" t="s">
        <v>89</v>
      </c>
      <c r="H2427" s="3" t="s">
        <v>29</v>
      </c>
      <c r="I2427" s="3" t="n">
        <f aca="false">YEAR(E2427)</f>
        <v>2025</v>
      </c>
      <c r="J2427" s="3" t="n">
        <f aca="false">MONTH(E2427)</f>
        <v>6</v>
      </c>
      <c r="K2427" s="3" t="n">
        <f aca="false">COUNTIFS($B$2:$B$4077,B2427,$C$2:$C$4077,C2427,$I$2:$I$4077,I2427)</f>
        <v>1</v>
      </c>
      <c r="L2427" s="3" t="n">
        <f aca="false">IF(COUNTIFS($B$2:B2427,B2427,$C$2:C2427,C2427,$I$2:I2427,I2427)=1,1,0)</f>
        <v>1</v>
      </c>
      <c r="M2427" s="3" t="n">
        <f aca="false">IF(K2427&gt;=Parametri!$B$1,1,0)</f>
        <v>0</v>
      </c>
      <c r="N2427" s="3" t="n">
        <f aca="false">L2427*M2427</f>
        <v>0</v>
      </c>
    </row>
    <row r="2428" customFormat="false" ht="15" hidden="false" customHeight="false" outlineLevel="0" collapsed="false">
      <c r="A2428" s="0" t="s">
        <v>3821</v>
      </c>
      <c r="B2428" s="0" t="s">
        <v>24</v>
      </c>
      <c r="C2428" s="0" t="s">
        <v>325</v>
      </c>
      <c r="D2428" s="0" t="s">
        <v>33</v>
      </c>
      <c r="E2428" s="2" t="n">
        <v>45414</v>
      </c>
      <c r="F2428" s="3" t="s">
        <v>20</v>
      </c>
      <c r="G2428" s="3" t="s">
        <v>43</v>
      </c>
      <c r="H2428" s="3" t="s">
        <v>48</v>
      </c>
      <c r="I2428" s="3" t="n">
        <f aca="false">YEAR(E2428)</f>
        <v>2024</v>
      </c>
      <c r="J2428" s="3" t="n">
        <f aca="false">MONTH(E2428)</f>
        <v>5</v>
      </c>
      <c r="K2428" s="3" t="n">
        <f aca="false">COUNTIFS($B$2:$B$4077,B2428,$C$2:$C$4077,C2428,$I$2:$I$4077,I2428)</f>
        <v>7</v>
      </c>
      <c r="L2428" s="3" t="n">
        <f aca="false">IF(COUNTIFS($B$2:B2428,B2428,$C$2:C2428,C2428,$I$2:I2428,I2428)=1,1,0)</f>
        <v>0</v>
      </c>
      <c r="M2428" s="3" t="n">
        <f aca="false">IF(K2428&gt;=Parametri!$B$1,1,0)</f>
        <v>1</v>
      </c>
      <c r="N2428" s="3" t="n">
        <f aca="false">L2428*M2428</f>
        <v>0</v>
      </c>
    </row>
    <row r="2429" customFormat="false" ht="15" hidden="false" customHeight="false" outlineLevel="0" collapsed="false">
      <c r="A2429" s="0" t="s">
        <v>3822</v>
      </c>
      <c r="B2429" s="0" t="s">
        <v>57</v>
      </c>
      <c r="C2429" s="0" t="s">
        <v>216</v>
      </c>
      <c r="D2429" s="0" t="s">
        <v>33</v>
      </c>
      <c r="E2429" s="2" t="n">
        <v>45647</v>
      </c>
      <c r="F2429" s="3" t="s">
        <v>27</v>
      </c>
      <c r="G2429" s="3" t="s">
        <v>72</v>
      </c>
      <c r="H2429" s="3" t="s">
        <v>48</v>
      </c>
      <c r="I2429" s="3" t="n">
        <f aca="false">YEAR(E2429)</f>
        <v>2024</v>
      </c>
      <c r="J2429" s="3" t="n">
        <f aca="false">MONTH(E2429)</f>
        <v>12</v>
      </c>
      <c r="K2429" s="3" t="n">
        <f aca="false">COUNTIFS($B$2:$B$4077,B2429,$C$2:$C$4077,C2429,$I$2:$I$4077,I2429)</f>
        <v>3</v>
      </c>
      <c r="L2429" s="3" t="n">
        <f aca="false">IF(COUNTIFS($B$2:B2429,B2429,$C$2:C2429,C2429,$I$2:I2429,I2429)=1,1,0)</f>
        <v>0</v>
      </c>
      <c r="M2429" s="3" t="n">
        <f aca="false">IF(K2429&gt;=Parametri!$B$1,1,0)</f>
        <v>1</v>
      </c>
      <c r="N2429" s="3" t="n">
        <f aca="false">L2429*M2429</f>
        <v>0</v>
      </c>
    </row>
    <row r="2430" customFormat="false" ht="15" hidden="false" customHeight="false" outlineLevel="0" collapsed="false">
      <c r="A2430" s="0" t="s">
        <v>3823</v>
      </c>
      <c r="B2430" s="0" t="s">
        <v>68</v>
      </c>
      <c r="C2430" s="0" t="s">
        <v>3824</v>
      </c>
      <c r="D2430" s="0" t="s">
        <v>26</v>
      </c>
      <c r="E2430" s="2" t="n">
        <v>45979</v>
      </c>
      <c r="F2430" s="3" t="s">
        <v>20</v>
      </c>
      <c r="G2430" s="3" t="s">
        <v>89</v>
      </c>
      <c r="H2430" s="3" t="s">
        <v>48</v>
      </c>
      <c r="I2430" s="3" t="n">
        <f aca="false">YEAR(E2430)</f>
        <v>2025</v>
      </c>
      <c r="J2430" s="3" t="n">
        <f aca="false">MONTH(E2430)</f>
        <v>11</v>
      </c>
      <c r="K2430" s="3" t="n">
        <f aca="false">COUNTIFS($B$2:$B$4077,B2430,$C$2:$C$4077,C2430,$I$2:$I$4077,I2430)</f>
        <v>2</v>
      </c>
      <c r="L2430" s="3" t="n">
        <f aca="false">IF(COUNTIFS($B$2:B2430,B2430,$C$2:C2430,C2430,$I$2:I2430,I2430)=1,1,0)</f>
        <v>1</v>
      </c>
      <c r="M2430" s="3" t="n">
        <f aca="false">IF(K2430&gt;=Parametri!$B$1,1,0)</f>
        <v>1</v>
      </c>
      <c r="N2430" s="3" t="n">
        <f aca="false">L2430*M2430</f>
        <v>1</v>
      </c>
    </row>
    <row r="2431" customFormat="false" ht="15" hidden="false" customHeight="false" outlineLevel="0" collapsed="false">
      <c r="A2431" s="0" t="s">
        <v>3825</v>
      </c>
      <c r="B2431" s="0" t="s">
        <v>68</v>
      </c>
      <c r="C2431" s="0" t="s">
        <v>1012</v>
      </c>
      <c r="D2431" s="0" t="s">
        <v>77</v>
      </c>
      <c r="E2431" s="2" t="n">
        <v>45429</v>
      </c>
      <c r="F2431" s="3" t="s">
        <v>34</v>
      </c>
      <c r="G2431" s="3" t="s">
        <v>39</v>
      </c>
      <c r="H2431" s="3" t="s">
        <v>48</v>
      </c>
      <c r="I2431" s="3" t="n">
        <f aca="false">YEAR(E2431)</f>
        <v>2024</v>
      </c>
      <c r="J2431" s="3" t="n">
        <f aca="false">MONTH(E2431)</f>
        <v>5</v>
      </c>
      <c r="K2431" s="3" t="n">
        <f aca="false">COUNTIFS($B$2:$B$4077,B2431,$C$2:$C$4077,C2431,$I$2:$I$4077,I2431)</f>
        <v>2</v>
      </c>
      <c r="L2431" s="3" t="n">
        <f aca="false">IF(COUNTIFS($B$2:B2431,B2431,$C$2:C2431,C2431,$I$2:I2431,I2431)=1,1,0)</f>
        <v>0</v>
      </c>
      <c r="M2431" s="3" t="n">
        <f aca="false">IF(K2431&gt;=Parametri!$B$1,1,0)</f>
        <v>1</v>
      </c>
      <c r="N2431" s="3" t="n">
        <f aca="false">L2431*M2431</f>
        <v>0</v>
      </c>
    </row>
    <row r="2432" customFormat="false" ht="15" hidden="false" customHeight="false" outlineLevel="0" collapsed="false">
      <c r="A2432" s="0" t="s">
        <v>3826</v>
      </c>
      <c r="B2432" s="0" t="s">
        <v>41</v>
      </c>
      <c r="C2432" s="0" t="s">
        <v>456</v>
      </c>
      <c r="D2432" s="0" t="s">
        <v>38</v>
      </c>
      <c r="E2432" s="2" t="n">
        <v>45399</v>
      </c>
      <c r="F2432" s="3" t="s">
        <v>20</v>
      </c>
      <c r="G2432" s="3" t="s">
        <v>35</v>
      </c>
      <c r="H2432" s="3" t="s">
        <v>29</v>
      </c>
      <c r="I2432" s="3" t="n">
        <f aca="false">YEAR(E2432)</f>
        <v>2024</v>
      </c>
      <c r="J2432" s="3" t="n">
        <f aca="false">MONTH(E2432)</f>
        <v>4</v>
      </c>
      <c r="K2432" s="3" t="n">
        <f aca="false">COUNTIFS($B$2:$B$4077,B2432,$C$2:$C$4077,C2432,$I$2:$I$4077,I2432)</f>
        <v>2</v>
      </c>
      <c r="L2432" s="3" t="n">
        <f aca="false">IF(COUNTIFS($B$2:B2432,B2432,$C$2:C2432,C2432,$I$2:I2432,I2432)=1,1,0)</f>
        <v>1</v>
      </c>
      <c r="M2432" s="3" t="n">
        <f aca="false">IF(K2432&gt;=Parametri!$B$1,1,0)</f>
        <v>1</v>
      </c>
      <c r="N2432" s="3" t="n">
        <f aca="false">L2432*M2432</f>
        <v>1</v>
      </c>
    </row>
    <row r="2433" customFormat="false" ht="15" hidden="false" customHeight="false" outlineLevel="0" collapsed="false">
      <c r="A2433" s="0" t="s">
        <v>3827</v>
      </c>
      <c r="B2433" s="0" t="s">
        <v>17</v>
      </c>
      <c r="C2433" s="0" t="s">
        <v>458</v>
      </c>
      <c r="D2433" s="0" t="s">
        <v>66</v>
      </c>
      <c r="E2433" s="2" t="n">
        <v>45867</v>
      </c>
      <c r="F2433" s="3" t="s">
        <v>34</v>
      </c>
      <c r="G2433" s="3" t="s">
        <v>89</v>
      </c>
      <c r="H2433" s="3" t="s">
        <v>44</v>
      </c>
      <c r="I2433" s="3" t="n">
        <f aca="false">YEAR(E2433)</f>
        <v>2025</v>
      </c>
      <c r="J2433" s="3" t="n">
        <f aca="false">MONTH(E2433)</f>
        <v>7</v>
      </c>
      <c r="K2433" s="3" t="n">
        <f aca="false">COUNTIFS($B$2:$B$4077,B2433,$C$2:$C$4077,C2433,$I$2:$I$4077,I2433)</f>
        <v>6</v>
      </c>
      <c r="L2433" s="3" t="n">
        <f aca="false">IF(COUNTIFS($B$2:B2433,B2433,$C$2:C2433,C2433,$I$2:I2433,I2433)=1,1,0)</f>
        <v>0</v>
      </c>
      <c r="M2433" s="3" t="n">
        <f aca="false">IF(K2433&gt;=Parametri!$B$1,1,0)</f>
        <v>1</v>
      </c>
      <c r="N2433" s="3" t="n">
        <f aca="false">L2433*M2433</f>
        <v>0</v>
      </c>
    </row>
    <row r="2434" customFormat="false" ht="15" hidden="false" customHeight="false" outlineLevel="0" collapsed="false">
      <c r="A2434" s="0" t="s">
        <v>3828</v>
      </c>
      <c r="B2434" s="0" t="s">
        <v>24</v>
      </c>
      <c r="C2434" s="0" t="s">
        <v>3829</v>
      </c>
      <c r="D2434" s="0" t="s">
        <v>77</v>
      </c>
      <c r="E2434" s="2" t="n">
        <v>46162</v>
      </c>
      <c r="F2434" s="3" t="s">
        <v>20</v>
      </c>
      <c r="G2434" s="3" t="s">
        <v>89</v>
      </c>
      <c r="H2434" s="3" t="s">
        <v>29</v>
      </c>
      <c r="I2434" s="3" t="n">
        <f aca="false">YEAR(E2434)</f>
        <v>2026</v>
      </c>
      <c r="J2434" s="3" t="n">
        <f aca="false">MONTH(E2434)</f>
        <v>5</v>
      </c>
      <c r="K2434" s="3" t="n">
        <f aca="false">COUNTIFS($B$2:$B$4077,B2434,$C$2:$C$4077,C2434,$I$2:$I$4077,I2434)</f>
        <v>1</v>
      </c>
      <c r="L2434" s="3" t="n">
        <f aca="false">IF(COUNTIFS($B$2:B2434,B2434,$C$2:C2434,C2434,$I$2:I2434,I2434)=1,1,0)</f>
        <v>1</v>
      </c>
      <c r="M2434" s="3" t="n">
        <f aca="false">IF(K2434&gt;=Parametri!$B$1,1,0)</f>
        <v>0</v>
      </c>
      <c r="N2434" s="3" t="n">
        <f aca="false">L2434*M2434</f>
        <v>0</v>
      </c>
    </row>
    <row r="2435" customFormat="false" ht="15" hidden="false" customHeight="false" outlineLevel="0" collapsed="false">
      <c r="A2435" s="0" t="s">
        <v>3830</v>
      </c>
      <c r="B2435" s="0" t="s">
        <v>68</v>
      </c>
      <c r="C2435" s="0" t="s">
        <v>3831</v>
      </c>
      <c r="D2435" s="0" t="s">
        <v>77</v>
      </c>
      <c r="E2435" s="2" t="n">
        <v>46115</v>
      </c>
      <c r="F2435" s="3" t="s">
        <v>34</v>
      </c>
      <c r="G2435" s="3" t="s">
        <v>39</v>
      </c>
      <c r="H2435" s="3" t="s">
        <v>44</v>
      </c>
      <c r="I2435" s="3" t="n">
        <f aca="false">YEAR(E2435)</f>
        <v>2026</v>
      </c>
      <c r="J2435" s="3" t="n">
        <f aca="false">MONTH(E2435)</f>
        <v>4</v>
      </c>
      <c r="K2435" s="3" t="n">
        <f aca="false">COUNTIFS($B$2:$B$4077,B2435,$C$2:$C$4077,C2435,$I$2:$I$4077,I2435)</f>
        <v>3</v>
      </c>
      <c r="L2435" s="3" t="n">
        <f aca="false">IF(COUNTIFS($B$2:B2435,B2435,$C$2:C2435,C2435,$I$2:I2435,I2435)=1,1,0)</f>
        <v>1</v>
      </c>
      <c r="M2435" s="3" t="n">
        <f aca="false">IF(K2435&gt;=Parametri!$B$1,1,0)</f>
        <v>1</v>
      </c>
      <c r="N2435" s="3" t="n">
        <f aca="false">L2435*M2435</f>
        <v>1</v>
      </c>
    </row>
    <row r="2436" customFormat="false" ht="15" hidden="false" customHeight="false" outlineLevel="0" collapsed="false">
      <c r="A2436" s="0" t="s">
        <v>3832</v>
      </c>
      <c r="B2436" s="0" t="s">
        <v>68</v>
      </c>
      <c r="C2436" s="0" t="s">
        <v>3833</v>
      </c>
      <c r="D2436" s="0" t="s">
        <v>38</v>
      </c>
      <c r="E2436" s="2" t="n">
        <v>45630</v>
      </c>
      <c r="F2436" s="3" t="s">
        <v>20</v>
      </c>
      <c r="G2436" s="3" t="s">
        <v>28</v>
      </c>
      <c r="H2436" s="3" t="s">
        <v>29</v>
      </c>
      <c r="I2436" s="3" t="n">
        <f aca="false">YEAR(E2436)</f>
        <v>2024</v>
      </c>
      <c r="J2436" s="3" t="n">
        <f aca="false">MONTH(E2436)</f>
        <v>12</v>
      </c>
      <c r="K2436" s="3" t="n">
        <f aca="false">COUNTIFS($B$2:$B$4077,B2436,$C$2:$C$4077,C2436,$I$2:$I$4077,I2436)</f>
        <v>1</v>
      </c>
      <c r="L2436" s="3" t="n">
        <f aca="false">IF(COUNTIFS($B$2:B2436,B2436,$C$2:C2436,C2436,$I$2:I2436,I2436)=1,1,0)</f>
        <v>1</v>
      </c>
      <c r="M2436" s="3" t="n">
        <f aca="false">IF(K2436&gt;=Parametri!$B$1,1,0)</f>
        <v>0</v>
      </c>
      <c r="N2436" s="3" t="n">
        <f aca="false">L2436*M2436</f>
        <v>0</v>
      </c>
    </row>
    <row r="2437" customFormat="false" ht="15" hidden="false" customHeight="false" outlineLevel="0" collapsed="false">
      <c r="A2437" s="0" t="s">
        <v>3834</v>
      </c>
      <c r="B2437" s="0" t="s">
        <v>41</v>
      </c>
      <c r="C2437" s="0" t="s">
        <v>3327</v>
      </c>
      <c r="D2437" s="0" t="s">
        <v>19</v>
      </c>
      <c r="E2437" s="2" t="n">
        <v>45307</v>
      </c>
      <c r="F2437" s="3" t="s">
        <v>20</v>
      </c>
      <c r="G2437" s="3" t="s">
        <v>43</v>
      </c>
      <c r="H2437" s="3" t="s">
        <v>44</v>
      </c>
      <c r="I2437" s="3" t="n">
        <f aca="false">YEAR(E2437)</f>
        <v>2024</v>
      </c>
      <c r="J2437" s="3" t="n">
        <f aca="false">MONTH(E2437)</f>
        <v>1</v>
      </c>
      <c r="K2437" s="3" t="n">
        <f aca="false">COUNTIFS($B$2:$B$4077,B2437,$C$2:$C$4077,C2437,$I$2:$I$4077,I2437)</f>
        <v>2</v>
      </c>
      <c r="L2437" s="3" t="n">
        <f aca="false">IF(COUNTIFS($B$2:B2437,B2437,$C$2:C2437,C2437,$I$2:I2437,I2437)=1,1,0)</f>
        <v>0</v>
      </c>
      <c r="M2437" s="3" t="n">
        <f aca="false">IF(K2437&gt;=Parametri!$B$1,1,0)</f>
        <v>1</v>
      </c>
      <c r="N2437" s="3" t="n">
        <f aca="false">L2437*M2437</f>
        <v>0</v>
      </c>
    </row>
    <row r="2438" customFormat="false" ht="15" hidden="false" customHeight="false" outlineLevel="0" collapsed="false">
      <c r="A2438" s="0" t="s">
        <v>3835</v>
      </c>
      <c r="B2438" s="0" t="s">
        <v>17</v>
      </c>
      <c r="C2438" s="0" t="s">
        <v>3836</v>
      </c>
      <c r="D2438" s="0" t="s">
        <v>26</v>
      </c>
      <c r="E2438" s="2" t="n">
        <v>46100</v>
      </c>
      <c r="F2438" s="3" t="s">
        <v>27</v>
      </c>
      <c r="G2438" s="3" t="s">
        <v>35</v>
      </c>
      <c r="H2438" s="3" t="s">
        <v>44</v>
      </c>
      <c r="I2438" s="3" t="n">
        <f aca="false">YEAR(E2438)</f>
        <v>2026</v>
      </c>
      <c r="J2438" s="3" t="n">
        <f aca="false">MONTH(E2438)</f>
        <v>3</v>
      </c>
      <c r="K2438" s="3" t="n">
        <f aca="false">COUNTIFS($B$2:$B$4077,B2438,$C$2:$C$4077,C2438,$I$2:$I$4077,I2438)</f>
        <v>1</v>
      </c>
      <c r="L2438" s="3" t="n">
        <f aca="false">IF(COUNTIFS($B$2:B2438,B2438,$C$2:C2438,C2438,$I$2:I2438,I2438)=1,1,0)</f>
        <v>1</v>
      </c>
      <c r="M2438" s="3" t="n">
        <f aca="false">IF(K2438&gt;=Parametri!$B$1,1,0)</f>
        <v>0</v>
      </c>
      <c r="N2438" s="3" t="n">
        <f aca="false">L2438*M2438</f>
        <v>0</v>
      </c>
    </row>
    <row r="2439" customFormat="false" ht="15" hidden="false" customHeight="false" outlineLevel="0" collapsed="false">
      <c r="A2439" s="0" t="s">
        <v>3837</v>
      </c>
      <c r="B2439" s="0" t="s">
        <v>57</v>
      </c>
      <c r="C2439" s="0" t="s">
        <v>2960</v>
      </c>
      <c r="D2439" s="0" t="s">
        <v>38</v>
      </c>
      <c r="E2439" s="2" t="n">
        <v>45361</v>
      </c>
      <c r="F2439" s="3" t="s">
        <v>20</v>
      </c>
      <c r="G2439" s="3" t="s">
        <v>89</v>
      </c>
      <c r="H2439" s="3" t="s">
        <v>48</v>
      </c>
      <c r="I2439" s="3" t="n">
        <f aca="false">YEAR(E2439)</f>
        <v>2024</v>
      </c>
      <c r="J2439" s="3" t="n">
        <f aca="false">MONTH(E2439)</f>
        <v>3</v>
      </c>
      <c r="K2439" s="3" t="n">
        <f aca="false">COUNTIFS($B$2:$B$4077,B2439,$C$2:$C$4077,C2439,$I$2:$I$4077,I2439)</f>
        <v>1</v>
      </c>
      <c r="L2439" s="3" t="n">
        <f aca="false">IF(COUNTIFS($B$2:B2439,B2439,$C$2:C2439,C2439,$I$2:I2439,I2439)=1,1,0)</f>
        <v>1</v>
      </c>
      <c r="M2439" s="3" t="n">
        <f aca="false">IF(K2439&gt;=Parametri!$B$1,1,0)</f>
        <v>0</v>
      </c>
      <c r="N2439" s="3" t="n">
        <f aca="false">L2439*M2439</f>
        <v>0</v>
      </c>
    </row>
    <row r="2440" customFormat="false" ht="15" hidden="false" customHeight="false" outlineLevel="0" collapsed="false">
      <c r="A2440" s="0" t="s">
        <v>3838</v>
      </c>
      <c r="B2440" s="0" t="s">
        <v>79</v>
      </c>
      <c r="C2440" s="0" t="s">
        <v>1945</v>
      </c>
      <c r="D2440" s="0" t="s">
        <v>54</v>
      </c>
      <c r="E2440" s="2" t="n">
        <v>45396</v>
      </c>
      <c r="F2440" s="3" t="s">
        <v>27</v>
      </c>
      <c r="G2440" s="3" t="s">
        <v>72</v>
      </c>
      <c r="H2440" s="3" t="s">
        <v>48</v>
      </c>
      <c r="I2440" s="3" t="n">
        <f aca="false">YEAR(E2440)</f>
        <v>2024</v>
      </c>
      <c r="J2440" s="3" t="n">
        <f aca="false">MONTH(E2440)</f>
        <v>4</v>
      </c>
      <c r="K2440" s="3" t="n">
        <f aca="false">COUNTIFS($B$2:$B$4077,B2440,$C$2:$C$4077,C2440,$I$2:$I$4077,I2440)</f>
        <v>3</v>
      </c>
      <c r="L2440" s="3" t="n">
        <f aca="false">IF(COUNTIFS($B$2:B2440,B2440,$C$2:C2440,C2440,$I$2:I2440,I2440)=1,1,0)</f>
        <v>0</v>
      </c>
      <c r="M2440" s="3" t="n">
        <f aca="false">IF(K2440&gt;=Parametri!$B$1,1,0)</f>
        <v>1</v>
      </c>
      <c r="N2440" s="3" t="n">
        <f aca="false">L2440*M2440</f>
        <v>0</v>
      </c>
    </row>
    <row r="2441" customFormat="false" ht="15" hidden="false" customHeight="false" outlineLevel="0" collapsed="false">
      <c r="A2441" s="0" t="s">
        <v>3839</v>
      </c>
      <c r="B2441" s="0" t="s">
        <v>124</v>
      </c>
      <c r="C2441" s="0" t="s">
        <v>3840</v>
      </c>
      <c r="D2441" s="0" t="s">
        <v>63</v>
      </c>
      <c r="E2441" s="2" t="n">
        <v>45752</v>
      </c>
      <c r="F2441" s="3" t="s">
        <v>20</v>
      </c>
      <c r="G2441" s="3" t="s">
        <v>39</v>
      </c>
      <c r="H2441" s="3" t="s">
        <v>22</v>
      </c>
      <c r="I2441" s="3" t="n">
        <f aca="false">YEAR(E2441)</f>
        <v>2025</v>
      </c>
      <c r="J2441" s="3" t="n">
        <f aca="false">MONTH(E2441)</f>
        <v>4</v>
      </c>
      <c r="K2441" s="3" t="n">
        <f aca="false">COUNTIFS($B$2:$B$4077,B2441,$C$2:$C$4077,C2441,$I$2:$I$4077,I2441)</f>
        <v>2</v>
      </c>
      <c r="L2441" s="3" t="n">
        <f aca="false">IF(COUNTIFS($B$2:B2441,B2441,$C$2:C2441,C2441,$I$2:I2441,I2441)=1,1,0)</f>
        <v>1</v>
      </c>
      <c r="M2441" s="3" t="n">
        <f aca="false">IF(K2441&gt;=Parametri!$B$1,1,0)</f>
        <v>1</v>
      </c>
      <c r="N2441" s="3" t="n">
        <f aca="false">L2441*M2441</f>
        <v>1</v>
      </c>
    </row>
    <row r="2442" customFormat="false" ht="15" hidden="false" customHeight="false" outlineLevel="0" collapsed="false">
      <c r="A2442" s="0" t="s">
        <v>3841</v>
      </c>
      <c r="B2442" s="0" t="s">
        <v>68</v>
      </c>
      <c r="C2442" s="0" t="s">
        <v>3842</v>
      </c>
      <c r="D2442" s="0" t="s">
        <v>33</v>
      </c>
      <c r="E2442" s="2" t="n">
        <v>45859</v>
      </c>
      <c r="F2442" s="3" t="s">
        <v>20</v>
      </c>
      <c r="G2442" s="3" t="s">
        <v>55</v>
      </c>
      <c r="H2442" s="3" t="s">
        <v>29</v>
      </c>
      <c r="I2442" s="3" t="n">
        <f aca="false">YEAR(E2442)</f>
        <v>2025</v>
      </c>
      <c r="J2442" s="3" t="n">
        <f aca="false">MONTH(E2442)</f>
        <v>7</v>
      </c>
      <c r="K2442" s="3" t="n">
        <f aca="false">COUNTIFS($B$2:$B$4077,B2442,$C$2:$C$4077,C2442,$I$2:$I$4077,I2442)</f>
        <v>2</v>
      </c>
      <c r="L2442" s="3" t="n">
        <f aca="false">IF(COUNTIFS($B$2:B2442,B2442,$C$2:C2442,C2442,$I$2:I2442,I2442)=1,1,0)</f>
        <v>1</v>
      </c>
      <c r="M2442" s="3" t="n">
        <f aca="false">IF(K2442&gt;=Parametri!$B$1,1,0)</f>
        <v>1</v>
      </c>
      <c r="N2442" s="3" t="n">
        <f aca="false">L2442*M2442</f>
        <v>1</v>
      </c>
    </row>
    <row r="2443" customFormat="false" ht="15" hidden="false" customHeight="false" outlineLevel="0" collapsed="false">
      <c r="A2443" s="0" t="s">
        <v>3843</v>
      </c>
      <c r="B2443" s="0" t="s">
        <v>17</v>
      </c>
      <c r="C2443" s="0" t="s">
        <v>3811</v>
      </c>
      <c r="D2443" s="0" t="s">
        <v>54</v>
      </c>
      <c r="E2443" s="2" t="n">
        <v>46087</v>
      </c>
      <c r="F2443" s="3" t="s">
        <v>20</v>
      </c>
      <c r="G2443" s="3" t="s">
        <v>39</v>
      </c>
      <c r="H2443" s="3" t="s">
        <v>22</v>
      </c>
      <c r="I2443" s="3" t="n">
        <f aca="false">YEAR(E2443)</f>
        <v>2026</v>
      </c>
      <c r="J2443" s="3" t="n">
        <f aca="false">MONTH(E2443)</f>
        <v>3</v>
      </c>
      <c r="K2443" s="3" t="n">
        <f aca="false">COUNTIFS($B$2:$B$4077,B2443,$C$2:$C$4077,C2443,$I$2:$I$4077,I2443)</f>
        <v>1</v>
      </c>
      <c r="L2443" s="3" t="n">
        <f aca="false">IF(COUNTIFS($B$2:B2443,B2443,$C$2:C2443,C2443,$I$2:I2443,I2443)=1,1,0)</f>
        <v>1</v>
      </c>
      <c r="M2443" s="3" t="n">
        <f aca="false">IF(K2443&gt;=Parametri!$B$1,1,0)</f>
        <v>0</v>
      </c>
      <c r="N2443" s="3" t="n">
        <f aca="false">L2443*M2443</f>
        <v>0</v>
      </c>
    </row>
    <row r="2444" customFormat="false" ht="15" hidden="false" customHeight="false" outlineLevel="0" collapsed="false">
      <c r="A2444" s="0" t="s">
        <v>3844</v>
      </c>
      <c r="B2444" s="0" t="s">
        <v>31</v>
      </c>
      <c r="C2444" s="0" t="s">
        <v>1098</v>
      </c>
      <c r="D2444" s="0" t="s">
        <v>77</v>
      </c>
      <c r="E2444" s="2" t="n">
        <v>45986</v>
      </c>
      <c r="F2444" s="3" t="s">
        <v>20</v>
      </c>
      <c r="G2444" s="3" t="s">
        <v>28</v>
      </c>
      <c r="H2444" s="3" t="s">
        <v>44</v>
      </c>
      <c r="I2444" s="3" t="n">
        <f aca="false">YEAR(E2444)</f>
        <v>2025</v>
      </c>
      <c r="J2444" s="3" t="n">
        <f aca="false">MONTH(E2444)</f>
        <v>11</v>
      </c>
      <c r="K2444" s="3" t="n">
        <f aca="false">COUNTIFS($B$2:$B$4077,B2444,$C$2:$C$4077,C2444,$I$2:$I$4077,I2444)</f>
        <v>2</v>
      </c>
      <c r="L2444" s="3" t="n">
        <f aca="false">IF(COUNTIFS($B$2:B2444,B2444,$C$2:C2444,C2444,$I$2:I2444,I2444)=1,1,0)</f>
        <v>0</v>
      </c>
      <c r="M2444" s="3" t="n">
        <f aca="false">IF(K2444&gt;=Parametri!$B$1,1,0)</f>
        <v>1</v>
      </c>
      <c r="N2444" s="3" t="n">
        <f aca="false">L2444*M2444</f>
        <v>0</v>
      </c>
    </row>
    <row r="2445" customFormat="false" ht="15" hidden="false" customHeight="false" outlineLevel="0" collapsed="false">
      <c r="A2445" s="0" t="s">
        <v>3845</v>
      </c>
      <c r="B2445" s="0" t="s">
        <v>68</v>
      </c>
      <c r="C2445" s="0" t="s">
        <v>3846</v>
      </c>
      <c r="D2445" s="0" t="s">
        <v>26</v>
      </c>
      <c r="E2445" s="2" t="n">
        <v>46026</v>
      </c>
      <c r="F2445" s="3" t="s">
        <v>34</v>
      </c>
      <c r="G2445" s="3" t="s">
        <v>72</v>
      </c>
      <c r="H2445" s="3" t="s">
        <v>44</v>
      </c>
      <c r="I2445" s="3" t="n">
        <f aca="false">YEAR(E2445)</f>
        <v>2026</v>
      </c>
      <c r="J2445" s="3" t="n">
        <f aca="false">MONTH(E2445)</f>
        <v>1</v>
      </c>
      <c r="K2445" s="3" t="n">
        <f aca="false">COUNTIFS($B$2:$B$4077,B2445,$C$2:$C$4077,C2445,$I$2:$I$4077,I2445)</f>
        <v>1</v>
      </c>
      <c r="L2445" s="3" t="n">
        <f aca="false">IF(COUNTIFS($B$2:B2445,B2445,$C$2:C2445,C2445,$I$2:I2445,I2445)=1,1,0)</f>
        <v>1</v>
      </c>
      <c r="M2445" s="3" t="n">
        <f aca="false">IF(K2445&gt;=Parametri!$B$1,1,0)</f>
        <v>0</v>
      </c>
      <c r="N2445" s="3" t="n">
        <f aca="false">L2445*M2445</f>
        <v>0</v>
      </c>
    </row>
    <row r="2446" customFormat="false" ht="15" hidden="false" customHeight="false" outlineLevel="0" collapsed="false">
      <c r="A2446" s="0" t="s">
        <v>3847</v>
      </c>
      <c r="B2446" s="0" t="s">
        <v>68</v>
      </c>
      <c r="C2446" s="0" t="s">
        <v>3824</v>
      </c>
      <c r="D2446" s="0" t="s">
        <v>33</v>
      </c>
      <c r="E2446" s="2" t="n">
        <v>45682</v>
      </c>
      <c r="F2446" s="3" t="s">
        <v>20</v>
      </c>
      <c r="G2446" s="3" t="s">
        <v>89</v>
      </c>
      <c r="H2446" s="3" t="s">
        <v>48</v>
      </c>
      <c r="I2446" s="3" t="n">
        <f aca="false">YEAR(E2446)</f>
        <v>2025</v>
      </c>
      <c r="J2446" s="3" t="n">
        <f aca="false">MONTH(E2446)</f>
        <v>1</v>
      </c>
      <c r="K2446" s="3" t="n">
        <f aca="false">COUNTIFS($B$2:$B$4077,B2446,$C$2:$C$4077,C2446,$I$2:$I$4077,I2446)</f>
        <v>2</v>
      </c>
      <c r="L2446" s="3" t="n">
        <f aca="false">IF(COUNTIFS($B$2:B2446,B2446,$C$2:C2446,C2446,$I$2:I2446,I2446)=1,1,0)</f>
        <v>0</v>
      </c>
      <c r="M2446" s="3" t="n">
        <f aca="false">IF(K2446&gt;=Parametri!$B$1,1,0)</f>
        <v>1</v>
      </c>
      <c r="N2446" s="3" t="n">
        <f aca="false">L2446*M2446</f>
        <v>0</v>
      </c>
    </row>
    <row r="2447" customFormat="false" ht="15" hidden="false" customHeight="false" outlineLevel="0" collapsed="false">
      <c r="A2447" s="0" t="s">
        <v>3848</v>
      </c>
      <c r="B2447" s="0" t="s">
        <v>79</v>
      </c>
      <c r="C2447" s="0" t="s">
        <v>3849</v>
      </c>
      <c r="D2447" s="0" t="s">
        <v>26</v>
      </c>
      <c r="E2447" s="2" t="n">
        <v>45568</v>
      </c>
      <c r="F2447" s="3" t="s">
        <v>20</v>
      </c>
      <c r="G2447" s="3" t="s">
        <v>43</v>
      </c>
      <c r="H2447" s="3" t="s">
        <v>48</v>
      </c>
      <c r="I2447" s="3" t="n">
        <f aca="false">YEAR(E2447)</f>
        <v>2024</v>
      </c>
      <c r="J2447" s="3" t="n">
        <f aca="false">MONTH(E2447)</f>
        <v>10</v>
      </c>
      <c r="K2447" s="3" t="n">
        <f aca="false">COUNTIFS($B$2:$B$4077,B2447,$C$2:$C$4077,C2447,$I$2:$I$4077,I2447)</f>
        <v>1</v>
      </c>
      <c r="L2447" s="3" t="n">
        <f aca="false">IF(COUNTIFS($B$2:B2447,B2447,$C$2:C2447,C2447,$I$2:I2447,I2447)=1,1,0)</f>
        <v>1</v>
      </c>
      <c r="M2447" s="3" t="n">
        <f aca="false">IF(K2447&gt;=Parametri!$B$1,1,0)</f>
        <v>0</v>
      </c>
      <c r="N2447" s="3" t="n">
        <f aca="false">L2447*M2447</f>
        <v>0</v>
      </c>
    </row>
    <row r="2448" customFormat="false" ht="15" hidden="false" customHeight="false" outlineLevel="0" collapsed="false">
      <c r="A2448" s="0" t="s">
        <v>3850</v>
      </c>
      <c r="B2448" s="0" t="s">
        <v>68</v>
      </c>
      <c r="C2448" s="0" t="s">
        <v>3851</v>
      </c>
      <c r="D2448" s="0" t="s">
        <v>54</v>
      </c>
      <c r="E2448" s="2" t="n">
        <v>45913</v>
      </c>
      <c r="F2448" s="3" t="s">
        <v>20</v>
      </c>
      <c r="G2448" s="3" t="s">
        <v>55</v>
      </c>
      <c r="H2448" s="3" t="s">
        <v>29</v>
      </c>
      <c r="I2448" s="3" t="n">
        <f aca="false">YEAR(E2448)</f>
        <v>2025</v>
      </c>
      <c r="J2448" s="3" t="n">
        <f aca="false">MONTH(E2448)</f>
        <v>9</v>
      </c>
      <c r="K2448" s="3" t="n">
        <f aca="false">COUNTIFS($B$2:$B$4077,B2448,$C$2:$C$4077,C2448,$I$2:$I$4077,I2448)</f>
        <v>2</v>
      </c>
      <c r="L2448" s="3" t="n">
        <f aca="false">IF(COUNTIFS($B$2:B2448,B2448,$C$2:C2448,C2448,$I$2:I2448,I2448)=1,1,0)</f>
        <v>1</v>
      </c>
      <c r="M2448" s="3" t="n">
        <f aca="false">IF(K2448&gt;=Parametri!$B$1,1,0)</f>
        <v>1</v>
      </c>
      <c r="N2448" s="3" t="n">
        <f aca="false">L2448*M2448</f>
        <v>1</v>
      </c>
    </row>
    <row r="2449" customFormat="false" ht="15" hidden="false" customHeight="false" outlineLevel="0" collapsed="false">
      <c r="A2449" s="0" t="s">
        <v>3852</v>
      </c>
      <c r="B2449" s="0" t="s">
        <v>57</v>
      </c>
      <c r="C2449" s="0" t="s">
        <v>3853</v>
      </c>
      <c r="D2449" s="0" t="s">
        <v>38</v>
      </c>
      <c r="E2449" s="2" t="n">
        <v>45506</v>
      </c>
      <c r="F2449" s="3" t="s">
        <v>20</v>
      </c>
      <c r="G2449" s="3" t="s">
        <v>39</v>
      </c>
      <c r="H2449" s="3" t="s">
        <v>44</v>
      </c>
      <c r="I2449" s="3" t="n">
        <f aca="false">YEAR(E2449)</f>
        <v>2024</v>
      </c>
      <c r="J2449" s="3" t="n">
        <f aca="false">MONTH(E2449)</f>
        <v>8</v>
      </c>
      <c r="K2449" s="3" t="n">
        <f aca="false">COUNTIFS($B$2:$B$4077,B2449,$C$2:$C$4077,C2449,$I$2:$I$4077,I2449)</f>
        <v>1</v>
      </c>
      <c r="L2449" s="3" t="n">
        <f aca="false">IF(COUNTIFS($B$2:B2449,B2449,$C$2:C2449,C2449,$I$2:I2449,I2449)=1,1,0)</f>
        <v>1</v>
      </c>
      <c r="M2449" s="3" t="n">
        <f aca="false">IF(K2449&gt;=Parametri!$B$1,1,0)</f>
        <v>0</v>
      </c>
      <c r="N2449" s="3" t="n">
        <f aca="false">L2449*M2449</f>
        <v>0</v>
      </c>
    </row>
    <row r="2450" customFormat="false" ht="15" hidden="false" customHeight="false" outlineLevel="0" collapsed="false">
      <c r="A2450" s="0" t="s">
        <v>3854</v>
      </c>
      <c r="B2450" s="0" t="s">
        <v>46</v>
      </c>
      <c r="C2450" s="0" t="s">
        <v>962</v>
      </c>
      <c r="D2450" s="0" t="s">
        <v>54</v>
      </c>
      <c r="E2450" s="2" t="n">
        <v>45573</v>
      </c>
      <c r="F2450" s="3" t="s">
        <v>20</v>
      </c>
      <c r="G2450" s="3" t="s">
        <v>35</v>
      </c>
      <c r="H2450" s="3" t="s">
        <v>44</v>
      </c>
      <c r="I2450" s="3" t="n">
        <f aca="false">YEAR(E2450)</f>
        <v>2024</v>
      </c>
      <c r="J2450" s="3" t="n">
        <f aca="false">MONTH(E2450)</f>
        <v>10</v>
      </c>
      <c r="K2450" s="3" t="n">
        <f aca="false">COUNTIFS($B$2:$B$4077,B2450,$C$2:$C$4077,C2450,$I$2:$I$4077,I2450)</f>
        <v>4</v>
      </c>
      <c r="L2450" s="3" t="n">
        <f aca="false">IF(COUNTIFS($B$2:B2450,B2450,$C$2:C2450,C2450,$I$2:I2450,I2450)=1,1,0)</f>
        <v>0</v>
      </c>
      <c r="M2450" s="3" t="n">
        <f aca="false">IF(K2450&gt;=Parametri!$B$1,1,0)</f>
        <v>1</v>
      </c>
      <c r="N2450" s="3" t="n">
        <f aca="false">L2450*M2450</f>
        <v>0</v>
      </c>
    </row>
    <row r="2451" customFormat="false" ht="15" hidden="false" customHeight="false" outlineLevel="0" collapsed="false">
      <c r="A2451" s="0" t="s">
        <v>3855</v>
      </c>
      <c r="B2451" s="0" t="s">
        <v>124</v>
      </c>
      <c r="C2451" s="0" t="s">
        <v>710</v>
      </c>
      <c r="D2451" s="0" t="s">
        <v>77</v>
      </c>
      <c r="E2451" s="2" t="n">
        <v>46252</v>
      </c>
      <c r="F2451" s="3" t="s">
        <v>20</v>
      </c>
      <c r="G2451" s="3" t="s">
        <v>39</v>
      </c>
      <c r="H2451" s="3" t="s">
        <v>44</v>
      </c>
      <c r="I2451" s="3" t="n">
        <f aca="false">YEAR(E2451)</f>
        <v>2026</v>
      </c>
      <c r="J2451" s="3" t="n">
        <f aca="false">MONTH(E2451)</f>
        <v>8</v>
      </c>
      <c r="K2451" s="3" t="n">
        <f aca="false">COUNTIFS($B$2:$B$4077,B2451,$C$2:$C$4077,C2451,$I$2:$I$4077,I2451)</f>
        <v>5</v>
      </c>
      <c r="L2451" s="3" t="n">
        <f aca="false">IF(COUNTIFS($B$2:B2451,B2451,$C$2:C2451,C2451,$I$2:I2451,I2451)=1,1,0)</f>
        <v>0</v>
      </c>
      <c r="M2451" s="3" t="n">
        <f aca="false">IF(K2451&gt;=Parametri!$B$1,1,0)</f>
        <v>1</v>
      </c>
      <c r="N2451" s="3" t="n">
        <f aca="false">L2451*M2451</f>
        <v>0</v>
      </c>
    </row>
    <row r="2452" customFormat="false" ht="15" hidden="false" customHeight="false" outlineLevel="0" collapsed="false">
      <c r="A2452" s="0" t="s">
        <v>3856</v>
      </c>
      <c r="B2452" s="0" t="s">
        <v>79</v>
      </c>
      <c r="C2452" s="0" t="s">
        <v>149</v>
      </c>
      <c r="D2452" s="0" t="s">
        <v>66</v>
      </c>
      <c r="E2452" s="2" t="n">
        <v>45723</v>
      </c>
      <c r="F2452" s="3" t="s">
        <v>20</v>
      </c>
      <c r="G2452" s="3" t="s">
        <v>72</v>
      </c>
      <c r="H2452" s="3" t="s">
        <v>48</v>
      </c>
      <c r="I2452" s="3" t="n">
        <f aca="false">YEAR(E2452)</f>
        <v>2025</v>
      </c>
      <c r="J2452" s="3" t="n">
        <f aca="false">MONTH(E2452)</f>
        <v>3</v>
      </c>
      <c r="K2452" s="3" t="n">
        <f aca="false">COUNTIFS($B$2:$B$4077,B2452,$C$2:$C$4077,C2452,$I$2:$I$4077,I2452)</f>
        <v>5</v>
      </c>
      <c r="L2452" s="3" t="n">
        <f aca="false">IF(COUNTIFS($B$2:B2452,B2452,$C$2:C2452,C2452,$I$2:I2452,I2452)=1,1,0)</f>
        <v>0</v>
      </c>
      <c r="M2452" s="3" t="n">
        <f aca="false">IF(K2452&gt;=Parametri!$B$1,1,0)</f>
        <v>1</v>
      </c>
      <c r="N2452" s="3" t="n">
        <f aca="false">L2452*M2452</f>
        <v>0</v>
      </c>
    </row>
    <row r="2453" customFormat="false" ht="15" hidden="false" customHeight="false" outlineLevel="0" collapsed="false">
      <c r="A2453" s="0" t="s">
        <v>3857</v>
      </c>
      <c r="B2453" s="0" t="s">
        <v>68</v>
      </c>
      <c r="C2453" s="0" t="s">
        <v>3087</v>
      </c>
      <c r="D2453" s="0" t="s">
        <v>38</v>
      </c>
      <c r="E2453" s="2" t="n">
        <v>45533</v>
      </c>
      <c r="F2453" s="3" t="s">
        <v>34</v>
      </c>
      <c r="G2453" s="3" t="s">
        <v>39</v>
      </c>
      <c r="H2453" s="3" t="s">
        <v>22</v>
      </c>
      <c r="I2453" s="3" t="n">
        <f aca="false">YEAR(E2453)</f>
        <v>2024</v>
      </c>
      <c r="J2453" s="3" t="n">
        <f aca="false">MONTH(E2453)</f>
        <v>8</v>
      </c>
      <c r="K2453" s="3" t="n">
        <f aca="false">COUNTIFS($B$2:$B$4077,B2453,$C$2:$C$4077,C2453,$I$2:$I$4077,I2453)</f>
        <v>1</v>
      </c>
      <c r="L2453" s="3" t="n">
        <f aca="false">IF(COUNTIFS($B$2:B2453,B2453,$C$2:C2453,C2453,$I$2:I2453,I2453)=1,1,0)</f>
        <v>1</v>
      </c>
      <c r="M2453" s="3" t="n">
        <f aca="false">IF(K2453&gt;=Parametri!$B$1,1,0)</f>
        <v>0</v>
      </c>
      <c r="N2453" s="3" t="n">
        <f aca="false">L2453*M2453</f>
        <v>0</v>
      </c>
    </row>
    <row r="2454" customFormat="false" ht="15" hidden="false" customHeight="false" outlineLevel="0" collapsed="false">
      <c r="A2454" s="0" t="s">
        <v>3858</v>
      </c>
      <c r="B2454" s="0" t="s">
        <v>57</v>
      </c>
      <c r="C2454" s="0" t="s">
        <v>2947</v>
      </c>
      <c r="D2454" s="0" t="s">
        <v>19</v>
      </c>
      <c r="E2454" s="2" t="n">
        <v>46049</v>
      </c>
      <c r="F2454" s="3" t="s">
        <v>20</v>
      </c>
      <c r="G2454" s="3" t="s">
        <v>39</v>
      </c>
      <c r="H2454" s="3" t="s">
        <v>22</v>
      </c>
      <c r="I2454" s="3" t="n">
        <f aca="false">YEAR(E2454)</f>
        <v>2026</v>
      </c>
      <c r="J2454" s="3" t="n">
        <f aca="false">MONTH(E2454)</f>
        <v>1</v>
      </c>
      <c r="K2454" s="3" t="n">
        <f aca="false">COUNTIFS($B$2:$B$4077,B2454,$C$2:$C$4077,C2454,$I$2:$I$4077,I2454)</f>
        <v>3</v>
      </c>
      <c r="L2454" s="3" t="n">
        <f aca="false">IF(COUNTIFS($B$2:B2454,B2454,$C$2:C2454,C2454,$I$2:I2454,I2454)=1,1,0)</f>
        <v>0</v>
      </c>
      <c r="M2454" s="3" t="n">
        <f aca="false">IF(K2454&gt;=Parametri!$B$1,1,0)</f>
        <v>1</v>
      </c>
      <c r="N2454" s="3" t="n">
        <f aca="false">L2454*M2454</f>
        <v>0</v>
      </c>
    </row>
    <row r="2455" customFormat="false" ht="15" hidden="false" customHeight="false" outlineLevel="0" collapsed="false">
      <c r="A2455" s="0" t="s">
        <v>3859</v>
      </c>
      <c r="B2455" s="0" t="s">
        <v>17</v>
      </c>
      <c r="C2455" s="0" t="s">
        <v>3860</v>
      </c>
      <c r="D2455" s="0" t="s">
        <v>38</v>
      </c>
      <c r="E2455" s="2" t="n">
        <v>45758</v>
      </c>
      <c r="F2455" s="3" t="s">
        <v>20</v>
      </c>
      <c r="G2455" s="3" t="s">
        <v>35</v>
      </c>
      <c r="H2455" s="3" t="s">
        <v>48</v>
      </c>
      <c r="I2455" s="3" t="n">
        <f aca="false">YEAR(E2455)</f>
        <v>2025</v>
      </c>
      <c r="J2455" s="3" t="n">
        <f aca="false">MONTH(E2455)</f>
        <v>4</v>
      </c>
      <c r="K2455" s="3" t="n">
        <f aca="false">COUNTIFS($B$2:$B$4077,B2455,$C$2:$C$4077,C2455,$I$2:$I$4077,I2455)</f>
        <v>1</v>
      </c>
      <c r="L2455" s="3" t="n">
        <f aca="false">IF(COUNTIFS($B$2:B2455,B2455,$C$2:C2455,C2455,$I$2:I2455,I2455)=1,1,0)</f>
        <v>1</v>
      </c>
      <c r="M2455" s="3" t="n">
        <f aca="false">IF(K2455&gt;=Parametri!$B$1,1,0)</f>
        <v>0</v>
      </c>
      <c r="N2455" s="3" t="n">
        <f aca="false">L2455*M2455</f>
        <v>0</v>
      </c>
    </row>
    <row r="2456" customFormat="false" ht="15" hidden="false" customHeight="false" outlineLevel="0" collapsed="false">
      <c r="A2456" s="0" t="s">
        <v>3861</v>
      </c>
      <c r="B2456" s="0" t="s">
        <v>50</v>
      </c>
      <c r="C2456" s="0" t="s">
        <v>1129</v>
      </c>
      <c r="D2456" s="0" t="s">
        <v>63</v>
      </c>
      <c r="E2456" s="2" t="n">
        <v>45676</v>
      </c>
      <c r="F2456" s="3" t="s">
        <v>20</v>
      </c>
      <c r="G2456" s="3" t="s">
        <v>89</v>
      </c>
      <c r="H2456" s="3" t="s">
        <v>48</v>
      </c>
      <c r="I2456" s="3" t="n">
        <f aca="false">YEAR(E2456)</f>
        <v>2025</v>
      </c>
      <c r="J2456" s="3" t="n">
        <f aca="false">MONTH(E2456)</f>
        <v>1</v>
      </c>
      <c r="K2456" s="3" t="n">
        <f aca="false">COUNTIFS($B$2:$B$4077,B2456,$C$2:$C$4077,C2456,$I$2:$I$4077,I2456)</f>
        <v>3</v>
      </c>
      <c r="L2456" s="3" t="n">
        <f aca="false">IF(COUNTIFS($B$2:B2456,B2456,$C$2:C2456,C2456,$I$2:I2456,I2456)=1,1,0)</f>
        <v>0</v>
      </c>
      <c r="M2456" s="3" t="n">
        <f aca="false">IF(K2456&gt;=Parametri!$B$1,1,0)</f>
        <v>1</v>
      </c>
      <c r="N2456" s="3" t="n">
        <f aca="false">L2456*M2456</f>
        <v>0</v>
      </c>
    </row>
    <row r="2457" customFormat="false" ht="15" hidden="false" customHeight="false" outlineLevel="0" collapsed="false">
      <c r="A2457" s="0" t="s">
        <v>3862</v>
      </c>
      <c r="B2457" s="0" t="s">
        <v>31</v>
      </c>
      <c r="C2457" s="0" t="s">
        <v>889</v>
      </c>
      <c r="D2457" s="0" t="s">
        <v>54</v>
      </c>
      <c r="E2457" s="2" t="n">
        <v>45614</v>
      </c>
      <c r="F2457" s="3" t="s">
        <v>20</v>
      </c>
      <c r="G2457" s="3" t="s">
        <v>55</v>
      </c>
      <c r="H2457" s="3" t="s">
        <v>22</v>
      </c>
      <c r="I2457" s="3" t="n">
        <f aca="false">YEAR(E2457)</f>
        <v>2024</v>
      </c>
      <c r="J2457" s="3" t="n">
        <f aca="false">MONTH(E2457)</f>
        <v>11</v>
      </c>
      <c r="K2457" s="3" t="n">
        <f aca="false">COUNTIFS($B$2:$B$4077,B2457,$C$2:$C$4077,C2457,$I$2:$I$4077,I2457)</f>
        <v>4</v>
      </c>
      <c r="L2457" s="3" t="n">
        <f aca="false">IF(COUNTIFS($B$2:B2457,B2457,$C$2:C2457,C2457,$I$2:I2457,I2457)=1,1,0)</f>
        <v>0</v>
      </c>
      <c r="M2457" s="3" t="n">
        <f aca="false">IF(K2457&gt;=Parametri!$B$1,1,0)</f>
        <v>1</v>
      </c>
      <c r="N2457" s="3" t="n">
        <f aca="false">L2457*M2457</f>
        <v>0</v>
      </c>
    </row>
    <row r="2458" customFormat="false" ht="15" hidden="false" customHeight="false" outlineLevel="0" collapsed="false">
      <c r="A2458" s="0" t="s">
        <v>3863</v>
      </c>
      <c r="B2458" s="0" t="s">
        <v>79</v>
      </c>
      <c r="C2458" s="0" t="s">
        <v>1416</v>
      </c>
      <c r="D2458" s="0" t="s">
        <v>38</v>
      </c>
      <c r="E2458" s="2" t="n">
        <v>45722</v>
      </c>
      <c r="F2458" s="3" t="s">
        <v>20</v>
      </c>
      <c r="G2458" s="3" t="s">
        <v>72</v>
      </c>
      <c r="H2458" s="3" t="s">
        <v>48</v>
      </c>
      <c r="I2458" s="3" t="n">
        <f aca="false">YEAR(E2458)</f>
        <v>2025</v>
      </c>
      <c r="J2458" s="3" t="n">
        <f aca="false">MONTH(E2458)</f>
        <v>3</v>
      </c>
      <c r="K2458" s="3" t="n">
        <f aca="false">COUNTIFS($B$2:$B$4077,B2458,$C$2:$C$4077,C2458,$I$2:$I$4077,I2458)</f>
        <v>2</v>
      </c>
      <c r="L2458" s="3" t="n">
        <f aca="false">IF(COUNTIFS($B$2:B2458,B2458,$C$2:C2458,C2458,$I$2:I2458,I2458)=1,1,0)</f>
        <v>1</v>
      </c>
      <c r="M2458" s="3" t="n">
        <f aca="false">IF(K2458&gt;=Parametri!$B$1,1,0)</f>
        <v>1</v>
      </c>
      <c r="N2458" s="3" t="n">
        <f aca="false">L2458*M2458</f>
        <v>1</v>
      </c>
    </row>
    <row r="2459" customFormat="false" ht="15" hidden="false" customHeight="false" outlineLevel="0" collapsed="false">
      <c r="A2459" s="0" t="s">
        <v>3864</v>
      </c>
      <c r="B2459" s="0" t="s">
        <v>57</v>
      </c>
      <c r="C2459" s="0" t="s">
        <v>288</v>
      </c>
      <c r="D2459" s="0" t="s">
        <v>77</v>
      </c>
      <c r="E2459" s="2" t="n">
        <v>45801</v>
      </c>
      <c r="F2459" s="3" t="s">
        <v>20</v>
      </c>
      <c r="G2459" s="3" t="s">
        <v>43</v>
      </c>
      <c r="H2459" s="3" t="s">
        <v>29</v>
      </c>
      <c r="I2459" s="3" t="n">
        <f aca="false">YEAR(E2459)</f>
        <v>2025</v>
      </c>
      <c r="J2459" s="3" t="n">
        <f aca="false">MONTH(E2459)</f>
        <v>5</v>
      </c>
      <c r="K2459" s="3" t="n">
        <f aca="false">COUNTIFS($B$2:$B$4077,B2459,$C$2:$C$4077,C2459,$I$2:$I$4077,I2459)</f>
        <v>3</v>
      </c>
      <c r="L2459" s="3" t="n">
        <f aca="false">IF(COUNTIFS($B$2:B2459,B2459,$C$2:C2459,C2459,$I$2:I2459,I2459)=1,1,0)</f>
        <v>0</v>
      </c>
      <c r="M2459" s="3" t="n">
        <f aca="false">IF(K2459&gt;=Parametri!$B$1,1,0)</f>
        <v>1</v>
      </c>
      <c r="N2459" s="3" t="n">
        <f aca="false">L2459*M2459</f>
        <v>0</v>
      </c>
    </row>
    <row r="2460" customFormat="false" ht="15" hidden="false" customHeight="false" outlineLevel="0" collapsed="false">
      <c r="A2460" s="0" t="s">
        <v>3865</v>
      </c>
      <c r="B2460" s="0" t="s">
        <v>17</v>
      </c>
      <c r="C2460" s="0" t="s">
        <v>3694</v>
      </c>
      <c r="D2460" s="0" t="s">
        <v>19</v>
      </c>
      <c r="E2460" s="2" t="n">
        <v>45645</v>
      </c>
      <c r="F2460" s="3" t="s">
        <v>27</v>
      </c>
      <c r="G2460" s="3" t="s">
        <v>55</v>
      </c>
      <c r="H2460" s="3" t="s">
        <v>48</v>
      </c>
      <c r="I2460" s="3" t="n">
        <f aca="false">YEAR(E2460)</f>
        <v>2024</v>
      </c>
      <c r="J2460" s="3" t="n">
        <f aca="false">MONTH(E2460)</f>
        <v>12</v>
      </c>
      <c r="K2460" s="3" t="n">
        <f aca="false">COUNTIFS($B$2:$B$4077,B2460,$C$2:$C$4077,C2460,$I$2:$I$4077,I2460)</f>
        <v>1</v>
      </c>
      <c r="L2460" s="3" t="n">
        <f aca="false">IF(COUNTIFS($B$2:B2460,B2460,$C$2:C2460,C2460,$I$2:I2460,I2460)=1,1,0)</f>
        <v>1</v>
      </c>
      <c r="M2460" s="3" t="n">
        <f aca="false">IF(K2460&gt;=Parametri!$B$1,1,0)</f>
        <v>0</v>
      </c>
      <c r="N2460" s="3" t="n">
        <f aca="false">L2460*M2460</f>
        <v>0</v>
      </c>
    </row>
    <row r="2461" customFormat="false" ht="15" hidden="false" customHeight="false" outlineLevel="0" collapsed="false">
      <c r="A2461" s="0" t="s">
        <v>3866</v>
      </c>
      <c r="B2461" s="0" t="s">
        <v>46</v>
      </c>
      <c r="C2461" s="0" t="s">
        <v>65</v>
      </c>
      <c r="D2461" s="0" t="s">
        <v>33</v>
      </c>
      <c r="E2461" s="2" t="n">
        <v>45466</v>
      </c>
      <c r="F2461" s="3" t="s">
        <v>20</v>
      </c>
      <c r="G2461" s="3" t="s">
        <v>89</v>
      </c>
      <c r="H2461" s="3" t="s">
        <v>44</v>
      </c>
      <c r="I2461" s="3" t="n">
        <f aca="false">YEAR(E2461)</f>
        <v>2024</v>
      </c>
      <c r="J2461" s="3" t="n">
        <f aca="false">MONTH(E2461)</f>
        <v>6</v>
      </c>
      <c r="K2461" s="3" t="n">
        <f aca="false">COUNTIFS($B$2:$B$4077,B2461,$C$2:$C$4077,C2461,$I$2:$I$4077,I2461)</f>
        <v>7</v>
      </c>
      <c r="L2461" s="3" t="n">
        <f aca="false">IF(COUNTIFS($B$2:B2461,B2461,$C$2:C2461,C2461,$I$2:I2461,I2461)=1,1,0)</f>
        <v>0</v>
      </c>
      <c r="M2461" s="3" t="n">
        <f aca="false">IF(K2461&gt;=Parametri!$B$1,1,0)</f>
        <v>1</v>
      </c>
      <c r="N2461" s="3" t="n">
        <f aca="false">L2461*M2461</f>
        <v>0</v>
      </c>
    </row>
    <row r="2462" customFormat="false" ht="15" hidden="false" customHeight="false" outlineLevel="0" collapsed="false">
      <c r="A2462" s="0" t="s">
        <v>3867</v>
      </c>
      <c r="B2462" s="0" t="s">
        <v>24</v>
      </c>
      <c r="C2462" s="0" t="s">
        <v>669</v>
      </c>
      <c r="D2462" s="0" t="s">
        <v>19</v>
      </c>
      <c r="E2462" s="2" t="n">
        <v>46186</v>
      </c>
      <c r="F2462" s="3" t="s">
        <v>34</v>
      </c>
      <c r="G2462" s="3" t="s">
        <v>55</v>
      </c>
      <c r="H2462" s="3" t="s">
        <v>48</v>
      </c>
      <c r="I2462" s="3" t="n">
        <f aca="false">YEAR(E2462)</f>
        <v>2026</v>
      </c>
      <c r="J2462" s="3" t="n">
        <f aca="false">MONTH(E2462)</f>
        <v>6</v>
      </c>
      <c r="K2462" s="3" t="n">
        <f aca="false">COUNTIFS($B$2:$B$4077,B2462,$C$2:$C$4077,C2462,$I$2:$I$4077,I2462)</f>
        <v>1</v>
      </c>
      <c r="L2462" s="3" t="n">
        <f aca="false">IF(COUNTIFS($B$2:B2462,B2462,$C$2:C2462,C2462,$I$2:I2462,I2462)=1,1,0)</f>
        <v>1</v>
      </c>
      <c r="M2462" s="3" t="n">
        <f aca="false">IF(K2462&gt;=Parametri!$B$1,1,0)</f>
        <v>0</v>
      </c>
      <c r="N2462" s="3" t="n">
        <f aca="false">L2462*M2462</f>
        <v>0</v>
      </c>
    </row>
    <row r="2463" customFormat="false" ht="15" hidden="false" customHeight="false" outlineLevel="0" collapsed="false">
      <c r="A2463" s="0" t="s">
        <v>3868</v>
      </c>
      <c r="B2463" s="0" t="s">
        <v>124</v>
      </c>
      <c r="C2463" s="0" t="s">
        <v>2966</v>
      </c>
      <c r="D2463" s="0" t="s">
        <v>38</v>
      </c>
      <c r="E2463" s="2" t="n">
        <v>45616</v>
      </c>
      <c r="F2463" s="3" t="s">
        <v>20</v>
      </c>
      <c r="G2463" s="3" t="s">
        <v>72</v>
      </c>
      <c r="H2463" s="3" t="s">
        <v>48</v>
      </c>
      <c r="I2463" s="3" t="n">
        <f aca="false">YEAR(E2463)</f>
        <v>2024</v>
      </c>
      <c r="J2463" s="3" t="n">
        <f aca="false">MONTH(E2463)</f>
        <v>11</v>
      </c>
      <c r="K2463" s="3" t="n">
        <f aca="false">COUNTIFS($B$2:$B$4077,B2463,$C$2:$C$4077,C2463,$I$2:$I$4077,I2463)</f>
        <v>1</v>
      </c>
      <c r="L2463" s="3" t="n">
        <f aca="false">IF(COUNTIFS($B$2:B2463,B2463,$C$2:C2463,C2463,$I$2:I2463,I2463)=1,1,0)</f>
        <v>1</v>
      </c>
      <c r="M2463" s="3" t="n">
        <f aca="false">IF(K2463&gt;=Parametri!$B$1,1,0)</f>
        <v>0</v>
      </c>
      <c r="N2463" s="3" t="n">
        <f aca="false">L2463*M2463</f>
        <v>0</v>
      </c>
    </row>
    <row r="2464" customFormat="false" ht="15" hidden="false" customHeight="false" outlineLevel="0" collapsed="false">
      <c r="A2464" s="0" t="s">
        <v>3869</v>
      </c>
      <c r="B2464" s="0" t="s">
        <v>68</v>
      </c>
      <c r="C2464" s="0" t="s">
        <v>2683</v>
      </c>
      <c r="D2464" s="0" t="s">
        <v>33</v>
      </c>
      <c r="E2464" s="2" t="n">
        <v>46148</v>
      </c>
      <c r="F2464" s="3" t="s">
        <v>20</v>
      </c>
      <c r="G2464" s="3" t="s">
        <v>21</v>
      </c>
      <c r="H2464" s="3" t="s">
        <v>48</v>
      </c>
      <c r="I2464" s="3" t="n">
        <f aca="false">YEAR(E2464)</f>
        <v>2026</v>
      </c>
      <c r="J2464" s="3" t="n">
        <f aca="false">MONTH(E2464)</f>
        <v>5</v>
      </c>
      <c r="K2464" s="3" t="n">
        <f aca="false">COUNTIFS($B$2:$B$4077,B2464,$C$2:$C$4077,C2464,$I$2:$I$4077,I2464)</f>
        <v>1</v>
      </c>
      <c r="L2464" s="3" t="n">
        <f aca="false">IF(COUNTIFS($B$2:B2464,B2464,$C$2:C2464,C2464,$I$2:I2464,I2464)=1,1,0)</f>
        <v>1</v>
      </c>
      <c r="M2464" s="3" t="n">
        <f aca="false">IF(K2464&gt;=Parametri!$B$1,1,0)</f>
        <v>0</v>
      </c>
      <c r="N2464" s="3" t="n">
        <f aca="false">L2464*M2464</f>
        <v>0</v>
      </c>
    </row>
    <row r="2465" customFormat="false" ht="15" hidden="false" customHeight="false" outlineLevel="0" collapsed="false">
      <c r="A2465" s="0" t="s">
        <v>3870</v>
      </c>
      <c r="B2465" s="0" t="s">
        <v>31</v>
      </c>
      <c r="C2465" s="0" t="s">
        <v>1806</v>
      </c>
      <c r="D2465" s="0" t="s">
        <v>19</v>
      </c>
      <c r="E2465" s="2" t="n">
        <v>46206</v>
      </c>
      <c r="F2465" s="3" t="s">
        <v>20</v>
      </c>
      <c r="G2465" s="3" t="s">
        <v>43</v>
      </c>
      <c r="H2465" s="3" t="s">
        <v>29</v>
      </c>
      <c r="I2465" s="3" t="n">
        <f aca="false">YEAR(E2465)</f>
        <v>2026</v>
      </c>
      <c r="J2465" s="3" t="n">
        <f aca="false">MONTH(E2465)</f>
        <v>7</v>
      </c>
      <c r="K2465" s="3" t="n">
        <f aca="false">COUNTIFS($B$2:$B$4077,B2465,$C$2:$C$4077,C2465,$I$2:$I$4077,I2465)</f>
        <v>1</v>
      </c>
      <c r="L2465" s="3" t="n">
        <f aca="false">IF(COUNTIFS($B$2:B2465,B2465,$C$2:C2465,C2465,$I$2:I2465,I2465)=1,1,0)</f>
        <v>1</v>
      </c>
      <c r="M2465" s="3" t="n">
        <f aca="false">IF(K2465&gt;=Parametri!$B$1,1,0)</f>
        <v>0</v>
      </c>
      <c r="N2465" s="3" t="n">
        <f aca="false">L2465*M2465</f>
        <v>0</v>
      </c>
    </row>
    <row r="2466" customFormat="false" ht="15" hidden="false" customHeight="false" outlineLevel="0" collapsed="false">
      <c r="A2466" s="0" t="s">
        <v>3871</v>
      </c>
      <c r="B2466" s="0" t="s">
        <v>41</v>
      </c>
      <c r="C2466" s="0" t="s">
        <v>3872</v>
      </c>
      <c r="D2466" s="0" t="s">
        <v>19</v>
      </c>
      <c r="E2466" s="2" t="n">
        <v>45743</v>
      </c>
      <c r="F2466" s="3" t="s">
        <v>20</v>
      </c>
      <c r="G2466" s="3" t="s">
        <v>35</v>
      </c>
      <c r="H2466" s="3" t="s">
        <v>44</v>
      </c>
      <c r="I2466" s="3" t="n">
        <f aca="false">YEAR(E2466)</f>
        <v>2025</v>
      </c>
      <c r="J2466" s="3" t="n">
        <f aca="false">MONTH(E2466)</f>
        <v>3</v>
      </c>
      <c r="K2466" s="3" t="n">
        <f aca="false">COUNTIFS($B$2:$B$4077,B2466,$C$2:$C$4077,C2466,$I$2:$I$4077,I2466)</f>
        <v>2</v>
      </c>
      <c r="L2466" s="3" t="n">
        <f aca="false">IF(COUNTIFS($B$2:B2466,B2466,$C$2:C2466,C2466,$I$2:I2466,I2466)=1,1,0)</f>
        <v>1</v>
      </c>
      <c r="M2466" s="3" t="n">
        <f aca="false">IF(K2466&gt;=Parametri!$B$1,1,0)</f>
        <v>1</v>
      </c>
      <c r="N2466" s="3" t="n">
        <f aca="false">L2466*M2466</f>
        <v>1</v>
      </c>
    </row>
    <row r="2467" customFormat="false" ht="15" hidden="false" customHeight="false" outlineLevel="0" collapsed="false">
      <c r="A2467" s="0" t="s">
        <v>3873</v>
      </c>
      <c r="B2467" s="0" t="s">
        <v>41</v>
      </c>
      <c r="C2467" s="0" t="s">
        <v>2494</v>
      </c>
      <c r="D2467" s="0" t="s">
        <v>66</v>
      </c>
      <c r="E2467" s="2" t="n">
        <v>46165</v>
      </c>
      <c r="F2467" s="3" t="s">
        <v>20</v>
      </c>
      <c r="G2467" s="3" t="s">
        <v>21</v>
      </c>
      <c r="H2467" s="3" t="s">
        <v>44</v>
      </c>
      <c r="I2467" s="3" t="n">
        <f aca="false">YEAR(E2467)</f>
        <v>2026</v>
      </c>
      <c r="J2467" s="3" t="n">
        <f aca="false">MONTH(E2467)</f>
        <v>5</v>
      </c>
      <c r="K2467" s="3" t="n">
        <f aca="false">COUNTIFS($B$2:$B$4077,B2467,$C$2:$C$4077,C2467,$I$2:$I$4077,I2467)</f>
        <v>2</v>
      </c>
      <c r="L2467" s="3" t="n">
        <f aca="false">IF(COUNTIFS($B$2:B2467,B2467,$C$2:C2467,C2467,$I$2:I2467,I2467)=1,1,0)</f>
        <v>1</v>
      </c>
      <c r="M2467" s="3" t="n">
        <f aca="false">IF(K2467&gt;=Parametri!$B$1,1,0)</f>
        <v>1</v>
      </c>
      <c r="N2467" s="3" t="n">
        <f aca="false">L2467*M2467</f>
        <v>1</v>
      </c>
    </row>
    <row r="2468" customFormat="false" ht="15" hidden="false" customHeight="false" outlineLevel="0" collapsed="false">
      <c r="A2468" s="0" t="s">
        <v>3874</v>
      </c>
      <c r="B2468" s="0" t="s">
        <v>68</v>
      </c>
      <c r="C2468" s="0" t="s">
        <v>3875</v>
      </c>
      <c r="D2468" s="0" t="s">
        <v>54</v>
      </c>
      <c r="E2468" s="2" t="n">
        <v>45965</v>
      </c>
      <c r="F2468" s="3" t="s">
        <v>104</v>
      </c>
      <c r="G2468" s="3" t="s">
        <v>104</v>
      </c>
      <c r="H2468" s="3" t="s">
        <v>104</v>
      </c>
      <c r="I2468" s="3" t="n">
        <f aca="false">YEAR(E2468)</f>
        <v>2025</v>
      </c>
      <c r="J2468" s="3" t="n">
        <f aca="false">MONTH(E2468)</f>
        <v>11</v>
      </c>
      <c r="K2468" s="3" t="n">
        <f aca="false">COUNTIFS($B$2:$B$4077,B2468,$C$2:$C$4077,C2468,$I$2:$I$4077,I2468)</f>
        <v>1</v>
      </c>
      <c r="L2468" s="3" t="n">
        <f aca="false">IF(COUNTIFS($B$2:B2468,B2468,$C$2:C2468,C2468,$I$2:I2468,I2468)=1,1,0)</f>
        <v>1</v>
      </c>
      <c r="M2468" s="3" t="n">
        <f aca="false">IF(K2468&gt;=Parametri!$B$1,1,0)</f>
        <v>0</v>
      </c>
      <c r="N2468" s="3" t="n">
        <f aca="false">L2468*M2468</f>
        <v>0</v>
      </c>
    </row>
    <row r="2469" customFormat="false" ht="15" hidden="false" customHeight="false" outlineLevel="0" collapsed="false">
      <c r="A2469" s="0" t="s">
        <v>3876</v>
      </c>
      <c r="B2469" s="0" t="s">
        <v>57</v>
      </c>
      <c r="C2469" s="0" t="s">
        <v>74</v>
      </c>
      <c r="D2469" s="0" t="s">
        <v>66</v>
      </c>
      <c r="E2469" s="2" t="n">
        <v>45541</v>
      </c>
      <c r="F2469" s="3" t="s">
        <v>27</v>
      </c>
      <c r="G2469" s="3" t="s">
        <v>72</v>
      </c>
      <c r="H2469" s="3" t="s">
        <v>22</v>
      </c>
      <c r="I2469" s="3" t="n">
        <f aca="false">YEAR(E2469)</f>
        <v>2024</v>
      </c>
      <c r="J2469" s="3" t="n">
        <f aca="false">MONTH(E2469)</f>
        <v>9</v>
      </c>
      <c r="K2469" s="3" t="n">
        <f aca="false">COUNTIFS($B$2:$B$4077,B2469,$C$2:$C$4077,C2469,$I$2:$I$4077,I2469)</f>
        <v>3</v>
      </c>
      <c r="L2469" s="3" t="n">
        <f aca="false">IF(COUNTIFS($B$2:B2469,B2469,$C$2:C2469,C2469,$I$2:I2469,I2469)=1,1,0)</f>
        <v>0</v>
      </c>
      <c r="M2469" s="3" t="n">
        <f aca="false">IF(K2469&gt;=Parametri!$B$1,1,0)</f>
        <v>1</v>
      </c>
      <c r="N2469" s="3" t="n">
        <f aca="false">L2469*M2469</f>
        <v>0</v>
      </c>
    </row>
    <row r="2470" customFormat="false" ht="15" hidden="false" customHeight="false" outlineLevel="0" collapsed="false">
      <c r="A2470" s="0" t="s">
        <v>3877</v>
      </c>
      <c r="B2470" s="0" t="s">
        <v>24</v>
      </c>
      <c r="C2470" s="0" t="s">
        <v>271</v>
      </c>
      <c r="D2470" s="0" t="s">
        <v>63</v>
      </c>
      <c r="E2470" s="2" t="n">
        <v>45410</v>
      </c>
      <c r="F2470" s="3" t="s">
        <v>27</v>
      </c>
      <c r="G2470" s="3" t="s">
        <v>21</v>
      </c>
      <c r="H2470" s="3" t="s">
        <v>48</v>
      </c>
      <c r="I2470" s="3" t="n">
        <f aca="false">YEAR(E2470)</f>
        <v>2024</v>
      </c>
      <c r="J2470" s="3" t="n">
        <f aca="false">MONTH(E2470)</f>
        <v>4</v>
      </c>
      <c r="K2470" s="3" t="n">
        <f aca="false">COUNTIFS($B$2:$B$4077,B2470,$C$2:$C$4077,C2470,$I$2:$I$4077,I2470)</f>
        <v>6</v>
      </c>
      <c r="L2470" s="3" t="n">
        <f aca="false">IF(COUNTIFS($B$2:B2470,B2470,$C$2:C2470,C2470,$I$2:I2470,I2470)=1,1,0)</f>
        <v>0</v>
      </c>
      <c r="M2470" s="3" t="n">
        <f aca="false">IF(K2470&gt;=Parametri!$B$1,1,0)</f>
        <v>1</v>
      </c>
      <c r="N2470" s="3" t="n">
        <f aca="false">L2470*M2470</f>
        <v>0</v>
      </c>
    </row>
    <row r="2471" customFormat="false" ht="15" hidden="false" customHeight="false" outlineLevel="0" collapsed="false">
      <c r="A2471" s="0" t="s">
        <v>3878</v>
      </c>
      <c r="B2471" s="0" t="s">
        <v>57</v>
      </c>
      <c r="C2471" s="0" t="s">
        <v>3879</v>
      </c>
      <c r="D2471" s="0" t="s">
        <v>38</v>
      </c>
      <c r="E2471" s="2" t="n">
        <v>46158</v>
      </c>
      <c r="F2471" s="3" t="s">
        <v>20</v>
      </c>
      <c r="G2471" s="3" t="s">
        <v>35</v>
      </c>
      <c r="H2471" s="3" t="s">
        <v>22</v>
      </c>
      <c r="I2471" s="3" t="n">
        <f aca="false">YEAR(E2471)</f>
        <v>2026</v>
      </c>
      <c r="J2471" s="3" t="n">
        <f aca="false">MONTH(E2471)</f>
        <v>5</v>
      </c>
      <c r="K2471" s="3" t="n">
        <f aca="false">COUNTIFS($B$2:$B$4077,B2471,$C$2:$C$4077,C2471,$I$2:$I$4077,I2471)</f>
        <v>1</v>
      </c>
      <c r="L2471" s="3" t="n">
        <f aca="false">IF(COUNTIFS($B$2:B2471,B2471,$C$2:C2471,C2471,$I$2:I2471,I2471)=1,1,0)</f>
        <v>1</v>
      </c>
      <c r="M2471" s="3" t="n">
        <f aca="false">IF(K2471&gt;=Parametri!$B$1,1,0)</f>
        <v>0</v>
      </c>
      <c r="N2471" s="3" t="n">
        <f aca="false">L2471*M2471</f>
        <v>0</v>
      </c>
    </row>
    <row r="2472" customFormat="false" ht="15" hidden="false" customHeight="false" outlineLevel="0" collapsed="false">
      <c r="A2472" s="0" t="s">
        <v>3880</v>
      </c>
      <c r="B2472" s="0" t="s">
        <v>46</v>
      </c>
      <c r="C2472" s="0" t="s">
        <v>155</v>
      </c>
      <c r="D2472" s="0" t="s">
        <v>77</v>
      </c>
      <c r="E2472" s="2" t="n">
        <v>45807</v>
      </c>
      <c r="F2472" s="3" t="s">
        <v>20</v>
      </c>
      <c r="G2472" s="3" t="s">
        <v>89</v>
      </c>
      <c r="H2472" s="3" t="s">
        <v>44</v>
      </c>
      <c r="I2472" s="3" t="n">
        <f aca="false">YEAR(E2472)</f>
        <v>2025</v>
      </c>
      <c r="J2472" s="3" t="n">
        <f aca="false">MONTH(E2472)</f>
        <v>5</v>
      </c>
      <c r="K2472" s="3" t="n">
        <f aca="false">COUNTIFS($B$2:$B$4077,B2472,$C$2:$C$4077,C2472,$I$2:$I$4077,I2472)</f>
        <v>2</v>
      </c>
      <c r="L2472" s="3" t="n">
        <f aca="false">IF(COUNTIFS($B$2:B2472,B2472,$C$2:C2472,C2472,$I$2:I2472,I2472)=1,1,0)</f>
        <v>0</v>
      </c>
      <c r="M2472" s="3" t="n">
        <f aca="false">IF(K2472&gt;=Parametri!$B$1,1,0)</f>
        <v>1</v>
      </c>
      <c r="N2472" s="3" t="n">
        <f aca="false">L2472*M2472</f>
        <v>0</v>
      </c>
    </row>
    <row r="2473" customFormat="false" ht="15" hidden="false" customHeight="false" outlineLevel="0" collapsed="false">
      <c r="A2473" s="0" t="s">
        <v>3881</v>
      </c>
      <c r="B2473" s="0" t="s">
        <v>79</v>
      </c>
      <c r="C2473" s="0" t="s">
        <v>358</v>
      </c>
      <c r="D2473" s="0" t="s">
        <v>63</v>
      </c>
      <c r="E2473" s="2" t="n">
        <v>45634</v>
      </c>
      <c r="F2473" s="3" t="s">
        <v>20</v>
      </c>
      <c r="G2473" s="3" t="s">
        <v>72</v>
      </c>
      <c r="H2473" s="3" t="s">
        <v>29</v>
      </c>
      <c r="I2473" s="3" t="n">
        <f aca="false">YEAR(E2473)</f>
        <v>2024</v>
      </c>
      <c r="J2473" s="3" t="n">
        <f aca="false">MONTH(E2473)</f>
        <v>12</v>
      </c>
      <c r="K2473" s="3" t="n">
        <f aca="false">COUNTIFS($B$2:$B$4077,B2473,$C$2:$C$4077,C2473,$I$2:$I$4077,I2473)</f>
        <v>2</v>
      </c>
      <c r="L2473" s="3" t="n">
        <f aca="false">IF(COUNTIFS($B$2:B2473,B2473,$C$2:C2473,C2473,$I$2:I2473,I2473)=1,1,0)</f>
        <v>0</v>
      </c>
      <c r="M2473" s="3" t="n">
        <f aca="false">IF(K2473&gt;=Parametri!$B$1,1,0)</f>
        <v>1</v>
      </c>
      <c r="N2473" s="3" t="n">
        <f aca="false">L2473*M2473</f>
        <v>0</v>
      </c>
    </row>
    <row r="2474" customFormat="false" ht="15" hidden="false" customHeight="false" outlineLevel="0" collapsed="false">
      <c r="A2474" s="0" t="s">
        <v>3882</v>
      </c>
      <c r="B2474" s="0" t="s">
        <v>24</v>
      </c>
      <c r="C2474" s="0" t="s">
        <v>3883</v>
      </c>
      <c r="D2474" s="0" t="s">
        <v>63</v>
      </c>
      <c r="E2474" s="2" t="n">
        <v>45864</v>
      </c>
      <c r="F2474" s="3" t="s">
        <v>34</v>
      </c>
      <c r="G2474" s="3" t="s">
        <v>55</v>
      </c>
      <c r="H2474" s="3" t="s">
        <v>29</v>
      </c>
      <c r="I2474" s="3" t="n">
        <f aca="false">YEAR(E2474)</f>
        <v>2025</v>
      </c>
      <c r="J2474" s="3" t="n">
        <f aca="false">MONTH(E2474)</f>
        <v>7</v>
      </c>
      <c r="K2474" s="3" t="n">
        <f aca="false">COUNTIFS($B$2:$B$4077,B2474,$C$2:$C$4077,C2474,$I$2:$I$4077,I2474)</f>
        <v>1</v>
      </c>
      <c r="L2474" s="3" t="n">
        <f aca="false">IF(COUNTIFS($B$2:B2474,B2474,$C$2:C2474,C2474,$I$2:I2474,I2474)=1,1,0)</f>
        <v>1</v>
      </c>
      <c r="M2474" s="3" t="n">
        <f aca="false">IF(K2474&gt;=Parametri!$B$1,1,0)</f>
        <v>0</v>
      </c>
      <c r="N2474" s="3" t="n">
        <f aca="false">L2474*M2474</f>
        <v>0</v>
      </c>
    </row>
    <row r="2475" customFormat="false" ht="15" hidden="false" customHeight="false" outlineLevel="0" collapsed="false">
      <c r="A2475" s="0" t="s">
        <v>3884</v>
      </c>
      <c r="B2475" s="0" t="s">
        <v>24</v>
      </c>
      <c r="C2475" s="0" t="s">
        <v>204</v>
      </c>
      <c r="D2475" s="0" t="s">
        <v>66</v>
      </c>
      <c r="E2475" s="2" t="n">
        <v>45966</v>
      </c>
      <c r="F2475" s="3" t="s">
        <v>27</v>
      </c>
      <c r="G2475" s="3" t="s">
        <v>28</v>
      </c>
      <c r="H2475" s="3" t="s">
        <v>22</v>
      </c>
      <c r="I2475" s="3" t="n">
        <f aca="false">YEAR(E2475)</f>
        <v>2025</v>
      </c>
      <c r="J2475" s="3" t="n">
        <f aca="false">MONTH(E2475)</f>
        <v>11</v>
      </c>
      <c r="K2475" s="3" t="n">
        <f aca="false">COUNTIFS($B$2:$B$4077,B2475,$C$2:$C$4077,C2475,$I$2:$I$4077,I2475)</f>
        <v>6</v>
      </c>
      <c r="L2475" s="3" t="n">
        <f aca="false">IF(COUNTIFS($B$2:B2475,B2475,$C$2:C2475,C2475,$I$2:I2475,I2475)=1,1,0)</f>
        <v>0</v>
      </c>
      <c r="M2475" s="3" t="n">
        <f aca="false">IF(K2475&gt;=Parametri!$B$1,1,0)</f>
        <v>1</v>
      </c>
      <c r="N2475" s="3" t="n">
        <f aca="false">L2475*M2475</f>
        <v>0</v>
      </c>
    </row>
    <row r="2476" customFormat="false" ht="15" hidden="false" customHeight="false" outlineLevel="0" collapsed="false">
      <c r="A2476" s="0" t="s">
        <v>3885</v>
      </c>
      <c r="B2476" s="0" t="s">
        <v>79</v>
      </c>
      <c r="C2476" s="0" t="s">
        <v>3216</v>
      </c>
      <c r="D2476" s="0" t="s">
        <v>54</v>
      </c>
      <c r="E2476" s="2" t="n">
        <v>46140</v>
      </c>
      <c r="F2476" s="3" t="s">
        <v>27</v>
      </c>
      <c r="G2476" s="3" t="s">
        <v>35</v>
      </c>
      <c r="H2476" s="3" t="s">
        <v>44</v>
      </c>
      <c r="I2476" s="3" t="n">
        <f aca="false">YEAR(E2476)</f>
        <v>2026</v>
      </c>
      <c r="J2476" s="3" t="n">
        <f aca="false">MONTH(E2476)</f>
        <v>4</v>
      </c>
      <c r="K2476" s="3" t="n">
        <f aca="false">COUNTIFS($B$2:$B$4077,B2476,$C$2:$C$4077,C2476,$I$2:$I$4077,I2476)</f>
        <v>2</v>
      </c>
      <c r="L2476" s="3" t="n">
        <f aca="false">IF(COUNTIFS($B$2:B2476,B2476,$C$2:C2476,C2476,$I$2:I2476,I2476)=1,1,0)</f>
        <v>0</v>
      </c>
      <c r="M2476" s="3" t="n">
        <f aca="false">IF(K2476&gt;=Parametri!$B$1,1,0)</f>
        <v>1</v>
      </c>
      <c r="N2476" s="3" t="n">
        <f aca="false">L2476*M2476</f>
        <v>0</v>
      </c>
    </row>
    <row r="2477" customFormat="false" ht="15" hidden="false" customHeight="false" outlineLevel="0" collapsed="false">
      <c r="A2477" s="0" t="s">
        <v>3886</v>
      </c>
      <c r="B2477" s="0" t="s">
        <v>79</v>
      </c>
      <c r="C2477" s="0" t="s">
        <v>651</v>
      </c>
      <c r="D2477" s="0" t="s">
        <v>66</v>
      </c>
      <c r="E2477" s="2" t="n">
        <v>45357</v>
      </c>
      <c r="F2477" s="3" t="s">
        <v>20</v>
      </c>
      <c r="G2477" s="3" t="s">
        <v>55</v>
      </c>
      <c r="H2477" s="3" t="s">
        <v>22</v>
      </c>
      <c r="I2477" s="3" t="n">
        <f aca="false">YEAR(E2477)</f>
        <v>2024</v>
      </c>
      <c r="J2477" s="3" t="n">
        <f aca="false">MONTH(E2477)</f>
        <v>3</v>
      </c>
      <c r="K2477" s="3" t="n">
        <f aca="false">COUNTIFS($B$2:$B$4077,B2477,$C$2:$C$4077,C2477,$I$2:$I$4077,I2477)</f>
        <v>2</v>
      </c>
      <c r="L2477" s="3" t="n">
        <f aca="false">IF(COUNTIFS($B$2:B2477,B2477,$C$2:C2477,C2477,$I$2:I2477,I2477)=1,1,0)</f>
        <v>1</v>
      </c>
      <c r="M2477" s="3" t="n">
        <f aca="false">IF(K2477&gt;=Parametri!$B$1,1,0)</f>
        <v>1</v>
      </c>
      <c r="N2477" s="3" t="n">
        <f aca="false">L2477*M2477</f>
        <v>1</v>
      </c>
    </row>
    <row r="2478" customFormat="false" ht="15" hidden="false" customHeight="false" outlineLevel="0" collapsed="false">
      <c r="A2478" s="0" t="s">
        <v>3887</v>
      </c>
      <c r="B2478" s="0" t="s">
        <v>79</v>
      </c>
      <c r="C2478" s="0" t="s">
        <v>2523</v>
      </c>
      <c r="D2478" s="0" t="s">
        <v>33</v>
      </c>
      <c r="E2478" s="2" t="n">
        <v>45963</v>
      </c>
      <c r="F2478" s="3" t="s">
        <v>20</v>
      </c>
      <c r="G2478" s="3" t="s">
        <v>39</v>
      </c>
      <c r="H2478" s="3" t="s">
        <v>22</v>
      </c>
      <c r="I2478" s="3" t="n">
        <f aca="false">YEAR(E2478)</f>
        <v>2025</v>
      </c>
      <c r="J2478" s="3" t="n">
        <f aca="false">MONTH(E2478)</f>
        <v>11</v>
      </c>
      <c r="K2478" s="3" t="n">
        <f aca="false">COUNTIFS($B$2:$B$4077,B2478,$C$2:$C$4077,C2478,$I$2:$I$4077,I2478)</f>
        <v>3</v>
      </c>
      <c r="L2478" s="3" t="n">
        <f aca="false">IF(COUNTIFS($B$2:B2478,B2478,$C$2:C2478,C2478,$I$2:I2478,I2478)=1,1,0)</f>
        <v>1</v>
      </c>
      <c r="M2478" s="3" t="n">
        <f aca="false">IF(K2478&gt;=Parametri!$B$1,1,0)</f>
        <v>1</v>
      </c>
      <c r="N2478" s="3" t="n">
        <f aca="false">L2478*M2478</f>
        <v>1</v>
      </c>
    </row>
    <row r="2479" customFormat="false" ht="15" hidden="false" customHeight="false" outlineLevel="0" collapsed="false">
      <c r="A2479" s="0" t="s">
        <v>3888</v>
      </c>
      <c r="B2479" s="0" t="s">
        <v>24</v>
      </c>
      <c r="C2479" s="0" t="s">
        <v>3889</v>
      </c>
      <c r="D2479" s="0" t="s">
        <v>77</v>
      </c>
      <c r="E2479" s="2" t="n">
        <v>46197</v>
      </c>
      <c r="F2479" s="3" t="s">
        <v>34</v>
      </c>
      <c r="G2479" s="3" t="s">
        <v>35</v>
      </c>
      <c r="H2479" s="3" t="s">
        <v>48</v>
      </c>
      <c r="I2479" s="3" t="n">
        <f aca="false">YEAR(E2479)</f>
        <v>2026</v>
      </c>
      <c r="J2479" s="3" t="n">
        <f aca="false">MONTH(E2479)</f>
        <v>6</v>
      </c>
      <c r="K2479" s="3" t="n">
        <f aca="false">COUNTIFS($B$2:$B$4077,B2479,$C$2:$C$4077,C2479,$I$2:$I$4077,I2479)</f>
        <v>2</v>
      </c>
      <c r="L2479" s="3" t="n">
        <f aca="false">IF(COUNTIFS($B$2:B2479,B2479,$C$2:C2479,C2479,$I$2:I2479,I2479)=1,1,0)</f>
        <v>1</v>
      </c>
      <c r="M2479" s="3" t="n">
        <f aca="false">IF(K2479&gt;=Parametri!$B$1,1,0)</f>
        <v>1</v>
      </c>
      <c r="N2479" s="3" t="n">
        <f aca="false">L2479*M2479</f>
        <v>1</v>
      </c>
    </row>
    <row r="2480" customFormat="false" ht="15" hidden="false" customHeight="false" outlineLevel="0" collapsed="false">
      <c r="A2480" s="0" t="s">
        <v>3890</v>
      </c>
      <c r="B2480" s="0" t="s">
        <v>24</v>
      </c>
      <c r="C2480" s="0" t="s">
        <v>566</v>
      </c>
      <c r="D2480" s="0" t="s">
        <v>66</v>
      </c>
      <c r="E2480" s="2" t="n">
        <v>46055</v>
      </c>
      <c r="F2480" s="3" t="s">
        <v>27</v>
      </c>
      <c r="G2480" s="3" t="s">
        <v>39</v>
      </c>
      <c r="H2480" s="3" t="s">
        <v>22</v>
      </c>
      <c r="I2480" s="3" t="n">
        <f aca="false">YEAR(E2480)</f>
        <v>2026</v>
      </c>
      <c r="J2480" s="3" t="n">
        <f aca="false">MONTH(E2480)</f>
        <v>2</v>
      </c>
      <c r="K2480" s="3" t="n">
        <f aca="false">COUNTIFS($B$2:$B$4077,B2480,$C$2:$C$4077,C2480,$I$2:$I$4077,I2480)</f>
        <v>1</v>
      </c>
      <c r="L2480" s="3" t="n">
        <f aca="false">IF(COUNTIFS($B$2:B2480,B2480,$C$2:C2480,C2480,$I$2:I2480,I2480)=1,1,0)</f>
        <v>1</v>
      </c>
      <c r="M2480" s="3" t="n">
        <f aca="false">IF(K2480&gt;=Parametri!$B$1,1,0)</f>
        <v>0</v>
      </c>
      <c r="N2480" s="3" t="n">
        <f aca="false">L2480*M2480</f>
        <v>0</v>
      </c>
    </row>
    <row r="2481" customFormat="false" ht="15" hidden="false" customHeight="false" outlineLevel="0" collapsed="false">
      <c r="A2481" s="0" t="s">
        <v>3891</v>
      </c>
      <c r="B2481" s="0" t="s">
        <v>24</v>
      </c>
      <c r="C2481" s="0" t="s">
        <v>204</v>
      </c>
      <c r="D2481" s="0" t="s">
        <v>77</v>
      </c>
      <c r="E2481" s="2" t="n">
        <v>45877</v>
      </c>
      <c r="F2481" s="3" t="s">
        <v>27</v>
      </c>
      <c r="G2481" s="3" t="s">
        <v>55</v>
      </c>
      <c r="H2481" s="3" t="s">
        <v>22</v>
      </c>
      <c r="I2481" s="3" t="n">
        <f aca="false">YEAR(E2481)</f>
        <v>2025</v>
      </c>
      <c r="J2481" s="3" t="n">
        <f aca="false">MONTH(E2481)</f>
        <v>8</v>
      </c>
      <c r="K2481" s="3" t="n">
        <f aca="false">COUNTIFS($B$2:$B$4077,B2481,$C$2:$C$4077,C2481,$I$2:$I$4077,I2481)</f>
        <v>6</v>
      </c>
      <c r="L2481" s="3" t="n">
        <f aca="false">IF(COUNTIFS($B$2:B2481,B2481,$C$2:C2481,C2481,$I$2:I2481,I2481)=1,1,0)</f>
        <v>0</v>
      </c>
      <c r="M2481" s="3" t="n">
        <f aca="false">IF(K2481&gt;=Parametri!$B$1,1,0)</f>
        <v>1</v>
      </c>
      <c r="N2481" s="3" t="n">
        <f aca="false">L2481*M2481</f>
        <v>0</v>
      </c>
    </row>
    <row r="2482" customFormat="false" ht="15" hidden="false" customHeight="false" outlineLevel="0" collapsed="false">
      <c r="A2482" s="0" t="s">
        <v>3892</v>
      </c>
      <c r="B2482" s="0" t="s">
        <v>79</v>
      </c>
      <c r="C2482" s="0" t="s">
        <v>116</v>
      </c>
      <c r="D2482" s="0" t="s">
        <v>19</v>
      </c>
      <c r="E2482" s="2" t="n">
        <v>45416</v>
      </c>
      <c r="F2482" s="3" t="s">
        <v>20</v>
      </c>
      <c r="G2482" s="3" t="s">
        <v>72</v>
      </c>
      <c r="H2482" s="3" t="s">
        <v>44</v>
      </c>
      <c r="I2482" s="3" t="n">
        <f aca="false">YEAR(E2482)</f>
        <v>2024</v>
      </c>
      <c r="J2482" s="3" t="n">
        <f aca="false">MONTH(E2482)</f>
        <v>5</v>
      </c>
      <c r="K2482" s="3" t="n">
        <f aca="false">COUNTIFS($B$2:$B$4077,B2482,$C$2:$C$4077,C2482,$I$2:$I$4077,I2482)</f>
        <v>6</v>
      </c>
      <c r="L2482" s="3" t="n">
        <f aca="false">IF(COUNTIFS($B$2:B2482,B2482,$C$2:C2482,C2482,$I$2:I2482,I2482)=1,1,0)</f>
        <v>0</v>
      </c>
      <c r="M2482" s="3" t="n">
        <f aca="false">IF(K2482&gt;=Parametri!$B$1,1,0)</f>
        <v>1</v>
      </c>
      <c r="N2482" s="3" t="n">
        <f aca="false">L2482*M2482</f>
        <v>0</v>
      </c>
    </row>
    <row r="2483" customFormat="false" ht="15" hidden="false" customHeight="false" outlineLevel="0" collapsed="false">
      <c r="A2483" s="0" t="s">
        <v>3893</v>
      </c>
      <c r="B2483" s="0" t="s">
        <v>17</v>
      </c>
      <c r="C2483" s="0" t="s">
        <v>3894</v>
      </c>
      <c r="D2483" s="0" t="s">
        <v>54</v>
      </c>
      <c r="E2483" s="2" t="n">
        <v>45338</v>
      </c>
      <c r="F2483" s="3" t="s">
        <v>20</v>
      </c>
      <c r="G2483" s="3" t="s">
        <v>55</v>
      </c>
      <c r="H2483" s="3" t="s">
        <v>29</v>
      </c>
      <c r="I2483" s="3" t="n">
        <f aca="false">YEAR(E2483)</f>
        <v>2024</v>
      </c>
      <c r="J2483" s="3" t="n">
        <f aca="false">MONTH(E2483)</f>
        <v>2</v>
      </c>
      <c r="K2483" s="3" t="n">
        <f aca="false">COUNTIFS($B$2:$B$4077,B2483,$C$2:$C$4077,C2483,$I$2:$I$4077,I2483)</f>
        <v>2</v>
      </c>
      <c r="L2483" s="3" t="n">
        <f aca="false">IF(COUNTIFS($B$2:B2483,B2483,$C$2:C2483,C2483,$I$2:I2483,I2483)=1,1,0)</f>
        <v>1</v>
      </c>
      <c r="M2483" s="3" t="n">
        <f aca="false">IF(K2483&gt;=Parametri!$B$1,1,0)</f>
        <v>1</v>
      </c>
      <c r="N2483" s="3" t="n">
        <f aca="false">L2483*M2483</f>
        <v>1</v>
      </c>
    </row>
    <row r="2484" customFormat="false" ht="15" hidden="false" customHeight="false" outlineLevel="0" collapsed="false">
      <c r="A2484" s="0" t="s">
        <v>3895</v>
      </c>
      <c r="B2484" s="0" t="s">
        <v>57</v>
      </c>
      <c r="C2484" s="0" t="s">
        <v>3896</v>
      </c>
      <c r="D2484" s="0" t="s">
        <v>38</v>
      </c>
      <c r="E2484" s="2" t="n">
        <v>46211</v>
      </c>
      <c r="F2484" s="3" t="s">
        <v>20</v>
      </c>
      <c r="G2484" s="3" t="s">
        <v>21</v>
      </c>
      <c r="H2484" s="3" t="s">
        <v>22</v>
      </c>
      <c r="I2484" s="3" t="n">
        <f aca="false">YEAR(E2484)</f>
        <v>2026</v>
      </c>
      <c r="J2484" s="3" t="n">
        <f aca="false">MONTH(E2484)</f>
        <v>7</v>
      </c>
      <c r="K2484" s="3" t="n">
        <f aca="false">COUNTIFS($B$2:$B$4077,B2484,$C$2:$C$4077,C2484,$I$2:$I$4077,I2484)</f>
        <v>1</v>
      </c>
      <c r="L2484" s="3" t="n">
        <f aca="false">IF(COUNTIFS($B$2:B2484,B2484,$C$2:C2484,C2484,$I$2:I2484,I2484)=1,1,0)</f>
        <v>1</v>
      </c>
      <c r="M2484" s="3" t="n">
        <f aca="false">IF(K2484&gt;=Parametri!$B$1,1,0)</f>
        <v>0</v>
      </c>
      <c r="N2484" s="3" t="n">
        <f aca="false">L2484*M2484</f>
        <v>0</v>
      </c>
    </row>
    <row r="2485" customFormat="false" ht="15" hidden="false" customHeight="false" outlineLevel="0" collapsed="false">
      <c r="A2485" s="0" t="s">
        <v>3897</v>
      </c>
      <c r="B2485" s="0" t="s">
        <v>124</v>
      </c>
      <c r="C2485" s="0" t="s">
        <v>3898</v>
      </c>
      <c r="D2485" s="0" t="s">
        <v>33</v>
      </c>
      <c r="E2485" s="2" t="n">
        <v>45620</v>
      </c>
      <c r="F2485" s="3" t="s">
        <v>20</v>
      </c>
      <c r="G2485" s="3" t="s">
        <v>28</v>
      </c>
      <c r="H2485" s="3" t="s">
        <v>29</v>
      </c>
      <c r="I2485" s="3" t="n">
        <f aca="false">YEAR(E2485)</f>
        <v>2024</v>
      </c>
      <c r="J2485" s="3" t="n">
        <f aca="false">MONTH(E2485)</f>
        <v>11</v>
      </c>
      <c r="K2485" s="3" t="n">
        <f aca="false">COUNTIFS($B$2:$B$4077,B2485,$C$2:$C$4077,C2485,$I$2:$I$4077,I2485)</f>
        <v>1</v>
      </c>
      <c r="L2485" s="3" t="n">
        <f aca="false">IF(COUNTIFS($B$2:B2485,B2485,$C$2:C2485,C2485,$I$2:I2485,I2485)=1,1,0)</f>
        <v>1</v>
      </c>
      <c r="M2485" s="3" t="n">
        <f aca="false">IF(K2485&gt;=Parametri!$B$1,1,0)</f>
        <v>0</v>
      </c>
      <c r="N2485" s="3" t="n">
        <f aca="false">L2485*M2485</f>
        <v>0</v>
      </c>
    </row>
    <row r="2486" customFormat="false" ht="15" hidden="false" customHeight="false" outlineLevel="0" collapsed="false">
      <c r="A2486" s="0" t="s">
        <v>3899</v>
      </c>
      <c r="B2486" s="0" t="s">
        <v>17</v>
      </c>
      <c r="C2486" s="0" t="s">
        <v>3900</v>
      </c>
      <c r="D2486" s="0" t="s">
        <v>54</v>
      </c>
      <c r="E2486" s="2" t="n">
        <v>46073</v>
      </c>
      <c r="F2486" s="3" t="s">
        <v>20</v>
      </c>
      <c r="G2486" s="3" t="s">
        <v>28</v>
      </c>
      <c r="H2486" s="3" t="s">
        <v>22</v>
      </c>
      <c r="I2486" s="3" t="n">
        <f aca="false">YEAR(E2486)</f>
        <v>2026</v>
      </c>
      <c r="J2486" s="3" t="n">
        <f aca="false">MONTH(E2486)</f>
        <v>2</v>
      </c>
      <c r="K2486" s="3" t="n">
        <f aca="false">COUNTIFS($B$2:$B$4077,B2486,$C$2:$C$4077,C2486,$I$2:$I$4077,I2486)</f>
        <v>1</v>
      </c>
      <c r="L2486" s="3" t="n">
        <f aca="false">IF(COUNTIFS($B$2:B2486,B2486,$C$2:C2486,C2486,$I$2:I2486,I2486)=1,1,0)</f>
        <v>1</v>
      </c>
      <c r="M2486" s="3" t="n">
        <f aca="false">IF(K2486&gt;=Parametri!$B$1,1,0)</f>
        <v>0</v>
      </c>
      <c r="N2486" s="3" t="n">
        <f aca="false">L2486*M2486</f>
        <v>0</v>
      </c>
    </row>
    <row r="2487" customFormat="false" ht="15" hidden="false" customHeight="false" outlineLevel="0" collapsed="false">
      <c r="A2487" s="0" t="s">
        <v>3901</v>
      </c>
      <c r="B2487" s="0" t="s">
        <v>17</v>
      </c>
      <c r="C2487" s="0" t="s">
        <v>3902</v>
      </c>
      <c r="D2487" s="0" t="s">
        <v>66</v>
      </c>
      <c r="E2487" s="2" t="n">
        <v>45984</v>
      </c>
      <c r="F2487" s="3" t="s">
        <v>27</v>
      </c>
      <c r="G2487" s="3" t="s">
        <v>72</v>
      </c>
      <c r="H2487" s="3" t="s">
        <v>29</v>
      </c>
      <c r="I2487" s="3" t="n">
        <f aca="false">YEAR(E2487)</f>
        <v>2025</v>
      </c>
      <c r="J2487" s="3" t="n">
        <f aca="false">MONTH(E2487)</f>
        <v>11</v>
      </c>
      <c r="K2487" s="3" t="n">
        <f aca="false">COUNTIFS($B$2:$B$4077,B2487,$C$2:$C$4077,C2487,$I$2:$I$4077,I2487)</f>
        <v>3</v>
      </c>
      <c r="L2487" s="3" t="n">
        <f aca="false">IF(COUNTIFS($B$2:B2487,B2487,$C$2:C2487,C2487,$I$2:I2487,I2487)=1,1,0)</f>
        <v>1</v>
      </c>
      <c r="M2487" s="3" t="n">
        <f aca="false">IF(K2487&gt;=Parametri!$B$1,1,0)</f>
        <v>1</v>
      </c>
      <c r="N2487" s="3" t="n">
        <f aca="false">L2487*M2487</f>
        <v>1</v>
      </c>
    </row>
    <row r="2488" customFormat="false" ht="15" hidden="false" customHeight="false" outlineLevel="0" collapsed="false">
      <c r="A2488" s="0" t="s">
        <v>3903</v>
      </c>
      <c r="B2488" s="0" t="s">
        <v>50</v>
      </c>
      <c r="C2488" s="0" t="s">
        <v>952</v>
      </c>
      <c r="D2488" s="0" t="s">
        <v>33</v>
      </c>
      <c r="E2488" s="2" t="n">
        <v>45954</v>
      </c>
      <c r="F2488" s="3" t="s">
        <v>20</v>
      </c>
      <c r="G2488" s="3" t="s">
        <v>72</v>
      </c>
      <c r="H2488" s="3" t="s">
        <v>44</v>
      </c>
      <c r="I2488" s="3" t="n">
        <f aca="false">YEAR(E2488)</f>
        <v>2025</v>
      </c>
      <c r="J2488" s="3" t="n">
        <f aca="false">MONTH(E2488)</f>
        <v>10</v>
      </c>
      <c r="K2488" s="3" t="n">
        <f aca="false">COUNTIFS($B$2:$B$4077,B2488,$C$2:$C$4077,C2488,$I$2:$I$4077,I2488)</f>
        <v>3</v>
      </c>
      <c r="L2488" s="3" t="n">
        <f aca="false">IF(COUNTIFS($B$2:B2488,B2488,$C$2:C2488,C2488,$I$2:I2488,I2488)=1,1,0)</f>
        <v>0</v>
      </c>
      <c r="M2488" s="3" t="n">
        <f aca="false">IF(K2488&gt;=Parametri!$B$1,1,0)</f>
        <v>1</v>
      </c>
      <c r="N2488" s="3" t="n">
        <f aca="false">L2488*M2488</f>
        <v>0</v>
      </c>
    </row>
    <row r="2489" customFormat="false" ht="15" hidden="false" customHeight="false" outlineLevel="0" collapsed="false">
      <c r="A2489" s="0" t="s">
        <v>3904</v>
      </c>
      <c r="B2489" s="0" t="s">
        <v>68</v>
      </c>
      <c r="C2489" s="0" t="s">
        <v>103</v>
      </c>
      <c r="D2489" s="0" t="s">
        <v>33</v>
      </c>
      <c r="E2489" s="2" t="n">
        <v>45305</v>
      </c>
      <c r="F2489" s="3" t="s">
        <v>34</v>
      </c>
      <c r="G2489" s="3" t="s">
        <v>43</v>
      </c>
      <c r="H2489" s="3" t="s">
        <v>44</v>
      </c>
      <c r="I2489" s="3" t="n">
        <f aca="false">YEAR(E2489)</f>
        <v>2024</v>
      </c>
      <c r="J2489" s="3" t="n">
        <f aca="false">MONTH(E2489)</f>
        <v>1</v>
      </c>
      <c r="K2489" s="3" t="n">
        <f aca="false">COUNTIFS($B$2:$B$4077,B2489,$C$2:$C$4077,C2489,$I$2:$I$4077,I2489)</f>
        <v>1</v>
      </c>
      <c r="L2489" s="3" t="n">
        <f aca="false">IF(COUNTIFS($B$2:B2489,B2489,$C$2:C2489,C2489,$I$2:I2489,I2489)=1,1,0)</f>
        <v>1</v>
      </c>
      <c r="M2489" s="3" t="n">
        <f aca="false">IF(K2489&gt;=Parametri!$B$1,1,0)</f>
        <v>0</v>
      </c>
      <c r="N2489" s="3" t="n">
        <f aca="false">L2489*M2489</f>
        <v>0</v>
      </c>
    </row>
    <row r="2490" customFormat="false" ht="15" hidden="false" customHeight="false" outlineLevel="0" collapsed="false">
      <c r="A2490" s="0" t="s">
        <v>3905</v>
      </c>
      <c r="B2490" s="0" t="s">
        <v>57</v>
      </c>
      <c r="C2490" s="0" t="s">
        <v>3906</v>
      </c>
      <c r="D2490" s="0" t="s">
        <v>54</v>
      </c>
      <c r="E2490" s="2" t="n">
        <v>45641</v>
      </c>
      <c r="F2490" s="3" t="s">
        <v>20</v>
      </c>
      <c r="G2490" s="3" t="s">
        <v>43</v>
      </c>
      <c r="H2490" s="3" t="s">
        <v>44</v>
      </c>
      <c r="I2490" s="3" t="n">
        <f aca="false">YEAR(E2490)</f>
        <v>2024</v>
      </c>
      <c r="J2490" s="3" t="n">
        <f aca="false">MONTH(E2490)</f>
        <v>12</v>
      </c>
      <c r="K2490" s="3" t="n">
        <f aca="false">COUNTIFS($B$2:$B$4077,B2490,$C$2:$C$4077,C2490,$I$2:$I$4077,I2490)</f>
        <v>1</v>
      </c>
      <c r="L2490" s="3" t="n">
        <f aca="false">IF(COUNTIFS($B$2:B2490,B2490,$C$2:C2490,C2490,$I$2:I2490,I2490)=1,1,0)</f>
        <v>1</v>
      </c>
      <c r="M2490" s="3" t="n">
        <f aca="false">IF(K2490&gt;=Parametri!$B$1,1,0)</f>
        <v>0</v>
      </c>
      <c r="N2490" s="3" t="n">
        <f aca="false">L2490*M2490</f>
        <v>0</v>
      </c>
    </row>
    <row r="2491" customFormat="false" ht="15" hidden="false" customHeight="false" outlineLevel="0" collapsed="false">
      <c r="A2491" s="0" t="s">
        <v>3907</v>
      </c>
      <c r="B2491" s="0" t="s">
        <v>68</v>
      </c>
      <c r="C2491" s="0" t="s">
        <v>3908</v>
      </c>
      <c r="D2491" s="0" t="s">
        <v>19</v>
      </c>
      <c r="E2491" s="2" t="n">
        <v>45977</v>
      </c>
      <c r="F2491" s="3" t="s">
        <v>20</v>
      </c>
      <c r="G2491" s="3" t="s">
        <v>55</v>
      </c>
      <c r="H2491" s="3" t="s">
        <v>44</v>
      </c>
      <c r="I2491" s="3" t="n">
        <f aca="false">YEAR(E2491)</f>
        <v>2025</v>
      </c>
      <c r="J2491" s="3" t="n">
        <f aca="false">MONTH(E2491)</f>
        <v>11</v>
      </c>
      <c r="K2491" s="3" t="n">
        <f aca="false">COUNTIFS($B$2:$B$4077,B2491,$C$2:$C$4077,C2491,$I$2:$I$4077,I2491)</f>
        <v>1</v>
      </c>
      <c r="L2491" s="3" t="n">
        <f aca="false">IF(COUNTIFS($B$2:B2491,B2491,$C$2:C2491,C2491,$I$2:I2491,I2491)=1,1,0)</f>
        <v>1</v>
      </c>
      <c r="M2491" s="3" t="n">
        <f aca="false">IF(K2491&gt;=Parametri!$B$1,1,0)</f>
        <v>0</v>
      </c>
      <c r="N2491" s="3" t="n">
        <f aca="false">L2491*M2491</f>
        <v>0</v>
      </c>
    </row>
    <row r="2492" customFormat="false" ht="15" hidden="false" customHeight="false" outlineLevel="0" collapsed="false">
      <c r="A2492" s="0" t="s">
        <v>3909</v>
      </c>
      <c r="B2492" s="0" t="s">
        <v>57</v>
      </c>
      <c r="C2492" s="0" t="s">
        <v>706</v>
      </c>
      <c r="D2492" s="0" t="s">
        <v>54</v>
      </c>
      <c r="E2492" s="2" t="n">
        <v>46040</v>
      </c>
      <c r="F2492" s="3" t="s">
        <v>20</v>
      </c>
      <c r="G2492" s="3" t="s">
        <v>28</v>
      </c>
      <c r="H2492" s="3" t="s">
        <v>22</v>
      </c>
      <c r="I2492" s="3" t="n">
        <f aca="false">YEAR(E2492)</f>
        <v>2026</v>
      </c>
      <c r="J2492" s="3" t="n">
        <f aca="false">MONTH(E2492)</f>
        <v>1</v>
      </c>
      <c r="K2492" s="3" t="n">
        <f aca="false">COUNTIFS($B$2:$B$4077,B2492,$C$2:$C$4077,C2492,$I$2:$I$4077,I2492)</f>
        <v>1</v>
      </c>
      <c r="L2492" s="3" t="n">
        <f aca="false">IF(COUNTIFS($B$2:B2492,B2492,$C$2:C2492,C2492,$I$2:I2492,I2492)=1,1,0)</f>
        <v>1</v>
      </c>
      <c r="M2492" s="3" t="n">
        <f aca="false">IF(K2492&gt;=Parametri!$B$1,1,0)</f>
        <v>0</v>
      </c>
      <c r="N2492" s="3" t="n">
        <f aca="false">L2492*M2492</f>
        <v>0</v>
      </c>
    </row>
    <row r="2493" customFormat="false" ht="15" hidden="false" customHeight="false" outlineLevel="0" collapsed="false">
      <c r="A2493" s="0" t="s">
        <v>3910</v>
      </c>
      <c r="B2493" s="0" t="s">
        <v>41</v>
      </c>
      <c r="C2493" s="0" t="s">
        <v>2592</v>
      </c>
      <c r="D2493" s="0" t="s">
        <v>63</v>
      </c>
      <c r="E2493" s="2" t="n">
        <v>45575</v>
      </c>
      <c r="F2493" s="3" t="s">
        <v>34</v>
      </c>
      <c r="G2493" s="3" t="s">
        <v>55</v>
      </c>
      <c r="H2493" s="3" t="s">
        <v>44</v>
      </c>
      <c r="I2493" s="3" t="n">
        <f aca="false">YEAR(E2493)</f>
        <v>2024</v>
      </c>
      <c r="J2493" s="3" t="n">
        <f aca="false">MONTH(E2493)</f>
        <v>10</v>
      </c>
      <c r="K2493" s="3" t="n">
        <f aca="false">COUNTIFS($B$2:$B$4077,B2493,$C$2:$C$4077,C2493,$I$2:$I$4077,I2493)</f>
        <v>1</v>
      </c>
      <c r="L2493" s="3" t="n">
        <f aca="false">IF(COUNTIFS($B$2:B2493,B2493,$C$2:C2493,C2493,$I$2:I2493,I2493)=1,1,0)</f>
        <v>1</v>
      </c>
      <c r="M2493" s="3" t="n">
        <f aca="false">IF(K2493&gt;=Parametri!$B$1,1,0)</f>
        <v>0</v>
      </c>
      <c r="N2493" s="3" t="n">
        <f aca="false">L2493*M2493</f>
        <v>0</v>
      </c>
    </row>
    <row r="2494" customFormat="false" ht="15" hidden="false" customHeight="false" outlineLevel="0" collapsed="false">
      <c r="A2494" s="0" t="s">
        <v>3911</v>
      </c>
      <c r="B2494" s="0" t="s">
        <v>17</v>
      </c>
      <c r="C2494" s="0" t="s">
        <v>18</v>
      </c>
      <c r="D2494" s="0" t="s">
        <v>38</v>
      </c>
      <c r="E2494" s="2" t="n">
        <v>46252</v>
      </c>
      <c r="F2494" s="3" t="s">
        <v>20</v>
      </c>
      <c r="G2494" s="3" t="s">
        <v>39</v>
      </c>
      <c r="H2494" s="3" t="s">
        <v>29</v>
      </c>
      <c r="I2494" s="3" t="n">
        <f aca="false">YEAR(E2494)</f>
        <v>2026</v>
      </c>
      <c r="J2494" s="3" t="n">
        <f aca="false">MONTH(E2494)</f>
        <v>8</v>
      </c>
      <c r="K2494" s="3" t="n">
        <f aca="false">COUNTIFS($B$2:$B$4077,B2494,$C$2:$C$4077,C2494,$I$2:$I$4077,I2494)</f>
        <v>3</v>
      </c>
      <c r="L2494" s="3" t="n">
        <f aca="false">IF(COUNTIFS($B$2:B2494,B2494,$C$2:C2494,C2494,$I$2:I2494,I2494)=1,1,0)</f>
        <v>1</v>
      </c>
      <c r="M2494" s="3" t="n">
        <f aca="false">IF(K2494&gt;=Parametri!$B$1,1,0)</f>
        <v>1</v>
      </c>
      <c r="N2494" s="3" t="n">
        <f aca="false">L2494*M2494</f>
        <v>1</v>
      </c>
    </row>
    <row r="2495" customFormat="false" ht="15" hidden="false" customHeight="false" outlineLevel="0" collapsed="false">
      <c r="A2495" s="0" t="s">
        <v>3912</v>
      </c>
      <c r="B2495" s="0" t="s">
        <v>50</v>
      </c>
      <c r="C2495" s="0" t="s">
        <v>891</v>
      </c>
      <c r="D2495" s="0" t="s">
        <v>26</v>
      </c>
      <c r="E2495" s="2" t="n">
        <v>46098</v>
      </c>
      <c r="F2495" s="3" t="s">
        <v>34</v>
      </c>
      <c r="G2495" s="3" t="s">
        <v>21</v>
      </c>
      <c r="H2495" s="3" t="s">
        <v>48</v>
      </c>
      <c r="I2495" s="3" t="n">
        <f aca="false">YEAR(E2495)</f>
        <v>2026</v>
      </c>
      <c r="J2495" s="3" t="n">
        <f aca="false">MONTH(E2495)</f>
        <v>3</v>
      </c>
      <c r="K2495" s="3" t="n">
        <f aca="false">COUNTIFS($B$2:$B$4077,B2495,$C$2:$C$4077,C2495,$I$2:$I$4077,I2495)</f>
        <v>2</v>
      </c>
      <c r="L2495" s="3" t="n">
        <f aca="false">IF(COUNTIFS($B$2:B2495,B2495,$C$2:C2495,C2495,$I$2:I2495,I2495)=1,1,0)</f>
        <v>0</v>
      </c>
      <c r="M2495" s="3" t="n">
        <f aca="false">IF(K2495&gt;=Parametri!$B$1,1,0)</f>
        <v>1</v>
      </c>
      <c r="N2495" s="3" t="n">
        <f aca="false">L2495*M2495</f>
        <v>0</v>
      </c>
    </row>
    <row r="2496" customFormat="false" ht="15" hidden="false" customHeight="false" outlineLevel="0" collapsed="false">
      <c r="A2496" s="0" t="s">
        <v>3913</v>
      </c>
      <c r="B2496" s="0" t="s">
        <v>31</v>
      </c>
      <c r="C2496" s="0" t="s">
        <v>143</v>
      </c>
      <c r="D2496" s="0" t="s">
        <v>26</v>
      </c>
      <c r="E2496" s="2" t="n">
        <v>46055</v>
      </c>
      <c r="F2496" s="3" t="s">
        <v>27</v>
      </c>
      <c r="G2496" s="3" t="s">
        <v>35</v>
      </c>
      <c r="H2496" s="3" t="s">
        <v>29</v>
      </c>
      <c r="I2496" s="3" t="n">
        <f aca="false">YEAR(E2496)</f>
        <v>2026</v>
      </c>
      <c r="J2496" s="3" t="n">
        <f aca="false">MONTH(E2496)</f>
        <v>2</v>
      </c>
      <c r="K2496" s="3" t="n">
        <f aca="false">COUNTIFS($B$2:$B$4077,B2496,$C$2:$C$4077,C2496,$I$2:$I$4077,I2496)</f>
        <v>2</v>
      </c>
      <c r="L2496" s="3" t="n">
        <f aca="false">IF(COUNTIFS($B$2:B2496,B2496,$C$2:C2496,C2496,$I$2:I2496,I2496)=1,1,0)</f>
        <v>0</v>
      </c>
      <c r="M2496" s="3" t="n">
        <f aca="false">IF(K2496&gt;=Parametri!$B$1,1,0)</f>
        <v>1</v>
      </c>
      <c r="N2496" s="3" t="n">
        <f aca="false">L2496*M2496</f>
        <v>0</v>
      </c>
    </row>
    <row r="2497" customFormat="false" ht="15" hidden="false" customHeight="false" outlineLevel="0" collapsed="false">
      <c r="A2497" s="0" t="s">
        <v>3914</v>
      </c>
      <c r="B2497" s="0" t="s">
        <v>17</v>
      </c>
      <c r="C2497" s="0" t="s">
        <v>3397</v>
      </c>
      <c r="D2497" s="0" t="s">
        <v>33</v>
      </c>
      <c r="E2497" s="2" t="n">
        <v>45738</v>
      </c>
      <c r="F2497" s="3" t="s">
        <v>27</v>
      </c>
      <c r="G2497" s="3" t="s">
        <v>43</v>
      </c>
      <c r="H2497" s="3" t="s">
        <v>44</v>
      </c>
      <c r="I2497" s="3" t="n">
        <f aca="false">YEAR(E2497)</f>
        <v>2025</v>
      </c>
      <c r="J2497" s="3" t="n">
        <f aca="false">MONTH(E2497)</f>
        <v>3</v>
      </c>
      <c r="K2497" s="3" t="n">
        <f aca="false">COUNTIFS($B$2:$B$4077,B2497,$C$2:$C$4077,C2497,$I$2:$I$4077,I2497)</f>
        <v>1</v>
      </c>
      <c r="L2497" s="3" t="n">
        <f aca="false">IF(COUNTIFS($B$2:B2497,B2497,$C$2:C2497,C2497,$I$2:I2497,I2497)=1,1,0)</f>
        <v>1</v>
      </c>
      <c r="M2497" s="3" t="n">
        <f aca="false">IF(K2497&gt;=Parametri!$B$1,1,0)</f>
        <v>0</v>
      </c>
      <c r="N2497" s="3" t="n">
        <f aca="false">L2497*M2497</f>
        <v>0</v>
      </c>
    </row>
    <row r="2498" customFormat="false" ht="15" hidden="false" customHeight="false" outlineLevel="0" collapsed="false">
      <c r="A2498" s="0" t="s">
        <v>3915</v>
      </c>
      <c r="B2498" s="0" t="s">
        <v>17</v>
      </c>
      <c r="C2498" s="0" t="s">
        <v>2148</v>
      </c>
      <c r="D2498" s="0" t="s">
        <v>33</v>
      </c>
      <c r="E2498" s="2" t="n">
        <v>45497</v>
      </c>
      <c r="F2498" s="3" t="s">
        <v>27</v>
      </c>
      <c r="G2498" s="3" t="s">
        <v>35</v>
      </c>
      <c r="H2498" s="3" t="s">
        <v>48</v>
      </c>
      <c r="I2498" s="3" t="n">
        <f aca="false">YEAR(E2498)</f>
        <v>2024</v>
      </c>
      <c r="J2498" s="3" t="n">
        <f aca="false">MONTH(E2498)</f>
        <v>7</v>
      </c>
      <c r="K2498" s="3" t="n">
        <f aca="false">COUNTIFS($B$2:$B$4077,B2498,$C$2:$C$4077,C2498,$I$2:$I$4077,I2498)</f>
        <v>2</v>
      </c>
      <c r="L2498" s="3" t="n">
        <f aca="false">IF(COUNTIFS($B$2:B2498,B2498,$C$2:C2498,C2498,$I$2:I2498,I2498)=1,1,0)</f>
        <v>0</v>
      </c>
      <c r="M2498" s="3" t="n">
        <f aca="false">IF(K2498&gt;=Parametri!$B$1,1,0)</f>
        <v>1</v>
      </c>
      <c r="N2498" s="3" t="n">
        <f aca="false">L2498*M2498</f>
        <v>0</v>
      </c>
    </row>
    <row r="2499" customFormat="false" ht="15" hidden="false" customHeight="false" outlineLevel="0" collapsed="false">
      <c r="A2499" s="0" t="s">
        <v>3916</v>
      </c>
      <c r="B2499" s="0" t="s">
        <v>124</v>
      </c>
      <c r="C2499" s="0" t="s">
        <v>2402</v>
      </c>
      <c r="D2499" s="0" t="s">
        <v>66</v>
      </c>
      <c r="E2499" s="2" t="n">
        <v>45312</v>
      </c>
      <c r="F2499" s="3" t="s">
        <v>20</v>
      </c>
      <c r="G2499" s="3" t="s">
        <v>72</v>
      </c>
      <c r="H2499" s="3" t="s">
        <v>22</v>
      </c>
      <c r="I2499" s="3" t="n">
        <f aca="false">YEAR(E2499)</f>
        <v>2024</v>
      </c>
      <c r="J2499" s="3" t="n">
        <f aca="false">MONTH(E2499)</f>
        <v>1</v>
      </c>
      <c r="K2499" s="3" t="n">
        <f aca="false">COUNTIFS($B$2:$B$4077,B2499,$C$2:$C$4077,C2499,$I$2:$I$4077,I2499)</f>
        <v>3</v>
      </c>
      <c r="L2499" s="3" t="n">
        <f aca="false">IF(COUNTIFS($B$2:B2499,B2499,$C$2:C2499,C2499,$I$2:I2499,I2499)=1,1,0)</f>
        <v>0</v>
      </c>
      <c r="M2499" s="3" t="n">
        <f aca="false">IF(K2499&gt;=Parametri!$B$1,1,0)</f>
        <v>1</v>
      </c>
      <c r="N2499" s="3" t="n">
        <f aca="false">L2499*M2499</f>
        <v>0</v>
      </c>
    </row>
    <row r="2500" customFormat="false" ht="15" hidden="false" customHeight="false" outlineLevel="0" collapsed="false">
      <c r="A2500" s="0" t="s">
        <v>3917</v>
      </c>
      <c r="B2500" s="0" t="s">
        <v>124</v>
      </c>
      <c r="C2500" s="0" t="s">
        <v>3283</v>
      </c>
      <c r="D2500" s="0" t="s">
        <v>66</v>
      </c>
      <c r="E2500" s="2" t="n">
        <v>45959</v>
      </c>
      <c r="F2500" s="3" t="s">
        <v>34</v>
      </c>
      <c r="G2500" s="3" t="s">
        <v>21</v>
      </c>
      <c r="H2500" s="3" t="s">
        <v>29</v>
      </c>
      <c r="I2500" s="3" t="n">
        <f aca="false">YEAR(E2500)</f>
        <v>2025</v>
      </c>
      <c r="J2500" s="3" t="n">
        <f aca="false">MONTH(E2500)</f>
        <v>10</v>
      </c>
      <c r="K2500" s="3" t="n">
        <f aca="false">COUNTIFS($B$2:$B$4077,B2500,$C$2:$C$4077,C2500,$I$2:$I$4077,I2500)</f>
        <v>2</v>
      </c>
      <c r="L2500" s="3" t="n">
        <f aca="false">IF(COUNTIFS($B$2:B2500,B2500,$C$2:C2500,C2500,$I$2:I2500,I2500)=1,1,0)</f>
        <v>0</v>
      </c>
      <c r="M2500" s="3" t="n">
        <f aca="false">IF(K2500&gt;=Parametri!$B$1,1,0)</f>
        <v>1</v>
      </c>
      <c r="N2500" s="3" t="n">
        <f aca="false">L2500*M2500</f>
        <v>0</v>
      </c>
    </row>
    <row r="2501" customFormat="false" ht="15" hidden="false" customHeight="false" outlineLevel="0" collapsed="false">
      <c r="A2501" s="0" t="s">
        <v>3918</v>
      </c>
      <c r="B2501" s="0" t="s">
        <v>41</v>
      </c>
      <c r="C2501" s="0" t="s">
        <v>493</v>
      </c>
      <c r="D2501" s="0" t="s">
        <v>77</v>
      </c>
      <c r="E2501" s="2" t="n">
        <v>46083</v>
      </c>
      <c r="F2501" s="3" t="s">
        <v>20</v>
      </c>
      <c r="G2501" s="3" t="s">
        <v>89</v>
      </c>
      <c r="H2501" s="3" t="s">
        <v>29</v>
      </c>
      <c r="I2501" s="3" t="n">
        <f aca="false">YEAR(E2501)</f>
        <v>2026</v>
      </c>
      <c r="J2501" s="3" t="n">
        <f aca="false">MONTH(E2501)</f>
        <v>3</v>
      </c>
      <c r="K2501" s="3" t="n">
        <f aca="false">COUNTIFS($B$2:$B$4077,B2501,$C$2:$C$4077,C2501,$I$2:$I$4077,I2501)</f>
        <v>2</v>
      </c>
      <c r="L2501" s="3" t="n">
        <f aca="false">IF(COUNTIFS($B$2:B2501,B2501,$C$2:C2501,C2501,$I$2:I2501,I2501)=1,1,0)</f>
        <v>0</v>
      </c>
      <c r="M2501" s="3" t="n">
        <f aca="false">IF(K2501&gt;=Parametri!$B$1,1,0)</f>
        <v>1</v>
      </c>
      <c r="N2501" s="3" t="n">
        <f aca="false">L2501*M2501</f>
        <v>0</v>
      </c>
    </row>
    <row r="2502" customFormat="false" ht="15" hidden="false" customHeight="false" outlineLevel="0" collapsed="false">
      <c r="A2502" s="0" t="s">
        <v>3919</v>
      </c>
      <c r="B2502" s="0" t="s">
        <v>46</v>
      </c>
      <c r="C2502" s="0" t="s">
        <v>3920</v>
      </c>
      <c r="D2502" s="0" t="s">
        <v>54</v>
      </c>
      <c r="E2502" s="2" t="n">
        <v>46179</v>
      </c>
      <c r="F2502" s="3" t="s">
        <v>20</v>
      </c>
      <c r="G2502" s="3" t="s">
        <v>72</v>
      </c>
      <c r="H2502" s="3" t="s">
        <v>48</v>
      </c>
      <c r="I2502" s="3" t="n">
        <f aca="false">YEAR(E2502)</f>
        <v>2026</v>
      </c>
      <c r="J2502" s="3" t="n">
        <f aca="false">MONTH(E2502)</f>
        <v>6</v>
      </c>
      <c r="K2502" s="3" t="n">
        <f aca="false">COUNTIFS($B$2:$B$4077,B2502,$C$2:$C$4077,C2502,$I$2:$I$4077,I2502)</f>
        <v>1</v>
      </c>
      <c r="L2502" s="3" t="n">
        <f aca="false">IF(COUNTIFS($B$2:B2502,B2502,$C$2:C2502,C2502,$I$2:I2502,I2502)=1,1,0)</f>
        <v>1</v>
      </c>
      <c r="M2502" s="3" t="n">
        <f aca="false">IF(K2502&gt;=Parametri!$B$1,1,0)</f>
        <v>0</v>
      </c>
      <c r="N2502" s="3" t="n">
        <f aca="false">L2502*M2502</f>
        <v>0</v>
      </c>
    </row>
    <row r="2503" customFormat="false" ht="15" hidden="false" customHeight="false" outlineLevel="0" collapsed="false">
      <c r="A2503" s="0" t="s">
        <v>3921</v>
      </c>
      <c r="B2503" s="0" t="s">
        <v>24</v>
      </c>
      <c r="C2503" s="0" t="s">
        <v>1582</v>
      </c>
      <c r="D2503" s="0" t="s">
        <v>77</v>
      </c>
      <c r="E2503" s="2" t="n">
        <v>45716</v>
      </c>
      <c r="F2503" s="3" t="s">
        <v>20</v>
      </c>
      <c r="G2503" s="3" t="s">
        <v>35</v>
      </c>
      <c r="H2503" s="3" t="s">
        <v>48</v>
      </c>
      <c r="I2503" s="3" t="n">
        <f aca="false">YEAR(E2503)</f>
        <v>2025</v>
      </c>
      <c r="J2503" s="3" t="n">
        <f aca="false">MONTH(E2503)</f>
        <v>2</v>
      </c>
      <c r="K2503" s="3" t="n">
        <f aca="false">COUNTIFS($B$2:$B$4077,B2503,$C$2:$C$4077,C2503,$I$2:$I$4077,I2503)</f>
        <v>1</v>
      </c>
      <c r="L2503" s="3" t="n">
        <f aca="false">IF(COUNTIFS($B$2:B2503,B2503,$C$2:C2503,C2503,$I$2:I2503,I2503)=1,1,0)</f>
        <v>1</v>
      </c>
      <c r="M2503" s="3" t="n">
        <f aca="false">IF(K2503&gt;=Parametri!$B$1,1,0)</f>
        <v>0</v>
      </c>
      <c r="N2503" s="3" t="n">
        <f aca="false">L2503*M2503</f>
        <v>0</v>
      </c>
    </row>
    <row r="2504" customFormat="false" ht="15" hidden="false" customHeight="false" outlineLevel="0" collapsed="false">
      <c r="A2504" s="0" t="s">
        <v>3922</v>
      </c>
      <c r="B2504" s="0" t="s">
        <v>46</v>
      </c>
      <c r="C2504" s="0" t="s">
        <v>3923</v>
      </c>
      <c r="D2504" s="0" t="s">
        <v>33</v>
      </c>
      <c r="E2504" s="2" t="n">
        <v>45975</v>
      </c>
      <c r="F2504" s="3" t="s">
        <v>27</v>
      </c>
      <c r="G2504" s="3" t="s">
        <v>43</v>
      </c>
      <c r="H2504" s="3" t="s">
        <v>44</v>
      </c>
      <c r="I2504" s="3" t="n">
        <f aca="false">YEAR(E2504)</f>
        <v>2025</v>
      </c>
      <c r="J2504" s="3" t="n">
        <f aca="false">MONTH(E2504)</f>
        <v>11</v>
      </c>
      <c r="K2504" s="3" t="n">
        <f aca="false">COUNTIFS($B$2:$B$4077,B2504,$C$2:$C$4077,C2504,$I$2:$I$4077,I2504)</f>
        <v>1</v>
      </c>
      <c r="L2504" s="3" t="n">
        <f aca="false">IF(COUNTIFS($B$2:B2504,B2504,$C$2:C2504,C2504,$I$2:I2504,I2504)=1,1,0)</f>
        <v>1</v>
      </c>
      <c r="M2504" s="3" t="n">
        <f aca="false">IF(K2504&gt;=Parametri!$B$1,1,0)</f>
        <v>0</v>
      </c>
      <c r="N2504" s="3" t="n">
        <f aca="false">L2504*M2504</f>
        <v>0</v>
      </c>
    </row>
    <row r="2505" customFormat="false" ht="15" hidden="false" customHeight="false" outlineLevel="0" collapsed="false">
      <c r="A2505" s="0" t="s">
        <v>3924</v>
      </c>
      <c r="B2505" s="0" t="s">
        <v>24</v>
      </c>
      <c r="C2505" s="0" t="s">
        <v>3388</v>
      </c>
      <c r="D2505" s="0" t="s">
        <v>63</v>
      </c>
      <c r="E2505" s="2" t="n">
        <v>46085</v>
      </c>
      <c r="F2505" s="3" t="s">
        <v>20</v>
      </c>
      <c r="G2505" s="3" t="s">
        <v>21</v>
      </c>
      <c r="H2505" s="3" t="s">
        <v>29</v>
      </c>
      <c r="I2505" s="3" t="n">
        <f aca="false">YEAR(E2505)</f>
        <v>2026</v>
      </c>
      <c r="J2505" s="3" t="n">
        <f aca="false">MONTH(E2505)</f>
        <v>3</v>
      </c>
      <c r="K2505" s="3" t="n">
        <f aca="false">COUNTIFS($B$2:$B$4077,B2505,$C$2:$C$4077,C2505,$I$2:$I$4077,I2505)</f>
        <v>1</v>
      </c>
      <c r="L2505" s="3" t="n">
        <f aca="false">IF(COUNTIFS($B$2:B2505,B2505,$C$2:C2505,C2505,$I$2:I2505,I2505)=1,1,0)</f>
        <v>1</v>
      </c>
      <c r="M2505" s="3" t="n">
        <f aca="false">IF(K2505&gt;=Parametri!$B$1,1,0)</f>
        <v>0</v>
      </c>
      <c r="N2505" s="3" t="n">
        <f aca="false">L2505*M2505</f>
        <v>0</v>
      </c>
    </row>
    <row r="2506" customFormat="false" ht="15" hidden="false" customHeight="false" outlineLevel="0" collapsed="false">
      <c r="A2506" s="0" t="s">
        <v>3925</v>
      </c>
      <c r="B2506" s="0" t="s">
        <v>79</v>
      </c>
      <c r="C2506" s="0" t="s">
        <v>3926</v>
      </c>
      <c r="D2506" s="0" t="s">
        <v>19</v>
      </c>
      <c r="E2506" s="2" t="n">
        <v>45564</v>
      </c>
      <c r="F2506" s="3" t="s">
        <v>27</v>
      </c>
      <c r="G2506" s="3" t="s">
        <v>39</v>
      </c>
      <c r="H2506" s="3" t="s">
        <v>48</v>
      </c>
      <c r="I2506" s="3" t="n">
        <f aca="false">YEAR(E2506)</f>
        <v>2024</v>
      </c>
      <c r="J2506" s="3" t="n">
        <f aca="false">MONTH(E2506)</f>
        <v>9</v>
      </c>
      <c r="K2506" s="3" t="n">
        <f aca="false">COUNTIFS($B$2:$B$4077,B2506,$C$2:$C$4077,C2506,$I$2:$I$4077,I2506)</f>
        <v>1</v>
      </c>
      <c r="L2506" s="3" t="n">
        <f aca="false">IF(COUNTIFS($B$2:B2506,B2506,$C$2:C2506,C2506,$I$2:I2506,I2506)=1,1,0)</f>
        <v>1</v>
      </c>
      <c r="M2506" s="3" t="n">
        <f aca="false">IF(K2506&gt;=Parametri!$B$1,1,0)</f>
        <v>0</v>
      </c>
      <c r="N2506" s="3" t="n">
        <f aca="false">L2506*M2506</f>
        <v>0</v>
      </c>
    </row>
    <row r="2507" customFormat="false" ht="15" hidden="false" customHeight="false" outlineLevel="0" collapsed="false">
      <c r="A2507" s="0" t="s">
        <v>3927</v>
      </c>
      <c r="B2507" s="0" t="s">
        <v>124</v>
      </c>
      <c r="C2507" s="0" t="s">
        <v>1243</v>
      </c>
      <c r="D2507" s="0" t="s">
        <v>38</v>
      </c>
      <c r="E2507" s="2" t="n">
        <v>45628</v>
      </c>
      <c r="F2507" s="3" t="s">
        <v>20</v>
      </c>
      <c r="G2507" s="3" t="s">
        <v>89</v>
      </c>
      <c r="H2507" s="3" t="s">
        <v>29</v>
      </c>
      <c r="I2507" s="3" t="n">
        <f aca="false">YEAR(E2507)</f>
        <v>2024</v>
      </c>
      <c r="J2507" s="3" t="n">
        <f aca="false">MONTH(E2507)</f>
        <v>12</v>
      </c>
      <c r="K2507" s="3" t="n">
        <f aca="false">COUNTIFS($B$2:$B$4077,B2507,$C$2:$C$4077,C2507,$I$2:$I$4077,I2507)</f>
        <v>4</v>
      </c>
      <c r="L2507" s="3" t="n">
        <f aca="false">IF(COUNTIFS($B$2:B2507,B2507,$C$2:C2507,C2507,$I$2:I2507,I2507)=1,1,0)</f>
        <v>0</v>
      </c>
      <c r="M2507" s="3" t="n">
        <f aca="false">IF(K2507&gt;=Parametri!$B$1,1,0)</f>
        <v>1</v>
      </c>
      <c r="N2507" s="3" t="n">
        <f aca="false">L2507*M2507</f>
        <v>0</v>
      </c>
    </row>
    <row r="2508" customFormat="false" ht="15" hidden="false" customHeight="false" outlineLevel="0" collapsed="false">
      <c r="A2508" s="0" t="s">
        <v>3928</v>
      </c>
      <c r="B2508" s="0" t="s">
        <v>124</v>
      </c>
      <c r="C2508" s="0" t="s">
        <v>1546</v>
      </c>
      <c r="D2508" s="0" t="s">
        <v>66</v>
      </c>
      <c r="E2508" s="2" t="n">
        <v>45388</v>
      </c>
      <c r="F2508" s="3" t="s">
        <v>20</v>
      </c>
      <c r="G2508" s="3" t="s">
        <v>72</v>
      </c>
      <c r="H2508" s="3" t="s">
        <v>44</v>
      </c>
      <c r="I2508" s="3" t="n">
        <f aca="false">YEAR(E2508)</f>
        <v>2024</v>
      </c>
      <c r="J2508" s="3" t="n">
        <f aca="false">MONTH(E2508)</f>
        <v>4</v>
      </c>
      <c r="K2508" s="3" t="n">
        <f aca="false">COUNTIFS($B$2:$B$4077,B2508,$C$2:$C$4077,C2508,$I$2:$I$4077,I2508)</f>
        <v>3</v>
      </c>
      <c r="L2508" s="3" t="n">
        <f aca="false">IF(COUNTIFS($B$2:B2508,B2508,$C$2:C2508,C2508,$I$2:I2508,I2508)=1,1,0)</f>
        <v>0</v>
      </c>
      <c r="M2508" s="3" t="n">
        <f aca="false">IF(K2508&gt;=Parametri!$B$1,1,0)</f>
        <v>1</v>
      </c>
      <c r="N2508" s="3" t="n">
        <f aca="false">L2508*M2508</f>
        <v>0</v>
      </c>
    </row>
    <row r="2509" customFormat="false" ht="15" hidden="false" customHeight="false" outlineLevel="0" collapsed="false">
      <c r="A2509" s="0" t="s">
        <v>3929</v>
      </c>
      <c r="B2509" s="0" t="s">
        <v>41</v>
      </c>
      <c r="C2509" s="0" t="s">
        <v>3930</v>
      </c>
      <c r="D2509" s="0" t="s">
        <v>66</v>
      </c>
      <c r="E2509" s="2" t="n">
        <v>46025</v>
      </c>
      <c r="F2509" s="3" t="s">
        <v>27</v>
      </c>
      <c r="G2509" s="3" t="s">
        <v>72</v>
      </c>
      <c r="H2509" s="3" t="s">
        <v>29</v>
      </c>
      <c r="I2509" s="3" t="n">
        <f aca="false">YEAR(E2509)</f>
        <v>2026</v>
      </c>
      <c r="J2509" s="3" t="n">
        <f aca="false">MONTH(E2509)</f>
        <v>1</v>
      </c>
      <c r="K2509" s="3" t="n">
        <f aca="false">COUNTIFS($B$2:$B$4077,B2509,$C$2:$C$4077,C2509,$I$2:$I$4077,I2509)</f>
        <v>1</v>
      </c>
      <c r="L2509" s="3" t="n">
        <f aca="false">IF(COUNTIFS($B$2:B2509,B2509,$C$2:C2509,C2509,$I$2:I2509,I2509)=1,1,0)</f>
        <v>1</v>
      </c>
      <c r="M2509" s="3" t="n">
        <f aca="false">IF(K2509&gt;=Parametri!$B$1,1,0)</f>
        <v>0</v>
      </c>
      <c r="N2509" s="3" t="n">
        <f aca="false">L2509*M2509</f>
        <v>0</v>
      </c>
    </row>
    <row r="2510" customFormat="false" ht="15" hidden="false" customHeight="false" outlineLevel="0" collapsed="false">
      <c r="A2510" s="0" t="s">
        <v>3931</v>
      </c>
      <c r="B2510" s="0" t="s">
        <v>57</v>
      </c>
      <c r="C2510" s="0" t="s">
        <v>3555</v>
      </c>
      <c r="D2510" s="0" t="s">
        <v>38</v>
      </c>
      <c r="E2510" s="2" t="n">
        <v>45329</v>
      </c>
      <c r="F2510" s="3" t="s">
        <v>34</v>
      </c>
      <c r="G2510" s="3" t="s">
        <v>55</v>
      </c>
      <c r="H2510" s="3" t="s">
        <v>48</v>
      </c>
      <c r="I2510" s="3" t="n">
        <f aca="false">YEAR(E2510)</f>
        <v>2024</v>
      </c>
      <c r="J2510" s="3" t="n">
        <f aca="false">MONTH(E2510)</f>
        <v>2</v>
      </c>
      <c r="K2510" s="3" t="n">
        <f aca="false">COUNTIFS($B$2:$B$4077,B2510,$C$2:$C$4077,C2510,$I$2:$I$4077,I2510)</f>
        <v>2</v>
      </c>
      <c r="L2510" s="3" t="n">
        <f aca="false">IF(COUNTIFS($B$2:B2510,B2510,$C$2:C2510,C2510,$I$2:I2510,I2510)=1,1,0)</f>
        <v>0</v>
      </c>
      <c r="M2510" s="3" t="n">
        <f aca="false">IF(K2510&gt;=Parametri!$B$1,1,0)</f>
        <v>1</v>
      </c>
      <c r="N2510" s="3" t="n">
        <f aca="false">L2510*M2510</f>
        <v>0</v>
      </c>
    </row>
    <row r="2511" customFormat="false" ht="15" hidden="false" customHeight="false" outlineLevel="0" collapsed="false">
      <c r="A2511" s="0" t="s">
        <v>3932</v>
      </c>
      <c r="B2511" s="0" t="s">
        <v>31</v>
      </c>
      <c r="C2511" s="0" t="s">
        <v>2756</v>
      </c>
      <c r="D2511" s="0" t="s">
        <v>66</v>
      </c>
      <c r="E2511" s="2" t="n">
        <v>46179</v>
      </c>
      <c r="F2511" s="3" t="s">
        <v>20</v>
      </c>
      <c r="G2511" s="3" t="s">
        <v>72</v>
      </c>
      <c r="H2511" s="3" t="s">
        <v>48</v>
      </c>
      <c r="I2511" s="3" t="n">
        <f aca="false">YEAR(E2511)</f>
        <v>2026</v>
      </c>
      <c r="J2511" s="3" t="n">
        <f aca="false">MONTH(E2511)</f>
        <v>6</v>
      </c>
      <c r="K2511" s="3" t="n">
        <f aca="false">COUNTIFS($B$2:$B$4077,B2511,$C$2:$C$4077,C2511,$I$2:$I$4077,I2511)</f>
        <v>3</v>
      </c>
      <c r="L2511" s="3" t="n">
        <f aca="false">IF(COUNTIFS($B$2:B2511,B2511,$C$2:C2511,C2511,$I$2:I2511,I2511)=1,1,0)</f>
        <v>0</v>
      </c>
      <c r="M2511" s="3" t="n">
        <f aca="false">IF(K2511&gt;=Parametri!$B$1,1,0)</f>
        <v>1</v>
      </c>
      <c r="N2511" s="3" t="n">
        <f aca="false">L2511*M2511</f>
        <v>0</v>
      </c>
    </row>
    <row r="2512" customFormat="false" ht="15" hidden="false" customHeight="false" outlineLevel="0" collapsed="false">
      <c r="A2512" s="0" t="s">
        <v>3933</v>
      </c>
      <c r="B2512" s="0" t="s">
        <v>50</v>
      </c>
      <c r="C2512" s="0" t="s">
        <v>819</v>
      </c>
      <c r="D2512" s="0" t="s">
        <v>63</v>
      </c>
      <c r="E2512" s="2" t="n">
        <v>45318</v>
      </c>
      <c r="F2512" s="3" t="s">
        <v>20</v>
      </c>
      <c r="G2512" s="3" t="s">
        <v>35</v>
      </c>
      <c r="H2512" s="3" t="s">
        <v>29</v>
      </c>
      <c r="I2512" s="3" t="n">
        <f aca="false">YEAR(E2512)</f>
        <v>2024</v>
      </c>
      <c r="J2512" s="3" t="n">
        <f aca="false">MONTH(E2512)</f>
        <v>1</v>
      </c>
      <c r="K2512" s="3" t="n">
        <f aca="false">COUNTIFS($B$2:$B$4077,B2512,$C$2:$C$4077,C2512,$I$2:$I$4077,I2512)</f>
        <v>5</v>
      </c>
      <c r="L2512" s="3" t="n">
        <f aca="false">IF(COUNTIFS($B$2:B2512,B2512,$C$2:C2512,C2512,$I$2:I2512,I2512)=1,1,0)</f>
        <v>0</v>
      </c>
      <c r="M2512" s="3" t="n">
        <f aca="false">IF(K2512&gt;=Parametri!$B$1,1,0)</f>
        <v>1</v>
      </c>
      <c r="N2512" s="3" t="n">
        <f aca="false">L2512*M2512</f>
        <v>0</v>
      </c>
    </row>
    <row r="2513" customFormat="false" ht="15" hidden="false" customHeight="false" outlineLevel="0" collapsed="false">
      <c r="A2513" s="0" t="s">
        <v>3934</v>
      </c>
      <c r="B2513" s="0" t="s">
        <v>124</v>
      </c>
      <c r="C2513" s="0" t="s">
        <v>806</v>
      </c>
      <c r="D2513" s="0" t="s">
        <v>54</v>
      </c>
      <c r="E2513" s="2" t="n">
        <v>46066</v>
      </c>
      <c r="F2513" s="3" t="s">
        <v>34</v>
      </c>
      <c r="G2513" s="3" t="s">
        <v>39</v>
      </c>
      <c r="H2513" s="3" t="s">
        <v>48</v>
      </c>
      <c r="I2513" s="3" t="n">
        <f aca="false">YEAR(E2513)</f>
        <v>2026</v>
      </c>
      <c r="J2513" s="3" t="n">
        <f aca="false">MONTH(E2513)</f>
        <v>2</v>
      </c>
      <c r="K2513" s="3" t="n">
        <f aca="false">COUNTIFS($B$2:$B$4077,B2513,$C$2:$C$4077,C2513,$I$2:$I$4077,I2513)</f>
        <v>4</v>
      </c>
      <c r="L2513" s="3" t="n">
        <f aca="false">IF(COUNTIFS($B$2:B2513,B2513,$C$2:C2513,C2513,$I$2:I2513,I2513)=1,1,0)</f>
        <v>0</v>
      </c>
      <c r="M2513" s="3" t="n">
        <f aca="false">IF(K2513&gt;=Parametri!$B$1,1,0)</f>
        <v>1</v>
      </c>
      <c r="N2513" s="3" t="n">
        <f aca="false">L2513*M2513</f>
        <v>0</v>
      </c>
    </row>
    <row r="2514" customFormat="false" ht="15" hidden="false" customHeight="false" outlineLevel="0" collapsed="false">
      <c r="A2514" s="0" t="s">
        <v>3935</v>
      </c>
      <c r="B2514" s="0" t="s">
        <v>79</v>
      </c>
      <c r="C2514" s="0" t="s">
        <v>529</v>
      </c>
      <c r="D2514" s="0" t="s">
        <v>63</v>
      </c>
      <c r="E2514" s="2" t="n">
        <v>45796</v>
      </c>
      <c r="F2514" s="3" t="s">
        <v>20</v>
      </c>
      <c r="G2514" s="3" t="s">
        <v>35</v>
      </c>
      <c r="H2514" s="3" t="s">
        <v>29</v>
      </c>
      <c r="I2514" s="3" t="n">
        <f aca="false">YEAR(E2514)</f>
        <v>2025</v>
      </c>
      <c r="J2514" s="3" t="n">
        <f aca="false">MONTH(E2514)</f>
        <v>5</v>
      </c>
      <c r="K2514" s="3" t="n">
        <f aca="false">COUNTIFS($B$2:$B$4077,B2514,$C$2:$C$4077,C2514,$I$2:$I$4077,I2514)</f>
        <v>1</v>
      </c>
      <c r="L2514" s="3" t="n">
        <f aca="false">IF(COUNTIFS($B$2:B2514,B2514,$C$2:C2514,C2514,$I$2:I2514,I2514)=1,1,0)</f>
        <v>1</v>
      </c>
      <c r="M2514" s="3" t="n">
        <f aca="false">IF(K2514&gt;=Parametri!$B$1,1,0)</f>
        <v>0</v>
      </c>
      <c r="N2514" s="3" t="n">
        <f aca="false">L2514*M2514</f>
        <v>0</v>
      </c>
    </row>
    <row r="2515" customFormat="false" ht="15" hidden="false" customHeight="false" outlineLevel="0" collapsed="false">
      <c r="A2515" s="0" t="s">
        <v>3936</v>
      </c>
      <c r="B2515" s="0" t="s">
        <v>17</v>
      </c>
      <c r="C2515" s="0" t="s">
        <v>3860</v>
      </c>
      <c r="D2515" s="0" t="s">
        <v>77</v>
      </c>
      <c r="E2515" s="2" t="n">
        <v>45426</v>
      </c>
      <c r="F2515" s="3" t="s">
        <v>20</v>
      </c>
      <c r="G2515" s="3" t="s">
        <v>35</v>
      </c>
      <c r="H2515" s="3" t="s">
        <v>29</v>
      </c>
      <c r="I2515" s="3" t="n">
        <f aca="false">YEAR(E2515)</f>
        <v>2024</v>
      </c>
      <c r="J2515" s="3" t="n">
        <f aca="false">MONTH(E2515)</f>
        <v>5</v>
      </c>
      <c r="K2515" s="3" t="n">
        <f aca="false">COUNTIFS($B$2:$B$4077,B2515,$C$2:$C$4077,C2515,$I$2:$I$4077,I2515)</f>
        <v>2</v>
      </c>
      <c r="L2515" s="3" t="n">
        <f aca="false">IF(COUNTIFS($B$2:B2515,B2515,$C$2:C2515,C2515,$I$2:I2515,I2515)=1,1,0)</f>
        <v>1</v>
      </c>
      <c r="M2515" s="3" t="n">
        <f aca="false">IF(K2515&gt;=Parametri!$B$1,1,0)</f>
        <v>1</v>
      </c>
      <c r="N2515" s="3" t="n">
        <f aca="false">L2515*M2515</f>
        <v>1</v>
      </c>
    </row>
    <row r="2516" customFormat="false" ht="15" hidden="false" customHeight="false" outlineLevel="0" collapsed="false">
      <c r="A2516" s="0" t="s">
        <v>3937</v>
      </c>
      <c r="B2516" s="0" t="s">
        <v>17</v>
      </c>
      <c r="C2516" s="0" t="s">
        <v>3938</v>
      </c>
      <c r="D2516" s="0" t="s">
        <v>26</v>
      </c>
      <c r="E2516" s="2" t="n">
        <v>46073</v>
      </c>
      <c r="F2516" s="3" t="s">
        <v>34</v>
      </c>
      <c r="G2516" s="3" t="s">
        <v>39</v>
      </c>
      <c r="H2516" s="3" t="s">
        <v>44</v>
      </c>
      <c r="I2516" s="3" t="n">
        <f aca="false">YEAR(E2516)</f>
        <v>2026</v>
      </c>
      <c r="J2516" s="3" t="n">
        <f aca="false">MONTH(E2516)</f>
        <v>2</v>
      </c>
      <c r="K2516" s="3" t="n">
        <f aca="false">COUNTIFS($B$2:$B$4077,B2516,$C$2:$C$4077,C2516,$I$2:$I$4077,I2516)</f>
        <v>1</v>
      </c>
      <c r="L2516" s="3" t="n">
        <f aca="false">IF(COUNTIFS($B$2:B2516,B2516,$C$2:C2516,C2516,$I$2:I2516,I2516)=1,1,0)</f>
        <v>1</v>
      </c>
      <c r="M2516" s="3" t="n">
        <f aca="false">IF(K2516&gt;=Parametri!$B$1,1,0)</f>
        <v>0</v>
      </c>
      <c r="N2516" s="3" t="n">
        <f aca="false">L2516*M2516</f>
        <v>0</v>
      </c>
    </row>
    <row r="2517" customFormat="false" ht="15" hidden="false" customHeight="false" outlineLevel="0" collapsed="false">
      <c r="A2517" s="0" t="s">
        <v>3939</v>
      </c>
      <c r="B2517" s="0" t="s">
        <v>79</v>
      </c>
      <c r="C2517" s="0" t="s">
        <v>585</v>
      </c>
      <c r="D2517" s="0" t="s">
        <v>77</v>
      </c>
      <c r="E2517" s="2" t="n">
        <v>45498</v>
      </c>
      <c r="F2517" s="3" t="s">
        <v>27</v>
      </c>
      <c r="G2517" s="3" t="s">
        <v>55</v>
      </c>
      <c r="H2517" s="3" t="s">
        <v>48</v>
      </c>
      <c r="I2517" s="3" t="n">
        <f aca="false">YEAR(E2517)</f>
        <v>2024</v>
      </c>
      <c r="J2517" s="3" t="n">
        <f aca="false">MONTH(E2517)</f>
        <v>7</v>
      </c>
      <c r="K2517" s="3" t="n">
        <f aca="false">COUNTIFS($B$2:$B$4077,B2517,$C$2:$C$4077,C2517,$I$2:$I$4077,I2517)</f>
        <v>3</v>
      </c>
      <c r="L2517" s="3" t="n">
        <f aca="false">IF(COUNTIFS($B$2:B2517,B2517,$C$2:C2517,C2517,$I$2:I2517,I2517)=1,1,0)</f>
        <v>0</v>
      </c>
      <c r="M2517" s="3" t="n">
        <f aca="false">IF(K2517&gt;=Parametri!$B$1,1,0)</f>
        <v>1</v>
      </c>
      <c r="N2517" s="3" t="n">
        <f aca="false">L2517*M2517</f>
        <v>0</v>
      </c>
    </row>
    <row r="2518" customFormat="false" ht="15" hidden="false" customHeight="false" outlineLevel="0" collapsed="false">
      <c r="A2518" s="0" t="s">
        <v>3940</v>
      </c>
      <c r="B2518" s="0" t="s">
        <v>46</v>
      </c>
      <c r="C2518" s="0" t="s">
        <v>3941</v>
      </c>
      <c r="D2518" s="0" t="s">
        <v>63</v>
      </c>
      <c r="E2518" s="2" t="n">
        <v>45879</v>
      </c>
      <c r="F2518" s="3" t="s">
        <v>34</v>
      </c>
      <c r="G2518" s="3" t="s">
        <v>72</v>
      </c>
      <c r="H2518" s="3" t="s">
        <v>22</v>
      </c>
      <c r="I2518" s="3" t="n">
        <f aca="false">YEAR(E2518)</f>
        <v>2025</v>
      </c>
      <c r="J2518" s="3" t="n">
        <f aca="false">MONTH(E2518)</f>
        <v>8</v>
      </c>
      <c r="K2518" s="3" t="n">
        <f aca="false">COUNTIFS($B$2:$B$4077,B2518,$C$2:$C$4077,C2518,$I$2:$I$4077,I2518)</f>
        <v>1</v>
      </c>
      <c r="L2518" s="3" t="n">
        <f aca="false">IF(COUNTIFS($B$2:B2518,B2518,$C$2:C2518,C2518,$I$2:I2518,I2518)=1,1,0)</f>
        <v>1</v>
      </c>
      <c r="M2518" s="3" t="n">
        <f aca="false">IF(K2518&gt;=Parametri!$B$1,1,0)</f>
        <v>0</v>
      </c>
      <c r="N2518" s="3" t="n">
        <f aca="false">L2518*M2518</f>
        <v>0</v>
      </c>
    </row>
    <row r="2519" customFormat="false" ht="15" hidden="false" customHeight="false" outlineLevel="0" collapsed="false">
      <c r="A2519" s="0" t="s">
        <v>3942</v>
      </c>
      <c r="B2519" s="0" t="s">
        <v>68</v>
      </c>
      <c r="C2519" s="0" t="s">
        <v>3943</v>
      </c>
      <c r="D2519" s="0" t="s">
        <v>77</v>
      </c>
      <c r="E2519" s="2" t="n">
        <v>46186</v>
      </c>
      <c r="F2519" s="3" t="s">
        <v>27</v>
      </c>
      <c r="G2519" s="3" t="s">
        <v>89</v>
      </c>
      <c r="H2519" s="3" t="s">
        <v>44</v>
      </c>
      <c r="I2519" s="3" t="n">
        <f aca="false">YEAR(E2519)</f>
        <v>2026</v>
      </c>
      <c r="J2519" s="3" t="n">
        <f aca="false">MONTH(E2519)</f>
        <v>6</v>
      </c>
      <c r="K2519" s="3" t="n">
        <f aca="false">COUNTIFS($B$2:$B$4077,B2519,$C$2:$C$4077,C2519,$I$2:$I$4077,I2519)</f>
        <v>1</v>
      </c>
      <c r="L2519" s="3" t="n">
        <f aca="false">IF(COUNTIFS($B$2:B2519,B2519,$C$2:C2519,C2519,$I$2:I2519,I2519)=1,1,0)</f>
        <v>1</v>
      </c>
      <c r="M2519" s="3" t="n">
        <f aca="false">IF(K2519&gt;=Parametri!$B$1,1,0)</f>
        <v>0</v>
      </c>
      <c r="N2519" s="3" t="n">
        <f aca="false">L2519*M2519</f>
        <v>0</v>
      </c>
    </row>
    <row r="2520" customFormat="false" ht="15" hidden="false" customHeight="false" outlineLevel="0" collapsed="false">
      <c r="A2520" s="0" t="s">
        <v>3944</v>
      </c>
      <c r="B2520" s="0" t="s">
        <v>46</v>
      </c>
      <c r="C2520" s="0" t="s">
        <v>760</v>
      </c>
      <c r="D2520" s="0" t="s">
        <v>26</v>
      </c>
      <c r="E2520" s="2" t="n">
        <v>45718</v>
      </c>
      <c r="F2520" s="3" t="s">
        <v>20</v>
      </c>
      <c r="G2520" s="3" t="s">
        <v>21</v>
      </c>
      <c r="H2520" s="3" t="s">
        <v>44</v>
      </c>
      <c r="I2520" s="3" t="n">
        <f aca="false">YEAR(E2520)</f>
        <v>2025</v>
      </c>
      <c r="J2520" s="3" t="n">
        <f aca="false">MONTH(E2520)</f>
        <v>3</v>
      </c>
      <c r="K2520" s="3" t="n">
        <f aca="false">COUNTIFS($B$2:$B$4077,B2520,$C$2:$C$4077,C2520,$I$2:$I$4077,I2520)</f>
        <v>1</v>
      </c>
      <c r="L2520" s="3" t="n">
        <f aca="false">IF(COUNTIFS($B$2:B2520,B2520,$C$2:C2520,C2520,$I$2:I2520,I2520)=1,1,0)</f>
        <v>1</v>
      </c>
      <c r="M2520" s="3" t="n">
        <f aca="false">IF(K2520&gt;=Parametri!$B$1,1,0)</f>
        <v>0</v>
      </c>
      <c r="N2520" s="3" t="n">
        <f aca="false">L2520*M2520</f>
        <v>0</v>
      </c>
    </row>
    <row r="2521" customFormat="false" ht="15" hidden="false" customHeight="false" outlineLevel="0" collapsed="false">
      <c r="A2521" s="0" t="s">
        <v>3945</v>
      </c>
      <c r="B2521" s="0" t="s">
        <v>46</v>
      </c>
      <c r="C2521" s="0" t="s">
        <v>3411</v>
      </c>
      <c r="D2521" s="0" t="s">
        <v>63</v>
      </c>
      <c r="E2521" s="2" t="n">
        <v>45454</v>
      </c>
      <c r="F2521" s="3" t="s">
        <v>20</v>
      </c>
      <c r="G2521" s="3" t="s">
        <v>21</v>
      </c>
      <c r="H2521" s="3" t="s">
        <v>48</v>
      </c>
      <c r="I2521" s="3" t="n">
        <f aca="false">YEAR(E2521)</f>
        <v>2024</v>
      </c>
      <c r="J2521" s="3" t="n">
        <f aca="false">MONTH(E2521)</f>
        <v>6</v>
      </c>
      <c r="K2521" s="3" t="n">
        <f aca="false">COUNTIFS($B$2:$B$4077,B2521,$C$2:$C$4077,C2521,$I$2:$I$4077,I2521)</f>
        <v>2</v>
      </c>
      <c r="L2521" s="3" t="n">
        <f aca="false">IF(COUNTIFS($B$2:B2521,B2521,$C$2:C2521,C2521,$I$2:I2521,I2521)=1,1,0)</f>
        <v>0</v>
      </c>
      <c r="M2521" s="3" t="n">
        <f aca="false">IF(K2521&gt;=Parametri!$B$1,1,0)</f>
        <v>1</v>
      </c>
      <c r="N2521" s="3" t="n">
        <f aca="false">L2521*M2521</f>
        <v>0</v>
      </c>
    </row>
    <row r="2522" customFormat="false" ht="15" hidden="false" customHeight="false" outlineLevel="0" collapsed="false">
      <c r="A2522" s="0" t="s">
        <v>3946</v>
      </c>
      <c r="B2522" s="0" t="s">
        <v>68</v>
      </c>
      <c r="C2522" s="0" t="s">
        <v>2070</v>
      </c>
      <c r="D2522" s="0" t="s">
        <v>63</v>
      </c>
      <c r="E2522" s="2" t="n">
        <v>45835</v>
      </c>
      <c r="F2522" s="3" t="s">
        <v>20</v>
      </c>
      <c r="G2522" s="3" t="s">
        <v>104</v>
      </c>
      <c r="H2522" s="3" t="s">
        <v>44</v>
      </c>
      <c r="I2522" s="3" t="n">
        <f aca="false">YEAR(E2522)</f>
        <v>2025</v>
      </c>
      <c r="J2522" s="3" t="n">
        <f aca="false">MONTH(E2522)</f>
        <v>6</v>
      </c>
      <c r="K2522" s="3" t="n">
        <f aca="false">COUNTIFS($B$2:$B$4077,B2522,$C$2:$C$4077,C2522,$I$2:$I$4077,I2522)</f>
        <v>1</v>
      </c>
      <c r="L2522" s="3" t="n">
        <f aca="false">IF(COUNTIFS($B$2:B2522,B2522,$C$2:C2522,C2522,$I$2:I2522,I2522)=1,1,0)</f>
        <v>1</v>
      </c>
      <c r="M2522" s="3" t="n">
        <f aca="false">IF(K2522&gt;=Parametri!$B$1,1,0)</f>
        <v>0</v>
      </c>
      <c r="N2522" s="3" t="n">
        <f aca="false">L2522*M2522</f>
        <v>0</v>
      </c>
    </row>
    <row r="2523" customFormat="false" ht="15" hidden="false" customHeight="false" outlineLevel="0" collapsed="false">
      <c r="A2523" s="0" t="s">
        <v>3947</v>
      </c>
      <c r="B2523" s="0" t="s">
        <v>68</v>
      </c>
      <c r="C2523" s="0" t="s">
        <v>1556</v>
      </c>
      <c r="D2523" s="0" t="s">
        <v>77</v>
      </c>
      <c r="E2523" s="2" t="n">
        <v>45883</v>
      </c>
      <c r="F2523" s="3" t="s">
        <v>27</v>
      </c>
      <c r="G2523" s="3" t="s">
        <v>72</v>
      </c>
      <c r="H2523" s="3" t="s">
        <v>22</v>
      </c>
      <c r="I2523" s="3" t="n">
        <f aca="false">YEAR(E2523)</f>
        <v>2025</v>
      </c>
      <c r="J2523" s="3" t="n">
        <f aca="false">MONTH(E2523)</f>
        <v>8</v>
      </c>
      <c r="K2523" s="3" t="n">
        <f aca="false">COUNTIFS($B$2:$B$4077,B2523,$C$2:$C$4077,C2523,$I$2:$I$4077,I2523)</f>
        <v>2</v>
      </c>
      <c r="L2523" s="3" t="n">
        <f aca="false">IF(COUNTIFS($B$2:B2523,B2523,$C$2:C2523,C2523,$I$2:I2523,I2523)=1,1,0)</f>
        <v>0</v>
      </c>
      <c r="M2523" s="3" t="n">
        <f aca="false">IF(K2523&gt;=Parametri!$B$1,1,0)</f>
        <v>1</v>
      </c>
      <c r="N2523" s="3" t="n">
        <f aca="false">L2523*M2523</f>
        <v>0</v>
      </c>
    </row>
    <row r="2524" customFormat="false" ht="15" hidden="false" customHeight="false" outlineLevel="0" collapsed="false">
      <c r="A2524" s="0" t="s">
        <v>3948</v>
      </c>
      <c r="B2524" s="0" t="s">
        <v>31</v>
      </c>
      <c r="C2524" s="0" t="s">
        <v>3001</v>
      </c>
      <c r="D2524" s="0" t="s">
        <v>38</v>
      </c>
      <c r="E2524" s="2" t="n">
        <v>46137</v>
      </c>
      <c r="F2524" s="3" t="s">
        <v>104</v>
      </c>
      <c r="G2524" s="3" t="s">
        <v>104</v>
      </c>
      <c r="H2524" s="3" t="s">
        <v>104</v>
      </c>
      <c r="I2524" s="3" t="n">
        <f aca="false">YEAR(E2524)</f>
        <v>2026</v>
      </c>
      <c r="J2524" s="3" t="n">
        <f aca="false">MONTH(E2524)</f>
        <v>4</v>
      </c>
      <c r="K2524" s="3" t="n">
        <f aca="false">COUNTIFS($B$2:$B$4077,B2524,$C$2:$C$4077,C2524,$I$2:$I$4077,I2524)</f>
        <v>1</v>
      </c>
      <c r="L2524" s="3" t="n">
        <f aca="false">IF(COUNTIFS($B$2:B2524,B2524,$C$2:C2524,C2524,$I$2:I2524,I2524)=1,1,0)</f>
        <v>1</v>
      </c>
      <c r="M2524" s="3" t="n">
        <f aca="false">IF(K2524&gt;=Parametri!$B$1,1,0)</f>
        <v>0</v>
      </c>
      <c r="N2524" s="3" t="n">
        <f aca="false">L2524*M2524</f>
        <v>0</v>
      </c>
    </row>
    <row r="2525" customFormat="false" ht="15" hidden="false" customHeight="false" outlineLevel="0" collapsed="false">
      <c r="A2525" s="0" t="s">
        <v>3949</v>
      </c>
      <c r="B2525" s="0" t="s">
        <v>50</v>
      </c>
      <c r="C2525" s="0" t="s">
        <v>3950</v>
      </c>
      <c r="D2525" s="0" t="s">
        <v>63</v>
      </c>
      <c r="E2525" s="2" t="n">
        <v>45426</v>
      </c>
      <c r="F2525" s="3" t="s">
        <v>20</v>
      </c>
      <c r="G2525" s="3" t="s">
        <v>35</v>
      </c>
      <c r="H2525" s="3" t="s">
        <v>22</v>
      </c>
      <c r="I2525" s="3" t="n">
        <f aca="false">YEAR(E2525)</f>
        <v>2024</v>
      </c>
      <c r="J2525" s="3" t="n">
        <f aca="false">MONTH(E2525)</f>
        <v>5</v>
      </c>
      <c r="K2525" s="3" t="n">
        <f aca="false">COUNTIFS($B$2:$B$4077,B2525,$C$2:$C$4077,C2525,$I$2:$I$4077,I2525)</f>
        <v>1</v>
      </c>
      <c r="L2525" s="3" t="n">
        <f aca="false">IF(COUNTIFS($B$2:B2525,B2525,$C$2:C2525,C2525,$I$2:I2525,I2525)=1,1,0)</f>
        <v>1</v>
      </c>
      <c r="M2525" s="3" t="n">
        <f aca="false">IF(K2525&gt;=Parametri!$B$1,1,0)</f>
        <v>0</v>
      </c>
      <c r="N2525" s="3" t="n">
        <f aca="false">L2525*M2525</f>
        <v>0</v>
      </c>
    </row>
    <row r="2526" customFormat="false" ht="15" hidden="false" customHeight="false" outlineLevel="0" collapsed="false">
      <c r="A2526" s="0" t="s">
        <v>3951</v>
      </c>
      <c r="B2526" s="0" t="s">
        <v>68</v>
      </c>
      <c r="C2526" s="0" t="s">
        <v>103</v>
      </c>
      <c r="D2526" s="0" t="s">
        <v>26</v>
      </c>
      <c r="E2526" s="2" t="n">
        <v>46227</v>
      </c>
      <c r="F2526" s="3" t="s">
        <v>20</v>
      </c>
      <c r="G2526" s="3" t="s">
        <v>43</v>
      </c>
      <c r="H2526" s="3" t="s">
        <v>48</v>
      </c>
      <c r="I2526" s="3" t="n">
        <f aca="false">YEAR(E2526)</f>
        <v>2026</v>
      </c>
      <c r="J2526" s="3" t="n">
        <f aca="false">MONTH(E2526)</f>
        <v>7</v>
      </c>
      <c r="K2526" s="3" t="n">
        <f aca="false">COUNTIFS($B$2:$B$4077,B2526,$C$2:$C$4077,C2526,$I$2:$I$4077,I2526)</f>
        <v>1</v>
      </c>
      <c r="L2526" s="3" t="n">
        <f aca="false">IF(COUNTIFS($B$2:B2526,B2526,$C$2:C2526,C2526,$I$2:I2526,I2526)=1,1,0)</f>
        <v>1</v>
      </c>
      <c r="M2526" s="3" t="n">
        <f aca="false">IF(K2526&gt;=Parametri!$B$1,1,0)</f>
        <v>0</v>
      </c>
      <c r="N2526" s="3" t="n">
        <f aca="false">L2526*M2526</f>
        <v>0</v>
      </c>
    </row>
    <row r="2527" customFormat="false" ht="15" hidden="false" customHeight="false" outlineLevel="0" collapsed="false">
      <c r="A2527" s="0" t="s">
        <v>3952</v>
      </c>
      <c r="B2527" s="0" t="s">
        <v>46</v>
      </c>
      <c r="C2527" s="0" t="s">
        <v>3953</v>
      </c>
      <c r="D2527" s="0" t="s">
        <v>63</v>
      </c>
      <c r="E2527" s="2" t="n">
        <v>45355</v>
      </c>
      <c r="F2527" s="3" t="s">
        <v>34</v>
      </c>
      <c r="G2527" s="3" t="s">
        <v>89</v>
      </c>
      <c r="H2527" s="3" t="s">
        <v>29</v>
      </c>
      <c r="I2527" s="3" t="n">
        <f aca="false">YEAR(E2527)</f>
        <v>2024</v>
      </c>
      <c r="J2527" s="3" t="n">
        <f aca="false">MONTH(E2527)</f>
        <v>3</v>
      </c>
      <c r="K2527" s="3" t="n">
        <f aca="false">COUNTIFS($B$2:$B$4077,B2527,$C$2:$C$4077,C2527,$I$2:$I$4077,I2527)</f>
        <v>1</v>
      </c>
      <c r="L2527" s="3" t="n">
        <f aca="false">IF(COUNTIFS($B$2:B2527,B2527,$C$2:C2527,C2527,$I$2:I2527,I2527)=1,1,0)</f>
        <v>1</v>
      </c>
      <c r="M2527" s="3" t="n">
        <f aca="false">IF(K2527&gt;=Parametri!$B$1,1,0)</f>
        <v>0</v>
      </c>
      <c r="N2527" s="3" t="n">
        <f aca="false">L2527*M2527</f>
        <v>0</v>
      </c>
    </row>
    <row r="2528" customFormat="false" ht="15" hidden="false" customHeight="false" outlineLevel="0" collapsed="false">
      <c r="A2528" s="0" t="s">
        <v>3954</v>
      </c>
      <c r="B2528" s="0" t="s">
        <v>57</v>
      </c>
      <c r="C2528" s="0" t="s">
        <v>419</v>
      </c>
      <c r="D2528" s="0" t="s">
        <v>54</v>
      </c>
      <c r="E2528" s="2" t="n">
        <v>45504</v>
      </c>
      <c r="F2528" s="3" t="s">
        <v>20</v>
      </c>
      <c r="G2528" s="3" t="s">
        <v>28</v>
      </c>
      <c r="H2528" s="3" t="s">
        <v>48</v>
      </c>
      <c r="I2528" s="3" t="n">
        <f aca="false">YEAR(E2528)</f>
        <v>2024</v>
      </c>
      <c r="J2528" s="3" t="n">
        <f aca="false">MONTH(E2528)</f>
        <v>7</v>
      </c>
      <c r="K2528" s="3" t="n">
        <f aca="false">COUNTIFS($B$2:$B$4077,B2528,$C$2:$C$4077,C2528,$I$2:$I$4077,I2528)</f>
        <v>3</v>
      </c>
      <c r="L2528" s="3" t="n">
        <f aca="false">IF(COUNTIFS($B$2:B2528,B2528,$C$2:C2528,C2528,$I$2:I2528,I2528)=1,1,0)</f>
        <v>0</v>
      </c>
      <c r="M2528" s="3" t="n">
        <f aca="false">IF(K2528&gt;=Parametri!$B$1,1,0)</f>
        <v>1</v>
      </c>
      <c r="N2528" s="3" t="n">
        <f aca="false">L2528*M2528</f>
        <v>0</v>
      </c>
    </row>
    <row r="2529" customFormat="false" ht="15" hidden="false" customHeight="false" outlineLevel="0" collapsed="false">
      <c r="A2529" s="0" t="s">
        <v>3955</v>
      </c>
      <c r="B2529" s="0" t="s">
        <v>50</v>
      </c>
      <c r="C2529" s="0" t="s">
        <v>533</v>
      </c>
      <c r="D2529" s="0" t="s">
        <v>19</v>
      </c>
      <c r="E2529" s="2" t="n">
        <v>45868</v>
      </c>
      <c r="F2529" s="3" t="s">
        <v>20</v>
      </c>
      <c r="G2529" s="3" t="s">
        <v>89</v>
      </c>
      <c r="H2529" s="3" t="s">
        <v>48</v>
      </c>
      <c r="I2529" s="3" t="n">
        <f aca="false">YEAR(E2529)</f>
        <v>2025</v>
      </c>
      <c r="J2529" s="3" t="n">
        <f aca="false">MONTH(E2529)</f>
        <v>7</v>
      </c>
      <c r="K2529" s="3" t="n">
        <f aca="false">COUNTIFS($B$2:$B$4077,B2529,$C$2:$C$4077,C2529,$I$2:$I$4077,I2529)</f>
        <v>7</v>
      </c>
      <c r="L2529" s="3" t="n">
        <f aca="false">IF(COUNTIFS($B$2:B2529,B2529,$C$2:C2529,C2529,$I$2:I2529,I2529)=1,1,0)</f>
        <v>0</v>
      </c>
      <c r="M2529" s="3" t="n">
        <f aca="false">IF(K2529&gt;=Parametri!$B$1,1,0)</f>
        <v>1</v>
      </c>
      <c r="N2529" s="3" t="n">
        <f aca="false">L2529*M2529</f>
        <v>0</v>
      </c>
    </row>
    <row r="2530" customFormat="false" ht="15" hidden="false" customHeight="false" outlineLevel="0" collapsed="false">
      <c r="A2530" s="0" t="s">
        <v>3956</v>
      </c>
      <c r="B2530" s="0" t="s">
        <v>24</v>
      </c>
      <c r="C2530" s="0" t="s">
        <v>1528</v>
      </c>
      <c r="D2530" s="0" t="s">
        <v>54</v>
      </c>
      <c r="E2530" s="2" t="n">
        <v>46098</v>
      </c>
      <c r="F2530" s="3" t="s">
        <v>20</v>
      </c>
      <c r="G2530" s="3" t="s">
        <v>35</v>
      </c>
      <c r="H2530" s="3" t="s">
        <v>22</v>
      </c>
      <c r="I2530" s="3" t="n">
        <f aca="false">YEAR(E2530)</f>
        <v>2026</v>
      </c>
      <c r="J2530" s="3" t="n">
        <f aca="false">MONTH(E2530)</f>
        <v>3</v>
      </c>
      <c r="K2530" s="3" t="n">
        <f aca="false">COUNTIFS($B$2:$B$4077,B2530,$C$2:$C$4077,C2530,$I$2:$I$4077,I2530)</f>
        <v>3</v>
      </c>
      <c r="L2530" s="3" t="n">
        <f aca="false">IF(COUNTIFS($B$2:B2530,B2530,$C$2:C2530,C2530,$I$2:I2530,I2530)=1,1,0)</f>
        <v>0</v>
      </c>
      <c r="M2530" s="3" t="n">
        <f aca="false">IF(K2530&gt;=Parametri!$B$1,1,0)</f>
        <v>1</v>
      </c>
      <c r="N2530" s="3" t="n">
        <f aca="false">L2530*M2530</f>
        <v>0</v>
      </c>
    </row>
    <row r="2531" customFormat="false" ht="15" hidden="false" customHeight="false" outlineLevel="0" collapsed="false">
      <c r="A2531" s="0" t="s">
        <v>3957</v>
      </c>
      <c r="B2531" s="0" t="s">
        <v>124</v>
      </c>
      <c r="C2531" s="0" t="s">
        <v>3041</v>
      </c>
      <c r="D2531" s="0" t="s">
        <v>66</v>
      </c>
      <c r="E2531" s="2" t="n">
        <v>45464</v>
      </c>
      <c r="F2531" s="3" t="s">
        <v>20</v>
      </c>
      <c r="G2531" s="3" t="s">
        <v>55</v>
      </c>
      <c r="H2531" s="3" t="s">
        <v>48</v>
      </c>
      <c r="I2531" s="3" t="n">
        <f aca="false">YEAR(E2531)</f>
        <v>2024</v>
      </c>
      <c r="J2531" s="3" t="n">
        <f aca="false">MONTH(E2531)</f>
        <v>6</v>
      </c>
      <c r="K2531" s="3" t="n">
        <f aca="false">COUNTIFS($B$2:$B$4077,B2531,$C$2:$C$4077,C2531,$I$2:$I$4077,I2531)</f>
        <v>1</v>
      </c>
      <c r="L2531" s="3" t="n">
        <f aca="false">IF(COUNTIFS($B$2:B2531,B2531,$C$2:C2531,C2531,$I$2:I2531,I2531)=1,1,0)</f>
        <v>1</v>
      </c>
      <c r="M2531" s="3" t="n">
        <f aca="false">IF(K2531&gt;=Parametri!$B$1,1,0)</f>
        <v>0</v>
      </c>
      <c r="N2531" s="3" t="n">
        <f aca="false">L2531*M2531</f>
        <v>0</v>
      </c>
    </row>
    <row r="2532" customFormat="false" ht="15" hidden="false" customHeight="false" outlineLevel="0" collapsed="false">
      <c r="A2532" s="0" t="s">
        <v>3958</v>
      </c>
      <c r="B2532" s="0" t="s">
        <v>124</v>
      </c>
      <c r="C2532" s="0" t="s">
        <v>410</v>
      </c>
      <c r="D2532" s="0" t="s">
        <v>63</v>
      </c>
      <c r="E2532" s="2" t="n">
        <v>46152</v>
      </c>
      <c r="F2532" s="3" t="s">
        <v>27</v>
      </c>
      <c r="G2532" s="3" t="s">
        <v>21</v>
      </c>
      <c r="H2532" s="3" t="s">
        <v>44</v>
      </c>
      <c r="I2532" s="3" t="n">
        <f aca="false">YEAR(E2532)</f>
        <v>2026</v>
      </c>
      <c r="J2532" s="3" t="n">
        <f aca="false">MONTH(E2532)</f>
        <v>5</v>
      </c>
      <c r="K2532" s="3" t="n">
        <f aca="false">COUNTIFS($B$2:$B$4077,B2532,$C$2:$C$4077,C2532,$I$2:$I$4077,I2532)</f>
        <v>6</v>
      </c>
      <c r="L2532" s="3" t="n">
        <f aca="false">IF(COUNTIFS($B$2:B2532,B2532,$C$2:C2532,C2532,$I$2:I2532,I2532)=1,1,0)</f>
        <v>0</v>
      </c>
      <c r="M2532" s="3" t="n">
        <f aca="false">IF(K2532&gt;=Parametri!$B$1,1,0)</f>
        <v>1</v>
      </c>
      <c r="N2532" s="3" t="n">
        <f aca="false">L2532*M2532</f>
        <v>0</v>
      </c>
    </row>
    <row r="2533" customFormat="false" ht="15" hidden="false" customHeight="false" outlineLevel="0" collapsed="false">
      <c r="A2533" s="0" t="s">
        <v>3959</v>
      </c>
      <c r="B2533" s="0" t="s">
        <v>124</v>
      </c>
      <c r="C2533" s="0" t="s">
        <v>710</v>
      </c>
      <c r="D2533" s="0" t="s">
        <v>77</v>
      </c>
      <c r="E2533" s="2" t="n">
        <v>45902</v>
      </c>
      <c r="F2533" s="3" t="s">
        <v>20</v>
      </c>
      <c r="G2533" s="3" t="s">
        <v>35</v>
      </c>
      <c r="H2533" s="3" t="s">
        <v>48</v>
      </c>
      <c r="I2533" s="3" t="n">
        <f aca="false">YEAR(E2533)</f>
        <v>2025</v>
      </c>
      <c r="J2533" s="3" t="n">
        <f aca="false">MONTH(E2533)</f>
        <v>9</v>
      </c>
      <c r="K2533" s="3" t="n">
        <f aca="false">COUNTIFS($B$2:$B$4077,B2533,$C$2:$C$4077,C2533,$I$2:$I$4077,I2533)</f>
        <v>8</v>
      </c>
      <c r="L2533" s="3" t="n">
        <f aca="false">IF(COUNTIFS($B$2:B2533,B2533,$C$2:C2533,C2533,$I$2:I2533,I2533)=1,1,0)</f>
        <v>0</v>
      </c>
      <c r="M2533" s="3" t="n">
        <f aca="false">IF(K2533&gt;=Parametri!$B$1,1,0)</f>
        <v>1</v>
      </c>
      <c r="N2533" s="3" t="n">
        <f aca="false">L2533*M2533</f>
        <v>0</v>
      </c>
    </row>
    <row r="2534" customFormat="false" ht="15" hidden="false" customHeight="false" outlineLevel="0" collapsed="false">
      <c r="A2534" s="0" t="s">
        <v>3960</v>
      </c>
      <c r="B2534" s="0" t="s">
        <v>46</v>
      </c>
      <c r="C2534" s="0" t="s">
        <v>734</v>
      </c>
      <c r="D2534" s="0" t="s">
        <v>54</v>
      </c>
      <c r="E2534" s="2" t="n">
        <v>45955</v>
      </c>
      <c r="F2534" s="3" t="s">
        <v>20</v>
      </c>
      <c r="G2534" s="3" t="s">
        <v>28</v>
      </c>
      <c r="H2534" s="3" t="s">
        <v>22</v>
      </c>
      <c r="I2534" s="3" t="n">
        <f aca="false">YEAR(E2534)</f>
        <v>2025</v>
      </c>
      <c r="J2534" s="3" t="n">
        <f aca="false">MONTH(E2534)</f>
        <v>10</v>
      </c>
      <c r="K2534" s="3" t="n">
        <f aca="false">COUNTIFS($B$2:$B$4077,B2534,$C$2:$C$4077,C2534,$I$2:$I$4077,I2534)</f>
        <v>2</v>
      </c>
      <c r="L2534" s="3" t="n">
        <f aca="false">IF(COUNTIFS($B$2:B2534,B2534,$C$2:C2534,C2534,$I$2:I2534,I2534)=1,1,0)</f>
        <v>0</v>
      </c>
      <c r="M2534" s="3" t="n">
        <f aca="false">IF(K2534&gt;=Parametri!$B$1,1,0)</f>
        <v>1</v>
      </c>
      <c r="N2534" s="3" t="n">
        <f aca="false">L2534*M2534</f>
        <v>0</v>
      </c>
    </row>
    <row r="2535" customFormat="false" ht="15" hidden="false" customHeight="false" outlineLevel="0" collapsed="false">
      <c r="A2535" s="0" t="s">
        <v>3961</v>
      </c>
      <c r="B2535" s="0" t="s">
        <v>124</v>
      </c>
      <c r="C2535" s="0" t="s">
        <v>3962</v>
      </c>
      <c r="D2535" s="0" t="s">
        <v>33</v>
      </c>
      <c r="E2535" s="2" t="n">
        <v>46153</v>
      </c>
      <c r="F2535" s="3" t="s">
        <v>20</v>
      </c>
      <c r="G2535" s="3" t="s">
        <v>89</v>
      </c>
      <c r="H2535" s="3" t="s">
        <v>22</v>
      </c>
      <c r="I2535" s="3" t="n">
        <f aca="false">YEAR(E2535)</f>
        <v>2026</v>
      </c>
      <c r="J2535" s="3" t="n">
        <f aca="false">MONTH(E2535)</f>
        <v>5</v>
      </c>
      <c r="K2535" s="3" t="n">
        <f aca="false">COUNTIFS($B$2:$B$4077,B2535,$C$2:$C$4077,C2535,$I$2:$I$4077,I2535)</f>
        <v>2</v>
      </c>
      <c r="L2535" s="3" t="n">
        <f aca="false">IF(COUNTIFS($B$2:B2535,B2535,$C$2:C2535,C2535,$I$2:I2535,I2535)=1,1,0)</f>
        <v>1</v>
      </c>
      <c r="M2535" s="3" t="n">
        <f aca="false">IF(K2535&gt;=Parametri!$B$1,1,0)</f>
        <v>1</v>
      </c>
      <c r="N2535" s="3" t="n">
        <f aca="false">L2535*M2535</f>
        <v>1</v>
      </c>
    </row>
    <row r="2536" customFormat="false" ht="15" hidden="false" customHeight="false" outlineLevel="0" collapsed="false">
      <c r="A2536" s="0" t="s">
        <v>3963</v>
      </c>
      <c r="B2536" s="0" t="s">
        <v>57</v>
      </c>
      <c r="C2536" s="0" t="s">
        <v>1230</v>
      </c>
      <c r="D2536" s="0" t="s">
        <v>33</v>
      </c>
      <c r="E2536" s="2" t="n">
        <v>46018</v>
      </c>
      <c r="F2536" s="3" t="s">
        <v>104</v>
      </c>
      <c r="G2536" s="3" t="s">
        <v>104</v>
      </c>
      <c r="H2536" s="3" t="s">
        <v>104</v>
      </c>
      <c r="I2536" s="3" t="n">
        <f aca="false">YEAR(E2536)</f>
        <v>2025</v>
      </c>
      <c r="J2536" s="3" t="n">
        <f aca="false">MONTH(E2536)</f>
        <v>12</v>
      </c>
      <c r="K2536" s="3" t="n">
        <f aca="false">COUNTIFS($B$2:$B$4077,B2536,$C$2:$C$4077,C2536,$I$2:$I$4077,I2536)</f>
        <v>1</v>
      </c>
      <c r="L2536" s="3" t="n">
        <f aca="false">IF(COUNTIFS($B$2:B2536,B2536,$C$2:C2536,C2536,$I$2:I2536,I2536)=1,1,0)</f>
        <v>1</v>
      </c>
      <c r="M2536" s="3" t="n">
        <f aca="false">IF(K2536&gt;=Parametri!$B$1,1,0)</f>
        <v>0</v>
      </c>
      <c r="N2536" s="3" t="n">
        <f aca="false">L2536*M2536</f>
        <v>0</v>
      </c>
    </row>
    <row r="2537" customFormat="false" ht="15" hidden="false" customHeight="false" outlineLevel="0" collapsed="false">
      <c r="A2537" s="0" t="s">
        <v>3964</v>
      </c>
      <c r="B2537" s="0" t="s">
        <v>17</v>
      </c>
      <c r="C2537" s="0" t="s">
        <v>452</v>
      </c>
      <c r="D2537" s="0" t="s">
        <v>54</v>
      </c>
      <c r="E2537" s="2" t="n">
        <v>45967</v>
      </c>
      <c r="F2537" s="3" t="s">
        <v>34</v>
      </c>
      <c r="G2537" s="3" t="s">
        <v>21</v>
      </c>
      <c r="H2537" s="3" t="s">
        <v>48</v>
      </c>
      <c r="I2537" s="3" t="n">
        <f aca="false">YEAR(E2537)</f>
        <v>2025</v>
      </c>
      <c r="J2537" s="3" t="n">
        <f aca="false">MONTH(E2537)</f>
        <v>11</v>
      </c>
      <c r="K2537" s="3" t="n">
        <f aca="false">COUNTIFS($B$2:$B$4077,B2537,$C$2:$C$4077,C2537,$I$2:$I$4077,I2537)</f>
        <v>2</v>
      </c>
      <c r="L2537" s="3" t="n">
        <f aca="false">IF(COUNTIFS($B$2:B2537,B2537,$C$2:C2537,C2537,$I$2:I2537,I2537)=1,1,0)</f>
        <v>0</v>
      </c>
      <c r="M2537" s="3" t="n">
        <f aca="false">IF(K2537&gt;=Parametri!$B$1,1,0)</f>
        <v>1</v>
      </c>
      <c r="N2537" s="3" t="n">
        <f aca="false">L2537*M2537</f>
        <v>0</v>
      </c>
    </row>
    <row r="2538" customFormat="false" ht="15" hidden="false" customHeight="false" outlineLevel="0" collapsed="false">
      <c r="A2538" s="0" t="s">
        <v>3965</v>
      </c>
      <c r="B2538" s="0" t="s">
        <v>124</v>
      </c>
      <c r="C2538" s="0" t="s">
        <v>621</v>
      </c>
      <c r="D2538" s="0" t="s">
        <v>19</v>
      </c>
      <c r="E2538" s="2" t="n">
        <v>45792</v>
      </c>
      <c r="F2538" s="3" t="s">
        <v>20</v>
      </c>
      <c r="G2538" s="3" t="s">
        <v>72</v>
      </c>
      <c r="H2538" s="3" t="s">
        <v>22</v>
      </c>
      <c r="I2538" s="3" t="n">
        <f aca="false">YEAR(E2538)</f>
        <v>2025</v>
      </c>
      <c r="J2538" s="3" t="n">
        <f aca="false">MONTH(E2538)</f>
        <v>5</v>
      </c>
      <c r="K2538" s="3" t="n">
        <f aca="false">COUNTIFS($B$2:$B$4077,B2538,$C$2:$C$4077,C2538,$I$2:$I$4077,I2538)</f>
        <v>4</v>
      </c>
      <c r="L2538" s="3" t="n">
        <f aca="false">IF(COUNTIFS($B$2:B2538,B2538,$C$2:C2538,C2538,$I$2:I2538,I2538)=1,1,0)</f>
        <v>0</v>
      </c>
      <c r="M2538" s="3" t="n">
        <f aca="false">IF(K2538&gt;=Parametri!$B$1,1,0)</f>
        <v>1</v>
      </c>
      <c r="N2538" s="3" t="n">
        <f aca="false">L2538*M2538</f>
        <v>0</v>
      </c>
    </row>
    <row r="2539" customFormat="false" ht="15" hidden="false" customHeight="false" outlineLevel="0" collapsed="false">
      <c r="A2539" s="0" t="s">
        <v>3966</v>
      </c>
      <c r="B2539" s="0" t="s">
        <v>68</v>
      </c>
      <c r="C2539" s="0" t="s">
        <v>3641</v>
      </c>
      <c r="D2539" s="0" t="s">
        <v>66</v>
      </c>
      <c r="E2539" s="2" t="n">
        <v>45294</v>
      </c>
      <c r="F2539" s="3" t="s">
        <v>20</v>
      </c>
      <c r="G2539" s="3" t="s">
        <v>43</v>
      </c>
      <c r="H2539" s="3" t="s">
        <v>29</v>
      </c>
      <c r="I2539" s="3" t="n">
        <f aca="false">YEAR(E2539)</f>
        <v>2024</v>
      </c>
      <c r="J2539" s="3" t="n">
        <f aca="false">MONTH(E2539)</f>
        <v>1</v>
      </c>
      <c r="K2539" s="3" t="n">
        <f aca="false">COUNTIFS($B$2:$B$4077,B2539,$C$2:$C$4077,C2539,$I$2:$I$4077,I2539)</f>
        <v>2</v>
      </c>
      <c r="L2539" s="3" t="n">
        <f aca="false">IF(COUNTIFS($B$2:B2539,B2539,$C$2:C2539,C2539,$I$2:I2539,I2539)=1,1,0)</f>
        <v>0</v>
      </c>
      <c r="M2539" s="3" t="n">
        <f aca="false">IF(K2539&gt;=Parametri!$B$1,1,0)</f>
        <v>1</v>
      </c>
      <c r="N2539" s="3" t="n">
        <f aca="false">L2539*M2539</f>
        <v>0</v>
      </c>
    </row>
    <row r="2540" customFormat="false" ht="15" hidden="false" customHeight="false" outlineLevel="0" collapsed="false">
      <c r="A2540" s="0" t="s">
        <v>3967</v>
      </c>
      <c r="B2540" s="0" t="s">
        <v>24</v>
      </c>
      <c r="C2540" s="0" t="s">
        <v>3883</v>
      </c>
      <c r="D2540" s="0" t="s">
        <v>77</v>
      </c>
      <c r="E2540" s="2" t="n">
        <v>46236</v>
      </c>
      <c r="F2540" s="3" t="s">
        <v>20</v>
      </c>
      <c r="G2540" s="3" t="s">
        <v>89</v>
      </c>
      <c r="H2540" s="3" t="s">
        <v>29</v>
      </c>
      <c r="I2540" s="3" t="n">
        <f aca="false">YEAR(E2540)</f>
        <v>2026</v>
      </c>
      <c r="J2540" s="3" t="n">
        <f aca="false">MONTH(E2540)</f>
        <v>8</v>
      </c>
      <c r="K2540" s="3" t="n">
        <f aca="false">COUNTIFS($B$2:$B$4077,B2540,$C$2:$C$4077,C2540,$I$2:$I$4077,I2540)</f>
        <v>1</v>
      </c>
      <c r="L2540" s="3" t="n">
        <f aca="false">IF(COUNTIFS($B$2:B2540,B2540,$C$2:C2540,C2540,$I$2:I2540,I2540)=1,1,0)</f>
        <v>1</v>
      </c>
      <c r="M2540" s="3" t="n">
        <f aca="false">IF(K2540&gt;=Parametri!$B$1,1,0)</f>
        <v>0</v>
      </c>
      <c r="N2540" s="3" t="n">
        <f aca="false">L2540*M2540</f>
        <v>0</v>
      </c>
    </row>
    <row r="2541" customFormat="false" ht="15" hidden="false" customHeight="false" outlineLevel="0" collapsed="false">
      <c r="A2541" s="0" t="s">
        <v>3968</v>
      </c>
      <c r="B2541" s="0" t="s">
        <v>24</v>
      </c>
      <c r="C2541" s="0" t="s">
        <v>325</v>
      </c>
      <c r="D2541" s="0" t="s">
        <v>54</v>
      </c>
      <c r="E2541" s="2" t="n">
        <v>46229</v>
      </c>
      <c r="F2541" s="3" t="s">
        <v>27</v>
      </c>
      <c r="G2541" s="3" t="s">
        <v>89</v>
      </c>
      <c r="H2541" s="3" t="s">
        <v>22</v>
      </c>
      <c r="I2541" s="3" t="n">
        <f aca="false">YEAR(E2541)</f>
        <v>2026</v>
      </c>
      <c r="J2541" s="3" t="n">
        <f aca="false">MONTH(E2541)</f>
        <v>7</v>
      </c>
      <c r="K2541" s="3" t="n">
        <f aca="false">COUNTIFS($B$2:$B$4077,B2541,$C$2:$C$4077,C2541,$I$2:$I$4077,I2541)</f>
        <v>3</v>
      </c>
      <c r="L2541" s="3" t="n">
        <f aca="false">IF(COUNTIFS($B$2:B2541,B2541,$C$2:C2541,C2541,$I$2:I2541,I2541)=1,1,0)</f>
        <v>0</v>
      </c>
      <c r="M2541" s="3" t="n">
        <f aca="false">IF(K2541&gt;=Parametri!$B$1,1,0)</f>
        <v>1</v>
      </c>
      <c r="N2541" s="3" t="n">
        <f aca="false">L2541*M2541</f>
        <v>0</v>
      </c>
    </row>
    <row r="2542" customFormat="false" ht="15" hidden="false" customHeight="false" outlineLevel="0" collapsed="false">
      <c r="A2542" s="0" t="s">
        <v>3969</v>
      </c>
      <c r="B2542" s="0" t="s">
        <v>17</v>
      </c>
      <c r="C2542" s="0" t="s">
        <v>915</v>
      </c>
      <c r="D2542" s="0" t="s">
        <v>77</v>
      </c>
      <c r="E2542" s="2" t="n">
        <v>46023</v>
      </c>
      <c r="F2542" s="3" t="s">
        <v>34</v>
      </c>
      <c r="G2542" s="3" t="s">
        <v>21</v>
      </c>
      <c r="H2542" s="3" t="s">
        <v>44</v>
      </c>
      <c r="I2542" s="3" t="n">
        <f aca="false">YEAR(E2542)</f>
        <v>2026</v>
      </c>
      <c r="J2542" s="3" t="n">
        <f aca="false">MONTH(E2542)</f>
        <v>1</v>
      </c>
      <c r="K2542" s="3" t="n">
        <f aca="false">COUNTIFS($B$2:$B$4077,B2542,$C$2:$C$4077,C2542,$I$2:$I$4077,I2542)</f>
        <v>3</v>
      </c>
      <c r="L2542" s="3" t="n">
        <f aca="false">IF(COUNTIFS($B$2:B2542,B2542,$C$2:C2542,C2542,$I$2:I2542,I2542)=1,1,0)</f>
        <v>0</v>
      </c>
      <c r="M2542" s="3" t="n">
        <f aca="false">IF(K2542&gt;=Parametri!$B$1,1,0)</f>
        <v>1</v>
      </c>
      <c r="N2542" s="3" t="n">
        <f aca="false">L2542*M2542</f>
        <v>0</v>
      </c>
    </row>
    <row r="2543" customFormat="false" ht="15" hidden="false" customHeight="false" outlineLevel="0" collapsed="false">
      <c r="A2543" s="0" t="s">
        <v>3970</v>
      </c>
      <c r="B2543" s="0" t="s">
        <v>57</v>
      </c>
      <c r="C2543" s="0" t="s">
        <v>966</v>
      </c>
      <c r="D2543" s="0" t="s">
        <v>63</v>
      </c>
      <c r="E2543" s="2" t="n">
        <v>46031</v>
      </c>
      <c r="F2543" s="3" t="s">
        <v>20</v>
      </c>
      <c r="G2543" s="3" t="s">
        <v>35</v>
      </c>
      <c r="H2543" s="3" t="s">
        <v>29</v>
      </c>
      <c r="I2543" s="3" t="n">
        <f aca="false">YEAR(E2543)</f>
        <v>2026</v>
      </c>
      <c r="J2543" s="3" t="n">
        <f aca="false">MONTH(E2543)</f>
        <v>1</v>
      </c>
      <c r="K2543" s="3" t="n">
        <f aca="false">COUNTIFS($B$2:$B$4077,B2543,$C$2:$C$4077,C2543,$I$2:$I$4077,I2543)</f>
        <v>2</v>
      </c>
      <c r="L2543" s="3" t="n">
        <f aca="false">IF(COUNTIFS($B$2:B2543,B2543,$C$2:C2543,C2543,$I$2:I2543,I2543)=1,1,0)</f>
        <v>0</v>
      </c>
      <c r="M2543" s="3" t="n">
        <f aca="false">IF(K2543&gt;=Parametri!$B$1,1,0)</f>
        <v>1</v>
      </c>
      <c r="N2543" s="3" t="n">
        <f aca="false">L2543*M2543</f>
        <v>0</v>
      </c>
    </row>
    <row r="2544" customFormat="false" ht="15" hidden="false" customHeight="false" outlineLevel="0" collapsed="false">
      <c r="A2544" s="0" t="s">
        <v>3971</v>
      </c>
      <c r="B2544" s="0" t="s">
        <v>124</v>
      </c>
      <c r="C2544" s="0" t="s">
        <v>1135</v>
      </c>
      <c r="D2544" s="0" t="s">
        <v>38</v>
      </c>
      <c r="E2544" s="2" t="n">
        <v>45662</v>
      </c>
      <c r="F2544" s="3" t="s">
        <v>34</v>
      </c>
      <c r="G2544" s="3" t="s">
        <v>21</v>
      </c>
      <c r="H2544" s="3" t="s">
        <v>22</v>
      </c>
      <c r="I2544" s="3" t="n">
        <f aca="false">YEAR(E2544)</f>
        <v>2025</v>
      </c>
      <c r="J2544" s="3" t="n">
        <f aca="false">MONTH(E2544)</f>
        <v>1</v>
      </c>
      <c r="K2544" s="3" t="n">
        <f aca="false">COUNTIFS($B$2:$B$4077,B2544,$C$2:$C$4077,C2544,$I$2:$I$4077,I2544)</f>
        <v>3</v>
      </c>
      <c r="L2544" s="3" t="n">
        <f aca="false">IF(COUNTIFS($B$2:B2544,B2544,$C$2:C2544,C2544,$I$2:I2544,I2544)=1,1,0)</f>
        <v>0</v>
      </c>
      <c r="M2544" s="3" t="n">
        <f aca="false">IF(K2544&gt;=Parametri!$B$1,1,0)</f>
        <v>1</v>
      </c>
      <c r="N2544" s="3" t="n">
        <f aca="false">L2544*M2544</f>
        <v>0</v>
      </c>
    </row>
    <row r="2545" customFormat="false" ht="15" hidden="false" customHeight="false" outlineLevel="0" collapsed="false">
      <c r="A2545" s="0" t="s">
        <v>3972</v>
      </c>
      <c r="B2545" s="0" t="s">
        <v>46</v>
      </c>
      <c r="C2545" s="0" t="s">
        <v>2903</v>
      </c>
      <c r="D2545" s="0" t="s">
        <v>77</v>
      </c>
      <c r="E2545" s="2" t="n">
        <v>46057</v>
      </c>
      <c r="F2545" s="3" t="s">
        <v>20</v>
      </c>
      <c r="G2545" s="3" t="s">
        <v>55</v>
      </c>
      <c r="H2545" s="3" t="s">
        <v>48</v>
      </c>
      <c r="I2545" s="3" t="n">
        <f aca="false">YEAR(E2545)</f>
        <v>2026</v>
      </c>
      <c r="J2545" s="3" t="n">
        <f aca="false">MONTH(E2545)</f>
        <v>2</v>
      </c>
      <c r="K2545" s="3" t="n">
        <f aca="false">COUNTIFS($B$2:$B$4077,B2545,$C$2:$C$4077,C2545,$I$2:$I$4077,I2545)</f>
        <v>1</v>
      </c>
      <c r="L2545" s="3" t="n">
        <f aca="false">IF(COUNTIFS($B$2:B2545,B2545,$C$2:C2545,C2545,$I$2:I2545,I2545)=1,1,0)</f>
        <v>1</v>
      </c>
      <c r="M2545" s="3" t="n">
        <f aca="false">IF(K2545&gt;=Parametri!$B$1,1,0)</f>
        <v>0</v>
      </c>
      <c r="N2545" s="3" t="n">
        <f aca="false">L2545*M2545</f>
        <v>0</v>
      </c>
    </row>
    <row r="2546" customFormat="false" ht="15" hidden="false" customHeight="false" outlineLevel="0" collapsed="false">
      <c r="A2546" s="0" t="s">
        <v>3973</v>
      </c>
      <c r="B2546" s="0" t="s">
        <v>57</v>
      </c>
      <c r="C2546" s="0" t="s">
        <v>3974</v>
      </c>
      <c r="D2546" s="0" t="s">
        <v>63</v>
      </c>
      <c r="E2546" s="2" t="n">
        <v>45807</v>
      </c>
      <c r="F2546" s="3" t="s">
        <v>20</v>
      </c>
      <c r="G2546" s="3" t="s">
        <v>21</v>
      </c>
      <c r="H2546" s="3" t="s">
        <v>44</v>
      </c>
      <c r="I2546" s="3" t="n">
        <f aca="false">YEAR(E2546)</f>
        <v>2025</v>
      </c>
      <c r="J2546" s="3" t="n">
        <f aca="false">MONTH(E2546)</f>
        <v>5</v>
      </c>
      <c r="K2546" s="3" t="n">
        <f aca="false">COUNTIFS($B$2:$B$4077,B2546,$C$2:$C$4077,C2546,$I$2:$I$4077,I2546)</f>
        <v>1</v>
      </c>
      <c r="L2546" s="3" t="n">
        <f aca="false">IF(COUNTIFS($B$2:B2546,B2546,$C$2:C2546,C2546,$I$2:I2546,I2546)=1,1,0)</f>
        <v>1</v>
      </c>
      <c r="M2546" s="3" t="n">
        <f aca="false">IF(K2546&gt;=Parametri!$B$1,1,0)</f>
        <v>0</v>
      </c>
      <c r="N2546" s="3" t="n">
        <f aca="false">L2546*M2546</f>
        <v>0</v>
      </c>
    </row>
    <row r="2547" customFormat="false" ht="15" hidden="false" customHeight="false" outlineLevel="0" collapsed="false">
      <c r="A2547" s="0" t="s">
        <v>3975</v>
      </c>
      <c r="B2547" s="0" t="s">
        <v>50</v>
      </c>
      <c r="C2547" s="0" t="s">
        <v>1436</v>
      </c>
      <c r="D2547" s="0" t="s">
        <v>19</v>
      </c>
      <c r="E2547" s="2" t="n">
        <v>45684</v>
      </c>
      <c r="F2547" s="3" t="s">
        <v>20</v>
      </c>
      <c r="G2547" s="3" t="s">
        <v>89</v>
      </c>
      <c r="H2547" s="3" t="s">
        <v>48</v>
      </c>
      <c r="I2547" s="3" t="n">
        <f aca="false">YEAR(E2547)</f>
        <v>2025</v>
      </c>
      <c r="J2547" s="3" t="n">
        <f aca="false">MONTH(E2547)</f>
        <v>1</v>
      </c>
      <c r="K2547" s="3" t="n">
        <f aca="false">COUNTIFS($B$2:$B$4077,B2547,$C$2:$C$4077,C2547,$I$2:$I$4077,I2547)</f>
        <v>4</v>
      </c>
      <c r="L2547" s="3" t="n">
        <f aca="false">IF(COUNTIFS($B$2:B2547,B2547,$C$2:C2547,C2547,$I$2:I2547,I2547)=1,1,0)</f>
        <v>0</v>
      </c>
      <c r="M2547" s="3" t="n">
        <f aca="false">IF(K2547&gt;=Parametri!$B$1,1,0)</f>
        <v>1</v>
      </c>
      <c r="N2547" s="3" t="n">
        <f aca="false">L2547*M2547</f>
        <v>0</v>
      </c>
    </row>
    <row r="2548" customFormat="false" ht="15" hidden="false" customHeight="false" outlineLevel="0" collapsed="false">
      <c r="A2548" s="0" t="s">
        <v>3976</v>
      </c>
      <c r="B2548" s="0" t="s">
        <v>57</v>
      </c>
      <c r="C2548" s="0" t="s">
        <v>425</v>
      </c>
      <c r="D2548" s="0" t="s">
        <v>38</v>
      </c>
      <c r="E2548" s="2" t="n">
        <v>45538</v>
      </c>
      <c r="F2548" s="3" t="s">
        <v>20</v>
      </c>
      <c r="G2548" s="3" t="s">
        <v>39</v>
      </c>
      <c r="H2548" s="3" t="s">
        <v>44</v>
      </c>
      <c r="I2548" s="3" t="n">
        <f aca="false">YEAR(E2548)</f>
        <v>2024</v>
      </c>
      <c r="J2548" s="3" t="n">
        <f aca="false">MONTH(E2548)</f>
        <v>9</v>
      </c>
      <c r="K2548" s="3" t="n">
        <f aca="false">COUNTIFS($B$2:$B$4077,B2548,$C$2:$C$4077,C2548,$I$2:$I$4077,I2548)</f>
        <v>3</v>
      </c>
      <c r="L2548" s="3" t="n">
        <f aca="false">IF(COUNTIFS($B$2:B2548,B2548,$C$2:C2548,C2548,$I$2:I2548,I2548)=1,1,0)</f>
        <v>0</v>
      </c>
      <c r="M2548" s="3" t="n">
        <f aca="false">IF(K2548&gt;=Parametri!$B$1,1,0)</f>
        <v>1</v>
      </c>
      <c r="N2548" s="3" t="n">
        <f aca="false">L2548*M2548</f>
        <v>0</v>
      </c>
    </row>
    <row r="2549" customFormat="false" ht="15" hidden="false" customHeight="false" outlineLevel="0" collapsed="false">
      <c r="A2549" s="0" t="s">
        <v>3977</v>
      </c>
      <c r="B2549" s="0" t="s">
        <v>57</v>
      </c>
      <c r="C2549" s="0" t="s">
        <v>2896</v>
      </c>
      <c r="D2549" s="0" t="s">
        <v>66</v>
      </c>
      <c r="E2549" s="2" t="n">
        <v>45969</v>
      </c>
      <c r="F2549" s="3" t="s">
        <v>104</v>
      </c>
      <c r="G2549" s="3" t="s">
        <v>104</v>
      </c>
      <c r="H2549" s="3" t="s">
        <v>104</v>
      </c>
      <c r="I2549" s="3" t="n">
        <f aca="false">YEAR(E2549)</f>
        <v>2025</v>
      </c>
      <c r="J2549" s="3" t="n">
        <f aca="false">MONTH(E2549)</f>
        <v>11</v>
      </c>
      <c r="K2549" s="3" t="n">
        <f aca="false">COUNTIFS($B$2:$B$4077,B2549,$C$2:$C$4077,C2549,$I$2:$I$4077,I2549)</f>
        <v>1</v>
      </c>
      <c r="L2549" s="3" t="n">
        <f aca="false">IF(COUNTIFS($B$2:B2549,B2549,$C$2:C2549,C2549,$I$2:I2549,I2549)=1,1,0)</f>
        <v>1</v>
      </c>
      <c r="M2549" s="3" t="n">
        <f aca="false">IF(K2549&gt;=Parametri!$B$1,1,0)</f>
        <v>0</v>
      </c>
      <c r="N2549" s="3" t="n">
        <f aca="false">L2549*M2549</f>
        <v>0</v>
      </c>
    </row>
    <row r="2550" customFormat="false" ht="15" hidden="false" customHeight="false" outlineLevel="0" collapsed="false">
      <c r="A2550" s="0" t="s">
        <v>3978</v>
      </c>
      <c r="B2550" s="0" t="s">
        <v>124</v>
      </c>
      <c r="C2550" s="0" t="s">
        <v>3979</v>
      </c>
      <c r="D2550" s="0" t="s">
        <v>66</v>
      </c>
      <c r="E2550" s="2" t="n">
        <v>45693</v>
      </c>
      <c r="F2550" s="3" t="s">
        <v>20</v>
      </c>
      <c r="G2550" s="3" t="s">
        <v>39</v>
      </c>
      <c r="H2550" s="3" t="s">
        <v>22</v>
      </c>
      <c r="I2550" s="3" t="n">
        <f aca="false">YEAR(E2550)</f>
        <v>2025</v>
      </c>
      <c r="J2550" s="3" t="n">
        <f aca="false">MONTH(E2550)</f>
        <v>2</v>
      </c>
      <c r="K2550" s="3" t="n">
        <f aca="false">COUNTIFS($B$2:$B$4077,B2550,$C$2:$C$4077,C2550,$I$2:$I$4077,I2550)</f>
        <v>1</v>
      </c>
      <c r="L2550" s="3" t="n">
        <f aca="false">IF(COUNTIFS($B$2:B2550,B2550,$C$2:C2550,C2550,$I$2:I2550,I2550)=1,1,0)</f>
        <v>1</v>
      </c>
      <c r="M2550" s="3" t="n">
        <f aca="false">IF(K2550&gt;=Parametri!$B$1,1,0)</f>
        <v>0</v>
      </c>
      <c r="N2550" s="3" t="n">
        <f aca="false">L2550*M2550</f>
        <v>0</v>
      </c>
    </row>
    <row r="2551" customFormat="false" ht="15" hidden="false" customHeight="false" outlineLevel="0" collapsed="false">
      <c r="A2551" s="0" t="s">
        <v>3980</v>
      </c>
      <c r="B2551" s="0" t="s">
        <v>24</v>
      </c>
      <c r="C2551" s="0" t="s">
        <v>798</v>
      </c>
      <c r="D2551" s="0" t="s">
        <v>26</v>
      </c>
      <c r="E2551" s="2" t="n">
        <v>46135</v>
      </c>
      <c r="F2551" s="3" t="s">
        <v>27</v>
      </c>
      <c r="G2551" s="3" t="s">
        <v>39</v>
      </c>
      <c r="H2551" s="3" t="s">
        <v>44</v>
      </c>
      <c r="I2551" s="3" t="n">
        <f aca="false">YEAR(E2551)</f>
        <v>2026</v>
      </c>
      <c r="J2551" s="3" t="n">
        <f aca="false">MONTH(E2551)</f>
        <v>4</v>
      </c>
      <c r="K2551" s="3" t="n">
        <f aca="false">COUNTIFS($B$2:$B$4077,B2551,$C$2:$C$4077,C2551,$I$2:$I$4077,I2551)</f>
        <v>1</v>
      </c>
      <c r="L2551" s="3" t="n">
        <f aca="false">IF(COUNTIFS($B$2:B2551,B2551,$C$2:C2551,C2551,$I$2:I2551,I2551)=1,1,0)</f>
        <v>1</v>
      </c>
      <c r="M2551" s="3" t="n">
        <f aca="false">IF(K2551&gt;=Parametri!$B$1,1,0)</f>
        <v>0</v>
      </c>
      <c r="N2551" s="3" t="n">
        <f aca="false">L2551*M2551</f>
        <v>0</v>
      </c>
    </row>
    <row r="2552" customFormat="false" ht="15" hidden="false" customHeight="false" outlineLevel="0" collapsed="false">
      <c r="A2552" s="0" t="s">
        <v>3981</v>
      </c>
      <c r="B2552" s="0" t="s">
        <v>46</v>
      </c>
      <c r="C2552" s="0" t="s">
        <v>816</v>
      </c>
      <c r="D2552" s="0" t="s">
        <v>54</v>
      </c>
      <c r="E2552" s="2" t="n">
        <v>45739</v>
      </c>
      <c r="F2552" s="3" t="s">
        <v>27</v>
      </c>
      <c r="G2552" s="3" t="s">
        <v>55</v>
      </c>
      <c r="H2552" s="3" t="s">
        <v>44</v>
      </c>
      <c r="I2552" s="3" t="n">
        <f aca="false">YEAR(E2552)</f>
        <v>2025</v>
      </c>
      <c r="J2552" s="3" t="n">
        <f aca="false">MONTH(E2552)</f>
        <v>3</v>
      </c>
      <c r="K2552" s="3" t="n">
        <f aca="false">COUNTIFS($B$2:$B$4077,B2552,$C$2:$C$4077,C2552,$I$2:$I$4077,I2552)</f>
        <v>3</v>
      </c>
      <c r="L2552" s="3" t="n">
        <f aca="false">IF(COUNTIFS($B$2:B2552,B2552,$C$2:C2552,C2552,$I$2:I2552,I2552)=1,1,0)</f>
        <v>0</v>
      </c>
      <c r="M2552" s="3" t="n">
        <f aca="false">IF(K2552&gt;=Parametri!$B$1,1,0)</f>
        <v>1</v>
      </c>
      <c r="N2552" s="3" t="n">
        <f aca="false">L2552*M2552</f>
        <v>0</v>
      </c>
    </row>
    <row r="2553" customFormat="false" ht="15" hidden="false" customHeight="false" outlineLevel="0" collapsed="false">
      <c r="A2553" s="0" t="s">
        <v>3982</v>
      </c>
      <c r="B2553" s="0" t="s">
        <v>124</v>
      </c>
      <c r="C2553" s="0" t="s">
        <v>1503</v>
      </c>
      <c r="D2553" s="0" t="s">
        <v>54</v>
      </c>
      <c r="E2553" s="2" t="n">
        <v>46076</v>
      </c>
      <c r="F2553" s="3" t="s">
        <v>20</v>
      </c>
      <c r="G2553" s="3" t="s">
        <v>43</v>
      </c>
      <c r="H2553" s="3" t="s">
        <v>48</v>
      </c>
      <c r="I2553" s="3" t="n">
        <f aca="false">YEAR(E2553)</f>
        <v>2026</v>
      </c>
      <c r="J2553" s="3" t="n">
        <f aca="false">MONTH(E2553)</f>
        <v>2</v>
      </c>
      <c r="K2553" s="3" t="n">
        <f aca="false">COUNTIFS($B$2:$B$4077,B2553,$C$2:$C$4077,C2553,$I$2:$I$4077,I2553)</f>
        <v>2</v>
      </c>
      <c r="L2553" s="3" t="n">
        <f aca="false">IF(COUNTIFS($B$2:B2553,B2553,$C$2:C2553,C2553,$I$2:I2553,I2553)=1,1,0)</f>
        <v>0</v>
      </c>
      <c r="M2553" s="3" t="n">
        <f aca="false">IF(K2553&gt;=Parametri!$B$1,1,0)</f>
        <v>1</v>
      </c>
      <c r="N2553" s="3" t="n">
        <f aca="false">L2553*M2553</f>
        <v>0</v>
      </c>
    </row>
    <row r="2554" customFormat="false" ht="15" hidden="false" customHeight="false" outlineLevel="0" collapsed="false">
      <c r="A2554" s="0" t="s">
        <v>3983</v>
      </c>
      <c r="B2554" s="0" t="s">
        <v>50</v>
      </c>
      <c r="C2554" s="0" t="s">
        <v>1825</v>
      </c>
      <c r="D2554" s="0" t="s">
        <v>63</v>
      </c>
      <c r="E2554" s="2" t="n">
        <v>45686</v>
      </c>
      <c r="F2554" s="3" t="s">
        <v>27</v>
      </c>
      <c r="G2554" s="3" t="s">
        <v>43</v>
      </c>
      <c r="H2554" s="3" t="s">
        <v>48</v>
      </c>
      <c r="I2554" s="3" t="n">
        <f aca="false">YEAR(E2554)</f>
        <v>2025</v>
      </c>
      <c r="J2554" s="3" t="n">
        <f aca="false">MONTH(E2554)</f>
        <v>1</v>
      </c>
      <c r="K2554" s="3" t="n">
        <f aca="false">COUNTIFS($B$2:$B$4077,B2554,$C$2:$C$4077,C2554,$I$2:$I$4077,I2554)</f>
        <v>1</v>
      </c>
      <c r="L2554" s="3" t="n">
        <f aca="false">IF(COUNTIFS($B$2:B2554,B2554,$C$2:C2554,C2554,$I$2:I2554,I2554)=1,1,0)</f>
        <v>1</v>
      </c>
      <c r="M2554" s="3" t="n">
        <f aca="false">IF(K2554&gt;=Parametri!$B$1,1,0)</f>
        <v>0</v>
      </c>
      <c r="N2554" s="3" t="n">
        <f aca="false">L2554*M2554</f>
        <v>0</v>
      </c>
    </row>
    <row r="2555" customFormat="false" ht="15" hidden="false" customHeight="false" outlineLevel="0" collapsed="false">
      <c r="A2555" s="0" t="s">
        <v>3984</v>
      </c>
      <c r="B2555" s="0" t="s">
        <v>68</v>
      </c>
      <c r="C2555" s="0" t="s">
        <v>3985</v>
      </c>
      <c r="D2555" s="0" t="s">
        <v>38</v>
      </c>
      <c r="E2555" s="2" t="n">
        <v>45945</v>
      </c>
      <c r="F2555" s="3" t="s">
        <v>104</v>
      </c>
      <c r="G2555" s="3" t="s">
        <v>104</v>
      </c>
      <c r="H2555" s="3" t="s">
        <v>104</v>
      </c>
      <c r="I2555" s="3" t="n">
        <f aca="false">YEAR(E2555)</f>
        <v>2025</v>
      </c>
      <c r="J2555" s="3" t="n">
        <f aca="false">MONTH(E2555)</f>
        <v>10</v>
      </c>
      <c r="K2555" s="3" t="n">
        <f aca="false">COUNTIFS($B$2:$B$4077,B2555,$C$2:$C$4077,C2555,$I$2:$I$4077,I2555)</f>
        <v>1</v>
      </c>
      <c r="L2555" s="3" t="n">
        <f aca="false">IF(COUNTIFS($B$2:B2555,B2555,$C$2:C2555,C2555,$I$2:I2555,I2555)=1,1,0)</f>
        <v>1</v>
      </c>
      <c r="M2555" s="3" t="n">
        <f aca="false">IF(K2555&gt;=Parametri!$B$1,1,0)</f>
        <v>0</v>
      </c>
      <c r="N2555" s="3" t="n">
        <f aca="false">L2555*M2555</f>
        <v>0</v>
      </c>
    </row>
    <row r="2556" customFormat="false" ht="15" hidden="false" customHeight="false" outlineLevel="0" collapsed="false">
      <c r="A2556" s="0" t="s">
        <v>3986</v>
      </c>
      <c r="B2556" s="0" t="s">
        <v>79</v>
      </c>
      <c r="C2556" s="0" t="s">
        <v>137</v>
      </c>
      <c r="D2556" s="0" t="s">
        <v>26</v>
      </c>
      <c r="E2556" s="2" t="n">
        <v>45432</v>
      </c>
      <c r="F2556" s="3" t="s">
        <v>27</v>
      </c>
      <c r="G2556" s="3" t="s">
        <v>72</v>
      </c>
      <c r="H2556" s="3" t="s">
        <v>29</v>
      </c>
      <c r="I2556" s="3" t="n">
        <f aca="false">YEAR(E2556)</f>
        <v>2024</v>
      </c>
      <c r="J2556" s="3" t="n">
        <f aca="false">MONTH(E2556)</f>
        <v>5</v>
      </c>
      <c r="K2556" s="3" t="n">
        <f aca="false">COUNTIFS($B$2:$B$4077,B2556,$C$2:$C$4077,C2556,$I$2:$I$4077,I2556)</f>
        <v>3</v>
      </c>
      <c r="L2556" s="3" t="n">
        <f aca="false">IF(COUNTIFS($B$2:B2556,B2556,$C$2:C2556,C2556,$I$2:I2556,I2556)=1,1,0)</f>
        <v>0</v>
      </c>
      <c r="M2556" s="3" t="n">
        <f aca="false">IF(K2556&gt;=Parametri!$B$1,1,0)</f>
        <v>1</v>
      </c>
      <c r="N2556" s="3" t="n">
        <f aca="false">L2556*M2556</f>
        <v>0</v>
      </c>
    </row>
    <row r="2557" customFormat="false" ht="15" hidden="false" customHeight="false" outlineLevel="0" collapsed="false">
      <c r="A2557" s="0" t="s">
        <v>3987</v>
      </c>
      <c r="B2557" s="0" t="s">
        <v>46</v>
      </c>
      <c r="C2557" s="0" t="s">
        <v>3988</v>
      </c>
      <c r="D2557" s="0" t="s">
        <v>63</v>
      </c>
      <c r="E2557" s="2" t="n">
        <v>45557</v>
      </c>
      <c r="F2557" s="3" t="s">
        <v>20</v>
      </c>
      <c r="G2557" s="3" t="s">
        <v>28</v>
      </c>
      <c r="H2557" s="3" t="s">
        <v>29</v>
      </c>
      <c r="I2557" s="3" t="n">
        <f aca="false">YEAR(E2557)</f>
        <v>2024</v>
      </c>
      <c r="J2557" s="3" t="n">
        <f aca="false">MONTH(E2557)</f>
        <v>9</v>
      </c>
      <c r="K2557" s="3" t="n">
        <f aca="false">COUNTIFS($B$2:$B$4077,B2557,$C$2:$C$4077,C2557,$I$2:$I$4077,I2557)</f>
        <v>1</v>
      </c>
      <c r="L2557" s="3" t="n">
        <f aca="false">IF(COUNTIFS($B$2:B2557,B2557,$C$2:C2557,C2557,$I$2:I2557,I2557)=1,1,0)</f>
        <v>1</v>
      </c>
      <c r="M2557" s="3" t="n">
        <f aca="false">IF(K2557&gt;=Parametri!$B$1,1,0)</f>
        <v>0</v>
      </c>
      <c r="N2557" s="3" t="n">
        <f aca="false">L2557*M2557</f>
        <v>0</v>
      </c>
    </row>
    <row r="2558" customFormat="false" ht="15" hidden="false" customHeight="false" outlineLevel="0" collapsed="false">
      <c r="A2558" s="0" t="s">
        <v>3989</v>
      </c>
      <c r="B2558" s="0" t="s">
        <v>24</v>
      </c>
      <c r="C2558" s="0" t="s">
        <v>3990</v>
      </c>
      <c r="D2558" s="0" t="s">
        <v>33</v>
      </c>
      <c r="E2558" s="2" t="n">
        <v>46240</v>
      </c>
      <c r="F2558" s="3" t="s">
        <v>34</v>
      </c>
      <c r="G2558" s="3" t="s">
        <v>35</v>
      </c>
      <c r="H2558" s="3" t="s">
        <v>22</v>
      </c>
      <c r="I2558" s="3" t="n">
        <f aca="false">YEAR(E2558)</f>
        <v>2026</v>
      </c>
      <c r="J2558" s="3" t="n">
        <f aca="false">MONTH(E2558)</f>
        <v>8</v>
      </c>
      <c r="K2558" s="3" t="n">
        <f aca="false">COUNTIFS($B$2:$B$4077,B2558,$C$2:$C$4077,C2558,$I$2:$I$4077,I2558)</f>
        <v>1</v>
      </c>
      <c r="L2558" s="3" t="n">
        <f aca="false">IF(COUNTIFS($B$2:B2558,B2558,$C$2:C2558,C2558,$I$2:I2558,I2558)=1,1,0)</f>
        <v>1</v>
      </c>
      <c r="M2558" s="3" t="n">
        <f aca="false">IF(K2558&gt;=Parametri!$B$1,1,0)</f>
        <v>0</v>
      </c>
      <c r="N2558" s="3" t="n">
        <f aca="false">L2558*M2558</f>
        <v>0</v>
      </c>
    </row>
    <row r="2559" customFormat="false" ht="15" hidden="false" customHeight="false" outlineLevel="0" collapsed="false">
      <c r="A2559" s="0" t="s">
        <v>3991</v>
      </c>
      <c r="B2559" s="0" t="s">
        <v>50</v>
      </c>
      <c r="C2559" s="0" t="s">
        <v>3992</v>
      </c>
      <c r="D2559" s="0" t="s">
        <v>33</v>
      </c>
      <c r="E2559" s="2" t="n">
        <v>45456</v>
      </c>
      <c r="F2559" s="3" t="s">
        <v>20</v>
      </c>
      <c r="G2559" s="3" t="s">
        <v>39</v>
      </c>
      <c r="H2559" s="3" t="s">
        <v>48</v>
      </c>
      <c r="I2559" s="3" t="n">
        <f aca="false">YEAR(E2559)</f>
        <v>2024</v>
      </c>
      <c r="J2559" s="3" t="n">
        <f aca="false">MONTH(E2559)</f>
        <v>6</v>
      </c>
      <c r="K2559" s="3" t="n">
        <f aca="false">COUNTIFS($B$2:$B$4077,B2559,$C$2:$C$4077,C2559,$I$2:$I$4077,I2559)</f>
        <v>1</v>
      </c>
      <c r="L2559" s="3" t="n">
        <f aca="false">IF(COUNTIFS($B$2:B2559,B2559,$C$2:C2559,C2559,$I$2:I2559,I2559)=1,1,0)</f>
        <v>1</v>
      </c>
      <c r="M2559" s="3" t="n">
        <f aca="false">IF(K2559&gt;=Parametri!$B$1,1,0)</f>
        <v>0</v>
      </c>
      <c r="N2559" s="3" t="n">
        <f aca="false">L2559*M2559</f>
        <v>0</v>
      </c>
    </row>
    <row r="2560" customFormat="false" ht="15" hidden="false" customHeight="false" outlineLevel="0" collapsed="false">
      <c r="A2560" s="0" t="s">
        <v>3993</v>
      </c>
      <c r="B2560" s="0" t="s">
        <v>57</v>
      </c>
      <c r="C2560" s="0" t="s">
        <v>3994</v>
      </c>
      <c r="D2560" s="0" t="s">
        <v>63</v>
      </c>
      <c r="E2560" s="2" t="n">
        <v>46095</v>
      </c>
      <c r="F2560" s="3" t="s">
        <v>34</v>
      </c>
      <c r="G2560" s="3" t="s">
        <v>43</v>
      </c>
      <c r="H2560" s="3" t="s">
        <v>44</v>
      </c>
      <c r="I2560" s="3" t="n">
        <f aca="false">YEAR(E2560)</f>
        <v>2026</v>
      </c>
      <c r="J2560" s="3" t="n">
        <f aca="false">MONTH(E2560)</f>
        <v>3</v>
      </c>
      <c r="K2560" s="3" t="n">
        <f aca="false">COUNTIFS($B$2:$B$4077,B2560,$C$2:$C$4077,C2560,$I$2:$I$4077,I2560)</f>
        <v>1</v>
      </c>
      <c r="L2560" s="3" t="n">
        <f aca="false">IF(COUNTIFS($B$2:B2560,B2560,$C$2:C2560,C2560,$I$2:I2560,I2560)=1,1,0)</f>
        <v>1</v>
      </c>
      <c r="M2560" s="3" t="n">
        <f aca="false">IF(K2560&gt;=Parametri!$B$1,1,0)</f>
        <v>0</v>
      </c>
      <c r="N2560" s="3" t="n">
        <f aca="false">L2560*M2560</f>
        <v>0</v>
      </c>
    </row>
    <row r="2561" customFormat="false" ht="15" hidden="false" customHeight="false" outlineLevel="0" collapsed="false">
      <c r="A2561" s="0" t="s">
        <v>3995</v>
      </c>
      <c r="B2561" s="0" t="s">
        <v>31</v>
      </c>
      <c r="C2561" s="0" t="s">
        <v>1484</v>
      </c>
      <c r="D2561" s="0" t="s">
        <v>38</v>
      </c>
      <c r="E2561" s="2" t="n">
        <v>45827</v>
      </c>
      <c r="F2561" s="3" t="s">
        <v>27</v>
      </c>
      <c r="G2561" s="3" t="s">
        <v>35</v>
      </c>
      <c r="H2561" s="3" t="s">
        <v>29</v>
      </c>
      <c r="I2561" s="3" t="n">
        <f aca="false">YEAR(E2561)</f>
        <v>2025</v>
      </c>
      <c r="J2561" s="3" t="n">
        <f aca="false">MONTH(E2561)</f>
        <v>6</v>
      </c>
      <c r="K2561" s="3" t="n">
        <f aca="false">COUNTIFS($B$2:$B$4077,B2561,$C$2:$C$4077,C2561,$I$2:$I$4077,I2561)</f>
        <v>2</v>
      </c>
      <c r="L2561" s="3" t="n">
        <f aca="false">IF(COUNTIFS($B$2:B2561,B2561,$C$2:C2561,C2561,$I$2:I2561,I2561)=1,1,0)</f>
        <v>0</v>
      </c>
      <c r="M2561" s="3" t="n">
        <f aca="false">IF(K2561&gt;=Parametri!$B$1,1,0)</f>
        <v>1</v>
      </c>
      <c r="N2561" s="3" t="n">
        <f aca="false">L2561*M2561</f>
        <v>0</v>
      </c>
    </row>
    <row r="2562" customFormat="false" ht="15" hidden="false" customHeight="false" outlineLevel="0" collapsed="false">
      <c r="A2562" s="0" t="s">
        <v>3996</v>
      </c>
      <c r="B2562" s="0" t="s">
        <v>57</v>
      </c>
      <c r="C2562" s="0" t="s">
        <v>2625</v>
      </c>
      <c r="D2562" s="0" t="s">
        <v>26</v>
      </c>
      <c r="E2562" s="2" t="n">
        <v>46085</v>
      </c>
      <c r="F2562" s="3" t="s">
        <v>34</v>
      </c>
      <c r="G2562" s="3" t="s">
        <v>28</v>
      </c>
      <c r="H2562" s="3" t="s">
        <v>29</v>
      </c>
      <c r="I2562" s="3" t="n">
        <f aca="false">YEAR(E2562)</f>
        <v>2026</v>
      </c>
      <c r="J2562" s="3" t="n">
        <f aca="false">MONTH(E2562)</f>
        <v>3</v>
      </c>
      <c r="K2562" s="3" t="n">
        <f aca="false">COUNTIFS($B$2:$B$4077,B2562,$C$2:$C$4077,C2562,$I$2:$I$4077,I2562)</f>
        <v>1</v>
      </c>
      <c r="L2562" s="3" t="n">
        <f aca="false">IF(COUNTIFS($B$2:B2562,B2562,$C$2:C2562,C2562,$I$2:I2562,I2562)=1,1,0)</f>
        <v>1</v>
      </c>
      <c r="M2562" s="3" t="n">
        <f aca="false">IF(K2562&gt;=Parametri!$B$1,1,0)</f>
        <v>0</v>
      </c>
      <c r="N2562" s="3" t="n">
        <f aca="false">L2562*M2562</f>
        <v>0</v>
      </c>
    </row>
    <row r="2563" customFormat="false" ht="15" hidden="false" customHeight="false" outlineLevel="0" collapsed="false">
      <c r="A2563" s="0" t="s">
        <v>3997</v>
      </c>
      <c r="B2563" s="0" t="s">
        <v>41</v>
      </c>
      <c r="C2563" s="0" t="s">
        <v>623</v>
      </c>
      <c r="D2563" s="0" t="s">
        <v>38</v>
      </c>
      <c r="E2563" s="2" t="n">
        <v>45435</v>
      </c>
      <c r="F2563" s="3" t="s">
        <v>104</v>
      </c>
      <c r="G2563" s="3" t="s">
        <v>104</v>
      </c>
      <c r="H2563" s="3" t="s">
        <v>104</v>
      </c>
      <c r="I2563" s="3" t="n">
        <f aca="false">YEAR(E2563)</f>
        <v>2024</v>
      </c>
      <c r="J2563" s="3" t="n">
        <f aca="false">MONTH(E2563)</f>
        <v>5</v>
      </c>
      <c r="K2563" s="3" t="n">
        <f aca="false">COUNTIFS($B$2:$B$4077,B2563,$C$2:$C$4077,C2563,$I$2:$I$4077,I2563)</f>
        <v>4</v>
      </c>
      <c r="L2563" s="3" t="n">
        <f aca="false">IF(COUNTIFS($B$2:B2563,B2563,$C$2:C2563,C2563,$I$2:I2563,I2563)=1,1,0)</f>
        <v>0</v>
      </c>
      <c r="M2563" s="3" t="n">
        <f aca="false">IF(K2563&gt;=Parametri!$B$1,1,0)</f>
        <v>1</v>
      </c>
      <c r="N2563" s="3" t="n">
        <f aca="false">L2563*M2563</f>
        <v>0</v>
      </c>
    </row>
    <row r="2564" customFormat="false" ht="15" hidden="false" customHeight="false" outlineLevel="0" collapsed="false">
      <c r="A2564" s="0" t="s">
        <v>3998</v>
      </c>
      <c r="B2564" s="0" t="s">
        <v>57</v>
      </c>
      <c r="C2564" s="0" t="s">
        <v>3999</v>
      </c>
      <c r="D2564" s="0" t="s">
        <v>33</v>
      </c>
      <c r="E2564" s="2" t="n">
        <v>46257</v>
      </c>
      <c r="F2564" s="3" t="s">
        <v>34</v>
      </c>
      <c r="G2564" s="3" t="s">
        <v>39</v>
      </c>
      <c r="H2564" s="3" t="s">
        <v>44</v>
      </c>
      <c r="I2564" s="3" t="n">
        <f aca="false">YEAR(E2564)</f>
        <v>2026</v>
      </c>
      <c r="J2564" s="3" t="n">
        <f aca="false">MONTH(E2564)</f>
        <v>8</v>
      </c>
      <c r="K2564" s="3" t="n">
        <f aca="false">COUNTIFS($B$2:$B$4077,B2564,$C$2:$C$4077,C2564,$I$2:$I$4077,I2564)</f>
        <v>1</v>
      </c>
      <c r="L2564" s="3" t="n">
        <f aca="false">IF(COUNTIFS($B$2:B2564,B2564,$C$2:C2564,C2564,$I$2:I2564,I2564)=1,1,0)</f>
        <v>1</v>
      </c>
      <c r="M2564" s="3" t="n">
        <f aca="false">IF(K2564&gt;=Parametri!$B$1,1,0)</f>
        <v>0</v>
      </c>
      <c r="N2564" s="3" t="n">
        <f aca="false">L2564*M2564</f>
        <v>0</v>
      </c>
    </row>
    <row r="2565" customFormat="false" ht="15" hidden="false" customHeight="false" outlineLevel="0" collapsed="false">
      <c r="A2565" s="0" t="s">
        <v>4000</v>
      </c>
      <c r="B2565" s="0" t="s">
        <v>17</v>
      </c>
      <c r="C2565" s="0" t="s">
        <v>3900</v>
      </c>
      <c r="D2565" s="0" t="s">
        <v>38</v>
      </c>
      <c r="E2565" s="2" t="n">
        <v>45377</v>
      </c>
      <c r="F2565" s="3" t="s">
        <v>20</v>
      </c>
      <c r="G2565" s="3" t="s">
        <v>35</v>
      </c>
      <c r="H2565" s="3" t="s">
        <v>29</v>
      </c>
      <c r="I2565" s="3" t="n">
        <f aca="false">YEAR(E2565)</f>
        <v>2024</v>
      </c>
      <c r="J2565" s="3" t="n">
        <f aca="false">MONTH(E2565)</f>
        <v>3</v>
      </c>
      <c r="K2565" s="3" t="n">
        <f aca="false">COUNTIFS($B$2:$B$4077,B2565,$C$2:$C$4077,C2565,$I$2:$I$4077,I2565)</f>
        <v>2</v>
      </c>
      <c r="L2565" s="3" t="n">
        <f aca="false">IF(COUNTIFS($B$2:B2565,B2565,$C$2:C2565,C2565,$I$2:I2565,I2565)=1,1,0)</f>
        <v>1</v>
      </c>
      <c r="M2565" s="3" t="n">
        <f aca="false">IF(K2565&gt;=Parametri!$B$1,1,0)</f>
        <v>1</v>
      </c>
      <c r="N2565" s="3" t="n">
        <f aca="false">L2565*M2565</f>
        <v>1</v>
      </c>
    </row>
    <row r="2566" customFormat="false" ht="15" hidden="false" customHeight="false" outlineLevel="0" collapsed="false">
      <c r="A2566" s="0" t="s">
        <v>4001</v>
      </c>
      <c r="B2566" s="0" t="s">
        <v>17</v>
      </c>
      <c r="C2566" s="0" t="s">
        <v>791</v>
      </c>
      <c r="D2566" s="0" t="s">
        <v>26</v>
      </c>
      <c r="E2566" s="2" t="n">
        <v>45447</v>
      </c>
      <c r="F2566" s="3" t="s">
        <v>20</v>
      </c>
      <c r="G2566" s="3" t="s">
        <v>28</v>
      </c>
      <c r="H2566" s="3" t="s">
        <v>48</v>
      </c>
      <c r="I2566" s="3" t="n">
        <f aca="false">YEAR(E2566)</f>
        <v>2024</v>
      </c>
      <c r="J2566" s="3" t="n">
        <f aca="false">MONTH(E2566)</f>
        <v>6</v>
      </c>
      <c r="K2566" s="3" t="n">
        <f aca="false">COUNTIFS($B$2:$B$4077,B2566,$C$2:$C$4077,C2566,$I$2:$I$4077,I2566)</f>
        <v>7</v>
      </c>
      <c r="L2566" s="3" t="n">
        <f aca="false">IF(COUNTIFS($B$2:B2566,B2566,$C$2:C2566,C2566,$I$2:I2566,I2566)=1,1,0)</f>
        <v>0</v>
      </c>
      <c r="M2566" s="3" t="n">
        <f aca="false">IF(K2566&gt;=Parametri!$B$1,1,0)</f>
        <v>1</v>
      </c>
      <c r="N2566" s="3" t="n">
        <f aca="false">L2566*M2566</f>
        <v>0</v>
      </c>
    </row>
    <row r="2567" customFormat="false" ht="15" hidden="false" customHeight="false" outlineLevel="0" collapsed="false">
      <c r="A2567" s="0" t="s">
        <v>4002</v>
      </c>
      <c r="B2567" s="0" t="s">
        <v>41</v>
      </c>
      <c r="C2567" s="0" t="s">
        <v>4003</v>
      </c>
      <c r="D2567" s="0" t="s">
        <v>54</v>
      </c>
      <c r="E2567" s="2" t="n">
        <v>46096</v>
      </c>
      <c r="F2567" s="3" t="s">
        <v>20</v>
      </c>
      <c r="G2567" s="3" t="s">
        <v>55</v>
      </c>
      <c r="H2567" s="3" t="s">
        <v>48</v>
      </c>
      <c r="I2567" s="3" t="n">
        <f aca="false">YEAR(E2567)</f>
        <v>2026</v>
      </c>
      <c r="J2567" s="3" t="n">
        <f aca="false">MONTH(E2567)</f>
        <v>3</v>
      </c>
      <c r="K2567" s="3" t="n">
        <f aca="false">COUNTIFS($B$2:$B$4077,B2567,$C$2:$C$4077,C2567,$I$2:$I$4077,I2567)</f>
        <v>1</v>
      </c>
      <c r="L2567" s="3" t="n">
        <f aca="false">IF(COUNTIFS($B$2:B2567,B2567,$C$2:C2567,C2567,$I$2:I2567,I2567)=1,1,0)</f>
        <v>1</v>
      </c>
      <c r="M2567" s="3" t="n">
        <f aca="false">IF(K2567&gt;=Parametri!$B$1,1,0)</f>
        <v>0</v>
      </c>
      <c r="N2567" s="3" t="n">
        <f aca="false">L2567*M2567</f>
        <v>0</v>
      </c>
    </row>
    <row r="2568" customFormat="false" ht="15" hidden="false" customHeight="false" outlineLevel="0" collapsed="false">
      <c r="A2568" s="0" t="s">
        <v>4004</v>
      </c>
      <c r="B2568" s="0" t="s">
        <v>124</v>
      </c>
      <c r="C2568" s="0" t="s">
        <v>2509</v>
      </c>
      <c r="D2568" s="0" t="s">
        <v>54</v>
      </c>
      <c r="E2568" s="2" t="n">
        <v>45356</v>
      </c>
      <c r="F2568" s="3" t="s">
        <v>20</v>
      </c>
      <c r="G2568" s="3" t="s">
        <v>89</v>
      </c>
      <c r="H2568" s="3" t="s">
        <v>22</v>
      </c>
      <c r="I2568" s="3" t="n">
        <f aca="false">YEAR(E2568)</f>
        <v>2024</v>
      </c>
      <c r="J2568" s="3" t="n">
        <f aca="false">MONTH(E2568)</f>
        <v>3</v>
      </c>
      <c r="K2568" s="3" t="n">
        <f aca="false">COUNTIFS($B$2:$B$4077,B2568,$C$2:$C$4077,C2568,$I$2:$I$4077,I2568)</f>
        <v>1</v>
      </c>
      <c r="L2568" s="3" t="n">
        <f aca="false">IF(COUNTIFS($B$2:B2568,B2568,$C$2:C2568,C2568,$I$2:I2568,I2568)=1,1,0)</f>
        <v>1</v>
      </c>
      <c r="M2568" s="3" t="n">
        <f aca="false">IF(K2568&gt;=Parametri!$B$1,1,0)</f>
        <v>0</v>
      </c>
      <c r="N2568" s="3" t="n">
        <f aca="false">L2568*M2568</f>
        <v>0</v>
      </c>
    </row>
    <row r="2569" customFormat="false" ht="15" hidden="false" customHeight="false" outlineLevel="0" collapsed="false">
      <c r="A2569" s="0" t="s">
        <v>4005</v>
      </c>
      <c r="B2569" s="0" t="s">
        <v>124</v>
      </c>
      <c r="C2569" s="0" t="s">
        <v>710</v>
      </c>
      <c r="D2569" s="0" t="s">
        <v>66</v>
      </c>
      <c r="E2569" s="2" t="n">
        <v>45328</v>
      </c>
      <c r="F2569" s="3" t="s">
        <v>20</v>
      </c>
      <c r="G2569" s="3" t="s">
        <v>55</v>
      </c>
      <c r="H2569" s="3" t="s">
        <v>44</v>
      </c>
      <c r="I2569" s="3" t="n">
        <f aca="false">YEAR(E2569)</f>
        <v>2024</v>
      </c>
      <c r="J2569" s="3" t="n">
        <f aca="false">MONTH(E2569)</f>
        <v>2</v>
      </c>
      <c r="K2569" s="3" t="n">
        <f aca="false">COUNTIFS($B$2:$B$4077,B2569,$C$2:$C$4077,C2569,$I$2:$I$4077,I2569)</f>
        <v>2</v>
      </c>
      <c r="L2569" s="3" t="n">
        <f aca="false">IF(COUNTIFS($B$2:B2569,B2569,$C$2:C2569,C2569,$I$2:I2569,I2569)=1,1,0)</f>
        <v>1</v>
      </c>
      <c r="M2569" s="3" t="n">
        <f aca="false">IF(K2569&gt;=Parametri!$B$1,1,0)</f>
        <v>1</v>
      </c>
      <c r="N2569" s="3" t="n">
        <f aca="false">L2569*M2569</f>
        <v>1</v>
      </c>
    </row>
    <row r="2570" customFormat="false" ht="15" hidden="false" customHeight="false" outlineLevel="0" collapsed="false">
      <c r="A2570" s="0" t="s">
        <v>4006</v>
      </c>
      <c r="B2570" s="0" t="s">
        <v>124</v>
      </c>
      <c r="C2570" s="0" t="s">
        <v>677</v>
      </c>
      <c r="D2570" s="0" t="s">
        <v>33</v>
      </c>
      <c r="E2570" s="2" t="n">
        <v>45713</v>
      </c>
      <c r="F2570" s="3" t="s">
        <v>27</v>
      </c>
      <c r="G2570" s="3" t="s">
        <v>89</v>
      </c>
      <c r="H2570" s="3" t="s">
        <v>22</v>
      </c>
      <c r="I2570" s="3" t="n">
        <f aca="false">YEAR(E2570)</f>
        <v>2025</v>
      </c>
      <c r="J2570" s="3" t="n">
        <f aca="false">MONTH(E2570)</f>
        <v>2</v>
      </c>
      <c r="K2570" s="3" t="n">
        <f aca="false">COUNTIFS($B$2:$B$4077,B2570,$C$2:$C$4077,C2570,$I$2:$I$4077,I2570)</f>
        <v>2</v>
      </c>
      <c r="L2570" s="3" t="n">
        <f aca="false">IF(COUNTIFS($B$2:B2570,B2570,$C$2:C2570,C2570,$I$2:I2570,I2570)=1,1,0)</f>
        <v>0</v>
      </c>
      <c r="M2570" s="3" t="n">
        <f aca="false">IF(K2570&gt;=Parametri!$B$1,1,0)</f>
        <v>1</v>
      </c>
      <c r="N2570" s="3" t="n">
        <f aca="false">L2570*M2570</f>
        <v>0</v>
      </c>
    </row>
    <row r="2571" customFormat="false" ht="15" hidden="false" customHeight="false" outlineLevel="0" collapsed="false">
      <c r="A2571" s="0" t="s">
        <v>4007</v>
      </c>
      <c r="B2571" s="0" t="s">
        <v>41</v>
      </c>
      <c r="C2571" s="0" t="s">
        <v>1162</v>
      </c>
      <c r="D2571" s="0" t="s">
        <v>66</v>
      </c>
      <c r="E2571" s="2" t="n">
        <v>45302</v>
      </c>
      <c r="F2571" s="3" t="s">
        <v>20</v>
      </c>
      <c r="G2571" s="3" t="s">
        <v>43</v>
      </c>
      <c r="H2571" s="3" t="s">
        <v>22</v>
      </c>
      <c r="I2571" s="3" t="n">
        <f aca="false">YEAR(E2571)</f>
        <v>2024</v>
      </c>
      <c r="J2571" s="3" t="n">
        <f aca="false">MONTH(E2571)</f>
        <v>1</v>
      </c>
      <c r="K2571" s="3" t="n">
        <f aca="false">COUNTIFS($B$2:$B$4077,B2571,$C$2:$C$4077,C2571,$I$2:$I$4077,I2571)</f>
        <v>2</v>
      </c>
      <c r="L2571" s="3" t="n">
        <f aca="false">IF(COUNTIFS($B$2:B2571,B2571,$C$2:C2571,C2571,$I$2:I2571,I2571)=1,1,0)</f>
        <v>0</v>
      </c>
      <c r="M2571" s="3" t="n">
        <f aca="false">IF(K2571&gt;=Parametri!$B$1,1,0)</f>
        <v>1</v>
      </c>
      <c r="N2571" s="3" t="n">
        <f aca="false">L2571*M2571</f>
        <v>0</v>
      </c>
    </row>
    <row r="2572" customFormat="false" ht="15" hidden="false" customHeight="false" outlineLevel="0" collapsed="false">
      <c r="A2572" s="0" t="s">
        <v>4008</v>
      </c>
      <c r="B2572" s="0" t="s">
        <v>57</v>
      </c>
      <c r="C2572" s="0" t="s">
        <v>4009</v>
      </c>
      <c r="D2572" s="0" t="s">
        <v>77</v>
      </c>
      <c r="E2572" s="2" t="n">
        <v>45359</v>
      </c>
      <c r="F2572" s="3" t="s">
        <v>20</v>
      </c>
      <c r="G2572" s="3" t="s">
        <v>55</v>
      </c>
      <c r="H2572" s="3" t="s">
        <v>44</v>
      </c>
      <c r="I2572" s="3" t="n">
        <f aca="false">YEAR(E2572)</f>
        <v>2024</v>
      </c>
      <c r="J2572" s="3" t="n">
        <f aca="false">MONTH(E2572)</f>
        <v>3</v>
      </c>
      <c r="K2572" s="3" t="n">
        <f aca="false">COUNTIFS($B$2:$B$4077,B2572,$C$2:$C$4077,C2572,$I$2:$I$4077,I2572)</f>
        <v>2</v>
      </c>
      <c r="L2572" s="3" t="n">
        <f aca="false">IF(COUNTIFS($B$2:B2572,B2572,$C$2:C2572,C2572,$I$2:I2572,I2572)=1,1,0)</f>
        <v>1</v>
      </c>
      <c r="M2572" s="3" t="n">
        <f aca="false">IF(K2572&gt;=Parametri!$B$1,1,0)</f>
        <v>1</v>
      </c>
      <c r="N2572" s="3" t="n">
        <f aca="false">L2572*M2572</f>
        <v>1</v>
      </c>
    </row>
    <row r="2573" customFormat="false" ht="15" hidden="false" customHeight="false" outlineLevel="0" collapsed="false">
      <c r="A2573" s="0" t="s">
        <v>4010</v>
      </c>
      <c r="B2573" s="0" t="s">
        <v>124</v>
      </c>
      <c r="C2573" s="0" t="s">
        <v>4011</v>
      </c>
      <c r="D2573" s="0" t="s">
        <v>38</v>
      </c>
      <c r="E2573" s="2" t="n">
        <v>45896</v>
      </c>
      <c r="F2573" s="3" t="s">
        <v>20</v>
      </c>
      <c r="G2573" s="3" t="s">
        <v>43</v>
      </c>
      <c r="H2573" s="3" t="s">
        <v>48</v>
      </c>
      <c r="I2573" s="3" t="n">
        <f aca="false">YEAR(E2573)</f>
        <v>2025</v>
      </c>
      <c r="J2573" s="3" t="n">
        <f aca="false">MONTH(E2573)</f>
        <v>8</v>
      </c>
      <c r="K2573" s="3" t="n">
        <f aca="false">COUNTIFS($B$2:$B$4077,B2573,$C$2:$C$4077,C2573,$I$2:$I$4077,I2573)</f>
        <v>1</v>
      </c>
      <c r="L2573" s="3" t="n">
        <f aca="false">IF(COUNTIFS($B$2:B2573,B2573,$C$2:C2573,C2573,$I$2:I2573,I2573)=1,1,0)</f>
        <v>1</v>
      </c>
      <c r="M2573" s="3" t="n">
        <f aca="false">IF(K2573&gt;=Parametri!$B$1,1,0)</f>
        <v>0</v>
      </c>
      <c r="N2573" s="3" t="n">
        <f aca="false">L2573*M2573</f>
        <v>0</v>
      </c>
    </row>
    <row r="2574" customFormat="false" ht="15" hidden="false" customHeight="false" outlineLevel="0" collapsed="false">
      <c r="A2574" s="0" t="s">
        <v>4012</v>
      </c>
      <c r="B2574" s="0" t="s">
        <v>41</v>
      </c>
      <c r="C2574" s="0" t="s">
        <v>4013</v>
      </c>
      <c r="D2574" s="0" t="s">
        <v>33</v>
      </c>
      <c r="E2574" s="2" t="n">
        <v>46239</v>
      </c>
      <c r="F2574" s="3" t="s">
        <v>20</v>
      </c>
      <c r="G2574" s="3" t="s">
        <v>39</v>
      </c>
      <c r="H2574" s="3" t="s">
        <v>22</v>
      </c>
      <c r="I2574" s="3" t="n">
        <f aca="false">YEAR(E2574)</f>
        <v>2026</v>
      </c>
      <c r="J2574" s="3" t="n">
        <f aca="false">MONTH(E2574)</f>
        <v>8</v>
      </c>
      <c r="K2574" s="3" t="n">
        <f aca="false">COUNTIFS($B$2:$B$4077,B2574,$C$2:$C$4077,C2574,$I$2:$I$4077,I2574)</f>
        <v>1</v>
      </c>
      <c r="L2574" s="3" t="n">
        <f aca="false">IF(COUNTIFS($B$2:B2574,B2574,$C$2:C2574,C2574,$I$2:I2574,I2574)=1,1,0)</f>
        <v>1</v>
      </c>
      <c r="M2574" s="3" t="n">
        <f aca="false">IF(K2574&gt;=Parametri!$B$1,1,0)</f>
        <v>0</v>
      </c>
      <c r="N2574" s="3" t="n">
        <f aca="false">L2574*M2574</f>
        <v>0</v>
      </c>
    </row>
    <row r="2575" customFormat="false" ht="15" hidden="false" customHeight="false" outlineLevel="0" collapsed="false">
      <c r="A2575" s="0" t="s">
        <v>4014</v>
      </c>
      <c r="B2575" s="0" t="s">
        <v>46</v>
      </c>
      <c r="C2575" s="0" t="s">
        <v>625</v>
      </c>
      <c r="D2575" s="0" t="s">
        <v>26</v>
      </c>
      <c r="E2575" s="2" t="n">
        <v>45506</v>
      </c>
      <c r="F2575" s="3" t="s">
        <v>20</v>
      </c>
      <c r="G2575" s="3" t="s">
        <v>55</v>
      </c>
      <c r="H2575" s="3" t="s">
        <v>44</v>
      </c>
      <c r="I2575" s="3" t="n">
        <f aca="false">YEAR(E2575)</f>
        <v>2024</v>
      </c>
      <c r="J2575" s="3" t="n">
        <f aca="false">MONTH(E2575)</f>
        <v>8</v>
      </c>
      <c r="K2575" s="3" t="n">
        <f aca="false">COUNTIFS($B$2:$B$4077,B2575,$C$2:$C$4077,C2575,$I$2:$I$4077,I2575)</f>
        <v>3</v>
      </c>
      <c r="L2575" s="3" t="n">
        <f aca="false">IF(COUNTIFS($B$2:B2575,B2575,$C$2:C2575,C2575,$I$2:I2575,I2575)=1,1,0)</f>
        <v>0</v>
      </c>
      <c r="M2575" s="3" t="n">
        <f aca="false">IF(K2575&gt;=Parametri!$B$1,1,0)</f>
        <v>1</v>
      </c>
      <c r="N2575" s="3" t="n">
        <f aca="false">L2575*M2575</f>
        <v>0</v>
      </c>
    </row>
    <row r="2576" customFormat="false" ht="15" hidden="false" customHeight="false" outlineLevel="0" collapsed="false">
      <c r="A2576" s="0" t="s">
        <v>4015</v>
      </c>
      <c r="B2576" s="0" t="s">
        <v>17</v>
      </c>
      <c r="C2576" s="0" t="s">
        <v>4016</v>
      </c>
      <c r="D2576" s="0" t="s">
        <v>54</v>
      </c>
      <c r="E2576" s="2" t="n">
        <v>45652</v>
      </c>
      <c r="F2576" s="3" t="s">
        <v>20</v>
      </c>
      <c r="G2576" s="3" t="s">
        <v>55</v>
      </c>
      <c r="H2576" s="3" t="s">
        <v>29</v>
      </c>
      <c r="I2576" s="3" t="n">
        <f aca="false">YEAR(E2576)</f>
        <v>2024</v>
      </c>
      <c r="J2576" s="3" t="n">
        <f aca="false">MONTH(E2576)</f>
        <v>12</v>
      </c>
      <c r="K2576" s="3" t="n">
        <f aca="false">COUNTIFS($B$2:$B$4077,B2576,$C$2:$C$4077,C2576,$I$2:$I$4077,I2576)</f>
        <v>1</v>
      </c>
      <c r="L2576" s="3" t="n">
        <f aca="false">IF(COUNTIFS($B$2:B2576,B2576,$C$2:C2576,C2576,$I$2:I2576,I2576)=1,1,0)</f>
        <v>1</v>
      </c>
      <c r="M2576" s="3" t="n">
        <f aca="false">IF(K2576&gt;=Parametri!$B$1,1,0)</f>
        <v>0</v>
      </c>
      <c r="N2576" s="3" t="n">
        <f aca="false">L2576*M2576</f>
        <v>0</v>
      </c>
    </row>
    <row r="2577" customFormat="false" ht="15" hidden="false" customHeight="false" outlineLevel="0" collapsed="false">
      <c r="A2577" s="0" t="s">
        <v>4017</v>
      </c>
      <c r="B2577" s="0" t="s">
        <v>79</v>
      </c>
      <c r="C2577" s="0" t="s">
        <v>2611</v>
      </c>
      <c r="D2577" s="0" t="s">
        <v>63</v>
      </c>
      <c r="E2577" s="2" t="n">
        <v>46254</v>
      </c>
      <c r="F2577" s="3" t="s">
        <v>34</v>
      </c>
      <c r="G2577" s="3" t="s">
        <v>21</v>
      </c>
      <c r="H2577" s="3" t="s">
        <v>22</v>
      </c>
      <c r="I2577" s="3" t="n">
        <f aca="false">YEAR(E2577)</f>
        <v>2026</v>
      </c>
      <c r="J2577" s="3" t="n">
        <f aca="false">MONTH(E2577)</f>
        <v>8</v>
      </c>
      <c r="K2577" s="3" t="n">
        <f aca="false">COUNTIFS($B$2:$B$4077,B2577,$C$2:$C$4077,C2577,$I$2:$I$4077,I2577)</f>
        <v>2</v>
      </c>
      <c r="L2577" s="3" t="n">
        <f aca="false">IF(COUNTIFS($B$2:B2577,B2577,$C$2:C2577,C2577,$I$2:I2577,I2577)=1,1,0)</f>
        <v>0</v>
      </c>
      <c r="M2577" s="3" t="n">
        <f aca="false">IF(K2577&gt;=Parametri!$B$1,1,0)</f>
        <v>1</v>
      </c>
      <c r="N2577" s="3" t="n">
        <f aca="false">L2577*M2577</f>
        <v>0</v>
      </c>
    </row>
    <row r="2578" customFormat="false" ht="15" hidden="false" customHeight="false" outlineLevel="0" collapsed="false">
      <c r="A2578" s="0" t="s">
        <v>4018</v>
      </c>
      <c r="B2578" s="0" t="s">
        <v>17</v>
      </c>
      <c r="C2578" s="0" t="s">
        <v>3542</v>
      </c>
      <c r="D2578" s="0" t="s">
        <v>19</v>
      </c>
      <c r="E2578" s="2" t="n">
        <v>45493</v>
      </c>
      <c r="F2578" s="3" t="s">
        <v>20</v>
      </c>
      <c r="G2578" s="3" t="s">
        <v>72</v>
      </c>
      <c r="H2578" s="3" t="s">
        <v>29</v>
      </c>
      <c r="I2578" s="3" t="n">
        <f aca="false">YEAR(E2578)</f>
        <v>2024</v>
      </c>
      <c r="J2578" s="3" t="n">
        <f aca="false">MONTH(E2578)</f>
        <v>7</v>
      </c>
      <c r="K2578" s="3" t="n">
        <f aca="false">COUNTIFS($B$2:$B$4077,B2578,$C$2:$C$4077,C2578,$I$2:$I$4077,I2578)</f>
        <v>1</v>
      </c>
      <c r="L2578" s="3" t="n">
        <f aca="false">IF(COUNTIFS($B$2:B2578,B2578,$C$2:C2578,C2578,$I$2:I2578,I2578)=1,1,0)</f>
        <v>1</v>
      </c>
      <c r="M2578" s="3" t="n">
        <f aca="false">IF(K2578&gt;=Parametri!$B$1,1,0)</f>
        <v>0</v>
      </c>
      <c r="N2578" s="3" t="n">
        <f aca="false">L2578*M2578</f>
        <v>0</v>
      </c>
    </row>
    <row r="2579" customFormat="false" ht="15" hidden="false" customHeight="false" outlineLevel="0" collapsed="false">
      <c r="A2579" s="0" t="s">
        <v>4019</v>
      </c>
      <c r="B2579" s="0" t="s">
        <v>17</v>
      </c>
      <c r="C2579" s="0" t="s">
        <v>3455</v>
      </c>
      <c r="D2579" s="0" t="s">
        <v>54</v>
      </c>
      <c r="E2579" s="2" t="n">
        <v>45688</v>
      </c>
      <c r="F2579" s="3" t="s">
        <v>20</v>
      </c>
      <c r="G2579" s="3" t="s">
        <v>21</v>
      </c>
      <c r="H2579" s="3" t="s">
        <v>22</v>
      </c>
      <c r="I2579" s="3" t="n">
        <f aca="false">YEAR(E2579)</f>
        <v>2025</v>
      </c>
      <c r="J2579" s="3" t="n">
        <f aca="false">MONTH(E2579)</f>
        <v>1</v>
      </c>
      <c r="K2579" s="3" t="n">
        <f aca="false">COUNTIFS($B$2:$B$4077,B2579,$C$2:$C$4077,C2579,$I$2:$I$4077,I2579)</f>
        <v>1</v>
      </c>
      <c r="L2579" s="3" t="n">
        <f aca="false">IF(COUNTIFS($B$2:B2579,B2579,$C$2:C2579,C2579,$I$2:I2579,I2579)=1,1,0)</f>
        <v>1</v>
      </c>
      <c r="M2579" s="3" t="n">
        <f aca="false">IF(K2579&gt;=Parametri!$B$1,1,0)</f>
        <v>0</v>
      </c>
      <c r="N2579" s="3" t="n">
        <f aca="false">L2579*M2579</f>
        <v>0</v>
      </c>
    </row>
    <row r="2580" customFormat="false" ht="15" hidden="false" customHeight="false" outlineLevel="0" collapsed="false">
      <c r="A2580" s="0" t="s">
        <v>4020</v>
      </c>
      <c r="B2580" s="0" t="s">
        <v>31</v>
      </c>
      <c r="C2580" s="0" t="s">
        <v>4021</v>
      </c>
      <c r="D2580" s="0" t="s">
        <v>77</v>
      </c>
      <c r="E2580" s="2" t="n">
        <v>46077</v>
      </c>
      <c r="F2580" s="3" t="s">
        <v>20</v>
      </c>
      <c r="G2580" s="3" t="s">
        <v>55</v>
      </c>
      <c r="H2580" s="3" t="s">
        <v>29</v>
      </c>
      <c r="I2580" s="3" t="n">
        <f aca="false">YEAR(E2580)</f>
        <v>2026</v>
      </c>
      <c r="J2580" s="3" t="n">
        <f aca="false">MONTH(E2580)</f>
        <v>2</v>
      </c>
      <c r="K2580" s="3" t="n">
        <f aca="false">COUNTIFS($B$2:$B$4077,B2580,$C$2:$C$4077,C2580,$I$2:$I$4077,I2580)</f>
        <v>1</v>
      </c>
      <c r="L2580" s="3" t="n">
        <f aca="false">IF(COUNTIFS($B$2:B2580,B2580,$C$2:C2580,C2580,$I$2:I2580,I2580)=1,1,0)</f>
        <v>1</v>
      </c>
      <c r="M2580" s="3" t="n">
        <f aca="false">IF(K2580&gt;=Parametri!$B$1,1,0)</f>
        <v>0</v>
      </c>
      <c r="N2580" s="3" t="n">
        <f aca="false">L2580*M2580</f>
        <v>0</v>
      </c>
    </row>
    <row r="2581" customFormat="false" ht="15" hidden="false" customHeight="false" outlineLevel="0" collapsed="false">
      <c r="A2581" s="0" t="s">
        <v>4022</v>
      </c>
      <c r="B2581" s="0" t="s">
        <v>124</v>
      </c>
      <c r="C2581" s="0" t="s">
        <v>710</v>
      </c>
      <c r="D2581" s="0" t="s">
        <v>77</v>
      </c>
      <c r="E2581" s="2" t="n">
        <v>46136</v>
      </c>
      <c r="F2581" s="3" t="s">
        <v>20</v>
      </c>
      <c r="G2581" s="3" t="s">
        <v>28</v>
      </c>
      <c r="H2581" s="3" t="s">
        <v>44</v>
      </c>
      <c r="I2581" s="3" t="n">
        <f aca="false">YEAR(E2581)</f>
        <v>2026</v>
      </c>
      <c r="J2581" s="3" t="n">
        <f aca="false">MONTH(E2581)</f>
        <v>4</v>
      </c>
      <c r="K2581" s="3" t="n">
        <f aca="false">COUNTIFS($B$2:$B$4077,B2581,$C$2:$C$4077,C2581,$I$2:$I$4077,I2581)</f>
        <v>5</v>
      </c>
      <c r="L2581" s="3" t="n">
        <f aca="false">IF(COUNTIFS($B$2:B2581,B2581,$C$2:C2581,C2581,$I$2:I2581,I2581)=1,1,0)</f>
        <v>0</v>
      </c>
      <c r="M2581" s="3" t="n">
        <f aca="false">IF(K2581&gt;=Parametri!$B$1,1,0)</f>
        <v>1</v>
      </c>
      <c r="N2581" s="3" t="n">
        <f aca="false">L2581*M2581</f>
        <v>0</v>
      </c>
    </row>
    <row r="2582" customFormat="false" ht="15" hidden="false" customHeight="false" outlineLevel="0" collapsed="false">
      <c r="A2582" s="0" t="s">
        <v>4023</v>
      </c>
      <c r="B2582" s="0" t="s">
        <v>68</v>
      </c>
      <c r="C2582" s="0" t="s">
        <v>4024</v>
      </c>
      <c r="D2582" s="0" t="s">
        <v>77</v>
      </c>
      <c r="E2582" s="2" t="n">
        <v>46123</v>
      </c>
      <c r="F2582" s="3" t="s">
        <v>34</v>
      </c>
      <c r="G2582" s="3" t="s">
        <v>43</v>
      </c>
      <c r="H2582" s="3" t="s">
        <v>22</v>
      </c>
      <c r="I2582" s="3" t="n">
        <f aca="false">YEAR(E2582)</f>
        <v>2026</v>
      </c>
      <c r="J2582" s="3" t="n">
        <f aca="false">MONTH(E2582)</f>
        <v>4</v>
      </c>
      <c r="K2582" s="3" t="n">
        <f aca="false">COUNTIFS($B$2:$B$4077,B2582,$C$2:$C$4077,C2582,$I$2:$I$4077,I2582)</f>
        <v>2</v>
      </c>
      <c r="L2582" s="3" t="n">
        <f aca="false">IF(COUNTIFS($B$2:B2582,B2582,$C$2:C2582,C2582,$I$2:I2582,I2582)=1,1,0)</f>
        <v>1</v>
      </c>
      <c r="M2582" s="3" t="n">
        <f aca="false">IF(K2582&gt;=Parametri!$B$1,1,0)</f>
        <v>1</v>
      </c>
      <c r="N2582" s="3" t="n">
        <f aca="false">L2582*M2582</f>
        <v>1</v>
      </c>
    </row>
    <row r="2583" customFormat="false" ht="15" hidden="false" customHeight="false" outlineLevel="0" collapsed="false">
      <c r="A2583" s="0" t="s">
        <v>4025</v>
      </c>
      <c r="B2583" s="0" t="s">
        <v>50</v>
      </c>
      <c r="C2583" s="0" t="s">
        <v>942</v>
      </c>
      <c r="D2583" s="0" t="s">
        <v>33</v>
      </c>
      <c r="E2583" s="2" t="n">
        <v>45532</v>
      </c>
      <c r="F2583" s="3" t="s">
        <v>34</v>
      </c>
      <c r="G2583" s="3" t="s">
        <v>55</v>
      </c>
      <c r="H2583" s="3" t="s">
        <v>48</v>
      </c>
      <c r="I2583" s="3" t="n">
        <f aca="false">YEAR(E2583)</f>
        <v>2024</v>
      </c>
      <c r="J2583" s="3" t="n">
        <f aca="false">MONTH(E2583)</f>
        <v>8</v>
      </c>
      <c r="K2583" s="3" t="n">
        <f aca="false">COUNTIFS($B$2:$B$4077,B2583,$C$2:$C$4077,C2583,$I$2:$I$4077,I2583)</f>
        <v>2</v>
      </c>
      <c r="L2583" s="3" t="n">
        <f aca="false">IF(COUNTIFS($B$2:B2583,B2583,$C$2:C2583,C2583,$I$2:I2583,I2583)=1,1,0)</f>
        <v>1</v>
      </c>
      <c r="M2583" s="3" t="n">
        <f aca="false">IF(K2583&gt;=Parametri!$B$1,1,0)</f>
        <v>1</v>
      </c>
      <c r="N2583" s="3" t="n">
        <f aca="false">L2583*M2583</f>
        <v>1</v>
      </c>
    </row>
    <row r="2584" customFormat="false" ht="15" hidden="false" customHeight="false" outlineLevel="0" collapsed="false">
      <c r="A2584" s="0" t="s">
        <v>4026</v>
      </c>
      <c r="B2584" s="0" t="s">
        <v>46</v>
      </c>
      <c r="C2584" s="0" t="s">
        <v>4027</v>
      </c>
      <c r="D2584" s="0" t="s">
        <v>33</v>
      </c>
      <c r="E2584" s="2" t="n">
        <v>46212</v>
      </c>
      <c r="F2584" s="3" t="s">
        <v>34</v>
      </c>
      <c r="G2584" s="3" t="s">
        <v>21</v>
      </c>
      <c r="H2584" s="3" t="s">
        <v>22</v>
      </c>
      <c r="I2584" s="3" t="n">
        <f aca="false">YEAR(E2584)</f>
        <v>2026</v>
      </c>
      <c r="J2584" s="3" t="n">
        <f aca="false">MONTH(E2584)</f>
        <v>7</v>
      </c>
      <c r="K2584" s="3" t="n">
        <f aca="false">COUNTIFS($B$2:$B$4077,B2584,$C$2:$C$4077,C2584,$I$2:$I$4077,I2584)</f>
        <v>1</v>
      </c>
      <c r="L2584" s="3" t="n">
        <f aca="false">IF(COUNTIFS($B$2:B2584,B2584,$C$2:C2584,C2584,$I$2:I2584,I2584)=1,1,0)</f>
        <v>1</v>
      </c>
      <c r="M2584" s="3" t="n">
        <f aca="false">IF(K2584&gt;=Parametri!$B$1,1,0)</f>
        <v>0</v>
      </c>
      <c r="N2584" s="3" t="n">
        <f aca="false">L2584*M2584</f>
        <v>0</v>
      </c>
    </row>
    <row r="2585" customFormat="false" ht="15" hidden="false" customHeight="false" outlineLevel="0" collapsed="false">
      <c r="A2585" s="0" t="s">
        <v>4028</v>
      </c>
      <c r="B2585" s="0" t="s">
        <v>79</v>
      </c>
      <c r="C2585" s="0" t="s">
        <v>401</v>
      </c>
      <c r="D2585" s="0" t="s">
        <v>77</v>
      </c>
      <c r="E2585" s="2" t="n">
        <v>45514</v>
      </c>
      <c r="F2585" s="3" t="s">
        <v>34</v>
      </c>
      <c r="G2585" s="3" t="s">
        <v>35</v>
      </c>
      <c r="H2585" s="3" t="s">
        <v>44</v>
      </c>
      <c r="I2585" s="3" t="n">
        <f aca="false">YEAR(E2585)</f>
        <v>2024</v>
      </c>
      <c r="J2585" s="3" t="n">
        <f aca="false">MONTH(E2585)</f>
        <v>8</v>
      </c>
      <c r="K2585" s="3" t="n">
        <f aca="false">COUNTIFS($B$2:$B$4077,B2585,$C$2:$C$4077,C2585,$I$2:$I$4077,I2585)</f>
        <v>3</v>
      </c>
      <c r="L2585" s="3" t="n">
        <f aca="false">IF(COUNTIFS($B$2:B2585,B2585,$C$2:C2585,C2585,$I$2:I2585,I2585)=1,1,0)</f>
        <v>0</v>
      </c>
      <c r="M2585" s="3" t="n">
        <f aca="false">IF(K2585&gt;=Parametri!$B$1,1,0)</f>
        <v>1</v>
      </c>
      <c r="N2585" s="3" t="n">
        <f aca="false">L2585*M2585</f>
        <v>0</v>
      </c>
    </row>
    <row r="2586" customFormat="false" ht="15" hidden="false" customHeight="false" outlineLevel="0" collapsed="false">
      <c r="A2586" s="0" t="s">
        <v>4029</v>
      </c>
      <c r="B2586" s="0" t="s">
        <v>41</v>
      </c>
      <c r="C2586" s="0" t="s">
        <v>2494</v>
      </c>
      <c r="D2586" s="0" t="s">
        <v>54</v>
      </c>
      <c r="E2586" s="2" t="n">
        <v>45605</v>
      </c>
      <c r="F2586" s="3" t="s">
        <v>20</v>
      </c>
      <c r="G2586" s="3" t="s">
        <v>72</v>
      </c>
      <c r="H2586" s="3" t="s">
        <v>48</v>
      </c>
      <c r="I2586" s="3" t="n">
        <f aca="false">YEAR(E2586)</f>
        <v>2024</v>
      </c>
      <c r="J2586" s="3" t="n">
        <f aca="false">MONTH(E2586)</f>
        <v>11</v>
      </c>
      <c r="K2586" s="3" t="n">
        <f aca="false">COUNTIFS($B$2:$B$4077,B2586,$C$2:$C$4077,C2586,$I$2:$I$4077,I2586)</f>
        <v>1</v>
      </c>
      <c r="L2586" s="3" t="n">
        <f aca="false">IF(COUNTIFS($B$2:B2586,B2586,$C$2:C2586,C2586,$I$2:I2586,I2586)=1,1,0)</f>
        <v>1</v>
      </c>
      <c r="M2586" s="3" t="n">
        <f aca="false">IF(K2586&gt;=Parametri!$B$1,1,0)</f>
        <v>0</v>
      </c>
      <c r="N2586" s="3" t="n">
        <f aca="false">L2586*M2586</f>
        <v>0</v>
      </c>
    </row>
    <row r="2587" customFormat="false" ht="15" hidden="false" customHeight="false" outlineLevel="0" collapsed="false">
      <c r="A2587" s="0" t="s">
        <v>4030</v>
      </c>
      <c r="B2587" s="0" t="s">
        <v>57</v>
      </c>
      <c r="C2587" s="0" t="s">
        <v>4031</v>
      </c>
      <c r="D2587" s="0" t="s">
        <v>26</v>
      </c>
      <c r="E2587" s="2" t="n">
        <v>46175</v>
      </c>
      <c r="F2587" s="3" t="s">
        <v>20</v>
      </c>
      <c r="G2587" s="3" t="s">
        <v>72</v>
      </c>
      <c r="H2587" s="3" t="s">
        <v>44</v>
      </c>
      <c r="I2587" s="3" t="n">
        <f aca="false">YEAR(E2587)</f>
        <v>2026</v>
      </c>
      <c r="J2587" s="3" t="n">
        <f aca="false">MONTH(E2587)</f>
        <v>6</v>
      </c>
      <c r="K2587" s="3" t="n">
        <f aca="false">COUNTIFS($B$2:$B$4077,B2587,$C$2:$C$4077,C2587,$I$2:$I$4077,I2587)</f>
        <v>2</v>
      </c>
      <c r="L2587" s="3" t="n">
        <f aca="false">IF(COUNTIFS($B$2:B2587,B2587,$C$2:C2587,C2587,$I$2:I2587,I2587)=1,1,0)</f>
        <v>1</v>
      </c>
      <c r="M2587" s="3" t="n">
        <f aca="false">IF(K2587&gt;=Parametri!$B$1,1,0)</f>
        <v>1</v>
      </c>
      <c r="N2587" s="3" t="n">
        <f aca="false">L2587*M2587</f>
        <v>1</v>
      </c>
    </row>
    <row r="2588" customFormat="false" ht="15" hidden="false" customHeight="false" outlineLevel="0" collapsed="false">
      <c r="A2588" s="0" t="s">
        <v>4032</v>
      </c>
      <c r="B2588" s="0" t="s">
        <v>124</v>
      </c>
      <c r="C2588" s="0" t="s">
        <v>1407</v>
      </c>
      <c r="D2588" s="0" t="s">
        <v>66</v>
      </c>
      <c r="E2588" s="2" t="n">
        <v>46002</v>
      </c>
      <c r="F2588" s="3" t="s">
        <v>34</v>
      </c>
      <c r="G2588" s="3" t="s">
        <v>43</v>
      </c>
      <c r="H2588" s="3" t="s">
        <v>44</v>
      </c>
      <c r="I2588" s="3" t="n">
        <f aca="false">YEAR(E2588)</f>
        <v>2025</v>
      </c>
      <c r="J2588" s="3" t="n">
        <f aca="false">MONTH(E2588)</f>
        <v>12</v>
      </c>
      <c r="K2588" s="3" t="n">
        <f aca="false">COUNTIFS($B$2:$B$4077,B2588,$C$2:$C$4077,C2588,$I$2:$I$4077,I2588)</f>
        <v>4</v>
      </c>
      <c r="L2588" s="3" t="n">
        <f aca="false">IF(COUNTIFS($B$2:B2588,B2588,$C$2:C2588,C2588,$I$2:I2588,I2588)=1,1,0)</f>
        <v>0</v>
      </c>
      <c r="M2588" s="3" t="n">
        <f aca="false">IF(K2588&gt;=Parametri!$B$1,1,0)</f>
        <v>1</v>
      </c>
      <c r="N2588" s="3" t="n">
        <f aca="false">L2588*M2588</f>
        <v>0</v>
      </c>
    </row>
    <row r="2589" customFormat="false" ht="15" hidden="false" customHeight="false" outlineLevel="0" collapsed="false">
      <c r="A2589" s="0" t="s">
        <v>4033</v>
      </c>
      <c r="B2589" s="0" t="s">
        <v>124</v>
      </c>
      <c r="C2589" s="0" t="s">
        <v>766</v>
      </c>
      <c r="D2589" s="0" t="s">
        <v>19</v>
      </c>
      <c r="E2589" s="2" t="n">
        <v>45566</v>
      </c>
      <c r="F2589" s="3" t="s">
        <v>20</v>
      </c>
      <c r="G2589" s="3" t="s">
        <v>89</v>
      </c>
      <c r="H2589" s="3" t="s">
        <v>29</v>
      </c>
      <c r="I2589" s="3" t="n">
        <f aca="false">YEAR(E2589)</f>
        <v>2024</v>
      </c>
      <c r="J2589" s="3" t="n">
        <f aca="false">MONTH(E2589)</f>
        <v>10</v>
      </c>
      <c r="K2589" s="3" t="n">
        <f aca="false">COUNTIFS($B$2:$B$4077,B2589,$C$2:$C$4077,C2589,$I$2:$I$4077,I2589)</f>
        <v>2</v>
      </c>
      <c r="L2589" s="3" t="n">
        <f aca="false">IF(COUNTIFS($B$2:B2589,B2589,$C$2:C2589,C2589,$I$2:I2589,I2589)=1,1,0)</f>
        <v>0</v>
      </c>
      <c r="M2589" s="3" t="n">
        <f aca="false">IF(K2589&gt;=Parametri!$B$1,1,0)</f>
        <v>1</v>
      </c>
      <c r="N2589" s="3" t="n">
        <f aca="false">L2589*M2589</f>
        <v>0</v>
      </c>
    </row>
    <row r="2590" customFormat="false" ht="15" hidden="false" customHeight="false" outlineLevel="0" collapsed="false">
      <c r="A2590" s="0" t="s">
        <v>4034</v>
      </c>
      <c r="B2590" s="0" t="s">
        <v>68</v>
      </c>
      <c r="C2590" s="0" t="s">
        <v>4035</v>
      </c>
      <c r="D2590" s="0" t="s">
        <v>33</v>
      </c>
      <c r="E2590" s="2" t="n">
        <v>45479</v>
      </c>
      <c r="F2590" s="3" t="s">
        <v>20</v>
      </c>
      <c r="G2590" s="3" t="s">
        <v>28</v>
      </c>
      <c r="H2590" s="3" t="s">
        <v>29</v>
      </c>
      <c r="I2590" s="3" t="n">
        <f aca="false">YEAR(E2590)</f>
        <v>2024</v>
      </c>
      <c r="J2590" s="3" t="n">
        <f aca="false">MONTH(E2590)</f>
        <v>7</v>
      </c>
      <c r="K2590" s="3" t="n">
        <f aca="false">COUNTIFS($B$2:$B$4077,B2590,$C$2:$C$4077,C2590,$I$2:$I$4077,I2590)</f>
        <v>1</v>
      </c>
      <c r="L2590" s="3" t="n">
        <f aca="false">IF(COUNTIFS($B$2:B2590,B2590,$C$2:C2590,C2590,$I$2:I2590,I2590)=1,1,0)</f>
        <v>1</v>
      </c>
      <c r="M2590" s="3" t="n">
        <f aca="false">IF(K2590&gt;=Parametri!$B$1,1,0)</f>
        <v>0</v>
      </c>
      <c r="N2590" s="3" t="n">
        <f aca="false">L2590*M2590</f>
        <v>0</v>
      </c>
    </row>
    <row r="2591" customFormat="false" ht="15" hidden="false" customHeight="false" outlineLevel="0" collapsed="false">
      <c r="A2591" s="0" t="s">
        <v>4036</v>
      </c>
      <c r="B2591" s="0" t="s">
        <v>79</v>
      </c>
      <c r="C2591" s="0" t="s">
        <v>523</v>
      </c>
      <c r="D2591" s="0" t="s">
        <v>33</v>
      </c>
      <c r="E2591" s="2" t="n">
        <v>46179</v>
      </c>
      <c r="F2591" s="3" t="s">
        <v>27</v>
      </c>
      <c r="G2591" s="3" t="s">
        <v>35</v>
      </c>
      <c r="H2591" s="3" t="s">
        <v>22</v>
      </c>
      <c r="I2591" s="3" t="n">
        <f aca="false">YEAR(E2591)</f>
        <v>2026</v>
      </c>
      <c r="J2591" s="3" t="n">
        <f aca="false">MONTH(E2591)</f>
        <v>6</v>
      </c>
      <c r="K2591" s="3" t="n">
        <f aca="false">COUNTIFS($B$2:$B$4077,B2591,$C$2:$C$4077,C2591,$I$2:$I$4077,I2591)</f>
        <v>1</v>
      </c>
      <c r="L2591" s="3" t="n">
        <f aca="false">IF(COUNTIFS($B$2:B2591,B2591,$C$2:C2591,C2591,$I$2:I2591,I2591)=1,1,0)</f>
        <v>1</v>
      </c>
      <c r="M2591" s="3" t="n">
        <f aca="false">IF(K2591&gt;=Parametri!$B$1,1,0)</f>
        <v>0</v>
      </c>
      <c r="N2591" s="3" t="n">
        <f aca="false">L2591*M2591</f>
        <v>0</v>
      </c>
    </row>
    <row r="2592" customFormat="false" ht="15" hidden="false" customHeight="false" outlineLevel="0" collapsed="false">
      <c r="A2592" s="0" t="s">
        <v>4037</v>
      </c>
      <c r="B2592" s="0" t="s">
        <v>79</v>
      </c>
      <c r="C2592" s="0" t="s">
        <v>3597</v>
      </c>
      <c r="D2592" s="0" t="s">
        <v>38</v>
      </c>
      <c r="E2592" s="2" t="n">
        <v>45603</v>
      </c>
      <c r="F2592" s="3" t="s">
        <v>20</v>
      </c>
      <c r="G2592" s="3" t="s">
        <v>43</v>
      </c>
      <c r="H2592" s="3" t="s">
        <v>29</v>
      </c>
      <c r="I2592" s="3" t="n">
        <f aca="false">YEAR(E2592)</f>
        <v>2024</v>
      </c>
      <c r="J2592" s="3" t="n">
        <f aca="false">MONTH(E2592)</f>
        <v>11</v>
      </c>
      <c r="K2592" s="3" t="n">
        <f aca="false">COUNTIFS($B$2:$B$4077,B2592,$C$2:$C$4077,C2592,$I$2:$I$4077,I2592)</f>
        <v>1</v>
      </c>
      <c r="L2592" s="3" t="n">
        <f aca="false">IF(COUNTIFS($B$2:B2592,B2592,$C$2:C2592,C2592,$I$2:I2592,I2592)=1,1,0)</f>
        <v>1</v>
      </c>
      <c r="M2592" s="3" t="n">
        <f aca="false">IF(K2592&gt;=Parametri!$B$1,1,0)</f>
        <v>0</v>
      </c>
      <c r="N2592" s="3" t="n">
        <f aca="false">L2592*M2592</f>
        <v>0</v>
      </c>
    </row>
    <row r="2593" customFormat="false" ht="15" hidden="false" customHeight="false" outlineLevel="0" collapsed="false">
      <c r="A2593" s="0" t="s">
        <v>4038</v>
      </c>
      <c r="B2593" s="0" t="s">
        <v>24</v>
      </c>
      <c r="C2593" s="0" t="s">
        <v>4039</v>
      </c>
      <c r="D2593" s="0" t="s">
        <v>33</v>
      </c>
      <c r="E2593" s="2" t="n">
        <v>46152</v>
      </c>
      <c r="F2593" s="3" t="s">
        <v>27</v>
      </c>
      <c r="G2593" s="3" t="s">
        <v>104</v>
      </c>
      <c r="H2593" s="3" t="s">
        <v>29</v>
      </c>
      <c r="I2593" s="3" t="n">
        <f aca="false">YEAR(E2593)</f>
        <v>2026</v>
      </c>
      <c r="J2593" s="3" t="n">
        <f aca="false">MONTH(E2593)</f>
        <v>5</v>
      </c>
      <c r="K2593" s="3" t="n">
        <f aca="false">COUNTIFS($B$2:$B$4077,B2593,$C$2:$C$4077,C2593,$I$2:$I$4077,I2593)</f>
        <v>1</v>
      </c>
      <c r="L2593" s="3" t="n">
        <f aca="false">IF(COUNTIFS($B$2:B2593,B2593,$C$2:C2593,C2593,$I$2:I2593,I2593)=1,1,0)</f>
        <v>1</v>
      </c>
      <c r="M2593" s="3" t="n">
        <f aca="false">IF(K2593&gt;=Parametri!$B$1,1,0)</f>
        <v>0</v>
      </c>
      <c r="N2593" s="3" t="n">
        <f aca="false">L2593*M2593</f>
        <v>0</v>
      </c>
    </row>
    <row r="2594" customFormat="false" ht="15" hidden="false" customHeight="false" outlineLevel="0" collapsed="false">
      <c r="A2594" s="0" t="s">
        <v>4040</v>
      </c>
      <c r="B2594" s="0" t="s">
        <v>46</v>
      </c>
      <c r="C2594" s="0" t="s">
        <v>4041</v>
      </c>
      <c r="D2594" s="0" t="s">
        <v>63</v>
      </c>
      <c r="E2594" s="2" t="n">
        <v>45300</v>
      </c>
      <c r="F2594" s="3" t="s">
        <v>34</v>
      </c>
      <c r="G2594" s="3" t="s">
        <v>28</v>
      </c>
      <c r="H2594" s="3" t="s">
        <v>44</v>
      </c>
      <c r="I2594" s="3" t="n">
        <f aca="false">YEAR(E2594)</f>
        <v>2024</v>
      </c>
      <c r="J2594" s="3" t="n">
        <f aca="false">MONTH(E2594)</f>
        <v>1</v>
      </c>
      <c r="K2594" s="3" t="n">
        <f aca="false">COUNTIFS($B$2:$B$4077,B2594,$C$2:$C$4077,C2594,$I$2:$I$4077,I2594)</f>
        <v>1</v>
      </c>
      <c r="L2594" s="3" t="n">
        <f aca="false">IF(COUNTIFS($B$2:B2594,B2594,$C$2:C2594,C2594,$I$2:I2594,I2594)=1,1,0)</f>
        <v>1</v>
      </c>
      <c r="M2594" s="3" t="n">
        <f aca="false">IF(K2594&gt;=Parametri!$B$1,1,0)</f>
        <v>0</v>
      </c>
      <c r="N2594" s="3" t="n">
        <f aca="false">L2594*M2594</f>
        <v>0</v>
      </c>
    </row>
    <row r="2595" customFormat="false" ht="15" hidden="false" customHeight="false" outlineLevel="0" collapsed="false">
      <c r="A2595" s="0" t="s">
        <v>4042</v>
      </c>
      <c r="B2595" s="0" t="s">
        <v>41</v>
      </c>
      <c r="C2595" s="0" t="s">
        <v>1688</v>
      </c>
      <c r="D2595" s="0" t="s">
        <v>63</v>
      </c>
      <c r="E2595" s="2" t="n">
        <v>45918</v>
      </c>
      <c r="F2595" s="3" t="s">
        <v>20</v>
      </c>
      <c r="G2595" s="3" t="s">
        <v>28</v>
      </c>
      <c r="H2595" s="3" t="s">
        <v>29</v>
      </c>
      <c r="I2595" s="3" t="n">
        <f aca="false">YEAR(E2595)</f>
        <v>2025</v>
      </c>
      <c r="J2595" s="3" t="n">
        <f aca="false">MONTH(E2595)</f>
        <v>9</v>
      </c>
      <c r="K2595" s="3" t="n">
        <f aca="false">COUNTIFS($B$2:$B$4077,B2595,$C$2:$C$4077,C2595,$I$2:$I$4077,I2595)</f>
        <v>1</v>
      </c>
      <c r="L2595" s="3" t="n">
        <f aca="false">IF(COUNTIFS($B$2:B2595,B2595,$C$2:C2595,C2595,$I$2:I2595,I2595)=1,1,0)</f>
        <v>1</v>
      </c>
      <c r="M2595" s="3" t="n">
        <f aca="false">IF(K2595&gt;=Parametri!$B$1,1,0)</f>
        <v>0</v>
      </c>
      <c r="N2595" s="3" t="n">
        <f aca="false">L2595*M2595</f>
        <v>0</v>
      </c>
    </row>
    <row r="2596" customFormat="false" ht="15" hidden="false" customHeight="false" outlineLevel="0" collapsed="false">
      <c r="A2596" s="0" t="s">
        <v>4043</v>
      </c>
      <c r="B2596" s="0" t="s">
        <v>41</v>
      </c>
      <c r="C2596" s="0" t="s">
        <v>3691</v>
      </c>
      <c r="D2596" s="0" t="s">
        <v>77</v>
      </c>
      <c r="E2596" s="2" t="n">
        <v>46177</v>
      </c>
      <c r="F2596" s="3" t="s">
        <v>34</v>
      </c>
      <c r="G2596" s="3" t="s">
        <v>35</v>
      </c>
      <c r="H2596" s="3" t="s">
        <v>48</v>
      </c>
      <c r="I2596" s="3" t="n">
        <f aca="false">YEAR(E2596)</f>
        <v>2026</v>
      </c>
      <c r="J2596" s="3" t="n">
        <f aca="false">MONTH(E2596)</f>
        <v>6</v>
      </c>
      <c r="K2596" s="3" t="n">
        <f aca="false">COUNTIFS($B$2:$B$4077,B2596,$C$2:$C$4077,C2596,$I$2:$I$4077,I2596)</f>
        <v>2</v>
      </c>
      <c r="L2596" s="3" t="n">
        <f aca="false">IF(COUNTIFS($B$2:B2596,B2596,$C$2:C2596,C2596,$I$2:I2596,I2596)=1,1,0)</f>
        <v>1</v>
      </c>
      <c r="M2596" s="3" t="n">
        <f aca="false">IF(K2596&gt;=Parametri!$B$1,1,0)</f>
        <v>1</v>
      </c>
      <c r="N2596" s="3" t="n">
        <f aca="false">L2596*M2596</f>
        <v>1</v>
      </c>
    </row>
    <row r="2597" customFormat="false" ht="15" hidden="false" customHeight="false" outlineLevel="0" collapsed="false">
      <c r="A2597" s="0" t="s">
        <v>4044</v>
      </c>
      <c r="B2597" s="0" t="s">
        <v>79</v>
      </c>
      <c r="C2597" s="0" t="s">
        <v>4045</v>
      </c>
      <c r="D2597" s="0" t="s">
        <v>66</v>
      </c>
      <c r="E2597" s="2" t="n">
        <v>45632</v>
      </c>
      <c r="F2597" s="3" t="s">
        <v>34</v>
      </c>
      <c r="G2597" s="3" t="s">
        <v>89</v>
      </c>
      <c r="H2597" s="3" t="s">
        <v>29</v>
      </c>
      <c r="I2597" s="3" t="n">
        <f aca="false">YEAR(E2597)</f>
        <v>2024</v>
      </c>
      <c r="J2597" s="3" t="n">
        <f aca="false">MONTH(E2597)</f>
        <v>12</v>
      </c>
      <c r="K2597" s="3" t="n">
        <f aca="false">COUNTIFS($B$2:$B$4077,B2597,$C$2:$C$4077,C2597,$I$2:$I$4077,I2597)</f>
        <v>2</v>
      </c>
      <c r="L2597" s="3" t="n">
        <f aca="false">IF(COUNTIFS($B$2:B2597,B2597,$C$2:C2597,C2597,$I$2:I2597,I2597)=1,1,0)</f>
        <v>1</v>
      </c>
      <c r="M2597" s="3" t="n">
        <f aca="false">IF(K2597&gt;=Parametri!$B$1,1,0)</f>
        <v>1</v>
      </c>
      <c r="N2597" s="3" t="n">
        <f aca="false">L2597*M2597</f>
        <v>1</v>
      </c>
    </row>
    <row r="2598" customFormat="false" ht="15" hidden="false" customHeight="false" outlineLevel="0" collapsed="false">
      <c r="A2598" s="0" t="s">
        <v>4046</v>
      </c>
      <c r="B2598" s="0" t="s">
        <v>41</v>
      </c>
      <c r="C2598" s="0" t="s">
        <v>2216</v>
      </c>
      <c r="D2598" s="0" t="s">
        <v>63</v>
      </c>
      <c r="E2598" s="2" t="n">
        <v>46088</v>
      </c>
      <c r="F2598" s="3" t="s">
        <v>20</v>
      </c>
      <c r="G2598" s="3" t="s">
        <v>35</v>
      </c>
      <c r="H2598" s="3" t="s">
        <v>48</v>
      </c>
      <c r="I2598" s="3" t="n">
        <f aca="false">YEAR(E2598)</f>
        <v>2026</v>
      </c>
      <c r="J2598" s="3" t="n">
        <f aca="false">MONTH(E2598)</f>
        <v>3</v>
      </c>
      <c r="K2598" s="3" t="n">
        <f aca="false">COUNTIFS($B$2:$B$4077,B2598,$C$2:$C$4077,C2598,$I$2:$I$4077,I2598)</f>
        <v>1</v>
      </c>
      <c r="L2598" s="3" t="n">
        <f aca="false">IF(COUNTIFS($B$2:B2598,B2598,$C$2:C2598,C2598,$I$2:I2598,I2598)=1,1,0)</f>
        <v>1</v>
      </c>
      <c r="M2598" s="3" t="n">
        <f aca="false">IF(K2598&gt;=Parametri!$B$1,1,0)</f>
        <v>0</v>
      </c>
      <c r="N2598" s="3" t="n">
        <f aca="false">L2598*M2598</f>
        <v>0</v>
      </c>
    </row>
    <row r="2599" customFormat="false" ht="15" hidden="false" customHeight="false" outlineLevel="0" collapsed="false">
      <c r="A2599" s="0" t="s">
        <v>4047</v>
      </c>
      <c r="B2599" s="0" t="s">
        <v>46</v>
      </c>
      <c r="C2599" s="0" t="s">
        <v>4048</v>
      </c>
      <c r="D2599" s="0" t="s">
        <v>66</v>
      </c>
      <c r="E2599" s="2" t="n">
        <v>45638</v>
      </c>
      <c r="F2599" s="3" t="s">
        <v>27</v>
      </c>
      <c r="G2599" s="3" t="s">
        <v>28</v>
      </c>
      <c r="H2599" s="3" t="s">
        <v>44</v>
      </c>
      <c r="I2599" s="3" t="n">
        <f aca="false">YEAR(E2599)</f>
        <v>2024</v>
      </c>
      <c r="J2599" s="3" t="n">
        <f aca="false">MONTH(E2599)</f>
        <v>12</v>
      </c>
      <c r="K2599" s="3" t="n">
        <f aca="false">COUNTIFS($B$2:$B$4077,B2599,$C$2:$C$4077,C2599,$I$2:$I$4077,I2599)</f>
        <v>1</v>
      </c>
      <c r="L2599" s="3" t="n">
        <f aca="false">IF(COUNTIFS($B$2:B2599,B2599,$C$2:C2599,C2599,$I$2:I2599,I2599)=1,1,0)</f>
        <v>1</v>
      </c>
      <c r="M2599" s="3" t="n">
        <f aca="false">IF(K2599&gt;=Parametri!$B$1,1,0)</f>
        <v>0</v>
      </c>
      <c r="N2599" s="3" t="n">
        <f aca="false">L2599*M2599</f>
        <v>0</v>
      </c>
    </row>
    <row r="2600" customFormat="false" ht="15" hidden="false" customHeight="false" outlineLevel="0" collapsed="false">
      <c r="A2600" s="0" t="s">
        <v>4049</v>
      </c>
      <c r="B2600" s="0" t="s">
        <v>31</v>
      </c>
      <c r="C2600" s="0" t="s">
        <v>1621</v>
      </c>
      <c r="D2600" s="0" t="s">
        <v>26</v>
      </c>
      <c r="E2600" s="2" t="n">
        <v>46123</v>
      </c>
      <c r="F2600" s="3" t="s">
        <v>27</v>
      </c>
      <c r="G2600" s="3" t="s">
        <v>55</v>
      </c>
      <c r="H2600" s="3" t="s">
        <v>29</v>
      </c>
      <c r="I2600" s="3" t="n">
        <f aca="false">YEAR(E2600)</f>
        <v>2026</v>
      </c>
      <c r="J2600" s="3" t="n">
        <f aca="false">MONTH(E2600)</f>
        <v>4</v>
      </c>
      <c r="K2600" s="3" t="n">
        <f aca="false">COUNTIFS($B$2:$B$4077,B2600,$C$2:$C$4077,C2600,$I$2:$I$4077,I2600)</f>
        <v>1</v>
      </c>
      <c r="L2600" s="3" t="n">
        <f aca="false">IF(COUNTIFS($B$2:B2600,B2600,$C$2:C2600,C2600,$I$2:I2600,I2600)=1,1,0)</f>
        <v>1</v>
      </c>
      <c r="M2600" s="3" t="n">
        <f aca="false">IF(K2600&gt;=Parametri!$B$1,1,0)</f>
        <v>0</v>
      </c>
      <c r="N2600" s="3" t="n">
        <f aca="false">L2600*M2600</f>
        <v>0</v>
      </c>
    </row>
    <row r="2601" customFormat="false" ht="15" hidden="false" customHeight="false" outlineLevel="0" collapsed="false">
      <c r="A2601" s="0" t="s">
        <v>4050</v>
      </c>
      <c r="B2601" s="0" t="s">
        <v>68</v>
      </c>
      <c r="C2601" s="0" t="s">
        <v>4051</v>
      </c>
      <c r="D2601" s="0" t="s">
        <v>77</v>
      </c>
      <c r="E2601" s="2" t="n">
        <v>45872</v>
      </c>
      <c r="F2601" s="3" t="s">
        <v>34</v>
      </c>
      <c r="G2601" s="3" t="s">
        <v>43</v>
      </c>
      <c r="H2601" s="3" t="s">
        <v>48</v>
      </c>
      <c r="I2601" s="3" t="n">
        <f aca="false">YEAR(E2601)</f>
        <v>2025</v>
      </c>
      <c r="J2601" s="3" t="n">
        <f aca="false">MONTH(E2601)</f>
        <v>8</v>
      </c>
      <c r="K2601" s="3" t="n">
        <f aca="false">COUNTIFS($B$2:$B$4077,B2601,$C$2:$C$4077,C2601,$I$2:$I$4077,I2601)</f>
        <v>1</v>
      </c>
      <c r="L2601" s="3" t="n">
        <f aca="false">IF(COUNTIFS($B$2:B2601,B2601,$C$2:C2601,C2601,$I$2:I2601,I2601)=1,1,0)</f>
        <v>1</v>
      </c>
      <c r="M2601" s="3" t="n">
        <f aca="false">IF(K2601&gt;=Parametri!$B$1,1,0)</f>
        <v>0</v>
      </c>
      <c r="N2601" s="3" t="n">
        <f aca="false">L2601*M2601</f>
        <v>0</v>
      </c>
    </row>
    <row r="2602" customFormat="false" ht="15" hidden="false" customHeight="false" outlineLevel="0" collapsed="false">
      <c r="A2602" s="0" t="s">
        <v>4052</v>
      </c>
      <c r="B2602" s="0" t="s">
        <v>124</v>
      </c>
      <c r="C2602" s="0" t="s">
        <v>3211</v>
      </c>
      <c r="D2602" s="0" t="s">
        <v>19</v>
      </c>
      <c r="E2602" s="2" t="n">
        <v>45885</v>
      </c>
      <c r="F2602" s="3" t="s">
        <v>27</v>
      </c>
      <c r="G2602" s="3" t="s">
        <v>43</v>
      </c>
      <c r="H2602" s="3" t="s">
        <v>44</v>
      </c>
      <c r="I2602" s="3" t="n">
        <f aca="false">YEAR(E2602)</f>
        <v>2025</v>
      </c>
      <c r="J2602" s="3" t="n">
        <f aca="false">MONTH(E2602)</f>
        <v>8</v>
      </c>
      <c r="K2602" s="3" t="n">
        <f aca="false">COUNTIFS($B$2:$B$4077,B2602,$C$2:$C$4077,C2602,$I$2:$I$4077,I2602)</f>
        <v>1</v>
      </c>
      <c r="L2602" s="3" t="n">
        <f aca="false">IF(COUNTIFS($B$2:B2602,B2602,$C$2:C2602,C2602,$I$2:I2602,I2602)=1,1,0)</f>
        <v>1</v>
      </c>
      <c r="M2602" s="3" t="n">
        <f aca="false">IF(K2602&gt;=Parametri!$B$1,1,0)</f>
        <v>0</v>
      </c>
      <c r="N2602" s="3" t="n">
        <f aca="false">L2602*M2602</f>
        <v>0</v>
      </c>
    </row>
    <row r="2603" customFormat="false" ht="15" hidden="false" customHeight="false" outlineLevel="0" collapsed="false">
      <c r="A2603" s="0" t="s">
        <v>4053</v>
      </c>
      <c r="B2603" s="0" t="s">
        <v>41</v>
      </c>
      <c r="C2603" s="0" t="s">
        <v>2941</v>
      </c>
      <c r="D2603" s="0" t="s">
        <v>77</v>
      </c>
      <c r="E2603" s="2" t="n">
        <v>46160</v>
      </c>
      <c r="F2603" s="3" t="s">
        <v>20</v>
      </c>
      <c r="G2603" s="3" t="s">
        <v>72</v>
      </c>
      <c r="H2603" s="3" t="s">
        <v>44</v>
      </c>
      <c r="I2603" s="3" t="n">
        <f aca="false">YEAR(E2603)</f>
        <v>2026</v>
      </c>
      <c r="J2603" s="3" t="n">
        <f aca="false">MONTH(E2603)</f>
        <v>5</v>
      </c>
      <c r="K2603" s="3" t="n">
        <f aca="false">COUNTIFS($B$2:$B$4077,B2603,$C$2:$C$4077,C2603,$I$2:$I$4077,I2603)</f>
        <v>2</v>
      </c>
      <c r="L2603" s="3" t="n">
        <f aca="false">IF(COUNTIFS($B$2:B2603,B2603,$C$2:C2603,C2603,$I$2:I2603,I2603)=1,1,0)</f>
        <v>0</v>
      </c>
      <c r="M2603" s="3" t="n">
        <f aca="false">IF(K2603&gt;=Parametri!$B$1,1,0)</f>
        <v>1</v>
      </c>
      <c r="N2603" s="3" t="n">
        <f aca="false">L2603*M2603</f>
        <v>0</v>
      </c>
    </row>
    <row r="2604" customFormat="false" ht="15" hidden="false" customHeight="false" outlineLevel="0" collapsed="false">
      <c r="A2604" s="0" t="s">
        <v>4054</v>
      </c>
      <c r="B2604" s="0" t="s">
        <v>24</v>
      </c>
      <c r="C2604" s="0" t="s">
        <v>1006</v>
      </c>
      <c r="D2604" s="0" t="s">
        <v>66</v>
      </c>
      <c r="E2604" s="2" t="n">
        <v>45799</v>
      </c>
      <c r="F2604" s="3" t="s">
        <v>27</v>
      </c>
      <c r="G2604" s="3" t="s">
        <v>28</v>
      </c>
      <c r="H2604" s="3" t="s">
        <v>29</v>
      </c>
      <c r="I2604" s="3" t="n">
        <f aca="false">YEAR(E2604)</f>
        <v>2025</v>
      </c>
      <c r="J2604" s="3" t="n">
        <f aca="false">MONTH(E2604)</f>
        <v>5</v>
      </c>
      <c r="K2604" s="3" t="n">
        <f aca="false">COUNTIFS($B$2:$B$4077,B2604,$C$2:$C$4077,C2604,$I$2:$I$4077,I2604)</f>
        <v>1</v>
      </c>
      <c r="L2604" s="3" t="n">
        <f aca="false">IF(COUNTIFS($B$2:B2604,B2604,$C$2:C2604,C2604,$I$2:I2604,I2604)=1,1,0)</f>
        <v>1</v>
      </c>
      <c r="M2604" s="3" t="n">
        <f aca="false">IF(K2604&gt;=Parametri!$B$1,1,0)</f>
        <v>0</v>
      </c>
      <c r="N2604" s="3" t="n">
        <f aca="false">L2604*M2604</f>
        <v>0</v>
      </c>
    </row>
    <row r="2605" customFormat="false" ht="15" hidden="false" customHeight="false" outlineLevel="0" collapsed="false">
      <c r="A2605" s="0" t="s">
        <v>4055</v>
      </c>
      <c r="B2605" s="0" t="s">
        <v>57</v>
      </c>
      <c r="C2605" s="0" t="s">
        <v>649</v>
      </c>
      <c r="D2605" s="0" t="s">
        <v>63</v>
      </c>
      <c r="E2605" s="2" t="n">
        <v>45476</v>
      </c>
      <c r="F2605" s="3" t="s">
        <v>27</v>
      </c>
      <c r="G2605" s="3" t="s">
        <v>89</v>
      </c>
      <c r="H2605" s="3" t="s">
        <v>29</v>
      </c>
      <c r="I2605" s="3" t="n">
        <f aca="false">YEAR(E2605)</f>
        <v>2024</v>
      </c>
      <c r="J2605" s="3" t="n">
        <f aca="false">MONTH(E2605)</f>
        <v>7</v>
      </c>
      <c r="K2605" s="3" t="n">
        <f aca="false">COUNTIFS($B$2:$B$4077,B2605,$C$2:$C$4077,C2605,$I$2:$I$4077,I2605)</f>
        <v>1</v>
      </c>
      <c r="L2605" s="3" t="n">
        <f aca="false">IF(COUNTIFS($B$2:B2605,B2605,$C$2:C2605,C2605,$I$2:I2605,I2605)=1,1,0)</f>
        <v>1</v>
      </c>
      <c r="M2605" s="3" t="n">
        <f aca="false">IF(K2605&gt;=Parametri!$B$1,1,0)</f>
        <v>0</v>
      </c>
      <c r="N2605" s="3" t="n">
        <f aca="false">L2605*M2605</f>
        <v>0</v>
      </c>
    </row>
    <row r="2606" customFormat="false" ht="15" hidden="false" customHeight="false" outlineLevel="0" collapsed="false">
      <c r="A2606" s="0" t="s">
        <v>4056</v>
      </c>
      <c r="B2606" s="0" t="s">
        <v>124</v>
      </c>
      <c r="C2606" s="0" t="s">
        <v>2810</v>
      </c>
      <c r="D2606" s="0" t="s">
        <v>54</v>
      </c>
      <c r="E2606" s="2" t="n">
        <v>46103</v>
      </c>
      <c r="F2606" s="3" t="s">
        <v>27</v>
      </c>
      <c r="G2606" s="3" t="s">
        <v>43</v>
      </c>
      <c r="H2606" s="3" t="s">
        <v>48</v>
      </c>
      <c r="I2606" s="3" t="n">
        <f aca="false">YEAR(E2606)</f>
        <v>2026</v>
      </c>
      <c r="J2606" s="3" t="n">
        <f aca="false">MONTH(E2606)</f>
        <v>3</v>
      </c>
      <c r="K2606" s="3" t="n">
        <f aca="false">COUNTIFS($B$2:$B$4077,B2606,$C$2:$C$4077,C2606,$I$2:$I$4077,I2606)</f>
        <v>3</v>
      </c>
      <c r="L2606" s="3" t="n">
        <f aca="false">IF(COUNTIFS($B$2:B2606,B2606,$C$2:C2606,C2606,$I$2:I2606,I2606)=1,1,0)</f>
        <v>0</v>
      </c>
      <c r="M2606" s="3" t="n">
        <f aca="false">IF(K2606&gt;=Parametri!$B$1,1,0)</f>
        <v>1</v>
      </c>
      <c r="N2606" s="3" t="n">
        <f aca="false">L2606*M2606</f>
        <v>0</v>
      </c>
    </row>
    <row r="2607" customFormat="false" ht="15" hidden="false" customHeight="false" outlineLevel="0" collapsed="false">
      <c r="A2607" s="0" t="s">
        <v>4057</v>
      </c>
      <c r="B2607" s="0" t="s">
        <v>17</v>
      </c>
      <c r="C2607" s="0" t="s">
        <v>985</v>
      </c>
      <c r="D2607" s="0" t="s">
        <v>66</v>
      </c>
      <c r="E2607" s="2" t="n">
        <v>45924</v>
      </c>
      <c r="F2607" s="3" t="s">
        <v>20</v>
      </c>
      <c r="G2607" s="3" t="s">
        <v>43</v>
      </c>
      <c r="H2607" s="3" t="s">
        <v>48</v>
      </c>
      <c r="I2607" s="3" t="n">
        <f aca="false">YEAR(E2607)</f>
        <v>2025</v>
      </c>
      <c r="J2607" s="3" t="n">
        <f aca="false">MONTH(E2607)</f>
        <v>9</v>
      </c>
      <c r="K2607" s="3" t="n">
        <f aca="false">COUNTIFS($B$2:$B$4077,B2607,$C$2:$C$4077,C2607,$I$2:$I$4077,I2607)</f>
        <v>1</v>
      </c>
      <c r="L2607" s="3" t="n">
        <f aca="false">IF(COUNTIFS($B$2:B2607,B2607,$C$2:C2607,C2607,$I$2:I2607,I2607)=1,1,0)</f>
        <v>1</v>
      </c>
      <c r="M2607" s="3" t="n">
        <f aca="false">IF(K2607&gt;=Parametri!$B$1,1,0)</f>
        <v>0</v>
      </c>
      <c r="N2607" s="3" t="n">
        <f aca="false">L2607*M2607</f>
        <v>0</v>
      </c>
    </row>
    <row r="2608" customFormat="false" ht="15" hidden="false" customHeight="false" outlineLevel="0" collapsed="false">
      <c r="A2608" s="0" t="s">
        <v>4058</v>
      </c>
      <c r="B2608" s="0" t="s">
        <v>79</v>
      </c>
      <c r="C2608" s="0" t="s">
        <v>1387</v>
      </c>
      <c r="D2608" s="0" t="s">
        <v>54</v>
      </c>
      <c r="E2608" s="2" t="n">
        <v>45902</v>
      </c>
      <c r="F2608" s="3" t="s">
        <v>20</v>
      </c>
      <c r="G2608" s="3" t="s">
        <v>39</v>
      </c>
      <c r="H2608" s="3" t="s">
        <v>44</v>
      </c>
      <c r="I2608" s="3" t="n">
        <f aca="false">YEAR(E2608)</f>
        <v>2025</v>
      </c>
      <c r="J2608" s="3" t="n">
        <f aca="false">MONTH(E2608)</f>
        <v>9</v>
      </c>
      <c r="K2608" s="3" t="n">
        <f aca="false">COUNTIFS($B$2:$B$4077,B2608,$C$2:$C$4077,C2608,$I$2:$I$4077,I2608)</f>
        <v>1</v>
      </c>
      <c r="L2608" s="3" t="n">
        <f aca="false">IF(COUNTIFS($B$2:B2608,B2608,$C$2:C2608,C2608,$I$2:I2608,I2608)=1,1,0)</f>
        <v>1</v>
      </c>
      <c r="M2608" s="3" t="n">
        <f aca="false">IF(K2608&gt;=Parametri!$B$1,1,0)</f>
        <v>0</v>
      </c>
      <c r="N2608" s="3" t="n">
        <f aca="false">L2608*M2608</f>
        <v>0</v>
      </c>
    </row>
    <row r="2609" customFormat="false" ht="15" hidden="false" customHeight="false" outlineLevel="0" collapsed="false">
      <c r="A2609" s="0" t="s">
        <v>4059</v>
      </c>
      <c r="B2609" s="0" t="s">
        <v>68</v>
      </c>
      <c r="C2609" s="0" t="s">
        <v>563</v>
      </c>
      <c r="D2609" s="0" t="s">
        <v>54</v>
      </c>
      <c r="E2609" s="2" t="n">
        <v>45777</v>
      </c>
      <c r="F2609" s="3" t="s">
        <v>20</v>
      </c>
      <c r="G2609" s="3" t="s">
        <v>39</v>
      </c>
      <c r="H2609" s="3" t="s">
        <v>44</v>
      </c>
      <c r="I2609" s="3" t="n">
        <f aca="false">YEAR(E2609)</f>
        <v>2025</v>
      </c>
      <c r="J2609" s="3" t="n">
        <f aca="false">MONTH(E2609)</f>
        <v>4</v>
      </c>
      <c r="K2609" s="3" t="n">
        <f aca="false">COUNTIFS($B$2:$B$4077,B2609,$C$2:$C$4077,C2609,$I$2:$I$4077,I2609)</f>
        <v>3</v>
      </c>
      <c r="L2609" s="3" t="n">
        <f aca="false">IF(COUNTIFS($B$2:B2609,B2609,$C$2:C2609,C2609,$I$2:I2609,I2609)=1,1,0)</f>
        <v>1</v>
      </c>
      <c r="M2609" s="3" t="n">
        <f aca="false">IF(K2609&gt;=Parametri!$B$1,1,0)</f>
        <v>1</v>
      </c>
      <c r="N2609" s="3" t="n">
        <f aca="false">L2609*M2609</f>
        <v>1</v>
      </c>
    </row>
    <row r="2610" customFormat="false" ht="15" hidden="false" customHeight="false" outlineLevel="0" collapsed="false">
      <c r="A2610" s="0" t="s">
        <v>4060</v>
      </c>
      <c r="B2610" s="0" t="s">
        <v>24</v>
      </c>
      <c r="C2610" s="0" t="s">
        <v>2782</v>
      </c>
      <c r="D2610" s="0" t="s">
        <v>63</v>
      </c>
      <c r="E2610" s="2" t="n">
        <v>45394</v>
      </c>
      <c r="F2610" s="3" t="s">
        <v>20</v>
      </c>
      <c r="G2610" s="3" t="s">
        <v>72</v>
      </c>
      <c r="H2610" s="3" t="s">
        <v>48</v>
      </c>
      <c r="I2610" s="3" t="n">
        <f aca="false">YEAR(E2610)</f>
        <v>2024</v>
      </c>
      <c r="J2610" s="3" t="n">
        <f aca="false">MONTH(E2610)</f>
        <v>4</v>
      </c>
      <c r="K2610" s="3" t="n">
        <f aca="false">COUNTIFS($B$2:$B$4077,B2610,$C$2:$C$4077,C2610,$I$2:$I$4077,I2610)</f>
        <v>1</v>
      </c>
      <c r="L2610" s="3" t="n">
        <f aca="false">IF(COUNTIFS($B$2:B2610,B2610,$C$2:C2610,C2610,$I$2:I2610,I2610)=1,1,0)</f>
        <v>1</v>
      </c>
      <c r="M2610" s="3" t="n">
        <f aca="false">IF(K2610&gt;=Parametri!$B$1,1,0)</f>
        <v>0</v>
      </c>
      <c r="N2610" s="3" t="n">
        <f aca="false">L2610*M2610</f>
        <v>0</v>
      </c>
    </row>
    <row r="2611" customFormat="false" ht="15" hidden="false" customHeight="false" outlineLevel="0" collapsed="false">
      <c r="A2611" s="0" t="s">
        <v>4061</v>
      </c>
      <c r="B2611" s="0" t="s">
        <v>17</v>
      </c>
      <c r="C2611" s="0" t="s">
        <v>1003</v>
      </c>
      <c r="D2611" s="0" t="s">
        <v>66</v>
      </c>
      <c r="E2611" s="2" t="n">
        <v>45642</v>
      </c>
      <c r="F2611" s="3" t="s">
        <v>20</v>
      </c>
      <c r="G2611" s="3" t="s">
        <v>39</v>
      </c>
      <c r="H2611" s="3" t="s">
        <v>29</v>
      </c>
      <c r="I2611" s="3" t="n">
        <f aca="false">YEAR(E2611)</f>
        <v>2024</v>
      </c>
      <c r="J2611" s="3" t="n">
        <f aca="false">MONTH(E2611)</f>
        <v>12</v>
      </c>
      <c r="K2611" s="3" t="n">
        <f aca="false">COUNTIFS($B$2:$B$4077,B2611,$C$2:$C$4077,C2611,$I$2:$I$4077,I2611)</f>
        <v>3</v>
      </c>
      <c r="L2611" s="3" t="n">
        <f aca="false">IF(COUNTIFS($B$2:B2611,B2611,$C$2:C2611,C2611,$I$2:I2611,I2611)=1,1,0)</f>
        <v>0</v>
      </c>
      <c r="M2611" s="3" t="n">
        <f aca="false">IF(K2611&gt;=Parametri!$B$1,1,0)</f>
        <v>1</v>
      </c>
      <c r="N2611" s="3" t="n">
        <f aca="false">L2611*M2611</f>
        <v>0</v>
      </c>
    </row>
    <row r="2612" customFormat="false" ht="15" hidden="false" customHeight="false" outlineLevel="0" collapsed="false">
      <c r="A2612" s="0" t="s">
        <v>4062</v>
      </c>
      <c r="B2612" s="0" t="s">
        <v>17</v>
      </c>
      <c r="C2612" s="0" t="s">
        <v>208</v>
      </c>
      <c r="D2612" s="0" t="s">
        <v>66</v>
      </c>
      <c r="E2612" s="2" t="n">
        <v>45545</v>
      </c>
      <c r="F2612" s="3" t="s">
        <v>20</v>
      </c>
      <c r="G2612" s="3" t="s">
        <v>55</v>
      </c>
      <c r="H2612" s="3" t="s">
        <v>29</v>
      </c>
      <c r="I2612" s="3" t="n">
        <f aca="false">YEAR(E2612)</f>
        <v>2024</v>
      </c>
      <c r="J2612" s="3" t="n">
        <f aca="false">MONTH(E2612)</f>
        <v>9</v>
      </c>
      <c r="K2612" s="3" t="n">
        <f aca="false">COUNTIFS($B$2:$B$4077,B2612,$C$2:$C$4077,C2612,$I$2:$I$4077,I2612)</f>
        <v>4</v>
      </c>
      <c r="L2612" s="3" t="n">
        <f aca="false">IF(COUNTIFS($B$2:B2612,B2612,$C$2:C2612,C2612,$I$2:I2612,I2612)=1,1,0)</f>
        <v>0</v>
      </c>
      <c r="M2612" s="3" t="n">
        <f aca="false">IF(K2612&gt;=Parametri!$B$1,1,0)</f>
        <v>1</v>
      </c>
      <c r="N2612" s="3" t="n">
        <f aca="false">L2612*M2612</f>
        <v>0</v>
      </c>
    </row>
    <row r="2613" customFormat="false" ht="15" hidden="false" customHeight="false" outlineLevel="0" collapsed="false">
      <c r="A2613" s="0" t="s">
        <v>4063</v>
      </c>
      <c r="B2613" s="0" t="s">
        <v>41</v>
      </c>
      <c r="C2613" s="0" t="s">
        <v>4064</v>
      </c>
      <c r="D2613" s="0" t="s">
        <v>33</v>
      </c>
      <c r="E2613" s="2" t="n">
        <v>46144</v>
      </c>
      <c r="F2613" s="3" t="s">
        <v>20</v>
      </c>
      <c r="G2613" s="3" t="s">
        <v>55</v>
      </c>
      <c r="H2613" s="3" t="s">
        <v>29</v>
      </c>
      <c r="I2613" s="3" t="n">
        <f aca="false">YEAR(E2613)</f>
        <v>2026</v>
      </c>
      <c r="J2613" s="3" t="n">
        <f aca="false">MONTH(E2613)</f>
        <v>5</v>
      </c>
      <c r="K2613" s="3" t="n">
        <f aca="false">COUNTIFS($B$2:$B$4077,B2613,$C$2:$C$4077,C2613,$I$2:$I$4077,I2613)</f>
        <v>1</v>
      </c>
      <c r="L2613" s="3" t="n">
        <f aca="false">IF(COUNTIFS($B$2:B2613,B2613,$C$2:C2613,C2613,$I$2:I2613,I2613)=1,1,0)</f>
        <v>1</v>
      </c>
      <c r="M2613" s="3" t="n">
        <f aca="false">IF(K2613&gt;=Parametri!$B$1,1,0)</f>
        <v>0</v>
      </c>
      <c r="N2613" s="3" t="n">
        <f aca="false">L2613*M2613</f>
        <v>0</v>
      </c>
    </row>
    <row r="2614" customFormat="false" ht="15" hidden="false" customHeight="false" outlineLevel="0" collapsed="false">
      <c r="A2614" s="0" t="s">
        <v>4065</v>
      </c>
      <c r="B2614" s="0" t="s">
        <v>17</v>
      </c>
      <c r="C2614" s="0" t="s">
        <v>4066</v>
      </c>
      <c r="D2614" s="0" t="s">
        <v>26</v>
      </c>
      <c r="E2614" s="2" t="n">
        <v>45569</v>
      </c>
      <c r="F2614" s="3" t="s">
        <v>20</v>
      </c>
      <c r="G2614" s="3" t="s">
        <v>43</v>
      </c>
      <c r="H2614" s="3" t="s">
        <v>29</v>
      </c>
      <c r="I2614" s="3" t="n">
        <f aca="false">YEAR(E2614)</f>
        <v>2024</v>
      </c>
      <c r="J2614" s="3" t="n">
        <f aca="false">MONTH(E2614)</f>
        <v>10</v>
      </c>
      <c r="K2614" s="3" t="n">
        <f aca="false">COUNTIFS($B$2:$B$4077,B2614,$C$2:$C$4077,C2614,$I$2:$I$4077,I2614)</f>
        <v>1</v>
      </c>
      <c r="L2614" s="3" t="n">
        <f aca="false">IF(COUNTIFS($B$2:B2614,B2614,$C$2:C2614,C2614,$I$2:I2614,I2614)=1,1,0)</f>
        <v>1</v>
      </c>
      <c r="M2614" s="3" t="n">
        <f aca="false">IF(K2614&gt;=Parametri!$B$1,1,0)</f>
        <v>0</v>
      </c>
      <c r="N2614" s="3" t="n">
        <f aca="false">L2614*M2614</f>
        <v>0</v>
      </c>
    </row>
    <row r="2615" customFormat="false" ht="15" hidden="false" customHeight="false" outlineLevel="0" collapsed="false">
      <c r="A2615" s="0" t="s">
        <v>4067</v>
      </c>
      <c r="B2615" s="0" t="s">
        <v>79</v>
      </c>
      <c r="C2615" s="0" t="s">
        <v>190</v>
      </c>
      <c r="D2615" s="0" t="s">
        <v>54</v>
      </c>
      <c r="E2615" s="2" t="n">
        <v>46124</v>
      </c>
      <c r="F2615" s="3" t="s">
        <v>20</v>
      </c>
      <c r="G2615" s="3" t="s">
        <v>55</v>
      </c>
      <c r="H2615" s="3" t="s">
        <v>22</v>
      </c>
      <c r="I2615" s="3" t="n">
        <f aca="false">YEAR(E2615)</f>
        <v>2026</v>
      </c>
      <c r="J2615" s="3" t="n">
        <f aca="false">MONTH(E2615)</f>
        <v>4</v>
      </c>
      <c r="K2615" s="3" t="n">
        <f aca="false">COUNTIFS($B$2:$B$4077,B2615,$C$2:$C$4077,C2615,$I$2:$I$4077,I2615)</f>
        <v>3</v>
      </c>
      <c r="L2615" s="3" t="n">
        <f aca="false">IF(COUNTIFS($B$2:B2615,B2615,$C$2:C2615,C2615,$I$2:I2615,I2615)=1,1,0)</f>
        <v>0</v>
      </c>
      <c r="M2615" s="3" t="n">
        <f aca="false">IF(K2615&gt;=Parametri!$B$1,1,0)</f>
        <v>1</v>
      </c>
      <c r="N2615" s="3" t="n">
        <f aca="false">L2615*M2615</f>
        <v>0</v>
      </c>
    </row>
    <row r="2616" customFormat="false" ht="15" hidden="false" customHeight="false" outlineLevel="0" collapsed="false">
      <c r="A2616" s="0" t="s">
        <v>4068</v>
      </c>
      <c r="B2616" s="0" t="s">
        <v>17</v>
      </c>
      <c r="C2616" s="0" t="s">
        <v>1103</v>
      </c>
      <c r="D2616" s="0" t="s">
        <v>19</v>
      </c>
      <c r="E2616" s="2" t="n">
        <v>45696</v>
      </c>
      <c r="F2616" s="3" t="s">
        <v>20</v>
      </c>
      <c r="G2616" s="3" t="s">
        <v>55</v>
      </c>
      <c r="H2616" s="3" t="s">
        <v>44</v>
      </c>
      <c r="I2616" s="3" t="n">
        <f aca="false">YEAR(E2616)</f>
        <v>2025</v>
      </c>
      <c r="J2616" s="3" t="n">
        <f aca="false">MONTH(E2616)</f>
        <v>2</v>
      </c>
      <c r="K2616" s="3" t="n">
        <f aca="false">COUNTIFS($B$2:$B$4077,B2616,$C$2:$C$4077,C2616,$I$2:$I$4077,I2616)</f>
        <v>1</v>
      </c>
      <c r="L2616" s="3" t="n">
        <f aca="false">IF(COUNTIFS($B$2:B2616,B2616,$C$2:C2616,C2616,$I$2:I2616,I2616)=1,1,0)</f>
        <v>1</v>
      </c>
      <c r="M2616" s="3" t="n">
        <f aca="false">IF(K2616&gt;=Parametri!$B$1,1,0)</f>
        <v>0</v>
      </c>
      <c r="N2616" s="3" t="n">
        <f aca="false">L2616*M2616</f>
        <v>0</v>
      </c>
    </row>
    <row r="2617" customFormat="false" ht="15" hidden="false" customHeight="false" outlineLevel="0" collapsed="false">
      <c r="A2617" s="0" t="s">
        <v>4069</v>
      </c>
      <c r="B2617" s="0" t="s">
        <v>41</v>
      </c>
      <c r="C2617" s="0" t="s">
        <v>4070</v>
      </c>
      <c r="D2617" s="0" t="s">
        <v>77</v>
      </c>
      <c r="E2617" s="2" t="n">
        <v>45710</v>
      </c>
      <c r="F2617" s="3" t="s">
        <v>104</v>
      </c>
      <c r="G2617" s="3" t="s">
        <v>104</v>
      </c>
      <c r="H2617" s="3" t="s">
        <v>104</v>
      </c>
      <c r="I2617" s="3" t="n">
        <f aca="false">YEAR(E2617)</f>
        <v>2025</v>
      </c>
      <c r="J2617" s="3" t="n">
        <f aca="false">MONTH(E2617)</f>
        <v>2</v>
      </c>
      <c r="K2617" s="3" t="n">
        <f aca="false">COUNTIFS($B$2:$B$4077,B2617,$C$2:$C$4077,C2617,$I$2:$I$4077,I2617)</f>
        <v>1</v>
      </c>
      <c r="L2617" s="3" t="n">
        <f aca="false">IF(COUNTIFS($B$2:B2617,B2617,$C$2:C2617,C2617,$I$2:I2617,I2617)=1,1,0)</f>
        <v>1</v>
      </c>
      <c r="M2617" s="3" t="n">
        <f aca="false">IF(K2617&gt;=Parametri!$B$1,1,0)</f>
        <v>0</v>
      </c>
      <c r="N2617" s="3" t="n">
        <f aca="false">L2617*M2617</f>
        <v>0</v>
      </c>
    </row>
    <row r="2618" customFormat="false" ht="15" hidden="false" customHeight="false" outlineLevel="0" collapsed="false">
      <c r="A2618" s="0" t="s">
        <v>4071</v>
      </c>
      <c r="B2618" s="0" t="s">
        <v>17</v>
      </c>
      <c r="C2618" s="0" t="s">
        <v>4072</v>
      </c>
      <c r="D2618" s="0" t="s">
        <v>26</v>
      </c>
      <c r="E2618" s="2" t="n">
        <v>45407</v>
      </c>
      <c r="F2618" s="3" t="s">
        <v>20</v>
      </c>
      <c r="G2618" s="3" t="s">
        <v>89</v>
      </c>
      <c r="H2618" s="3" t="s">
        <v>44</v>
      </c>
      <c r="I2618" s="3" t="n">
        <f aca="false">YEAR(E2618)</f>
        <v>2024</v>
      </c>
      <c r="J2618" s="3" t="n">
        <f aca="false">MONTH(E2618)</f>
        <v>4</v>
      </c>
      <c r="K2618" s="3" t="n">
        <f aca="false">COUNTIFS($B$2:$B$4077,B2618,$C$2:$C$4077,C2618,$I$2:$I$4077,I2618)</f>
        <v>2</v>
      </c>
      <c r="L2618" s="3" t="n">
        <f aca="false">IF(COUNTIFS($B$2:B2618,B2618,$C$2:C2618,C2618,$I$2:I2618,I2618)=1,1,0)</f>
        <v>1</v>
      </c>
      <c r="M2618" s="3" t="n">
        <f aca="false">IF(K2618&gt;=Parametri!$B$1,1,0)</f>
        <v>1</v>
      </c>
      <c r="N2618" s="3" t="n">
        <f aca="false">L2618*M2618</f>
        <v>1</v>
      </c>
    </row>
    <row r="2619" customFormat="false" ht="15" hidden="false" customHeight="false" outlineLevel="0" collapsed="false">
      <c r="A2619" s="0" t="s">
        <v>4073</v>
      </c>
      <c r="B2619" s="0" t="s">
        <v>68</v>
      </c>
      <c r="C2619" s="0" t="s">
        <v>3831</v>
      </c>
      <c r="D2619" s="0" t="s">
        <v>77</v>
      </c>
      <c r="E2619" s="2" t="n">
        <v>46032</v>
      </c>
      <c r="F2619" s="3" t="s">
        <v>27</v>
      </c>
      <c r="G2619" s="3" t="s">
        <v>43</v>
      </c>
      <c r="H2619" s="3" t="s">
        <v>29</v>
      </c>
      <c r="I2619" s="3" t="n">
        <f aca="false">YEAR(E2619)</f>
        <v>2026</v>
      </c>
      <c r="J2619" s="3" t="n">
        <f aca="false">MONTH(E2619)</f>
        <v>1</v>
      </c>
      <c r="K2619" s="3" t="n">
        <f aca="false">COUNTIFS($B$2:$B$4077,B2619,$C$2:$C$4077,C2619,$I$2:$I$4077,I2619)</f>
        <v>3</v>
      </c>
      <c r="L2619" s="3" t="n">
        <f aca="false">IF(COUNTIFS($B$2:B2619,B2619,$C$2:C2619,C2619,$I$2:I2619,I2619)=1,1,0)</f>
        <v>0</v>
      </c>
      <c r="M2619" s="3" t="n">
        <f aca="false">IF(K2619&gt;=Parametri!$B$1,1,0)</f>
        <v>1</v>
      </c>
      <c r="N2619" s="3" t="n">
        <f aca="false">L2619*M2619</f>
        <v>0</v>
      </c>
    </row>
    <row r="2620" customFormat="false" ht="15" hidden="false" customHeight="false" outlineLevel="0" collapsed="false">
      <c r="A2620" s="0" t="s">
        <v>4074</v>
      </c>
      <c r="B2620" s="0" t="s">
        <v>24</v>
      </c>
      <c r="C2620" s="0" t="s">
        <v>254</v>
      </c>
      <c r="D2620" s="0" t="s">
        <v>19</v>
      </c>
      <c r="E2620" s="2" t="n">
        <v>45816</v>
      </c>
      <c r="F2620" s="3" t="s">
        <v>20</v>
      </c>
      <c r="G2620" s="3" t="s">
        <v>55</v>
      </c>
      <c r="H2620" s="3" t="s">
        <v>22</v>
      </c>
      <c r="I2620" s="3" t="n">
        <f aca="false">YEAR(E2620)</f>
        <v>2025</v>
      </c>
      <c r="J2620" s="3" t="n">
        <f aca="false">MONTH(E2620)</f>
        <v>6</v>
      </c>
      <c r="K2620" s="3" t="n">
        <f aca="false">COUNTIFS($B$2:$B$4077,B2620,$C$2:$C$4077,C2620,$I$2:$I$4077,I2620)</f>
        <v>1</v>
      </c>
      <c r="L2620" s="3" t="n">
        <f aca="false">IF(COUNTIFS($B$2:B2620,B2620,$C$2:C2620,C2620,$I$2:I2620,I2620)=1,1,0)</f>
        <v>1</v>
      </c>
      <c r="M2620" s="3" t="n">
        <f aca="false">IF(K2620&gt;=Parametri!$B$1,1,0)</f>
        <v>0</v>
      </c>
      <c r="N2620" s="3" t="n">
        <f aca="false">L2620*M2620</f>
        <v>0</v>
      </c>
    </row>
    <row r="2621" customFormat="false" ht="15" hidden="false" customHeight="false" outlineLevel="0" collapsed="false">
      <c r="A2621" s="0" t="s">
        <v>4075</v>
      </c>
      <c r="B2621" s="0" t="s">
        <v>46</v>
      </c>
      <c r="C2621" s="0" t="s">
        <v>2525</v>
      </c>
      <c r="D2621" s="0" t="s">
        <v>38</v>
      </c>
      <c r="E2621" s="2" t="n">
        <v>46168</v>
      </c>
      <c r="F2621" s="3" t="s">
        <v>27</v>
      </c>
      <c r="G2621" s="3" t="s">
        <v>55</v>
      </c>
      <c r="H2621" s="3" t="s">
        <v>29</v>
      </c>
      <c r="I2621" s="3" t="n">
        <f aca="false">YEAR(E2621)</f>
        <v>2026</v>
      </c>
      <c r="J2621" s="3" t="n">
        <f aca="false">MONTH(E2621)</f>
        <v>5</v>
      </c>
      <c r="K2621" s="3" t="n">
        <f aca="false">COUNTIFS($B$2:$B$4077,B2621,$C$2:$C$4077,C2621,$I$2:$I$4077,I2621)</f>
        <v>2</v>
      </c>
      <c r="L2621" s="3" t="n">
        <f aca="false">IF(COUNTIFS($B$2:B2621,B2621,$C$2:C2621,C2621,$I$2:I2621,I2621)=1,1,0)</f>
        <v>1</v>
      </c>
      <c r="M2621" s="3" t="n">
        <f aca="false">IF(K2621&gt;=Parametri!$B$1,1,0)</f>
        <v>1</v>
      </c>
      <c r="N2621" s="3" t="n">
        <f aca="false">L2621*M2621</f>
        <v>1</v>
      </c>
    </row>
    <row r="2622" customFormat="false" ht="15" hidden="false" customHeight="false" outlineLevel="0" collapsed="false">
      <c r="A2622" s="0" t="s">
        <v>4076</v>
      </c>
      <c r="B2622" s="0" t="s">
        <v>41</v>
      </c>
      <c r="C2622" s="0" t="s">
        <v>4077</v>
      </c>
      <c r="D2622" s="0" t="s">
        <v>66</v>
      </c>
      <c r="E2622" s="2" t="n">
        <v>45354</v>
      </c>
      <c r="F2622" s="3" t="s">
        <v>20</v>
      </c>
      <c r="G2622" s="3" t="s">
        <v>28</v>
      </c>
      <c r="H2622" s="3" t="s">
        <v>29</v>
      </c>
      <c r="I2622" s="3" t="n">
        <f aca="false">YEAR(E2622)</f>
        <v>2024</v>
      </c>
      <c r="J2622" s="3" t="n">
        <f aca="false">MONTH(E2622)</f>
        <v>3</v>
      </c>
      <c r="K2622" s="3" t="n">
        <f aca="false">COUNTIFS($B$2:$B$4077,B2622,$C$2:$C$4077,C2622,$I$2:$I$4077,I2622)</f>
        <v>2</v>
      </c>
      <c r="L2622" s="3" t="n">
        <f aca="false">IF(COUNTIFS($B$2:B2622,B2622,$C$2:C2622,C2622,$I$2:I2622,I2622)=1,1,0)</f>
        <v>1</v>
      </c>
      <c r="M2622" s="3" t="n">
        <f aca="false">IF(K2622&gt;=Parametri!$B$1,1,0)</f>
        <v>1</v>
      </c>
      <c r="N2622" s="3" t="n">
        <f aca="false">L2622*M2622</f>
        <v>1</v>
      </c>
    </row>
    <row r="2623" customFormat="false" ht="15" hidden="false" customHeight="false" outlineLevel="0" collapsed="false">
      <c r="A2623" s="0" t="s">
        <v>4078</v>
      </c>
      <c r="B2623" s="0" t="s">
        <v>79</v>
      </c>
      <c r="C2623" s="0" t="s">
        <v>227</v>
      </c>
      <c r="D2623" s="0" t="s">
        <v>77</v>
      </c>
      <c r="E2623" s="2" t="n">
        <v>45689</v>
      </c>
      <c r="F2623" s="3" t="s">
        <v>20</v>
      </c>
      <c r="G2623" s="3" t="s">
        <v>55</v>
      </c>
      <c r="H2623" s="3" t="s">
        <v>29</v>
      </c>
      <c r="I2623" s="3" t="n">
        <f aca="false">YEAR(E2623)</f>
        <v>2025</v>
      </c>
      <c r="J2623" s="3" t="n">
        <f aca="false">MONTH(E2623)</f>
        <v>2</v>
      </c>
      <c r="K2623" s="3" t="n">
        <f aca="false">COUNTIFS($B$2:$B$4077,B2623,$C$2:$C$4077,C2623,$I$2:$I$4077,I2623)</f>
        <v>2</v>
      </c>
      <c r="L2623" s="3" t="n">
        <f aca="false">IF(COUNTIFS($B$2:B2623,B2623,$C$2:C2623,C2623,$I$2:I2623,I2623)=1,1,0)</f>
        <v>0</v>
      </c>
      <c r="M2623" s="3" t="n">
        <f aca="false">IF(K2623&gt;=Parametri!$B$1,1,0)</f>
        <v>1</v>
      </c>
      <c r="N2623" s="3" t="n">
        <f aca="false">L2623*M2623</f>
        <v>0</v>
      </c>
    </row>
    <row r="2624" customFormat="false" ht="15" hidden="false" customHeight="false" outlineLevel="0" collapsed="false">
      <c r="A2624" s="0" t="s">
        <v>4079</v>
      </c>
      <c r="B2624" s="0" t="s">
        <v>68</v>
      </c>
      <c r="C2624" s="0" t="s">
        <v>4080</v>
      </c>
      <c r="D2624" s="0" t="s">
        <v>66</v>
      </c>
      <c r="E2624" s="2" t="n">
        <v>46204</v>
      </c>
      <c r="F2624" s="3" t="s">
        <v>20</v>
      </c>
      <c r="G2624" s="3" t="s">
        <v>21</v>
      </c>
      <c r="H2624" s="3" t="s">
        <v>48</v>
      </c>
      <c r="I2624" s="3" t="n">
        <f aca="false">YEAR(E2624)</f>
        <v>2026</v>
      </c>
      <c r="J2624" s="3" t="n">
        <f aca="false">MONTH(E2624)</f>
        <v>7</v>
      </c>
      <c r="K2624" s="3" t="n">
        <f aca="false">COUNTIFS($B$2:$B$4077,B2624,$C$2:$C$4077,C2624,$I$2:$I$4077,I2624)</f>
        <v>1</v>
      </c>
      <c r="L2624" s="3" t="n">
        <f aca="false">IF(COUNTIFS($B$2:B2624,B2624,$C$2:C2624,C2624,$I$2:I2624,I2624)=1,1,0)</f>
        <v>1</v>
      </c>
      <c r="M2624" s="3" t="n">
        <f aca="false">IF(K2624&gt;=Parametri!$B$1,1,0)</f>
        <v>0</v>
      </c>
      <c r="N2624" s="3" t="n">
        <f aca="false">L2624*M2624</f>
        <v>0</v>
      </c>
    </row>
    <row r="2625" customFormat="false" ht="15" hidden="false" customHeight="false" outlineLevel="0" collapsed="false">
      <c r="A2625" s="0" t="s">
        <v>4081</v>
      </c>
      <c r="B2625" s="0" t="s">
        <v>50</v>
      </c>
      <c r="C2625" s="0" t="s">
        <v>3278</v>
      </c>
      <c r="D2625" s="0" t="s">
        <v>38</v>
      </c>
      <c r="E2625" s="2" t="n">
        <v>45700</v>
      </c>
      <c r="F2625" s="3" t="s">
        <v>20</v>
      </c>
      <c r="G2625" s="3" t="s">
        <v>35</v>
      </c>
      <c r="H2625" s="3" t="s">
        <v>22</v>
      </c>
      <c r="I2625" s="3" t="n">
        <f aca="false">YEAR(E2625)</f>
        <v>2025</v>
      </c>
      <c r="J2625" s="3" t="n">
        <f aca="false">MONTH(E2625)</f>
        <v>2</v>
      </c>
      <c r="K2625" s="3" t="n">
        <f aca="false">COUNTIFS($B$2:$B$4077,B2625,$C$2:$C$4077,C2625,$I$2:$I$4077,I2625)</f>
        <v>1</v>
      </c>
      <c r="L2625" s="3" t="n">
        <f aca="false">IF(COUNTIFS($B$2:B2625,B2625,$C$2:C2625,C2625,$I$2:I2625,I2625)=1,1,0)</f>
        <v>1</v>
      </c>
      <c r="M2625" s="3" t="n">
        <f aca="false">IF(K2625&gt;=Parametri!$B$1,1,0)</f>
        <v>0</v>
      </c>
      <c r="N2625" s="3" t="n">
        <f aca="false">L2625*M2625</f>
        <v>0</v>
      </c>
    </row>
    <row r="2626" customFormat="false" ht="15" hidden="false" customHeight="false" outlineLevel="0" collapsed="false">
      <c r="A2626" s="0" t="s">
        <v>4082</v>
      </c>
      <c r="B2626" s="0" t="s">
        <v>17</v>
      </c>
      <c r="C2626" s="0" t="s">
        <v>4083</v>
      </c>
      <c r="D2626" s="0" t="s">
        <v>38</v>
      </c>
      <c r="E2626" s="2" t="n">
        <v>45523</v>
      </c>
      <c r="F2626" s="3" t="s">
        <v>20</v>
      </c>
      <c r="G2626" s="3" t="s">
        <v>39</v>
      </c>
      <c r="H2626" s="3" t="s">
        <v>22</v>
      </c>
      <c r="I2626" s="3" t="n">
        <f aca="false">YEAR(E2626)</f>
        <v>2024</v>
      </c>
      <c r="J2626" s="3" t="n">
        <f aca="false">MONTH(E2626)</f>
        <v>8</v>
      </c>
      <c r="K2626" s="3" t="n">
        <f aca="false">COUNTIFS($B$2:$B$4077,B2626,$C$2:$C$4077,C2626,$I$2:$I$4077,I2626)</f>
        <v>1</v>
      </c>
      <c r="L2626" s="3" t="n">
        <f aca="false">IF(COUNTIFS($B$2:B2626,B2626,$C$2:C2626,C2626,$I$2:I2626,I2626)=1,1,0)</f>
        <v>1</v>
      </c>
      <c r="M2626" s="3" t="n">
        <f aca="false">IF(K2626&gt;=Parametri!$B$1,1,0)</f>
        <v>0</v>
      </c>
      <c r="N2626" s="3" t="n">
        <f aca="false">L2626*M2626</f>
        <v>0</v>
      </c>
    </row>
    <row r="2627" customFormat="false" ht="15" hidden="false" customHeight="false" outlineLevel="0" collapsed="false">
      <c r="A2627" s="0" t="s">
        <v>4084</v>
      </c>
      <c r="B2627" s="0" t="s">
        <v>31</v>
      </c>
      <c r="C2627" s="0" t="s">
        <v>2404</v>
      </c>
      <c r="D2627" s="0" t="s">
        <v>77</v>
      </c>
      <c r="E2627" s="2" t="n">
        <v>45408</v>
      </c>
      <c r="F2627" s="3" t="s">
        <v>20</v>
      </c>
      <c r="G2627" s="3" t="s">
        <v>43</v>
      </c>
      <c r="H2627" s="3" t="s">
        <v>22</v>
      </c>
      <c r="I2627" s="3" t="n">
        <f aca="false">YEAR(E2627)</f>
        <v>2024</v>
      </c>
      <c r="J2627" s="3" t="n">
        <f aca="false">MONTH(E2627)</f>
        <v>4</v>
      </c>
      <c r="K2627" s="3" t="n">
        <f aca="false">COUNTIFS($B$2:$B$4077,B2627,$C$2:$C$4077,C2627,$I$2:$I$4077,I2627)</f>
        <v>3</v>
      </c>
      <c r="L2627" s="3" t="n">
        <f aca="false">IF(COUNTIFS($B$2:B2627,B2627,$C$2:C2627,C2627,$I$2:I2627,I2627)=1,1,0)</f>
        <v>0</v>
      </c>
      <c r="M2627" s="3" t="n">
        <f aca="false">IF(K2627&gt;=Parametri!$B$1,1,0)</f>
        <v>1</v>
      </c>
      <c r="N2627" s="3" t="n">
        <f aca="false">L2627*M2627</f>
        <v>0</v>
      </c>
    </row>
    <row r="2628" customFormat="false" ht="15" hidden="false" customHeight="false" outlineLevel="0" collapsed="false">
      <c r="A2628" s="0" t="s">
        <v>4085</v>
      </c>
      <c r="B2628" s="0" t="s">
        <v>57</v>
      </c>
      <c r="C2628" s="0" t="s">
        <v>210</v>
      </c>
      <c r="D2628" s="0" t="s">
        <v>26</v>
      </c>
      <c r="E2628" s="2" t="n">
        <v>45606</v>
      </c>
      <c r="F2628" s="3" t="s">
        <v>104</v>
      </c>
      <c r="G2628" s="3" t="s">
        <v>104</v>
      </c>
      <c r="H2628" s="3" t="s">
        <v>104</v>
      </c>
      <c r="I2628" s="3" t="n">
        <f aca="false">YEAR(E2628)</f>
        <v>2024</v>
      </c>
      <c r="J2628" s="3" t="n">
        <f aca="false">MONTH(E2628)</f>
        <v>11</v>
      </c>
      <c r="K2628" s="3" t="n">
        <f aca="false">COUNTIFS($B$2:$B$4077,B2628,$C$2:$C$4077,C2628,$I$2:$I$4077,I2628)</f>
        <v>5</v>
      </c>
      <c r="L2628" s="3" t="n">
        <f aca="false">IF(COUNTIFS($B$2:B2628,B2628,$C$2:C2628,C2628,$I$2:I2628,I2628)=1,1,0)</f>
        <v>0</v>
      </c>
      <c r="M2628" s="3" t="n">
        <f aca="false">IF(K2628&gt;=Parametri!$B$1,1,0)</f>
        <v>1</v>
      </c>
      <c r="N2628" s="3" t="n">
        <f aca="false">L2628*M2628</f>
        <v>0</v>
      </c>
    </row>
    <row r="2629" customFormat="false" ht="15" hidden="false" customHeight="false" outlineLevel="0" collapsed="false">
      <c r="A2629" s="0" t="s">
        <v>4086</v>
      </c>
      <c r="B2629" s="0" t="s">
        <v>46</v>
      </c>
      <c r="C2629" s="0" t="s">
        <v>1883</v>
      </c>
      <c r="D2629" s="0" t="s">
        <v>19</v>
      </c>
      <c r="E2629" s="2" t="n">
        <v>45855</v>
      </c>
      <c r="F2629" s="3" t="s">
        <v>34</v>
      </c>
      <c r="G2629" s="3" t="s">
        <v>43</v>
      </c>
      <c r="H2629" s="3" t="s">
        <v>44</v>
      </c>
      <c r="I2629" s="3" t="n">
        <f aca="false">YEAR(E2629)</f>
        <v>2025</v>
      </c>
      <c r="J2629" s="3" t="n">
        <f aca="false">MONTH(E2629)</f>
        <v>7</v>
      </c>
      <c r="K2629" s="3" t="n">
        <f aca="false">COUNTIFS($B$2:$B$4077,B2629,$C$2:$C$4077,C2629,$I$2:$I$4077,I2629)</f>
        <v>6</v>
      </c>
      <c r="L2629" s="3" t="n">
        <f aca="false">IF(COUNTIFS($B$2:B2629,B2629,$C$2:C2629,C2629,$I$2:I2629,I2629)=1,1,0)</f>
        <v>0</v>
      </c>
      <c r="M2629" s="3" t="n">
        <f aca="false">IF(K2629&gt;=Parametri!$B$1,1,0)</f>
        <v>1</v>
      </c>
      <c r="N2629" s="3" t="n">
        <f aca="false">L2629*M2629</f>
        <v>0</v>
      </c>
    </row>
    <row r="2630" customFormat="false" ht="15" hidden="false" customHeight="false" outlineLevel="0" collapsed="false">
      <c r="A2630" s="0" t="s">
        <v>4087</v>
      </c>
      <c r="B2630" s="0" t="s">
        <v>68</v>
      </c>
      <c r="C2630" s="0" t="s">
        <v>563</v>
      </c>
      <c r="D2630" s="0" t="s">
        <v>26</v>
      </c>
      <c r="E2630" s="2" t="n">
        <v>45895</v>
      </c>
      <c r="F2630" s="3" t="s">
        <v>34</v>
      </c>
      <c r="G2630" s="3" t="s">
        <v>39</v>
      </c>
      <c r="H2630" s="3" t="s">
        <v>22</v>
      </c>
      <c r="I2630" s="3" t="n">
        <f aca="false">YEAR(E2630)</f>
        <v>2025</v>
      </c>
      <c r="J2630" s="3" t="n">
        <f aca="false">MONTH(E2630)</f>
        <v>8</v>
      </c>
      <c r="K2630" s="3" t="n">
        <f aca="false">COUNTIFS($B$2:$B$4077,B2630,$C$2:$C$4077,C2630,$I$2:$I$4077,I2630)</f>
        <v>3</v>
      </c>
      <c r="L2630" s="3" t="n">
        <f aca="false">IF(COUNTIFS($B$2:B2630,B2630,$C$2:C2630,C2630,$I$2:I2630,I2630)=1,1,0)</f>
        <v>0</v>
      </c>
      <c r="M2630" s="3" t="n">
        <f aca="false">IF(K2630&gt;=Parametri!$B$1,1,0)</f>
        <v>1</v>
      </c>
      <c r="N2630" s="3" t="n">
        <f aca="false">L2630*M2630</f>
        <v>0</v>
      </c>
    </row>
    <row r="2631" customFormat="false" ht="15" hidden="false" customHeight="false" outlineLevel="0" collapsed="false">
      <c r="A2631" s="0" t="s">
        <v>4088</v>
      </c>
      <c r="B2631" s="0" t="s">
        <v>24</v>
      </c>
      <c r="C2631" s="0" t="s">
        <v>1304</v>
      </c>
      <c r="D2631" s="0" t="s">
        <v>19</v>
      </c>
      <c r="E2631" s="2" t="n">
        <v>45800</v>
      </c>
      <c r="F2631" s="3" t="s">
        <v>27</v>
      </c>
      <c r="G2631" s="3" t="s">
        <v>89</v>
      </c>
      <c r="H2631" s="3" t="s">
        <v>29</v>
      </c>
      <c r="I2631" s="3" t="n">
        <f aca="false">YEAR(E2631)</f>
        <v>2025</v>
      </c>
      <c r="J2631" s="3" t="n">
        <f aca="false">MONTH(E2631)</f>
        <v>5</v>
      </c>
      <c r="K2631" s="3" t="n">
        <f aca="false">COUNTIFS($B$2:$B$4077,B2631,$C$2:$C$4077,C2631,$I$2:$I$4077,I2631)</f>
        <v>3</v>
      </c>
      <c r="L2631" s="3" t="n">
        <f aca="false">IF(COUNTIFS($B$2:B2631,B2631,$C$2:C2631,C2631,$I$2:I2631,I2631)=1,1,0)</f>
        <v>0</v>
      </c>
      <c r="M2631" s="3" t="n">
        <f aca="false">IF(K2631&gt;=Parametri!$B$1,1,0)</f>
        <v>1</v>
      </c>
      <c r="N2631" s="3" t="n">
        <f aca="false">L2631*M2631</f>
        <v>0</v>
      </c>
    </row>
    <row r="2632" customFormat="false" ht="15" hidden="false" customHeight="false" outlineLevel="0" collapsed="false">
      <c r="A2632" s="0" t="s">
        <v>4089</v>
      </c>
      <c r="B2632" s="0" t="s">
        <v>57</v>
      </c>
      <c r="C2632" s="0" t="s">
        <v>442</v>
      </c>
      <c r="D2632" s="0" t="s">
        <v>54</v>
      </c>
      <c r="E2632" s="2" t="n">
        <v>46140</v>
      </c>
      <c r="F2632" s="3" t="s">
        <v>27</v>
      </c>
      <c r="G2632" s="3" t="s">
        <v>21</v>
      </c>
      <c r="H2632" s="3" t="s">
        <v>22</v>
      </c>
      <c r="I2632" s="3" t="n">
        <f aca="false">YEAR(E2632)</f>
        <v>2026</v>
      </c>
      <c r="J2632" s="3" t="n">
        <f aca="false">MONTH(E2632)</f>
        <v>4</v>
      </c>
      <c r="K2632" s="3" t="n">
        <f aca="false">COUNTIFS($B$2:$B$4077,B2632,$C$2:$C$4077,C2632,$I$2:$I$4077,I2632)</f>
        <v>2</v>
      </c>
      <c r="L2632" s="3" t="n">
        <f aca="false">IF(COUNTIFS($B$2:B2632,B2632,$C$2:C2632,C2632,$I$2:I2632,I2632)=1,1,0)</f>
        <v>0</v>
      </c>
      <c r="M2632" s="3" t="n">
        <f aca="false">IF(K2632&gt;=Parametri!$B$1,1,0)</f>
        <v>1</v>
      </c>
      <c r="N2632" s="3" t="n">
        <f aca="false">L2632*M2632</f>
        <v>0</v>
      </c>
    </row>
    <row r="2633" customFormat="false" ht="15" hidden="false" customHeight="false" outlineLevel="0" collapsed="false">
      <c r="A2633" s="0" t="s">
        <v>4090</v>
      </c>
      <c r="B2633" s="0" t="s">
        <v>79</v>
      </c>
      <c r="C2633" s="0" t="s">
        <v>3177</v>
      </c>
      <c r="D2633" s="0" t="s">
        <v>38</v>
      </c>
      <c r="E2633" s="2" t="n">
        <v>45340</v>
      </c>
      <c r="F2633" s="3" t="s">
        <v>20</v>
      </c>
      <c r="G2633" s="3" t="s">
        <v>35</v>
      </c>
      <c r="H2633" s="3" t="s">
        <v>48</v>
      </c>
      <c r="I2633" s="3" t="n">
        <f aca="false">YEAR(E2633)</f>
        <v>2024</v>
      </c>
      <c r="J2633" s="3" t="n">
        <f aca="false">MONTH(E2633)</f>
        <v>2</v>
      </c>
      <c r="K2633" s="3" t="n">
        <f aca="false">COUNTIFS($B$2:$B$4077,B2633,$C$2:$C$4077,C2633,$I$2:$I$4077,I2633)</f>
        <v>2</v>
      </c>
      <c r="L2633" s="3" t="n">
        <f aca="false">IF(COUNTIFS($B$2:B2633,B2633,$C$2:C2633,C2633,$I$2:I2633,I2633)=1,1,0)</f>
        <v>1</v>
      </c>
      <c r="M2633" s="3" t="n">
        <f aca="false">IF(K2633&gt;=Parametri!$B$1,1,0)</f>
        <v>1</v>
      </c>
      <c r="N2633" s="3" t="n">
        <f aca="false">L2633*M2633</f>
        <v>1</v>
      </c>
    </row>
    <row r="2634" customFormat="false" ht="15" hidden="false" customHeight="false" outlineLevel="0" collapsed="false">
      <c r="A2634" s="0" t="s">
        <v>4091</v>
      </c>
      <c r="B2634" s="0" t="s">
        <v>17</v>
      </c>
      <c r="C2634" s="0" t="s">
        <v>915</v>
      </c>
      <c r="D2634" s="0" t="s">
        <v>19</v>
      </c>
      <c r="E2634" s="2" t="n">
        <v>45899</v>
      </c>
      <c r="F2634" s="3" t="s">
        <v>104</v>
      </c>
      <c r="G2634" s="3" t="s">
        <v>104</v>
      </c>
      <c r="H2634" s="3" t="s">
        <v>104</v>
      </c>
      <c r="I2634" s="3" t="n">
        <f aca="false">YEAR(E2634)</f>
        <v>2025</v>
      </c>
      <c r="J2634" s="3" t="n">
        <f aca="false">MONTH(E2634)</f>
        <v>8</v>
      </c>
      <c r="K2634" s="3" t="n">
        <f aca="false">COUNTIFS($B$2:$B$4077,B2634,$C$2:$C$4077,C2634,$I$2:$I$4077,I2634)</f>
        <v>3</v>
      </c>
      <c r="L2634" s="3" t="n">
        <f aca="false">IF(COUNTIFS($B$2:B2634,B2634,$C$2:C2634,C2634,$I$2:I2634,I2634)=1,1,0)</f>
        <v>0</v>
      </c>
      <c r="M2634" s="3" t="n">
        <f aca="false">IF(K2634&gt;=Parametri!$B$1,1,0)</f>
        <v>1</v>
      </c>
      <c r="N2634" s="3" t="n">
        <f aca="false">L2634*M2634</f>
        <v>0</v>
      </c>
    </row>
    <row r="2635" customFormat="false" ht="15" hidden="false" customHeight="false" outlineLevel="0" collapsed="false">
      <c r="A2635" s="0" t="s">
        <v>4092</v>
      </c>
      <c r="B2635" s="0" t="s">
        <v>17</v>
      </c>
      <c r="C2635" s="0" t="s">
        <v>2853</v>
      </c>
      <c r="D2635" s="0" t="s">
        <v>38</v>
      </c>
      <c r="E2635" s="2" t="n">
        <v>45319</v>
      </c>
      <c r="F2635" s="3" t="s">
        <v>34</v>
      </c>
      <c r="G2635" s="3" t="s">
        <v>21</v>
      </c>
      <c r="H2635" s="3" t="s">
        <v>22</v>
      </c>
      <c r="I2635" s="3" t="n">
        <f aca="false">YEAR(E2635)</f>
        <v>2024</v>
      </c>
      <c r="J2635" s="3" t="n">
        <f aca="false">MONTH(E2635)</f>
        <v>1</v>
      </c>
      <c r="K2635" s="3" t="n">
        <f aca="false">COUNTIFS($B$2:$B$4077,B2635,$C$2:$C$4077,C2635,$I$2:$I$4077,I2635)</f>
        <v>3</v>
      </c>
      <c r="L2635" s="3" t="n">
        <f aca="false">IF(COUNTIFS($B$2:B2635,B2635,$C$2:C2635,C2635,$I$2:I2635,I2635)=1,1,0)</f>
        <v>0</v>
      </c>
      <c r="M2635" s="3" t="n">
        <f aca="false">IF(K2635&gt;=Parametri!$B$1,1,0)</f>
        <v>1</v>
      </c>
      <c r="N2635" s="3" t="n">
        <f aca="false">L2635*M2635</f>
        <v>0</v>
      </c>
    </row>
    <row r="2636" customFormat="false" ht="15" hidden="false" customHeight="false" outlineLevel="0" collapsed="false">
      <c r="A2636" s="0" t="s">
        <v>4093</v>
      </c>
      <c r="B2636" s="0" t="s">
        <v>124</v>
      </c>
      <c r="C2636" s="0" t="s">
        <v>410</v>
      </c>
      <c r="D2636" s="0" t="s">
        <v>26</v>
      </c>
      <c r="E2636" s="2" t="n">
        <v>46125</v>
      </c>
      <c r="F2636" s="3" t="s">
        <v>20</v>
      </c>
      <c r="G2636" s="3" t="s">
        <v>35</v>
      </c>
      <c r="H2636" s="3" t="s">
        <v>44</v>
      </c>
      <c r="I2636" s="3" t="n">
        <f aca="false">YEAR(E2636)</f>
        <v>2026</v>
      </c>
      <c r="J2636" s="3" t="n">
        <f aca="false">MONTH(E2636)</f>
        <v>4</v>
      </c>
      <c r="K2636" s="3" t="n">
        <f aca="false">COUNTIFS($B$2:$B$4077,B2636,$C$2:$C$4077,C2636,$I$2:$I$4077,I2636)</f>
        <v>6</v>
      </c>
      <c r="L2636" s="3" t="n">
        <f aca="false">IF(COUNTIFS($B$2:B2636,B2636,$C$2:C2636,C2636,$I$2:I2636,I2636)=1,1,0)</f>
        <v>0</v>
      </c>
      <c r="M2636" s="3" t="n">
        <f aca="false">IF(K2636&gt;=Parametri!$B$1,1,0)</f>
        <v>1</v>
      </c>
      <c r="N2636" s="3" t="n">
        <f aca="false">L2636*M2636</f>
        <v>0</v>
      </c>
    </row>
    <row r="2637" customFormat="false" ht="15" hidden="false" customHeight="false" outlineLevel="0" collapsed="false">
      <c r="A2637" s="0" t="s">
        <v>4094</v>
      </c>
      <c r="B2637" s="0" t="s">
        <v>24</v>
      </c>
      <c r="C2637" s="0" t="s">
        <v>4095</v>
      </c>
      <c r="D2637" s="0" t="s">
        <v>38</v>
      </c>
      <c r="E2637" s="2" t="n">
        <v>45466</v>
      </c>
      <c r="F2637" s="3" t="s">
        <v>27</v>
      </c>
      <c r="G2637" s="3" t="s">
        <v>89</v>
      </c>
      <c r="H2637" s="3" t="s">
        <v>44</v>
      </c>
      <c r="I2637" s="3" t="n">
        <f aca="false">YEAR(E2637)</f>
        <v>2024</v>
      </c>
      <c r="J2637" s="3" t="n">
        <f aca="false">MONTH(E2637)</f>
        <v>6</v>
      </c>
      <c r="K2637" s="3" t="n">
        <f aca="false">COUNTIFS($B$2:$B$4077,B2637,$C$2:$C$4077,C2637,$I$2:$I$4077,I2637)</f>
        <v>1</v>
      </c>
      <c r="L2637" s="3" t="n">
        <f aca="false">IF(COUNTIFS($B$2:B2637,B2637,$C$2:C2637,C2637,$I$2:I2637,I2637)=1,1,0)</f>
        <v>1</v>
      </c>
      <c r="M2637" s="3" t="n">
        <f aca="false">IF(K2637&gt;=Parametri!$B$1,1,0)</f>
        <v>0</v>
      </c>
      <c r="N2637" s="3" t="n">
        <f aca="false">L2637*M2637</f>
        <v>0</v>
      </c>
    </row>
    <row r="2638" customFormat="false" ht="15" hidden="false" customHeight="false" outlineLevel="0" collapsed="false">
      <c r="A2638" s="0" t="s">
        <v>4096</v>
      </c>
      <c r="B2638" s="0" t="s">
        <v>50</v>
      </c>
      <c r="C2638" s="0" t="s">
        <v>4097</v>
      </c>
      <c r="D2638" s="0" t="s">
        <v>38</v>
      </c>
      <c r="E2638" s="2" t="n">
        <v>45912</v>
      </c>
      <c r="F2638" s="3" t="s">
        <v>20</v>
      </c>
      <c r="G2638" s="3" t="s">
        <v>21</v>
      </c>
      <c r="H2638" s="3" t="s">
        <v>48</v>
      </c>
      <c r="I2638" s="3" t="n">
        <f aca="false">YEAR(E2638)</f>
        <v>2025</v>
      </c>
      <c r="J2638" s="3" t="n">
        <f aca="false">MONTH(E2638)</f>
        <v>9</v>
      </c>
      <c r="K2638" s="3" t="n">
        <f aca="false">COUNTIFS($B$2:$B$4077,B2638,$C$2:$C$4077,C2638,$I$2:$I$4077,I2638)</f>
        <v>1</v>
      </c>
      <c r="L2638" s="3" t="n">
        <f aca="false">IF(COUNTIFS($B$2:B2638,B2638,$C$2:C2638,C2638,$I$2:I2638,I2638)=1,1,0)</f>
        <v>1</v>
      </c>
      <c r="M2638" s="3" t="n">
        <f aca="false">IF(K2638&gt;=Parametri!$B$1,1,0)</f>
        <v>0</v>
      </c>
      <c r="N2638" s="3" t="n">
        <f aca="false">L2638*M2638</f>
        <v>0</v>
      </c>
    </row>
    <row r="2639" customFormat="false" ht="15" hidden="false" customHeight="false" outlineLevel="0" collapsed="false">
      <c r="A2639" s="0" t="s">
        <v>4098</v>
      </c>
      <c r="B2639" s="0" t="s">
        <v>50</v>
      </c>
      <c r="C2639" s="0" t="s">
        <v>1656</v>
      </c>
      <c r="D2639" s="0" t="s">
        <v>77</v>
      </c>
      <c r="E2639" s="2" t="n">
        <v>45968</v>
      </c>
      <c r="F2639" s="3" t="s">
        <v>27</v>
      </c>
      <c r="G2639" s="3" t="s">
        <v>43</v>
      </c>
      <c r="H2639" s="3" t="s">
        <v>29</v>
      </c>
      <c r="I2639" s="3" t="n">
        <f aca="false">YEAR(E2639)</f>
        <v>2025</v>
      </c>
      <c r="J2639" s="3" t="n">
        <f aca="false">MONTH(E2639)</f>
        <v>11</v>
      </c>
      <c r="K2639" s="3" t="n">
        <f aca="false">COUNTIFS($B$2:$B$4077,B2639,$C$2:$C$4077,C2639,$I$2:$I$4077,I2639)</f>
        <v>1</v>
      </c>
      <c r="L2639" s="3" t="n">
        <f aca="false">IF(COUNTIFS($B$2:B2639,B2639,$C$2:C2639,C2639,$I$2:I2639,I2639)=1,1,0)</f>
        <v>1</v>
      </c>
      <c r="M2639" s="3" t="n">
        <f aca="false">IF(K2639&gt;=Parametri!$B$1,1,0)</f>
        <v>0</v>
      </c>
      <c r="N2639" s="3" t="n">
        <f aca="false">L2639*M2639</f>
        <v>0</v>
      </c>
    </row>
    <row r="2640" customFormat="false" ht="15" hidden="false" customHeight="false" outlineLevel="0" collapsed="false">
      <c r="A2640" s="0" t="s">
        <v>4099</v>
      </c>
      <c r="B2640" s="0" t="s">
        <v>68</v>
      </c>
      <c r="C2640" s="0" t="s">
        <v>4100</v>
      </c>
      <c r="D2640" s="0" t="s">
        <v>38</v>
      </c>
      <c r="E2640" s="2" t="n">
        <v>45413</v>
      </c>
      <c r="F2640" s="3" t="s">
        <v>34</v>
      </c>
      <c r="G2640" s="3" t="s">
        <v>28</v>
      </c>
      <c r="H2640" s="3" t="s">
        <v>48</v>
      </c>
      <c r="I2640" s="3" t="n">
        <f aca="false">YEAR(E2640)</f>
        <v>2024</v>
      </c>
      <c r="J2640" s="3" t="n">
        <f aca="false">MONTH(E2640)</f>
        <v>5</v>
      </c>
      <c r="K2640" s="3" t="n">
        <f aca="false">COUNTIFS($B$2:$B$4077,B2640,$C$2:$C$4077,C2640,$I$2:$I$4077,I2640)</f>
        <v>2</v>
      </c>
      <c r="L2640" s="3" t="n">
        <f aca="false">IF(COUNTIFS($B$2:B2640,B2640,$C$2:C2640,C2640,$I$2:I2640,I2640)=1,1,0)</f>
        <v>1</v>
      </c>
      <c r="M2640" s="3" t="n">
        <f aca="false">IF(K2640&gt;=Parametri!$B$1,1,0)</f>
        <v>1</v>
      </c>
      <c r="N2640" s="3" t="n">
        <f aca="false">L2640*M2640</f>
        <v>1</v>
      </c>
    </row>
    <row r="2641" customFormat="false" ht="15" hidden="false" customHeight="false" outlineLevel="0" collapsed="false">
      <c r="A2641" s="0" t="s">
        <v>4101</v>
      </c>
      <c r="B2641" s="0" t="s">
        <v>31</v>
      </c>
      <c r="C2641" s="0" t="s">
        <v>475</v>
      </c>
      <c r="D2641" s="0" t="s">
        <v>19</v>
      </c>
      <c r="E2641" s="2" t="n">
        <v>46051</v>
      </c>
      <c r="F2641" s="3" t="s">
        <v>20</v>
      </c>
      <c r="G2641" s="3" t="s">
        <v>43</v>
      </c>
      <c r="H2641" s="3" t="s">
        <v>48</v>
      </c>
      <c r="I2641" s="3" t="n">
        <f aca="false">YEAR(E2641)</f>
        <v>2026</v>
      </c>
      <c r="J2641" s="3" t="n">
        <f aca="false">MONTH(E2641)</f>
        <v>1</v>
      </c>
      <c r="K2641" s="3" t="n">
        <f aca="false">COUNTIFS($B$2:$B$4077,B2641,$C$2:$C$4077,C2641,$I$2:$I$4077,I2641)</f>
        <v>1</v>
      </c>
      <c r="L2641" s="3" t="n">
        <f aca="false">IF(COUNTIFS($B$2:B2641,B2641,$C$2:C2641,C2641,$I$2:I2641,I2641)=1,1,0)</f>
        <v>1</v>
      </c>
      <c r="M2641" s="3" t="n">
        <f aca="false">IF(K2641&gt;=Parametri!$B$1,1,0)</f>
        <v>0</v>
      </c>
      <c r="N2641" s="3" t="n">
        <f aca="false">L2641*M2641</f>
        <v>0</v>
      </c>
    </row>
    <row r="2642" customFormat="false" ht="15" hidden="false" customHeight="false" outlineLevel="0" collapsed="false">
      <c r="A2642" s="0" t="s">
        <v>4102</v>
      </c>
      <c r="B2642" s="0" t="s">
        <v>68</v>
      </c>
      <c r="C2642" s="0" t="s">
        <v>1663</v>
      </c>
      <c r="D2642" s="0" t="s">
        <v>66</v>
      </c>
      <c r="E2642" s="2" t="n">
        <v>45781</v>
      </c>
      <c r="F2642" s="3" t="s">
        <v>20</v>
      </c>
      <c r="G2642" s="3" t="s">
        <v>72</v>
      </c>
      <c r="H2642" s="3" t="s">
        <v>44</v>
      </c>
      <c r="I2642" s="3" t="n">
        <f aca="false">YEAR(E2642)</f>
        <v>2025</v>
      </c>
      <c r="J2642" s="3" t="n">
        <f aca="false">MONTH(E2642)</f>
        <v>5</v>
      </c>
      <c r="K2642" s="3" t="n">
        <f aca="false">COUNTIFS($B$2:$B$4077,B2642,$C$2:$C$4077,C2642,$I$2:$I$4077,I2642)</f>
        <v>1</v>
      </c>
      <c r="L2642" s="3" t="n">
        <f aca="false">IF(COUNTIFS($B$2:B2642,B2642,$C$2:C2642,C2642,$I$2:I2642,I2642)=1,1,0)</f>
        <v>1</v>
      </c>
      <c r="M2642" s="3" t="n">
        <f aca="false">IF(K2642&gt;=Parametri!$B$1,1,0)</f>
        <v>0</v>
      </c>
      <c r="N2642" s="3" t="n">
        <f aca="false">L2642*M2642</f>
        <v>0</v>
      </c>
    </row>
    <row r="2643" customFormat="false" ht="15" hidden="false" customHeight="false" outlineLevel="0" collapsed="false">
      <c r="A2643" s="0" t="s">
        <v>4103</v>
      </c>
      <c r="B2643" s="0" t="s">
        <v>41</v>
      </c>
      <c r="C2643" s="0" t="s">
        <v>2358</v>
      </c>
      <c r="D2643" s="0" t="s">
        <v>38</v>
      </c>
      <c r="E2643" s="2" t="n">
        <v>45707</v>
      </c>
      <c r="F2643" s="3" t="s">
        <v>27</v>
      </c>
      <c r="G2643" s="3" t="s">
        <v>89</v>
      </c>
      <c r="H2643" s="3" t="s">
        <v>44</v>
      </c>
      <c r="I2643" s="3" t="n">
        <f aca="false">YEAR(E2643)</f>
        <v>2025</v>
      </c>
      <c r="J2643" s="3" t="n">
        <f aca="false">MONTH(E2643)</f>
        <v>2</v>
      </c>
      <c r="K2643" s="3" t="n">
        <f aca="false">COUNTIFS($B$2:$B$4077,B2643,$C$2:$C$4077,C2643,$I$2:$I$4077,I2643)</f>
        <v>1</v>
      </c>
      <c r="L2643" s="3" t="n">
        <f aca="false">IF(COUNTIFS($B$2:B2643,B2643,$C$2:C2643,C2643,$I$2:I2643,I2643)=1,1,0)</f>
        <v>1</v>
      </c>
      <c r="M2643" s="3" t="n">
        <f aca="false">IF(K2643&gt;=Parametri!$B$1,1,0)</f>
        <v>0</v>
      </c>
      <c r="N2643" s="3" t="n">
        <f aca="false">L2643*M2643</f>
        <v>0</v>
      </c>
    </row>
    <row r="2644" customFormat="false" ht="15" hidden="false" customHeight="false" outlineLevel="0" collapsed="false">
      <c r="A2644" s="0" t="s">
        <v>4104</v>
      </c>
      <c r="B2644" s="0" t="s">
        <v>79</v>
      </c>
      <c r="C2644" s="0" t="s">
        <v>3216</v>
      </c>
      <c r="D2644" s="0" t="s">
        <v>54</v>
      </c>
      <c r="E2644" s="2" t="n">
        <v>46004</v>
      </c>
      <c r="F2644" s="3" t="s">
        <v>27</v>
      </c>
      <c r="G2644" s="3" t="s">
        <v>35</v>
      </c>
      <c r="H2644" s="3" t="s">
        <v>29</v>
      </c>
      <c r="I2644" s="3" t="n">
        <f aca="false">YEAR(E2644)</f>
        <v>2025</v>
      </c>
      <c r="J2644" s="3" t="n">
        <f aca="false">MONTH(E2644)</f>
        <v>12</v>
      </c>
      <c r="K2644" s="3" t="n">
        <f aca="false">COUNTIFS($B$2:$B$4077,B2644,$C$2:$C$4077,C2644,$I$2:$I$4077,I2644)</f>
        <v>2</v>
      </c>
      <c r="L2644" s="3" t="n">
        <f aca="false">IF(COUNTIFS($B$2:B2644,B2644,$C$2:C2644,C2644,$I$2:I2644,I2644)=1,1,0)</f>
        <v>1</v>
      </c>
      <c r="M2644" s="3" t="n">
        <f aca="false">IF(K2644&gt;=Parametri!$B$1,1,0)</f>
        <v>1</v>
      </c>
      <c r="N2644" s="3" t="n">
        <f aca="false">L2644*M2644</f>
        <v>1</v>
      </c>
    </row>
    <row r="2645" customFormat="false" ht="15" hidden="false" customHeight="false" outlineLevel="0" collapsed="false">
      <c r="A2645" s="0" t="s">
        <v>4105</v>
      </c>
      <c r="B2645" s="0" t="s">
        <v>31</v>
      </c>
      <c r="C2645" s="0" t="s">
        <v>4106</v>
      </c>
      <c r="D2645" s="0" t="s">
        <v>63</v>
      </c>
      <c r="E2645" s="2" t="n">
        <v>45692</v>
      </c>
      <c r="F2645" s="3" t="s">
        <v>20</v>
      </c>
      <c r="G2645" s="3" t="s">
        <v>21</v>
      </c>
      <c r="H2645" s="3" t="s">
        <v>22</v>
      </c>
      <c r="I2645" s="3" t="n">
        <f aca="false">YEAR(E2645)</f>
        <v>2025</v>
      </c>
      <c r="J2645" s="3" t="n">
        <f aca="false">MONTH(E2645)</f>
        <v>2</v>
      </c>
      <c r="K2645" s="3" t="n">
        <f aca="false">COUNTIFS($B$2:$B$4077,B2645,$C$2:$C$4077,C2645,$I$2:$I$4077,I2645)</f>
        <v>1</v>
      </c>
      <c r="L2645" s="3" t="n">
        <f aca="false">IF(COUNTIFS($B$2:B2645,B2645,$C$2:C2645,C2645,$I$2:I2645,I2645)=1,1,0)</f>
        <v>1</v>
      </c>
      <c r="M2645" s="3" t="n">
        <f aca="false">IF(K2645&gt;=Parametri!$B$1,1,0)</f>
        <v>0</v>
      </c>
      <c r="N2645" s="3" t="n">
        <f aca="false">L2645*M2645</f>
        <v>0</v>
      </c>
    </row>
    <row r="2646" customFormat="false" ht="15" hidden="false" customHeight="false" outlineLevel="0" collapsed="false">
      <c r="A2646" s="0" t="s">
        <v>4107</v>
      </c>
      <c r="B2646" s="0" t="s">
        <v>17</v>
      </c>
      <c r="C2646" s="0" t="s">
        <v>2667</v>
      </c>
      <c r="D2646" s="0" t="s">
        <v>26</v>
      </c>
      <c r="E2646" s="2" t="n">
        <v>45971</v>
      </c>
      <c r="F2646" s="3" t="s">
        <v>20</v>
      </c>
      <c r="G2646" s="3" t="s">
        <v>89</v>
      </c>
      <c r="H2646" s="3" t="s">
        <v>22</v>
      </c>
      <c r="I2646" s="3" t="n">
        <f aca="false">YEAR(E2646)</f>
        <v>2025</v>
      </c>
      <c r="J2646" s="3" t="n">
        <f aca="false">MONTH(E2646)</f>
        <v>11</v>
      </c>
      <c r="K2646" s="3" t="n">
        <f aca="false">COUNTIFS($B$2:$B$4077,B2646,$C$2:$C$4077,C2646,$I$2:$I$4077,I2646)</f>
        <v>2</v>
      </c>
      <c r="L2646" s="3" t="n">
        <f aca="false">IF(COUNTIFS($B$2:B2646,B2646,$C$2:C2646,C2646,$I$2:I2646,I2646)=1,1,0)</f>
        <v>0</v>
      </c>
      <c r="M2646" s="3" t="n">
        <f aca="false">IF(K2646&gt;=Parametri!$B$1,1,0)</f>
        <v>1</v>
      </c>
      <c r="N2646" s="3" t="n">
        <f aca="false">L2646*M2646</f>
        <v>0</v>
      </c>
    </row>
    <row r="2647" customFormat="false" ht="15" hidden="false" customHeight="false" outlineLevel="0" collapsed="false">
      <c r="A2647" s="0" t="s">
        <v>4108</v>
      </c>
      <c r="B2647" s="0" t="s">
        <v>17</v>
      </c>
      <c r="C2647" s="0" t="s">
        <v>4109</v>
      </c>
      <c r="D2647" s="0" t="s">
        <v>66</v>
      </c>
      <c r="E2647" s="2" t="n">
        <v>45595</v>
      </c>
      <c r="F2647" s="3" t="s">
        <v>27</v>
      </c>
      <c r="G2647" s="3" t="s">
        <v>39</v>
      </c>
      <c r="H2647" s="3" t="s">
        <v>48</v>
      </c>
      <c r="I2647" s="3" t="n">
        <f aca="false">YEAR(E2647)</f>
        <v>2024</v>
      </c>
      <c r="J2647" s="3" t="n">
        <f aca="false">MONTH(E2647)</f>
        <v>10</v>
      </c>
      <c r="K2647" s="3" t="n">
        <f aca="false">COUNTIFS($B$2:$B$4077,B2647,$C$2:$C$4077,C2647,$I$2:$I$4077,I2647)</f>
        <v>1</v>
      </c>
      <c r="L2647" s="3" t="n">
        <f aca="false">IF(COUNTIFS($B$2:B2647,B2647,$C$2:C2647,C2647,$I$2:I2647,I2647)=1,1,0)</f>
        <v>1</v>
      </c>
      <c r="M2647" s="3" t="n">
        <f aca="false">IF(K2647&gt;=Parametri!$B$1,1,0)</f>
        <v>0</v>
      </c>
      <c r="N2647" s="3" t="n">
        <f aca="false">L2647*M2647</f>
        <v>0</v>
      </c>
    </row>
    <row r="2648" customFormat="false" ht="15" hidden="false" customHeight="false" outlineLevel="0" collapsed="false">
      <c r="A2648" s="0" t="s">
        <v>4110</v>
      </c>
      <c r="B2648" s="0" t="s">
        <v>41</v>
      </c>
      <c r="C2648" s="0" t="s">
        <v>1108</v>
      </c>
      <c r="D2648" s="0" t="s">
        <v>54</v>
      </c>
      <c r="E2648" s="2" t="n">
        <v>45405</v>
      </c>
      <c r="F2648" s="3" t="s">
        <v>20</v>
      </c>
      <c r="G2648" s="3" t="s">
        <v>89</v>
      </c>
      <c r="H2648" s="3" t="s">
        <v>48</v>
      </c>
      <c r="I2648" s="3" t="n">
        <f aca="false">YEAR(E2648)</f>
        <v>2024</v>
      </c>
      <c r="J2648" s="3" t="n">
        <f aca="false">MONTH(E2648)</f>
        <v>4</v>
      </c>
      <c r="K2648" s="3" t="n">
        <f aca="false">COUNTIFS($B$2:$B$4077,B2648,$C$2:$C$4077,C2648,$I$2:$I$4077,I2648)</f>
        <v>3</v>
      </c>
      <c r="L2648" s="3" t="n">
        <f aca="false">IF(COUNTIFS($B$2:B2648,B2648,$C$2:C2648,C2648,$I$2:I2648,I2648)=1,1,0)</f>
        <v>0</v>
      </c>
      <c r="M2648" s="3" t="n">
        <f aca="false">IF(K2648&gt;=Parametri!$B$1,1,0)</f>
        <v>1</v>
      </c>
      <c r="N2648" s="3" t="n">
        <f aca="false">L2648*M2648</f>
        <v>0</v>
      </c>
    </row>
    <row r="2649" customFormat="false" ht="15" hidden="false" customHeight="false" outlineLevel="0" collapsed="false">
      <c r="A2649" s="0" t="s">
        <v>4111</v>
      </c>
      <c r="B2649" s="0" t="s">
        <v>17</v>
      </c>
      <c r="C2649" s="0" t="s">
        <v>458</v>
      </c>
      <c r="D2649" s="0" t="s">
        <v>33</v>
      </c>
      <c r="E2649" s="2" t="n">
        <v>46053</v>
      </c>
      <c r="F2649" s="3" t="s">
        <v>20</v>
      </c>
      <c r="G2649" s="3" t="s">
        <v>39</v>
      </c>
      <c r="H2649" s="3" t="s">
        <v>48</v>
      </c>
      <c r="I2649" s="3" t="n">
        <f aca="false">YEAR(E2649)</f>
        <v>2026</v>
      </c>
      <c r="J2649" s="3" t="n">
        <f aca="false">MONTH(E2649)</f>
        <v>1</v>
      </c>
      <c r="K2649" s="3" t="n">
        <f aca="false">COUNTIFS($B$2:$B$4077,B2649,$C$2:$C$4077,C2649,$I$2:$I$4077,I2649)</f>
        <v>1</v>
      </c>
      <c r="L2649" s="3" t="n">
        <f aca="false">IF(COUNTIFS($B$2:B2649,B2649,$C$2:C2649,C2649,$I$2:I2649,I2649)=1,1,0)</f>
        <v>1</v>
      </c>
      <c r="M2649" s="3" t="n">
        <f aca="false">IF(K2649&gt;=Parametri!$B$1,1,0)</f>
        <v>0</v>
      </c>
      <c r="N2649" s="3" t="n">
        <f aca="false">L2649*M2649</f>
        <v>0</v>
      </c>
    </row>
    <row r="2650" customFormat="false" ht="15" hidden="false" customHeight="false" outlineLevel="0" collapsed="false">
      <c r="A2650" s="0" t="s">
        <v>4112</v>
      </c>
      <c r="B2650" s="0" t="s">
        <v>31</v>
      </c>
      <c r="C2650" s="0" t="s">
        <v>3817</v>
      </c>
      <c r="D2650" s="0" t="s">
        <v>19</v>
      </c>
      <c r="E2650" s="2" t="n">
        <v>45558</v>
      </c>
      <c r="F2650" s="3" t="s">
        <v>20</v>
      </c>
      <c r="G2650" s="3" t="s">
        <v>55</v>
      </c>
      <c r="H2650" s="3" t="s">
        <v>22</v>
      </c>
      <c r="I2650" s="3" t="n">
        <f aca="false">YEAR(E2650)</f>
        <v>2024</v>
      </c>
      <c r="J2650" s="3" t="n">
        <f aca="false">MONTH(E2650)</f>
        <v>9</v>
      </c>
      <c r="K2650" s="3" t="n">
        <f aca="false">COUNTIFS($B$2:$B$4077,B2650,$C$2:$C$4077,C2650,$I$2:$I$4077,I2650)</f>
        <v>2</v>
      </c>
      <c r="L2650" s="3" t="n">
        <f aca="false">IF(COUNTIFS($B$2:B2650,B2650,$C$2:C2650,C2650,$I$2:I2650,I2650)=1,1,0)</f>
        <v>0</v>
      </c>
      <c r="M2650" s="3" t="n">
        <f aca="false">IF(K2650&gt;=Parametri!$B$1,1,0)</f>
        <v>1</v>
      </c>
      <c r="N2650" s="3" t="n">
        <f aca="false">L2650*M2650</f>
        <v>0</v>
      </c>
    </row>
    <row r="2651" customFormat="false" ht="15" hidden="false" customHeight="false" outlineLevel="0" collapsed="false">
      <c r="A2651" s="0" t="s">
        <v>4113</v>
      </c>
      <c r="B2651" s="0" t="s">
        <v>124</v>
      </c>
      <c r="C2651" s="0" t="s">
        <v>2277</v>
      </c>
      <c r="D2651" s="0" t="s">
        <v>26</v>
      </c>
      <c r="E2651" s="2" t="n">
        <v>45607</v>
      </c>
      <c r="F2651" s="3" t="s">
        <v>27</v>
      </c>
      <c r="G2651" s="3" t="s">
        <v>28</v>
      </c>
      <c r="H2651" s="3" t="s">
        <v>48</v>
      </c>
      <c r="I2651" s="3" t="n">
        <f aca="false">YEAR(E2651)</f>
        <v>2024</v>
      </c>
      <c r="J2651" s="3" t="n">
        <f aca="false">MONTH(E2651)</f>
        <v>11</v>
      </c>
      <c r="K2651" s="3" t="n">
        <f aca="false">COUNTIFS($B$2:$B$4077,B2651,$C$2:$C$4077,C2651,$I$2:$I$4077,I2651)</f>
        <v>3</v>
      </c>
      <c r="L2651" s="3" t="n">
        <f aca="false">IF(COUNTIFS($B$2:B2651,B2651,$C$2:C2651,C2651,$I$2:I2651,I2651)=1,1,0)</f>
        <v>0</v>
      </c>
      <c r="M2651" s="3" t="n">
        <f aca="false">IF(K2651&gt;=Parametri!$B$1,1,0)</f>
        <v>1</v>
      </c>
      <c r="N2651" s="3" t="n">
        <f aca="false">L2651*M2651</f>
        <v>0</v>
      </c>
    </row>
    <row r="2652" customFormat="false" ht="15" hidden="false" customHeight="false" outlineLevel="0" collapsed="false">
      <c r="A2652" s="0" t="s">
        <v>4114</v>
      </c>
      <c r="B2652" s="0" t="s">
        <v>41</v>
      </c>
      <c r="C2652" s="0" t="s">
        <v>4115</v>
      </c>
      <c r="D2652" s="0" t="s">
        <v>33</v>
      </c>
      <c r="E2652" s="2" t="n">
        <v>45492</v>
      </c>
      <c r="F2652" s="3" t="s">
        <v>20</v>
      </c>
      <c r="G2652" s="3" t="s">
        <v>55</v>
      </c>
      <c r="H2652" s="3" t="s">
        <v>22</v>
      </c>
      <c r="I2652" s="3" t="n">
        <f aca="false">YEAR(E2652)</f>
        <v>2024</v>
      </c>
      <c r="J2652" s="3" t="n">
        <f aca="false">MONTH(E2652)</f>
        <v>7</v>
      </c>
      <c r="K2652" s="3" t="n">
        <f aca="false">COUNTIFS($B$2:$B$4077,B2652,$C$2:$C$4077,C2652,$I$2:$I$4077,I2652)</f>
        <v>1</v>
      </c>
      <c r="L2652" s="3" t="n">
        <f aca="false">IF(COUNTIFS($B$2:B2652,B2652,$C$2:C2652,C2652,$I$2:I2652,I2652)=1,1,0)</f>
        <v>1</v>
      </c>
      <c r="M2652" s="3" t="n">
        <f aca="false">IF(K2652&gt;=Parametri!$B$1,1,0)</f>
        <v>0</v>
      </c>
      <c r="N2652" s="3" t="n">
        <f aca="false">L2652*M2652</f>
        <v>0</v>
      </c>
    </row>
    <row r="2653" customFormat="false" ht="15" hidden="false" customHeight="false" outlineLevel="0" collapsed="false">
      <c r="A2653" s="0" t="s">
        <v>4116</v>
      </c>
      <c r="B2653" s="0" t="s">
        <v>57</v>
      </c>
      <c r="C2653" s="0" t="s">
        <v>702</v>
      </c>
      <c r="D2653" s="0" t="s">
        <v>77</v>
      </c>
      <c r="E2653" s="2" t="n">
        <v>45923</v>
      </c>
      <c r="F2653" s="3" t="s">
        <v>20</v>
      </c>
      <c r="G2653" s="3" t="s">
        <v>55</v>
      </c>
      <c r="H2653" s="3" t="s">
        <v>48</v>
      </c>
      <c r="I2653" s="3" t="n">
        <f aca="false">YEAR(E2653)</f>
        <v>2025</v>
      </c>
      <c r="J2653" s="3" t="n">
        <f aca="false">MONTH(E2653)</f>
        <v>9</v>
      </c>
      <c r="K2653" s="3" t="n">
        <f aca="false">COUNTIFS($B$2:$B$4077,B2653,$C$2:$C$4077,C2653,$I$2:$I$4077,I2653)</f>
        <v>3</v>
      </c>
      <c r="L2653" s="3" t="n">
        <f aca="false">IF(COUNTIFS($B$2:B2653,B2653,$C$2:C2653,C2653,$I$2:I2653,I2653)=1,1,0)</f>
        <v>0</v>
      </c>
      <c r="M2653" s="3" t="n">
        <f aca="false">IF(K2653&gt;=Parametri!$B$1,1,0)</f>
        <v>1</v>
      </c>
      <c r="N2653" s="3" t="n">
        <f aca="false">L2653*M2653</f>
        <v>0</v>
      </c>
    </row>
    <row r="2654" customFormat="false" ht="15" hidden="false" customHeight="false" outlineLevel="0" collapsed="false">
      <c r="A2654" s="0" t="s">
        <v>4117</v>
      </c>
      <c r="B2654" s="0" t="s">
        <v>79</v>
      </c>
      <c r="C2654" s="0" t="s">
        <v>931</v>
      </c>
      <c r="D2654" s="0" t="s">
        <v>77</v>
      </c>
      <c r="E2654" s="2" t="n">
        <v>45383</v>
      </c>
      <c r="F2654" s="3" t="s">
        <v>34</v>
      </c>
      <c r="G2654" s="3" t="s">
        <v>72</v>
      </c>
      <c r="H2654" s="3" t="s">
        <v>29</v>
      </c>
      <c r="I2654" s="3" t="n">
        <f aca="false">YEAR(E2654)</f>
        <v>2024</v>
      </c>
      <c r="J2654" s="3" t="n">
        <f aca="false">MONTH(E2654)</f>
        <v>4</v>
      </c>
      <c r="K2654" s="3" t="n">
        <f aca="false">COUNTIFS($B$2:$B$4077,B2654,$C$2:$C$4077,C2654,$I$2:$I$4077,I2654)</f>
        <v>3</v>
      </c>
      <c r="L2654" s="3" t="n">
        <f aca="false">IF(COUNTIFS($B$2:B2654,B2654,$C$2:C2654,C2654,$I$2:I2654,I2654)=1,1,0)</f>
        <v>0</v>
      </c>
      <c r="M2654" s="3" t="n">
        <f aca="false">IF(K2654&gt;=Parametri!$B$1,1,0)</f>
        <v>1</v>
      </c>
      <c r="N2654" s="3" t="n">
        <f aca="false">L2654*M2654</f>
        <v>0</v>
      </c>
    </row>
    <row r="2655" customFormat="false" ht="15" hidden="false" customHeight="false" outlineLevel="0" collapsed="false">
      <c r="A2655" s="0" t="s">
        <v>4118</v>
      </c>
      <c r="B2655" s="0" t="s">
        <v>50</v>
      </c>
      <c r="C2655" s="0" t="s">
        <v>4119</v>
      </c>
      <c r="D2655" s="0" t="s">
        <v>66</v>
      </c>
      <c r="E2655" s="2" t="n">
        <v>45952</v>
      </c>
      <c r="F2655" s="3" t="s">
        <v>20</v>
      </c>
      <c r="G2655" s="3" t="s">
        <v>28</v>
      </c>
      <c r="H2655" s="3" t="s">
        <v>22</v>
      </c>
      <c r="I2655" s="3" t="n">
        <f aca="false">YEAR(E2655)</f>
        <v>2025</v>
      </c>
      <c r="J2655" s="3" t="n">
        <f aca="false">MONTH(E2655)</f>
        <v>10</v>
      </c>
      <c r="K2655" s="3" t="n">
        <f aca="false">COUNTIFS($B$2:$B$4077,B2655,$C$2:$C$4077,C2655,$I$2:$I$4077,I2655)</f>
        <v>1</v>
      </c>
      <c r="L2655" s="3" t="n">
        <f aca="false">IF(COUNTIFS($B$2:B2655,B2655,$C$2:C2655,C2655,$I$2:I2655,I2655)=1,1,0)</f>
        <v>1</v>
      </c>
      <c r="M2655" s="3" t="n">
        <f aca="false">IF(K2655&gt;=Parametri!$B$1,1,0)</f>
        <v>0</v>
      </c>
      <c r="N2655" s="3" t="n">
        <f aca="false">L2655*M2655</f>
        <v>0</v>
      </c>
    </row>
    <row r="2656" customFormat="false" ht="15" hidden="false" customHeight="false" outlineLevel="0" collapsed="false">
      <c r="A2656" s="0" t="s">
        <v>4120</v>
      </c>
      <c r="B2656" s="0" t="s">
        <v>68</v>
      </c>
      <c r="C2656" s="0" t="s">
        <v>4121</v>
      </c>
      <c r="D2656" s="0" t="s">
        <v>63</v>
      </c>
      <c r="E2656" s="2" t="n">
        <v>45878</v>
      </c>
      <c r="F2656" s="3" t="s">
        <v>27</v>
      </c>
      <c r="G2656" s="3" t="s">
        <v>55</v>
      </c>
      <c r="H2656" s="3" t="s">
        <v>29</v>
      </c>
      <c r="I2656" s="3" t="n">
        <f aca="false">YEAR(E2656)</f>
        <v>2025</v>
      </c>
      <c r="J2656" s="3" t="n">
        <f aca="false">MONTH(E2656)</f>
        <v>8</v>
      </c>
      <c r="K2656" s="3" t="n">
        <f aca="false">COUNTIFS($B$2:$B$4077,B2656,$C$2:$C$4077,C2656,$I$2:$I$4077,I2656)</f>
        <v>1</v>
      </c>
      <c r="L2656" s="3" t="n">
        <f aca="false">IF(COUNTIFS($B$2:B2656,B2656,$C$2:C2656,C2656,$I$2:I2656,I2656)=1,1,0)</f>
        <v>1</v>
      </c>
      <c r="M2656" s="3" t="n">
        <f aca="false">IF(K2656&gt;=Parametri!$B$1,1,0)</f>
        <v>0</v>
      </c>
      <c r="N2656" s="3" t="n">
        <f aca="false">L2656*M2656</f>
        <v>0</v>
      </c>
    </row>
    <row r="2657" customFormat="false" ht="15" hidden="false" customHeight="false" outlineLevel="0" collapsed="false">
      <c r="A2657" s="0" t="s">
        <v>4122</v>
      </c>
      <c r="B2657" s="0" t="s">
        <v>79</v>
      </c>
      <c r="C2657" s="0" t="s">
        <v>651</v>
      </c>
      <c r="D2657" s="0" t="s">
        <v>33</v>
      </c>
      <c r="E2657" s="2" t="n">
        <v>45564</v>
      </c>
      <c r="F2657" s="3" t="s">
        <v>27</v>
      </c>
      <c r="G2657" s="3" t="s">
        <v>89</v>
      </c>
      <c r="H2657" s="3" t="s">
        <v>48</v>
      </c>
      <c r="I2657" s="3" t="n">
        <f aca="false">YEAR(E2657)</f>
        <v>2024</v>
      </c>
      <c r="J2657" s="3" t="n">
        <f aca="false">MONTH(E2657)</f>
        <v>9</v>
      </c>
      <c r="K2657" s="3" t="n">
        <f aca="false">COUNTIFS($B$2:$B$4077,B2657,$C$2:$C$4077,C2657,$I$2:$I$4077,I2657)</f>
        <v>2</v>
      </c>
      <c r="L2657" s="3" t="n">
        <f aca="false">IF(COUNTIFS($B$2:B2657,B2657,$C$2:C2657,C2657,$I$2:I2657,I2657)=1,1,0)</f>
        <v>0</v>
      </c>
      <c r="M2657" s="3" t="n">
        <f aca="false">IF(K2657&gt;=Parametri!$B$1,1,0)</f>
        <v>1</v>
      </c>
      <c r="N2657" s="3" t="n">
        <f aca="false">L2657*M2657</f>
        <v>0</v>
      </c>
    </row>
    <row r="2658" customFormat="false" ht="15" hidden="false" customHeight="false" outlineLevel="0" collapsed="false">
      <c r="A2658" s="0" t="s">
        <v>4123</v>
      </c>
      <c r="B2658" s="0" t="s">
        <v>24</v>
      </c>
      <c r="C2658" s="0" t="s">
        <v>131</v>
      </c>
      <c r="D2658" s="0" t="s">
        <v>33</v>
      </c>
      <c r="E2658" s="2" t="n">
        <v>45706</v>
      </c>
      <c r="F2658" s="3" t="s">
        <v>20</v>
      </c>
      <c r="G2658" s="3" t="s">
        <v>89</v>
      </c>
      <c r="H2658" s="3" t="s">
        <v>44</v>
      </c>
      <c r="I2658" s="3" t="n">
        <f aca="false">YEAR(E2658)</f>
        <v>2025</v>
      </c>
      <c r="J2658" s="3" t="n">
        <f aca="false">MONTH(E2658)</f>
        <v>2</v>
      </c>
      <c r="K2658" s="3" t="n">
        <f aca="false">COUNTIFS($B$2:$B$4077,B2658,$C$2:$C$4077,C2658,$I$2:$I$4077,I2658)</f>
        <v>1</v>
      </c>
      <c r="L2658" s="3" t="n">
        <f aca="false">IF(COUNTIFS($B$2:B2658,B2658,$C$2:C2658,C2658,$I$2:I2658,I2658)=1,1,0)</f>
        <v>1</v>
      </c>
      <c r="M2658" s="3" t="n">
        <f aca="false">IF(K2658&gt;=Parametri!$B$1,1,0)</f>
        <v>0</v>
      </c>
      <c r="N2658" s="3" t="n">
        <f aca="false">L2658*M2658</f>
        <v>0</v>
      </c>
    </row>
    <row r="2659" customFormat="false" ht="15" hidden="false" customHeight="false" outlineLevel="0" collapsed="false">
      <c r="A2659" s="0" t="s">
        <v>4124</v>
      </c>
      <c r="B2659" s="0" t="s">
        <v>57</v>
      </c>
      <c r="C2659" s="0" t="s">
        <v>583</v>
      </c>
      <c r="D2659" s="0" t="s">
        <v>19</v>
      </c>
      <c r="E2659" s="2" t="n">
        <v>45750</v>
      </c>
      <c r="F2659" s="3" t="s">
        <v>20</v>
      </c>
      <c r="G2659" s="3" t="s">
        <v>43</v>
      </c>
      <c r="H2659" s="3" t="s">
        <v>48</v>
      </c>
      <c r="I2659" s="3" t="n">
        <f aca="false">YEAR(E2659)</f>
        <v>2025</v>
      </c>
      <c r="J2659" s="3" t="n">
        <f aca="false">MONTH(E2659)</f>
        <v>4</v>
      </c>
      <c r="K2659" s="3" t="n">
        <f aca="false">COUNTIFS($B$2:$B$4077,B2659,$C$2:$C$4077,C2659,$I$2:$I$4077,I2659)</f>
        <v>4</v>
      </c>
      <c r="L2659" s="3" t="n">
        <f aca="false">IF(COUNTIFS($B$2:B2659,B2659,$C$2:C2659,C2659,$I$2:I2659,I2659)=1,1,0)</f>
        <v>0</v>
      </c>
      <c r="M2659" s="3" t="n">
        <f aca="false">IF(K2659&gt;=Parametri!$B$1,1,0)</f>
        <v>1</v>
      </c>
      <c r="N2659" s="3" t="n">
        <f aca="false">L2659*M2659</f>
        <v>0</v>
      </c>
    </row>
    <row r="2660" customFormat="false" ht="15" hidden="false" customHeight="false" outlineLevel="0" collapsed="false">
      <c r="A2660" s="0" t="s">
        <v>4125</v>
      </c>
      <c r="B2660" s="0" t="s">
        <v>41</v>
      </c>
      <c r="C2660" s="0" t="s">
        <v>2831</v>
      </c>
      <c r="D2660" s="0" t="s">
        <v>66</v>
      </c>
      <c r="E2660" s="2" t="n">
        <v>45408</v>
      </c>
      <c r="F2660" s="3" t="s">
        <v>20</v>
      </c>
      <c r="G2660" s="3" t="s">
        <v>28</v>
      </c>
      <c r="H2660" s="3" t="s">
        <v>22</v>
      </c>
      <c r="I2660" s="3" t="n">
        <f aca="false">YEAR(E2660)</f>
        <v>2024</v>
      </c>
      <c r="J2660" s="3" t="n">
        <f aca="false">MONTH(E2660)</f>
        <v>4</v>
      </c>
      <c r="K2660" s="3" t="n">
        <f aca="false">COUNTIFS($B$2:$B$4077,B2660,$C$2:$C$4077,C2660,$I$2:$I$4077,I2660)</f>
        <v>1</v>
      </c>
      <c r="L2660" s="3" t="n">
        <f aca="false">IF(COUNTIFS($B$2:B2660,B2660,$C$2:C2660,C2660,$I$2:I2660,I2660)=1,1,0)</f>
        <v>1</v>
      </c>
      <c r="M2660" s="3" t="n">
        <f aca="false">IF(K2660&gt;=Parametri!$B$1,1,0)</f>
        <v>0</v>
      </c>
      <c r="N2660" s="3" t="n">
        <f aca="false">L2660*M2660</f>
        <v>0</v>
      </c>
    </row>
    <row r="2661" customFormat="false" ht="15" hidden="false" customHeight="false" outlineLevel="0" collapsed="false">
      <c r="A2661" s="0" t="s">
        <v>4126</v>
      </c>
      <c r="B2661" s="0" t="s">
        <v>68</v>
      </c>
      <c r="C2661" s="0" t="s">
        <v>4127</v>
      </c>
      <c r="D2661" s="0" t="s">
        <v>38</v>
      </c>
      <c r="E2661" s="2" t="n">
        <v>46153</v>
      </c>
      <c r="F2661" s="3" t="s">
        <v>20</v>
      </c>
      <c r="G2661" s="3" t="s">
        <v>43</v>
      </c>
      <c r="H2661" s="3" t="s">
        <v>44</v>
      </c>
      <c r="I2661" s="3" t="n">
        <f aca="false">YEAR(E2661)</f>
        <v>2026</v>
      </c>
      <c r="J2661" s="3" t="n">
        <f aca="false">MONTH(E2661)</f>
        <v>5</v>
      </c>
      <c r="K2661" s="3" t="n">
        <f aca="false">COUNTIFS($B$2:$B$4077,B2661,$C$2:$C$4077,C2661,$I$2:$I$4077,I2661)</f>
        <v>1</v>
      </c>
      <c r="L2661" s="3" t="n">
        <f aca="false">IF(COUNTIFS($B$2:B2661,B2661,$C$2:C2661,C2661,$I$2:I2661,I2661)=1,1,0)</f>
        <v>1</v>
      </c>
      <c r="M2661" s="3" t="n">
        <f aca="false">IF(K2661&gt;=Parametri!$B$1,1,0)</f>
        <v>0</v>
      </c>
      <c r="N2661" s="3" t="n">
        <f aca="false">L2661*M2661</f>
        <v>0</v>
      </c>
    </row>
    <row r="2662" customFormat="false" ht="15" hidden="false" customHeight="false" outlineLevel="0" collapsed="false">
      <c r="A2662" s="0" t="s">
        <v>4128</v>
      </c>
      <c r="B2662" s="0" t="s">
        <v>57</v>
      </c>
      <c r="C2662" s="0" t="s">
        <v>1531</v>
      </c>
      <c r="D2662" s="0" t="s">
        <v>54</v>
      </c>
      <c r="E2662" s="2" t="n">
        <v>45752</v>
      </c>
      <c r="F2662" s="3" t="s">
        <v>20</v>
      </c>
      <c r="G2662" s="3" t="s">
        <v>55</v>
      </c>
      <c r="H2662" s="3" t="s">
        <v>48</v>
      </c>
      <c r="I2662" s="3" t="n">
        <f aca="false">YEAR(E2662)</f>
        <v>2025</v>
      </c>
      <c r="J2662" s="3" t="n">
        <f aca="false">MONTH(E2662)</f>
        <v>4</v>
      </c>
      <c r="K2662" s="3" t="n">
        <f aca="false">COUNTIFS($B$2:$B$4077,B2662,$C$2:$C$4077,C2662,$I$2:$I$4077,I2662)</f>
        <v>7</v>
      </c>
      <c r="L2662" s="3" t="n">
        <f aca="false">IF(COUNTIFS($B$2:B2662,B2662,$C$2:C2662,C2662,$I$2:I2662,I2662)=1,1,0)</f>
        <v>0</v>
      </c>
      <c r="M2662" s="3" t="n">
        <f aca="false">IF(K2662&gt;=Parametri!$B$1,1,0)</f>
        <v>1</v>
      </c>
      <c r="N2662" s="3" t="n">
        <f aca="false">L2662*M2662</f>
        <v>0</v>
      </c>
    </row>
    <row r="2663" customFormat="false" ht="15" hidden="false" customHeight="false" outlineLevel="0" collapsed="false">
      <c r="A2663" s="0" t="s">
        <v>4129</v>
      </c>
      <c r="B2663" s="0" t="s">
        <v>79</v>
      </c>
      <c r="C2663" s="0" t="s">
        <v>2095</v>
      </c>
      <c r="D2663" s="0" t="s">
        <v>38</v>
      </c>
      <c r="E2663" s="2" t="n">
        <v>46160</v>
      </c>
      <c r="F2663" s="3" t="s">
        <v>34</v>
      </c>
      <c r="G2663" s="3" t="s">
        <v>89</v>
      </c>
      <c r="H2663" s="3" t="s">
        <v>48</v>
      </c>
      <c r="I2663" s="3" t="n">
        <f aca="false">YEAR(E2663)</f>
        <v>2026</v>
      </c>
      <c r="J2663" s="3" t="n">
        <f aca="false">MONTH(E2663)</f>
        <v>5</v>
      </c>
      <c r="K2663" s="3" t="n">
        <f aca="false">COUNTIFS($B$2:$B$4077,B2663,$C$2:$C$4077,C2663,$I$2:$I$4077,I2663)</f>
        <v>1</v>
      </c>
      <c r="L2663" s="3" t="n">
        <f aca="false">IF(COUNTIFS($B$2:B2663,B2663,$C$2:C2663,C2663,$I$2:I2663,I2663)=1,1,0)</f>
        <v>1</v>
      </c>
      <c r="M2663" s="3" t="n">
        <f aca="false">IF(K2663&gt;=Parametri!$B$1,1,0)</f>
        <v>0</v>
      </c>
      <c r="N2663" s="3" t="n">
        <f aca="false">L2663*M2663</f>
        <v>0</v>
      </c>
    </row>
    <row r="2664" customFormat="false" ht="15" hidden="false" customHeight="false" outlineLevel="0" collapsed="false">
      <c r="A2664" s="0" t="s">
        <v>4130</v>
      </c>
      <c r="B2664" s="0" t="s">
        <v>57</v>
      </c>
      <c r="C2664" s="0" t="s">
        <v>2947</v>
      </c>
      <c r="D2664" s="0" t="s">
        <v>26</v>
      </c>
      <c r="E2664" s="2" t="n">
        <v>46247</v>
      </c>
      <c r="F2664" s="3" t="s">
        <v>27</v>
      </c>
      <c r="G2664" s="3" t="s">
        <v>35</v>
      </c>
      <c r="H2664" s="3" t="s">
        <v>22</v>
      </c>
      <c r="I2664" s="3" t="n">
        <f aca="false">YEAR(E2664)</f>
        <v>2026</v>
      </c>
      <c r="J2664" s="3" t="n">
        <f aca="false">MONTH(E2664)</f>
        <v>8</v>
      </c>
      <c r="K2664" s="3" t="n">
        <f aca="false">COUNTIFS($B$2:$B$4077,B2664,$C$2:$C$4077,C2664,$I$2:$I$4077,I2664)</f>
        <v>3</v>
      </c>
      <c r="L2664" s="3" t="n">
        <f aca="false">IF(COUNTIFS($B$2:B2664,B2664,$C$2:C2664,C2664,$I$2:I2664,I2664)=1,1,0)</f>
        <v>0</v>
      </c>
      <c r="M2664" s="3" t="n">
        <f aca="false">IF(K2664&gt;=Parametri!$B$1,1,0)</f>
        <v>1</v>
      </c>
      <c r="N2664" s="3" t="n">
        <f aca="false">L2664*M2664</f>
        <v>0</v>
      </c>
    </row>
    <row r="2665" customFormat="false" ht="15" hidden="false" customHeight="false" outlineLevel="0" collapsed="false">
      <c r="A2665" s="0" t="s">
        <v>4131</v>
      </c>
      <c r="B2665" s="0" t="s">
        <v>46</v>
      </c>
      <c r="C2665" s="0" t="s">
        <v>3716</v>
      </c>
      <c r="D2665" s="0" t="s">
        <v>77</v>
      </c>
      <c r="E2665" s="2" t="n">
        <v>45395</v>
      </c>
      <c r="F2665" s="3" t="s">
        <v>27</v>
      </c>
      <c r="G2665" s="3" t="s">
        <v>21</v>
      </c>
      <c r="H2665" s="3" t="s">
        <v>22</v>
      </c>
      <c r="I2665" s="3" t="n">
        <f aca="false">YEAR(E2665)</f>
        <v>2024</v>
      </c>
      <c r="J2665" s="3" t="n">
        <f aca="false">MONTH(E2665)</f>
        <v>4</v>
      </c>
      <c r="K2665" s="3" t="n">
        <f aca="false">COUNTIFS($B$2:$B$4077,B2665,$C$2:$C$4077,C2665,$I$2:$I$4077,I2665)</f>
        <v>1</v>
      </c>
      <c r="L2665" s="3" t="n">
        <f aca="false">IF(COUNTIFS($B$2:B2665,B2665,$C$2:C2665,C2665,$I$2:I2665,I2665)=1,1,0)</f>
        <v>1</v>
      </c>
      <c r="M2665" s="3" t="n">
        <f aca="false">IF(K2665&gt;=Parametri!$B$1,1,0)</f>
        <v>0</v>
      </c>
      <c r="N2665" s="3" t="n">
        <f aca="false">L2665*M2665</f>
        <v>0</v>
      </c>
    </row>
    <row r="2666" customFormat="false" ht="15" hidden="false" customHeight="false" outlineLevel="0" collapsed="false">
      <c r="A2666" s="0" t="s">
        <v>4132</v>
      </c>
      <c r="B2666" s="0" t="s">
        <v>24</v>
      </c>
      <c r="C2666" s="0" t="s">
        <v>1421</v>
      </c>
      <c r="D2666" s="0" t="s">
        <v>19</v>
      </c>
      <c r="E2666" s="2" t="n">
        <v>46179</v>
      </c>
      <c r="F2666" s="3" t="s">
        <v>34</v>
      </c>
      <c r="G2666" s="3" t="s">
        <v>72</v>
      </c>
      <c r="H2666" s="3" t="s">
        <v>48</v>
      </c>
      <c r="I2666" s="3" t="n">
        <f aca="false">YEAR(E2666)</f>
        <v>2026</v>
      </c>
      <c r="J2666" s="3" t="n">
        <f aca="false">MONTH(E2666)</f>
        <v>6</v>
      </c>
      <c r="K2666" s="3" t="n">
        <f aca="false">COUNTIFS($B$2:$B$4077,B2666,$C$2:$C$4077,C2666,$I$2:$I$4077,I2666)</f>
        <v>1</v>
      </c>
      <c r="L2666" s="3" t="n">
        <f aca="false">IF(COUNTIFS($B$2:B2666,B2666,$C$2:C2666,C2666,$I$2:I2666,I2666)=1,1,0)</f>
        <v>1</v>
      </c>
      <c r="M2666" s="3" t="n">
        <f aca="false">IF(K2666&gt;=Parametri!$B$1,1,0)</f>
        <v>0</v>
      </c>
      <c r="N2666" s="3" t="n">
        <f aca="false">L2666*M2666</f>
        <v>0</v>
      </c>
    </row>
    <row r="2667" customFormat="false" ht="15" hidden="false" customHeight="false" outlineLevel="0" collapsed="false">
      <c r="A2667" s="0" t="s">
        <v>4133</v>
      </c>
      <c r="B2667" s="0" t="s">
        <v>124</v>
      </c>
      <c r="C2667" s="0" t="s">
        <v>4134</v>
      </c>
      <c r="D2667" s="0" t="s">
        <v>54</v>
      </c>
      <c r="E2667" s="2" t="n">
        <v>46122</v>
      </c>
      <c r="F2667" s="3" t="s">
        <v>20</v>
      </c>
      <c r="G2667" s="3" t="s">
        <v>35</v>
      </c>
      <c r="H2667" s="3" t="s">
        <v>44</v>
      </c>
      <c r="I2667" s="3" t="n">
        <f aca="false">YEAR(E2667)</f>
        <v>2026</v>
      </c>
      <c r="J2667" s="3" t="n">
        <f aca="false">MONTH(E2667)</f>
        <v>4</v>
      </c>
      <c r="K2667" s="3" t="n">
        <f aca="false">COUNTIFS($B$2:$B$4077,B2667,$C$2:$C$4077,C2667,$I$2:$I$4077,I2667)</f>
        <v>1</v>
      </c>
      <c r="L2667" s="3" t="n">
        <f aca="false">IF(COUNTIFS($B$2:B2667,B2667,$C$2:C2667,C2667,$I$2:I2667,I2667)=1,1,0)</f>
        <v>1</v>
      </c>
      <c r="M2667" s="3" t="n">
        <f aca="false">IF(K2667&gt;=Parametri!$B$1,1,0)</f>
        <v>0</v>
      </c>
      <c r="N2667" s="3" t="n">
        <f aca="false">L2667*M2667</f>
        <v>0</v>
      </c>
    </row>
    <row r="2668" customFormat="false" ht="15" hidden="false" customHeight="false" outlineLevel="0" collapsed="false">
      <c r="A2668" s="0" t="s">
        <v>4135</v>
      </c>
      <c r="B2668" s="0" t="s">
        <v>124</v>
      </c>
      <c r="C2668" s="0" t="s">
        <v>4136</v>
      </c>
      <c r="D2668" s="0" t="s">
        <v>77</v>
      </c>
      <c r="E2668" s="2" t="n">
        <v>46014</v>
      </c>
      <c r="F2668" s="3" t="s">
        <v>27</v>
      </c>
      <c r="G2668" s="3" t="s">
        <v>39</v>
      </c>
      <c r="H2668" s="3" t="s">
        <v>22</v>
      </c>
      <c r="I2668" s="3" t="n">
        <f aca="false">YEAR(E2668)</f>
        <v>2025</v>
      </c>
      <c r="J2668" s="3" t="n">
        <f aca="false">MONTH(E2668)</f>
        <v>12</v>
      </c>
      <c r="K2668" s="3" t="n">
        <f aca="false">COUNTIFS($B$2:$B$4077,B2668,$C$2:$C$4077,C2668,$I$2:$I$4077,I2668)</f>
        <v>1</v>
      </c>
      <c r="L2668" s="3" t="n">
        <f aca="false">IF(COUNTIFS($B$2:B2668,B2668,$C$2:C2668,C2668,$I$2:I2668,I2668)=1,1,0)</f>
        <v>1</v>
      </c>
      <c r="M2668" s="3" t="n">
        <f aca="false">IF(K2668&gt;=Parametri!$B$1,1,0)</f>
        <v>0</v>
      </c>
      <c r="N2668" s="3" t="n">
        <f aca="false">L2668*M2668</f>
        <v>0</v>
      </c>
    </row>
    <row r="2669" customFormat="false" ht="15" hidden="false" customHeight="false" outlineLevel="0" collapsed="false">
      <c r="A2669" s="0" t="s">
        <v>4137</v>
      </c>
      <c r="B2669" s="0" t="s">
        <v>57</v>
      </c>
      <c r="C2669" s="0" t="s">
        <v>395</v>
      </c>
      <c r="D2669" s="0" t="s">
        <v>66</v>
      </c>
      <c r="E2669" s="2" t="n">
        <v>45642</v>
      </c>
      <c r="F2669" s="3" t="s">
        <v>27</v>
      </c>
      <c r="G2669" s="3" t="s">
        <v>21</v>
      </c>
      <c r="H2669" s="3" t="s">
        <v>29</v>
      </c>
      <c r="I2669" s="3" t="n">
        <f aca="false">YEAR(E2669)</f>
        <v>2024</v>
      </c>
      <c r="J2669" s="3" t="n">
        <f aca="false">MONTH(E2669)</f>
        <v>12</v>
      </c>
      <c r="K2669" s="3" t="n">
        <f aca="false">COUNTIFS($B$2:$B$4077,B2669,$C$2:$C$4077,C2669,$I$2:$I$4077,I2669)</f>
        <v>2</v>
      </c>
      <c r="L2669" s="3" t="n">
        <f aca="false">IF(COUNTIFS($B$2:B2669,B2669,$C$2:C2669,C2669,$I$2:I2669,I2669)=1,1,0)</f>
        <v>1</v>
      </c>
      <c r="M2669" s="3" t="n">
        <f aca="false">IF(K2669&gt;=Parametri!$B$1,1,0)</f>
        <v>1</v>
      </c>
      <c r="N2669" s="3" t="n">
        <f aca="false">L2669*M2669</f>
        <v>1</v>
      </c>
    </row>
    <row r="2670" customFormat="false" ht="15" hidden="false" customHeight="false" outlineLevel="0" collapsed="false">
      <c r="A2670" s="0" t="s">
        <v>4138</v>
      </c>
      <c r="B2670" s="0" t="s">
        <v>31</v>
      </c>
      <c r="C2670" s="0" t="s">
        <v>4139</v>
      </c>
      <c r="D2670" s="0" t="s">
        <v>38</v>
      </c>
      <c r="E2670" s="2" t="n">
        <v>46215</v>
      </c>
      <c r="F2670" s="3" t="s">
        <v>34</v>
      </c>
      <c r="G2670" s="3" t="s">
        <v>72</v>
      </c>
      <c r="H2670" s="3" t="s">
        <v>48</v>
      </c>
      <c r="I2670" s="3" t="n">
        <f aca="false">YEAR(E2670)</f>
        <v>2026</v>
      </c>
      <c r="J2670" s="3" t="n">
        <f aca="false">MONTH(E2670)</f>
        <v>7</v>
      </c>
      <c r="K2670" s="3" t="n">
        <f aca="false">COUNTIFS($B$2:$B$4077,B2670,$C$2:$C$4077,C2670,$I$2:$I$4077,I2670)</f>
        <v>1</v>
      </c>
      <c r="L2670" s="3" t="n">
        <f aca="false">IF(COUNTIFS($B$2:B2670,B2670,$C$2:C2670,C2670,$I$2:I2670,I2670)=1,1,0)</f>
        <v>1</v>
      </c>
      <c r="M2670" s="3" t="n">
        <f aca="false">IF(K2670&gt;=Parametri!$B$1,1,0)</f>
        <v>0</v>
      </c>
      <c r="N2670" s="3" t="n">
        <f aca="false">L2670*M2670</f>
        <v>0</v>
      </c>
    </row>
    <row r="2671" customFormat="false" ht="15" hidden="false" customHeight="false" outlineLevel="0" collapsed="false">
      <c r="A2671" s="0" t="s">
        <v>4140</v>
      </c>
      <c r="B2671" s="0" t="s">
        <v>124</v>
      </c>
      <c r="C2671" s="0" t="s">
        <v>4141</v>
      </c>
      <c r="D2671" s="0" t="s">
        <v>54</v>
      </c>
      <c r="E2671" s="2" t="n">
        <v>45692</v>
      </c>
      <c r="F2671" s="3" t="s">
        <v>20</v>
      </c>
      <c r="G2671" s="3" t="s">
        <v>72</v>
      </c>
      <c r="H2671" s="3" t="s">
        <v>44</v>
      </c>
      <c r="I2671" s="3" t="n">
        <f aca="false">YEAR(E2671)</f>
        <v>2025</v>
      </c>
      <c r="J2671" s="3" t="n">
        <f aca="false">MONTH(E2671)</f>
        <v>2</v>
      </c>
      <c r="K2671" s="3" t="n">
        <f aca="false">COUNTIFS($B$2:$B$4077,B2671,$C$2:$C$4077,C2671,$I$2:$I$4077,I2671)</f>
        <v>1</v>
      </c>
      <c r="L2671" s="3" t="n">
        <f aca="false">IF(COUNTIFS($B$2:B2671,B2671,$C$2:C2671,C2671,$I$2:I2671,I2671)=1,1,0)</f>
        <v>1</v>
      </c>
      <c r="M2671" s="3" t="n">
        <f aca="false">IF(K2671&gt;=Parametri!$B$1,1,0)</f>
        <v>0</v>
      </c>
      <c r="N2671" s="3" t="n">
        <f aca="false">L2671*M2671</f>
        <v>0</v>
      </c>
    </row>
    <row r="2672" customFormat="false" ht="15" hidden="false" customHeight="false" outlineLevel="0" collapsed="false">
      <c r="A2672" s="0" t="s">
        <v>4142</v>
      </c>
      <c r="B2672" s="0" t="s">
        <v>31</v>
      </c>
      <c r="C2672" s="0" t="s">
        <v>1868</v>
      </c>
      <c r="D2672" s="0" t="s">
        <v>66</v>
      </c>
      <c r="E2672" s="2" t="n">
        <v>46100</v>
      </c>
      <c r="F2672" s="3" t="s">
        <v>34</v>
      </c>
      <c r="G2672" s="3" t="s">
        <v>28</v>
      </c>
      <c r="H2672" s="3" t="s">
        <v>44</v>
      </c>
      <c r="I2672" s="3" t="n">
        <f aca="false">YEAR(E2672)</f>
        <v>2026</v>
      </c>
      <c r="J2672" s="3" t="n">
        <f aca="false">MONTH(E2672)</f>
        <v>3</v>
      </c>
      <c r="K2672" s="3" t="n">
        <f aca="false">COUNTIFS($B$2:$B$4077,B2672,$C$2:$C$4077,C2672,$I$2:$I$4077,I2672)</f>
        <v>4</v>
      </c>
      <c r="L2672" s="3" t="n">
        <f aca="false">IF(COUNTIFS($B$2:B2672,B2672,$C$2:C2672,C2672,$I$2:I2672,I2672)=1,1,0)</f>
        <v>0</v>
      </c>
      <c r="M2672" s="3" t="n">
        <f aca="false">IF(K2672&gt;=Parametri!$B$1,1,0)</f>
        <v>1</v>
      </c>
      <c r="N2672" s="3" t="n">
        <f aca="false">L2672*M2672</f>
        <v>0</v>
      </c>
    </row>
    <row r="2673" customFormat="false" ht="15" hidden="false" customHeight="false" outlineLevel="0" collapsed="false">
      <c r="A2673" s="0" t="s">
        <v>4143</v>
      </c>
      <c r="B2673" s="0" t="s">
        <v>57</v>
      </c>
      <c r="C2673" s="0" t="s">
        <v>2504</v>
      </c>
      <c r="D2673" s="0" t="s">
        <v>63</v>
      </c>
      <c r="E2673" s="2" t="n">
        <v>45450</v>
      </c>
      <c r="F2673" s="3" t="s">
        <v>27</v>
      </c>
      <c r="G2673" s="3" t="s">
        <v>28</v>
      </c>
      <c r="H2673" s="3" t="s">
        <v>48</v>
      </c>
      <c r="I2673" s="3" t="n">
        <f aca="false">YEAR(E2673)</f>
        <v>2024</v>
      </c>
      <c r="J2673" s="3" t="n">
        <f aca="false">MONTH(E2673)</f>
        <v>6</v>
      </c>
      <c r="K2673" s="3" t="n">
        <f aca="false">COUNTIFS($B$2:$B$4077,B2673,$C$2:$C$4077,C2673,$I$2:$I$4077,I2673)</f>
        <v>3</v>
      </c>
      <c r="L2673" s="3" t="n">
        <f aca="false">IF(COUNTIFS($B$2:B2673,B2673,$C$2:C2673,C2673,$I$2:I2673,I2673)=1,1,0)</f>
        <v>0</v>
      </c>
      <c r="M2673" s="3" t="n">
        <f aca="false">IF(K2673&gt;=Parametri!$B$1,1,0)</f>
        <v>1</v>
      </c>
      <c r="N2673" s="3" t="n">
        <f aca="false">L2673*M2673</f>
        <v>0</v>
      </c>
    </row>
    <row r="2674" customFormat="false" ht="15" hidden="false" customHeight="false" outlineLevel="0" collapsed="false">
      <c r="A2674" s="0" t="s">
        <v>4144</v>
      </c>
      <c r="B2674" s="0" t="s">
        <v>50</v>
      </c>
      <c r="C2674" s="0" t="s">
        <v>1516</v>
      </c>
      <c r="D2674" s="0" t="s">
        <v>26</v>
      </c>
      <c r="E2674" s="2" t="n">
        <v>46124</v>
      </c>
      <c r="F2674" s="3" t="s">
        <v>27</v>
      </c>
      <c r="G2674" s="3" t="s">
        <v>28</v>
      </c>
      <c r="H2674" s="3" t="s">
        <v>48</v>
      </c>
      <c r="I2674" s="3" t="n">
        <f aca="false">YEAR(E2674)</f>
        <v>2026</v>
      </c>
      <c r="J2674" s="3" t="n">
        <f aca="false">MONTH(E2674)</f>
        <v>4</v>
      </c>
      <c r="K2674" s="3" t="n">
        <f aca="false">COUNTIFS($B$2:$B$4077,B2674,$C$2:$C$4077,C2674,$I$2:$I$4077,I2674)</f>
        <v>1</v>
      </c>
      <c r="L2674" s="3" t="n">
        <f aca="false">IF(COUNTIFS($B$2:B2674,B2674,$C$2:C2674,C2674,$I$2:I2674,I2674)=1,1,0)</f>
        <v>1</v>
      </c>
      <c r="M2674" s="3" t="n">
        <f aca="false">IF(K2674&gt;=Parametri!$B$1,1,0)</f>
        <v>0</v>
      </c>
      <c r="N2674" s="3" t="n">
        <f aca="false">L2674*M2674</f>
        <v>0</v>
      </c>
    </row>
    <row r="2675" customFormat="false" ht="15" hidden="false" customHeight="false" outlineLevel="0" collapsed="false">
      <c r="A2675" s="0" t="s">
        <v>4145</v>
      </c>
      <c r="B2675" s="0" t="s">
        <v>50</v>
      </c>
      <c r="C2675" s="0" t="s">
        <v>4146</v>
      </c>
      <c r="D2675" s="0" t="s">
        <v>63</v>
      </c>
      <c r="E2675" s="2" t="n">
        <v>46123</v>
      </c>
      <c r="F2675" s="3" t="s">
        <v>20</v>
      </c>
      <c r="G2675" s="3" t="s">
        <v>21</v>
      </c>
      <c r="H2675" s="3" t="s">
        <v>22</v>
      </c>
      <c r="I2675" s="3" t="n">
        <f aca="false">YEAR(E2675)</f>
        <v>2026</v>
      </c>
      <c r="J2675" s="3" t="n">
        <f aca="false">MONTH(E2675)</f>
        <v>4</v>
      </c>
      <c r="K2675" s="3" t="n">
        <f aca="false">COUNTIFS($B$2:$B$4077,B2675,$C$2:$C$4077,C2675,$I$2:$I$4077,I2675)</f>
        <v>1</v>
      </c>
      <c r="L2675" s="3" t="n">
        <f aca="false">IF(COUNTIFS($B$2:B2675,B2675,$C$2:C2675,C2675,$I$2:I2675,I2675)=1,1,0)</f>
        <v>1</v>
      </c>
      <c r="M2675" s="3" t="n">
        <f aca="false">IF(K2675&gt;=Parametri!$B$1,1,0)</f>
        <v>0</v>
      </c>
      <c r="N2675" s="3" t="n">
        <f aca="false">L2675*M2675</f>
        <v>0</v>
      </c>
    </row>
    <row r="2676" customFormat="false" ht="15" hidden="false" customHeight="false" outlineLevel="0" collapsed="false">
      <c r="A2676" s="0" t="s">
        <v>4147</v>
      </c>
      <c r="B2676" s="0" t="s">
        <v>124</v>
      </c>
      <c r="C2676" s="0" t="s">
        <v>4148</v>
      </c>
      <c r="D2676" s="0" t="s">
        <v>63</v>
      </c>
      <c r="E2676" s="2" t="n">
        <v>46075</v>
      </c>
      <c r="F2676" s="3" t="s">
        <v>20</v>
      </c>
      <c r="G2676" s="3" t="s">
        <v>28</v>
      </c>
      <c r="H2676" s="3" t="s">
        <v>44</v>
      </c>
      <c r="I2676" s="3" t="n">
        <f aca="false">YEAR(E2676)</f>
        <v>2026</v>
      </c>
      <c r="J2676" s="3" t="n">
        <f aca="false">MONTH(E2676)</f>
        <v>2</v>
      </c>
      <c r="K2676" s="3" t="n">
        <f aca="false">COUNTIFS($B$2:$B$4077,B2676,$C$2:$C$4077,C2676,$I$2:$I$4077,I2676)</f>
        <v>1</v>
      </c>
      <c r="L2676" s="3" t="n">
        <f aca="false">IF(COUNTIFS($B$2:B2676,B2676,$C$2:C2676,C2676,$I$2:I2676,I2676)=1,1,0)</f>
        <v>1</v>
      </c>
      <c r="M2676" s="3" t="n">
        <f aca="false">IF(K2676&gt;=Parametri!$B$1,1,0)</f>
        <v>0</v>
      </c>
      <c r="N2676" s="3" t="n">
        <f aca="false">L2676*M2676</f>
        <v>0</v>
      </c>
    </row>
    <row r="2677" customFormat="false" ht="15" hidden="false" customHeight="false" outlineLevel="0" collapsed="false">
      <c r="A2677" s="0" t="s">
        <v>4149</v>
      </c>
      <c r="B2677" s="0" t="s">
        <v>68</v>
      </c>
      <c r="C2677" s="0" t="s">
        <v>4150</v>
      </c>
      <c r="D2677" s="0" t="s">
        <v>63</v>
      </c>
      <c r="E2677" s="2" t="n">
        <v>45487</v>
      </c>
      <c r="F2677" s="3" t="s">
        <v>20</v>
      </c>
      <c r="G2677" s="3" t="s">
        <v>21</v>
      </c>
      <c r="H2677" s="3" t="s">
        <v>29</v>
      </c>
      <c r="I2677" s="3" t="n">
        <f aca="false">YEAR(E2677)</f>
        <v>2024</v>
      </c>
      <c r="J2677" s="3" t="n">
        <f aca="false">MONTH(E2677)</f>
        <v>7</v>
      </c>
      <c r="K2677" s="3" t="n">
        <f aca="false">COUNTIFS($B$2:$B$4077,B2677,$C$2:$C$4077,C2677,$I$2:$I$4077,I2677)</f>
        <v>1</v>
      </c>
      <c r="L2677" s="3" t="n">
        <f aca="false">IF(COUNTIFS($B$2:B2677,B2677,$C$2:C2677,C2677,$I$2:I2677,I2677)=1,1,0)</f>
        <v>1</v>
      </c>
      <c r="M2677" s="3" t="n">
        <f aca="false">IF(K2677&gt;=Parametri!$B$1,1,0)</f>
        <v>0</v>
      </c>
      <c r="N2677" s="3" t="n">
        <f aca="false">L2677*M2677</f>
        <v>0</v>
      </c>
    </row>
    <row r="2678" customFormat="false" ht="15" hidden="false" customHeight="false" outlineLevel="0" collapsed="false">
      <c r="A2678" s="0" t="s">
        <v>4151</v>
      </c>
      <c r="B2678" s="0" t="s">
        <v>79</v>
      </c>
      <c r="C2678" s="0" t="s">
        <v>541</v>
      </c>
      <c r="D2678" s="0" t="s">
        <v>26</v>
      </c>
      <c r="E2678" s="2" t="n">
        <v>45803</v>
      </c>
      <c r="F2678" s="3" t="s">
        <v>20</v>
      </c>
      <c r="G2678" s="3" t="s">
        <v>35</v>
      </c>
      <c r="H2678" s="3" t="s">
        <v>44</v>
      </c>
      <c r="I2678" s="3" t="n">
        <f aca="false">YEAR(E2678)</f>
        <v>2025</v>
      </c>
      <c r="J2678" s="3" t="n">
        <f aca="false">MONTH(E2678)</f>
        <v>5</v>
      </c>
      <c r="K2678" s="3" t="n">
        <f aca="false">COUNTIFS($B$2:$B$4077,B2678,$C$2:$C$4077,C2678,$I$2:$I$4077,I2678)</f>
        <v>3</v>
      </c>
      <c r="L2678" s="3" t="n">
        <f aca="false">IF(COUNTIFS($B$2:B2678,B2678,$C$2:C2678,C2678,$I$2:I2678,I2678)=1,1,0)</f>
        <v>0</v>
      </c>
      <c r="M2678" s="3" t="n">
        <f aca="false">IF(K2678&gt;=Parametri!$B$1,1,0)</f>
        <v>1</v>
      </c>
      <c r="N2678" s="3" t="n">
        <f aca="false">L2678*M2678</f>
        <v>0</v>
      </c>
    </row>
    <row r="2679" customFormat="false" ht="15" hidden="false" customHeight="false" outlineLevel="0" collapsed="false">
      <c r="A2679" s="0" t="s">
        <v>4152</v>
      </c>
      <c r="B2679" s="0" t="s">
        <v>46</v>
      </c>
      <c r="C2679" s="0" t="s">
        <v>4153</v>
      </c>
      <c r="D2679" s="0" t="s">
        <v>63</v>
      </c>
      <c r="E2679" s="2" t="n">
        <v>45898</v>
      </c>
      <c r="F2679" s="3" t="s">
        <v>20</v>
      </c>
      <c r="G2679" s="3" t="s">
        <v>89</v>
      </c>
      <c r="H2679" s="3" t="s">
        <v>44</v>
      </c>
      <c r="I2679" s="3" t="n">
        <f aca="false">YEAR(E2679)</f>
        <v>2025</v>
      </c>
      <c r="J2679" s="3" t="n">
        <f aca="false">MONTH(E2679)</f>
        <v>8</v>
      </c>
      <c r="K2679" s="3" t="n">
        <f aca="false">COUNTIFS($B$2:$B$4077,B2679,$C$2:$C$4077,C2679,$I$2:$I$4077,I2679)</f>
        <v>1</v>
      </c>
      <c r="L2679" s="3" t="n">
        <f aca="false">IF(COUNTIFS($B$2:B2679,B2679,$C$2:C2679,C2679,$I$2:I2679,I2679)=1,1,0)</f>
        <v>1</v>
      </c>
      <c r="M2679" s="3" t="n">
        <f aca="false">IF(K2679&gt;=Parametri!$B$1,1,0)</f>
        <v>0</v>
      </c>
      <c r="N2679" s="3" t="n">
        <f aca="false">L2679*M2679</f>
        <v>0</v>
      </c>
    </row>
    <row r="2680" customFormat="false" ht="15" hidden="false" customHeight="false" outlineLevel="0" collapsed="false">
      <c r="A2680" s="0" t="s">
        <v>4154</v>
      </c>
      <c r="B2680" s="0" t="s">
        <v>24</v>
      </c>
      <c r="C2680" s="0" t="s">
        <v>4155</v>
      </c>
      <c r="D2680" s="0" t="s">
        <v>38</v>
      </c>
      <c r="E2680" s="2" t="n">
        <v>46217</v>
      </c>
      <c r="F2680" s="3" t="s">
        <v>34</v>
      </c>
      <c r="G2680" s="3" t="s">
        <v>55</v>
      </c>
      <c r="H2680" s="3" t="s">
        <v>48</v>
      </c>
      <c r="I2680" s="3" t="n">
        <f aca="false">YEAR(E2680)</f>
        <v>2026</v>
      </c>
      <c r="J2680" s="3" t="n">
        <f aca="false">MONTH(E2680)</f>
        <v>7</v>
      </c>
      <c r="K2680" s="3" t="n">
        <f aca="false">COUNTIFS($B$2:$B$4077,B2680,$C$2:$C$4077,C2680,$I$2:$I$4077,I2680)</f>
        <v>1</v>
      </c>
      <c r="L2680" s="3" t="n">
        <f aca="false">IF(COUNTIFS($B$2:B2680,B2680,$C$2:C2680,C2680,$I$2:I2680,I2680)=1,1,0)</f>
        <v>1</v>
      </c>
      <c r="M2680" s="3" t="n">
        <f aca="false">IF(K2680&gt;=Parametri!$B$1,1,0)</f>
        <v>0</v>
      </c>
      <c r="N2680" s="3" t="n">
        <f aca="false">L2680*M2680</f>
        <v>0</v>
      </c>
    </row>
    <row r="2681" customFormat="false" ht="15" hidden="false" customHeight="false" outlineLevel="0" collapsed="false">
      <c r="A2681" s="0" t="s">
        <v>4156</v>
      </c>
      <c r="B2681" s="0" t="s">
        <v>31</v>
      </c>
      <c r="C2681" s="0" t="s">
        <v>1027</v>
      </c>
      <c r="D2681" s="0" t="s">
        <v>26</v>
      </c>
      <c r="E2681" s="2" t="n">
        <v>45542</v>
      </c>
      <c r="F2681" s="3" t="s">
        <v>34</v>
      </c>
      <c r="G2681" s="3" t="s">
        <v>35</v>
      </c>
      <c r="H2681" s="3" t="s">
        <v>29</v>
      </c>
      <c r="I2681" s="3" t="n">
        <f aca="false">YEAR(E2681)</f>
        <v>2024</v>
      </c>
      <c r="J2681" s="3" t="n">
        <f aca="false">MONTH(E2681)</f>
        <v>9</v>
      </c>
      <c r="K2681" s="3" t="n">
        <f aca="false">COUNTIFS($B$2:$B$4077,B2681,$C$2:$C$4077,C2681,$I$2:$I$4077,I2681)</f>
        <v>2</v>
      </c>
      <c r="L2681" s="3" t="n">
        <f aca="false">IF(COUNTIFS($B$2:B2681,B2681,$C$2:C2681,C2681,$I$2:I2681,I2681)=1,1,0)</f>
        <v>0</v>
      </c>
      <c r="M2681" s="3" t="n">
        <f aca="false">IF(K2681&gt;=Parametri!$B$1,1,0)</f>
        <v>1</v>
      </c>
      <c r="N2681" s="3" t="n">
        <f aca="false">L2681*M2681</f>
        <v>0</v>
      </c>
    </row>
    <row r="2682" customFormat="false" ht="15" hidden="false" customHeight="false" outlineLevel="0" collapsed="false">
      <c r="A2682" s="0" t="s">
        <v>4157</v>
      </c>
      <c r="B2682" s="0" t="s">
        <v>46</v>
      </c>
      <c r="C2682" s="0" t="s">
        <v>4158</v>
      </c>
      <c r="D2682" s="0" t="s">
        <v>54</v>
      </c>
      <c r="E2682" s="2" t="n">
        <v>46051</v>
      </c>
      <c r="F2682" s="3" t="s">
        <v>27</v>
      </c>
      <c r="G2682" s="3" t="s">
        <v>55</v>
      </c>
      <c r="H2682" s="3" t="s">
        <v>44</v>
      </c>
      <c r="I2682" s="3" t="n">
        <f aca="false">YEAR(E2682)</f>
        <v>2026</v>
      </c>
      <c r="J2682" s="3" t="n">
        <f aca="false">MONTH(E2682)</f>
        <v>1</v>
      </c>
      <c r="K2682" s="3" t="n">
        <f aca="false">COUNTIFS($B$2:$B$4077,B2682,$C$2:$C$4077,C2682,$I$2:$I$4077,I2682)</f>
        <v>1</v>
      </c>
      <c r="L2682" s="3" t="n">
        <f aca="false">IF(COUNTIFS($B$2:B2682,B2682,$C$2:C2682,C2682,$I$2:I2682,I2682)=1,1,0)</f>
        <v>1</v>
      </c>
      <c r="M2682" s="3" t="n">
        <f aca="false">IF(K2682&gt;=Parametri!$B$1,1,0)</f>
        <v>0</v>
      </c>
      <c r="N2682" s="3" t="n">
        <f aca="false">L2682*M2682</f>
        <v>0</v>
      </c>
    </row>
    <row r="2683" customFormat="false" ht="15" hidden="false" customHeight="false" outlineLevel="0" collapsed="false">
      <c r="A2683" s="0" t="s">
        <v>4159</v>
      </c>
      <c r="B2683" s="0" t="s">
        <v>41</v>
      </c>
      <c r="C2683" s="0" t="s">
        <v>343</v>
      </c>
      <c r="D2683" s="0" t="s">
        <v>19</v>
      </c>
      <c r="E2683" s="2" t="n">
        <v>45707</v>
      </c>
      <c r="F2683" s="3" t="s">
        <v>20</v>
      </c>
      <c r="G2683" s="3" t="s">
        <v>35</v>
      </c>
      <c r="H2683" s="3" t="s">
        <v>48</v>
      </c>
      <c r="I2683" s="3" t="n">
        <f aca="false">YEAR(E2683)</f>
        <v>2025</v>
      </c>
      <c r="J2683" s="3" t="n">
        <f aca="false">MONTH(E2683)</f>
        <v>2</v>
      </c>
      <c r="K2683" s="3" t="n">
        <f aca="false">COUNTIFS($B$2:$B$4077,B2683,$C$2:$C$4077,C2683,$I$2:$I$4077,I2683)</f>
        <v>7</v>
      </c>
      <c r="L2683" s="3" t="n">
        <f aca="false">IF(COUNTIFS($B$2:B2683,B2683,$C$2:C2683,C2683,$I$2:I2683,I2683)=1,1,0)</f>
        <v>0</v>
      </c>
      <c r="M2683" s="3" t="n">
        <f aca="false">IF(K2683&gt;=Parametri!$B$1,1,0)</f>
        <v>1</v>
      </c>
      <c r="N2683" s="3" t="n">
        <f aca="false">L2683*M2683</f>
        <v>0</v>
      </c>
    </row>
    <row r="2684" customFormat="false" ht="15" hidden="false" customHeight="false" outlineLevel="0" collapsed="false">
      <c r="A2684" s="0" t="s">
        <v>4160</v>
      </c>
      <c r="B2684" s="0" t="s">
        <v>24</v>
      </c>
      <c r="C2684" s="0" t="s">
        <v>412</v>
      </c>
      <c r="D2684" s="0" t="s">
        <v>19</v>
      </c>
      <c r="E2684" s="2" t="n">
        <v>45436</v>
      </c>
      <c r="F2684" s="3" t="s">
        <v>34</v>
      </c>
      <c r="G2684" s="3" t="s">
        <v>35</v>
      </c>
      <c r="H2684" s="3" t="s">
        <v>29</v>
      </c>
      <c r="I2684" s="3" t="n">
        <f aca="false">YEAR(E2684)</f>
        <v>2024</v>
      </c>
      <c r="J2684" s="3" t="n">
        <f aca="false">MONTH(E2684)</f>
        <v>5</v>
      </c>
      <c r="K2684" s="3" t="n">
        <f aca="false">COUNTIFS($B$2:$B$4077,B2684,$C$2:$C$4077,C2684,$I$2:$I$4077,I2684)</f>
        <v>2</v>
      </c>
      <c r="L2684" s="3" t="n">
        <f aca="false">IF(COUNTIFS($B$2:B2684,B2684,$C$2:C2684,C2684,$I$2:I2684,I2684)=1,1,0)</f>
        <v>0</v>
      </c>
      <c r="M2684" s="3" t="n">
        <f aca="false">IF(K2684&gt;=Parametri!$B$1,1,0)</f>
        <v>1</v>
      </c>
      <c r="N2684" s="3" t="n">
        <f aca="false">L2684*M2684</f>
        <v>0</v>
      </c>
    </row>
    <row r="2685" customFormat="false" ht="15" hidden="false" customHeight="false" outlineLevel="0" collapsed="false">
      <c r="A2685" s="0" t="s">
        <v>4161</v>
      </c>
      <c r="B2685" s="0" t="s">
        <v>79</v>
      </c>
      <c r="C2685" s="0" t="s">
        <v>909</v>
      </c>
      <c r="D2685" s="0" t="s">
        <v>63</v>
      </c>
      <c r="E2685" s="2" t="n">
        <v>45604</v>
      </c>
      <c r="F2685" s="3" t="s">
        <v>20</v>
      </c>
      <c r="G2685" s="3" t="s">
        <v>39</v>
      </c>
      <c r="H2685" s="3" t="s">
        <v>29</v>
      </c>
      <c r="I2685" s="3" t="n">
        <f aca="false">YEAR(E2685)</f>
        <v>2024</v>
      </c>
      <c r="J2685" s="3" t="n">
        <f aca="false">MONTH(E2685)</f>
        <v>11</v>
      </c>
      <c r="K2685" s="3" t="n">
        <f aca="false">COUNTIFS($B$2:$B$4077,B2685,$C$2:$C$4077,C2685,$I$2:$I$4077,I2685)</f>
        <v>4</v>
      </c>
      <c r="L2685" s="3" t="n">
        <f aca="false">IF(COUNTIFS($B$2:B2685,B2685,$C$2:C2685,C2685,$I$2:I2685,I2685)=1,1,0)</f>
        <v>0</v>
      </c>
      <c r="M2685" s="3" t="n">
        <f aca="false">IF(K2685&gt;=Parametri!$B$1,1,0)</f>
        <v>1</v>
      </c>
      <c r="N2685" s="3" t="n">
        <f aca="false">L2685*M2685</f>
        <v>0</v>
      </c>
    </row>
    <row r="2686" customFormat="false" ht="15" hidden="false" customHeight="false" outlineLevel="0" collapsed="false">
      <c r="A2686" s="0" t="s">
        <v>4162</v>
      </c>
      <c r="B2686" s="0" t="s">
        <v>31</v>
      </c>
      <c r="C2686" s="0" t="s">
        <v>3534</v>
      </c>
      <c r="D2686" s="0" t="s">
        <v>19</v>
      </c>
      <c r="E2686" s="2" t="n">
        <v>45845</v>
      </c>
      <c r="F2686" s="3" t="s">
        <v>20</v>
      </c>
      <c r="G2686" s="3" t="s">
        <v>72</v>
      </c>
      <c r="H2686" s="3" t="s">
        <v>48</v>
      </c>
      <c r="I2686" s="3" t="n">
        <f aca="false">YEAR(E2686)</f>
        <v>2025</v>
      </c>
      <c r="J2686" s="3" t="n">
        <f aca="false">MONTH(E2686)</f>
        <v>7</v>
      </c>
      <c r="K2686" s="3" t="n">
        <f aca="false">COUNTIFS($B$2:$B$4077,B2686,$C$2:$C$4077,C2686,$I$2:$I$4077,I2686)</f>
        <v>2</v>
      </c>
      <c r="L2686" s="3" t="n">
        <f aca="false">IF(COUNTIFS($B$2:B2686,B2686,$C$2:C2686,C2686,$I$2:I2686,I2686)=1,1,0)</f>
        <v>1</v>
      </c>
      <c r="M2686" s="3" t="n">
        <f aca="false">IF(K2686&gt;=Parametri!$B$1,1,0)</f>
        <v>1</v>
      </c>
      <c r="N2686" s="3" t="n">
        <f aca="false">L2686*M2686</f>
        <v>1</v>
      </c>
    </row>
    <row r="2687" customFormat="false" ht="15" hidden="false" customHeight="false" outlineLevel="0" collapsed="false">
      <c r="A2687" s="0" t="s">
        <v>4163</v>
      </c>
      <c r="B2687" s="0" t="s">
        <v>41</v>
      </c>
      <c r="C2687" s="0" t="s">
        <v>4164</v>
      </c>
      <c r="D2687" s="0" t="s">
        <v>63</v>
      </c>
      <c r="E2687" s="2" t="n">
        <v>46028</v>
      </c>
      <c r="F2687" s="3" t="s">
        <v>20</v>
      </c>
      <c r="G2687" s="3" t="s">
        <v>21</v>
      </c>
      <c r="H2687" s="3" t="s">
        <v>22</v>
      </c>
      <c r="I2687" s="3" t="n">
        <f aca="false">YEAR(E2687)</f>
        <v>2026</v>
      </c>
      <c r="J2687" s="3" t="n">
        <f aca="false">MONTH(E2687)</f>
        <v>1</v>
      </c>
      <c r="K2687" s="3" t="n">
        <f aca="false">COUNTIFS($B$2:$B$4077,B2687,$C$2:$C$4077,C2687,$I$2:$I$4077,I2687)</f>
        <v>2</v>
      </c>
      <c r="L2687" s="3" t="n">
        <f aca="false">IF(COUNTIFS($B$2:B2687,B2687,$C$2:C2687,C2687,$I$2:I2687,I2687)=1,1,0)</f>
        <v>1</v>
      </c>
      <c r="M2687" s="3" t="n">
        <f aca="false">IF(K2687&gt;=Parametri!$B$1,1,0)</f>
        <v>1</v>
      </c>
      <c r="N2687" s="3" t="n">
        <f aca="false">L2687*M2687</f>
        <v>1</v>
      </c>
    </row>
    <row r="2688" customFormat="false" ht="15" hidden="false" customHeight="false" outlineLevel="0" collapsed="false">
      <c r="A2688" s="0" t="s">
        <v>4165</v>
      </c>
      <c r="B2688" s="0" t="s">
        <v>79</v>
      </c>
      <c r="C2688" s="0" t="s">
        <v>3381</v>
      </c>
      <c r="D2688" s="0" t="s">
        <v>38</v>
      </c>
      <c r="E2688" s="2" t="n">
        <v>46122</v>
      </c>
      <c r="F2688" s="3" t="s">
        <v>27</v>
      </c>
      <c r="G2688" s="3" t="s">
        <v>35</v>
      </c>
      <c r="H2688" s="3" t="s">
        <v>29</v>
      </c>
      <c r="I2688" s="3" t="n">
        <f aca="false">YEAR(E2688)</f>
        <v>2026</v>
      </c>
      <c r="J2688" s="3" t="n">
        <f aca="false">MONTH(E2688)</f>
        <v>4</v>
      </c>
      <c r="K2688" s="3" t="n">
        <f aca="false">COUNTIFS($B$2:$B$4077,B2688,$C$2:$C$4077,C2688,$I$2:$I$4077,I2688)</f>
        <v>2</v>
      </c>
      <c r="L2688" s="3" t="n">
        <f aca="false">IF(COUNTIFS($B$2:B2688,B2688,$C$2:C2688,C2688,$I$2:I2688,I2688)=1,1,0)</f>
        <v>1</v>
      </c>
      <c r="M2688" s="3" t="n">
        <f aca="false">IF(K2688&gt;=Parametri!$B$1,1,0)</f>
        <v>1</v>
      </c>
      <c r="N2688" s="3" t="n">
        <f aca="false">L2688*M2688</f>
        <v>1</v>
      </c>
    </row>
    <row r="2689" customFormat="false" ht="15" hidden="false" customHeight="false" outlineLevel="0" collapsed="false">
      <c r="A2689" s="0" t="s">
        <v>4166</v>
      </c>
      <c r="B2689" s="0" t="s">
        <v>50</v>
      </c>
      <c r="C2689" s="0" t="s">
        <v>2271</v>
      </c>
      <c r="D2689" s="0" t="s">
        <v>19</v>
      </c>
      <c r="E2689" s="2" t="n">
        <v>46193</v>
      </c>
      <c r="F2689" s="3" t="s">
        <v>27</v>
      </c>
      <c r="G2689" s="3" t="s">
        <v>43</v>
      </c>
      <c r="H2689" s="3" t="s">
        <v>29</v>
      </c>
      <c r="I2689" s="3" t="n">
        <f aca="false">YEAR(E2689)</f>
        <v>2026</v>
      </c>
      <c r="J2689" s="3" t="n">
        <f aca="false">MONTH(E2689)</f>
        <v>6</v>
      </c>
      <c r="K2689" s="3" t="n">
        <f aca="false">COUNTIFS($B$2:$B$4077,B2689,$C$2:$C$4077,C2689,$I$2:$I$4077,I2689)</f>
        <v>1</v>
      </c>
      <c r="L2689" s="3" t="n">
        <f aca="false">IF(COUNTIFS($B$2:B2689,B2689,$C$2:C2689,C2689,$I$2:I2689,I2689)=1,1,0)</f>
        <v>1</v>
      </c>
      <c r="M2689" s="3" t="n">
        <f aca="false">IF(K2689&gt;=Parametri!$B$1,1,0)</f>
        <v>0</v>
      </c>
      <c r="N2689" s="3" t="n">
        <f aca="false">L2689*M2689</f>
        <v>0</v>
      </c>
    </row>
    <row r="2690" customFormat="false" ht="15" hidden="false" customHeight="false" outlineLevel="0" collapsed="false">
      <c r="A2690" s="0" t="s">
        <v>4167</v>
      </c>
      <c r="B2690" s="0" t="s">
        <v>79</v>
      </c>
      <c r="C2690" s="0" t="s">
        <v>592</v>
      </c>
      <c r="D2690" s="0" t="s">
        <v>19</v>
      </c>
      <c r="E2690" s="2" t="n">
        <v>45995</v>
      </c>
      <c r="F2690" s="3" t="s">
        <v>20</v>
      </c>
      <c r="G2690" s="3" t="s">
        <v>21</v>
      </c>
      <c r="H2690" s="3" t="s">
        <v>29</v>
      </c>
      <c r="I2690" s="3" t="n">
        <f aca="false">YEAR(E2690)</f>
        <v>2025</v>
      </c>
      <c r="J2690" s="3" t="n">
        <f aca="false">MONTH(E2690)</f>
        <v>12</v>
      </c>
      <c r="K2690" s="3" t="n">
        <f aca="false">COUNTIFS($B$2:$B$4077,B2690,$C$2:$C$4077,C2690,$I$2:$I$4077,I2690)</f>
        <v>2</v>
      </c>
      <c r="L2690" s="3" t="n">
        <f aca="false">IF(COUNTIFS($B$2:B2690,B2690,$C$2:C2690,C2690,$I$2:I2690,I2690)=1,1,0)</f>
        <v>0</v>
      </c>
      <c r="M2690" s="3" t="n">
        <f aca="false">IF(K2690&gt;=Parametri!$B$1,1,0)</f>
        <v>1</v>
      </c>
      <c r="N2690" s="3" t="n">
        <f aca="false">L2690*M2690</f>
        <v>0</v>
      </c>
    </row>
    <row r="2691" customFormat="false" ht="15" hidden="false" customHeight="false" outlineLevel="0" collapsed="false">
      <c r="A2691" s="0" t="s">
        <v>4168</v>
      </c>
      <c r="B2691" s="0" t="s">
        <v>41</v>
      </c>
      <c r="C2691" s="0" t="s">
        <v>4169</v>
      </c>
      <c r="D2691" s="0" t="s">
        <v>38</v>
      </c>
      <c r="E2691" s="2" t="n">
        <v>45996</v>
      </c>
      <c r="F2691" s="3" t="s">
        <v>34</v>
      </c>
      <c r="G2691" s="3" t="s">
        <v>55</v>
      </c>
      <c r="H2691" s="3" t="s">
        <v>44</v>
      </c>
      <c r="I2691" s="3" t="n">
        <f aca="false">YEAR(E2691)</f>
        <v>2025</v>
      </c>
      <c r="J2691" s="3" t="n">
        <f aca="false">MONTH(E2691)</f>
        <v>12</v>
      </c>
      <c r="K2691" s="3" t="n">
        <f aca="false">COUNTIFS($B$2:$B$4077,B2691,$C$2:$C$4077,C2691,$I$2:$I$4077,I2691)</f>
        <v>1</v>
      </c>
      <c r="L2691" s="3" t="n">
        <f aca="false">IF(COUNTIFS($B$2:B2691,B2691,$C$2:C2691,C2691,$I$2:I2691,I2691)=1,1,0)</f>
        <v>1</v>
      </c>
      <c r="M2691" s="3" t="n">
        <f aca="false">IF(K2691&gt;=Parametri!$B$1,1,0)</f>
        <v>0</v>
      </c>
      <c r="N2691" s="3" t="n">
        <f aca="false">L2691*M2691</f>
        <v>0</v>
      </c>
    </row>
    <row r="2692" customFormat="false" ht="15" hidden="false" customHeight="false" outlineLevel="0" collapsed="false">
      <c r="A2692" s="0" t="s">
        <v>4170</v>
      </c>
      <c r="B2692" s="0" t="s">
        <v>124</v>
      </c>
      <c r="C2692" s="0" t="s">
        <v>4171</v>
      </c>
      <c r="D2692" s="0" t="s">
        <v>54</v>
      </c>
      <c r="E2692" s="2" t="n">
        <v>45996</v>
      </c>
      <c r="F2692" s="3" t="s">
        <v>20</v>
      </c>
      <c r="G2692" s="3" t="s">
        <v>35</v>
      </c>
      <c r="H2692" s="3" t="s">
        <v>29</v>
      </c>
      <c r="I2692" s="3" t="n">
        <f aca="false">YEAR(E2692)</f>
        <v>2025</v>
      </c>
      <c r="J2692" s="3" t="n">
        <f aca="false">MONTH(E2692)</f>
        <v>12</v>
      </c>
      <c r="K2692" s="3" t="n">
        <f aca="false">COUNTIFS($B$2:$B$4077,B2692,$C$2:$C$4077,C2692,$I$2:$I$4077,I2692)</f>
        <v>1</v>
      </c>
      <c r="L2692" s="3" t="n">
        <f aca="false">IF(COUNTIFS($B$2:B2692,B2692,$C$2:C2692,C2692,$I$2:I2692,I2692)=1,1,0)</f>
        <v>1</v>
      </c>
      <c r="M2692" s="3" t="n">
        <f aca="false">IF(K2692&gt;=Parametri!$B$1,1,0)</f>
        <v>0</v>
      </c>
      <c r="N2692" s="3" t="n">
        <f aca="false">L2692*M2692</f>
        <v>0</v>
      </c>
    </row>
    <row r="2693" customFormat="false" ht="15" hidden="false" customHeight="false" outlineLevel="0" collapsed="false">
      <c r="A2693" s="0" t="s">
        <v>4172</v>
      </c>
      <c r="B2693" s="0" t="s">
        <v>41</v>
      </c>
      <c r="C2693" s="0" t="s">
        <v>3872</v>
      </c>
      <c r="D2693" s="0" t="s">
        <v>54</v>
      </c>
      <c r="E2693" s="2" t="n">
        <v>45752</v>
      </c>
      <c r="F2693" s="3" t="s">
        <v>20</v>
      </c>
      <c r="G2693" s="3" t="s">
        <v>72</v>
      </c>
      <c r="H2693" s="3" t="s">
        <v>48</v>
      </c>
      <c r="I2693" s="3" t="n">
        <f aca="false">YEAR(E2693)</f>
        <v>2025</v>
      </c>
      <c r="J2693" s="3" t="n">
        <f aca="false">MONTH(E2693)</f>
        <v>4</v>
      </c>
      <c r="K2693" s="3" t="n">
        <f aca="false">COUNTIFS($B$2:$B$4077,B2693,$C$2:$C$4077,C2693,$I$2:$I$4077,I2693)</f>
        <v>2</v>
      </c>
      <c r="L2693" s="3" t="n">
        <f aca="false">IF(COUNTIFS($B$2:B2693,B2693,$C$2:C2693,C2693,$I$2:I2693,I2693)=1,1,0)</f>
        <v>0</v>
      </c>
      <c r="M2693" s="3" t="n">
        <f aca="false">IF(K2693&gt;=Parametri!$B$1,1,0)</f>
        <v>1</v>
      </c>
      <c r="N2693" s="3" t="n">
        <f aca="false">L2693*M2693</f>
        <v>0</v>
      </c>
    </row>
    <row r="2694" customFormat="false" ht="15" hidden="false" customHeight="false" outlineLevel="0" collapsed="false">
      <c r="A2694" s="0" t="s">
        <v>4173</v>
      </c>
      <c r="B2694" s="0" t="s">
        <v>17</v>
      </c>
      <c r="C2694" s="0" t="s">
        <v>3894</v>
      </c>
      <c r="D2694" s="0" t="s">
        <v>38</v>
      </c>
      <c r="E2694" s="2" t="n">
        <v>45372</v>
      </c>
      <c r="F2694" s="3" t="s">
        <v>20</v>
      </c>
      <c r="G2694" s="3" t="s">
        <v>43</v>
      </c>
      <c r="H2694" s="3" t="s">
        <v>48</v>
      </c>
      <c r="I2694" s="3" t="n">
        <f aca="false">YEAR(E2694)</f>
        <v>2024</v>
      </c>
      <c r="J2694" s="3" t="n">
        <f aca="false">MONTH(E2694)</f>
        <v>3</v>
      </c>
      <c r="K2694" s="3" t="n">
        <f aca="false">COUNTIFS($B$2:$B$4077,B2694,$C$2:$C$4077,C2694,$I$2:$I$4077,I2694)</f>
        <v>2</v>
      </c>
      <c r="L2694" s="3" t="n">
        <f aca="false">IF(COUNTIFS($B$2:B2694,B2694,$C$2:C2694,C2694,$I$2:I2694,I2694)=1,1,0)</f>
        <v>0</v>
      </c>
      <c r="M2694" s="3" t="n">
        <f aca="false">IF(K2694&gt;=Parametri!$B$1,1,0)</f>
        <v>1</v>
      </c>
      <c r="N2694" s="3" t="n">
        <f aca="false">L2694*M2694</f>
        <v>0</v>
      </c>
    </row>
    <row r="2695" customFormat="false" ht="15" hidden="false" customHeight="false" outlineLevel="0" collapsed="false">
      <c r="A2695" s="0" t="s">
        <v>4174</v>
      </c>
      <c r="B2695" s="0" t="s">
        <v>41</v>
      </c>
      <c r="C2695" s="0" t="s">
        <v>4175</v>
      </c>
      <c r="D2695" s="0" t="s">
        <v>38</v>
      </c>
      <c r="E2695" s="2" t="n">
        <v>46264</v>
      </c>
      <c r="F2695" s="3" t="s">
        <v>34</v>
      </c>
      <c r="G2695" s="3" t="s">
        <v>72</v>
      </c>
      <c r="H2695" s="3" t="s">
        <v>48</v>
      </c>
      <c r="I2695" s="3" t="n">
        <f aca="false">YEAR(E2695)</f>
        <v>2026</v>
      </c>
      <c r="J2695" s="3" t="n">
        <f aca="false">MONTH(E2695)</f>
        <v>8</v>
      </c>
      <c r="K2695" s="3" t="n">
        <f aca="false">COUNTIFS($B$2:$B$4077,B2695,$C$2:$C$4077,C2695,$I$2:$I$4077,I2695)</f>
        <v>1</v>
      </c>
      <c r="L2695" s="3" t="n">
        <f aca="false">IF(COUNTIFS($B$2:B2695,B2695,$C$2:C2695,C2695,$I$2:I2695,I2695)=1,1,0)</f>
        <v>1</v>
      </c>
      <c r="M2695" s="3" t="n">
        <f aca="false">IF(K2695&gt;=Parametri!$B$1,1,0)</f>
        <v>0</v>
      </c>
      <c r="N2695" s="3" t="n">
        <f aca="false">L2695*M2695</f>
        <v>0</v>
      </c>
    </row>
    <row r="2696" customFormat="false" ht="15" hidden="false" customHeight="false" outlineLevel="0" collapsed="false">
      <c r="A2696" s="0" t="s">
        <v>4176</v>
      </c>
      <c r="B2696" s="0" t="s">
        <v>24</v>
      </c>
      <c r="C2696" s="0" t="s">
        <v>789</v>
      </c>
      <c r="D2696" s="0" t="s">
        <v>26</v>
      </c>
      <c r="E2696" s="2" t="n">
        <v>45892</v>
      </c>
      <c r="F2696" s="3" t="s">
        <v>34</v>
      </c>
      <c r="G2696" s="3" t="s">
        <v>43</v>
      </c>
      <c r="H2696" s="3" t="s">
        <v>44</v>
      </c>
      <c r="I2696" s="3" t="n">
        <f aca="false">YEAR(E2696)</f>
        <v>2025</v>
      </c>
      <c r="J2696" s="3" t="n">
        <f aca="false">MONTH(E2696)</f>
        <v>8</v>
      </c>
      <c r="K2696" s="3" t="n">
        <f aca="false">COUNTIFS($B$2:$B$4077,B2696,$C$2:$C$4077,C2696,$I$2:$I$4077,I2696)</f>
        <v>2</v>
      </c>
      <c r="L2696" s="3" t="n">
        <f aca="false">IF(COUNTIFS($B$2:B2696,B2696,$C$2:C2696,C2696,$I$2:I2696,I2696)=1,1,0)</f>
        <v>1</v>
      </c>
      <c r="M2696" s="3" t="n">
        <f aca="false">IF(K2696&gt;=Parametri!$B$1,1,0)</f>
        <v>1</v>
      </c>
      <c r="N2696" s="3" t="n">
        <f aca="false">L2696*M2696</f>
        <v>1</v>
      </c>
    </row>
    <row r="2697" customFormat="false" ht="15" hidden="false" customHeight="false" outlineLevel="0" collapsed="false">
      <c r="A2697" s="0" t="s">
        <v>4177</v>
      </c>
      <c r="B2697" s="0" t="s">
        <v>31</v>
      </c>
      <c r="C2697" s="0" t="s">
        <v>4178</v>
      </c>
      <c r="D2697" s="0" t="s">
        <v>66</v>
      </c>
      <c r="E2697" s="2" t="n">
        <v>46241</v>
      </c>
      <c r="F2697" s="3" t="s">
        <v>20</v>
      </c>
      <c r="G2697" s="3" t="s">
        <v>21</v>
      </c>
      <c r="H2697" s="3" t="s">
        <v>22</v>
      </c>
      <c r="I2697" s="3" t="n">
        <f aca="false">YEAR(E2697)</f>
        <v>2026</v>
      </c>
      <c r="J2697" s="3" t="n">
        <f aca="false">MONTH(E2697)</f>
        <v>8</v>
      </c>
      <c r="K2697" s="3" t="n">
        <f aca="false">COUNTIFS($B$2:$B$4077,B2697,$C$2:$C$4077,C2697,$I$2:$I$4077,I2697)</f>
        <v>1</v>
      </c>
      <c r="L2697" s="3" t="n">
        <f aca="false">IF(COUNTIFS($B$2:B2697,B2697,$C$2:C2697,C2697,$I$2:I2697,I2697)=1,1,0)</f>
        <v>1</v>
      </c>
      <c r="M2697" s="3" t="n">
        <f aca="false">IF(K2697&gt;=Parametri!$B$1,1,0)</f>
        <v>0</v>
      </c>
      <c r="N2697" s="3" t="n">
        <f aca="false">L2697*M2697</f>
        <v>0</v>
      </c>
    </row>
    <row r="2698" customFormat="false" ht="15" hidden="false" customHeight="false" outlineLevel="0" collapsed="false">
      <c r="A2698" s="0" t="s">
        <v>4179</v>
      </c>
      <c r="B2698" s="0" t="s">
        <v>31</v>
      </c>
      <c r="C2698" s="0" t="s">
        <v>108</v>
      </c>
      <c r="D2698" s="0" t="s">
        <v>26</v>
      </c>
      <c r="E2698" s="2" t="n">
        <v>45809</v>
      </c>
      <c r="F2698" s="3" t="s">
        <v>20</v>
      </c>
      <c r="G2698" s="3" t="s">
        <v>72</v>
      </c>
      <c r="H2698" s="3" t="s">
        <v>29</v>
      </c>
      <c r="I2698" s="3" t="n">
        <f aca="false">YEAR(E2698)</f>
        <v>2025</v>
      </c>
      <c r="J2698" s="3" t="n">
        <f aca="false">MONTH(E2698)</f>
        <v>6</v>
      </c>
      <c r="K2698" s="3" t="n">
        <f aca="false">COUNTIFS($B$2:$B$4077,B2698,$C$2:$C$4077,C2698,$I$2:$I$4077,I2698)</f>
        <v>5</v>
      </c>
      <c r="L2698" s="3" t="n">
        <f aca="false">IF(COUNTIFS($B$2:B2698,B2698,$C$2:C2698,C2698,$I$2:I2698,I2698)=1,1,0)</f>
        <v>0</v>
      </c>
      <c r="M2698" s="3" t="n">
        <f aca="false">IF(K2698&gt;=Parametri!$B$1,1,0)</f>
        <v>1</v>
      </c>
      <c r="N2698" s="3" t="n">
        <f aca="false">L2698*M2698</f>
        <v>0</v>
      </c>
    </row>
    <row r="2699" customFormat="false" ht="15" hidden="false" customHeight="false" outlineLevel="0" collapsed="false">
      <c r="A2699" s="0" t="s">
        <v>4180</v>
      </c>
      <c r="B2699" s="0" t="s">
        <v>24</v>
      </c>
      <c r="C2699" s="0" t="s">
        <v>1783</v>
      </c>
      <c r="D2699" s="0" t="s">
        <v>54</v>
      </c>
      <c r="E2699" s="2" t="n">
        <v>45702</v>
      </c>
      <c r="F2699" s="3" t="s">
        <v>20</v>
      </c>
      <c r="G2699" s="3" t="s">
        <v>35</v>
      </c>
      <c r="H2699" s="3" t="s">
        <v>44</v>
      </c>
      <c r="I2699" s="3" t="n">
        <f aca="false">YEAR(E2699)</f>
        <v>2025</v>
      </c>
      <c r="J2699" s="3" t="n">
        <f aca="false">MONTH(E2699)</f>
        <v>2</v>
      </c>
      <c r="K2699" s="3" t="n">
        <f aca="false">COUNTIFS($B$2:$B$4077,B2699,$C$2:$C$4077,C2699,$I$2:$I$4077,I2699)</f>
        <v>1</v>
      </c>
      <c r="L2699" s="3" t="n">
        <f aca="false">IF(COUNTIFS($B$2:B2699,B2699,$C$2:C2699,C2699,$I$2:I2699,I2699)=1,1,0)</f>
        <v>1</v>
      </c>
      <c r="M2699" s="3" t="n">
        <f aca="false">IF(K2699&gt;=Parametri!$B$1,1,0)</f>
        <v>0</v>
      </c>
      <c r="N2699" s="3" t="n">
        <f aca="false">L2699*M2699</f>
        <v>0</v>
      </c>
    </row>
    <row r="2700" customFormat="false" ht="15" hidden="false" customHeight="false" outlineLevel="0" collapsed="false">
      <c r="A2700" s="0" t="s">
        <v>4181</v>
      </c>
      <c r="B2700" s="0" t="s">
        <v>68</v>
      </c>
      <c r="C2700" s="0" t="s">
        <v>1457</v>
      </c>
      <c r="D2700" s="0" t="s">
        <v>38</v>
      </c>
      <c r="E2700" s="2" t="n">
        <v>45652</v>
      </c>
      <c r="F2700" s="3" t="s">
        <v>20</v>
      </c>
      <c r="G2700" s="3" t="s">
        <v>39</v>
      </c>
      <c r="H2700" s="3" t="s">
        <v>48</v>
      </c>
      <c r="I2700" s="3" t="n">
        <f aca="false">YEAR(E2700)</f>
        <v>2024</v>
      </c>
      <c r="J2700" s="3" t="n">
        <f aca="false">MONTH(E2700)</f>
        <v>12</v>
      </c>
      <c r="K2700" s="3" t="n">
        <f aca="false">COUNTIFS($B$2:$B$4077,B2700,$C$2:$C$4077,C2700,$I$2:$I$4077,I2700)</f>
        <v>6</v>
      </c>
      <c r="L2700" s="3" t="n">
        <f aca="false">IF(COUNTIFS($B$2:B2700,B2700,$C$2:C2700,C2700,$I$2:I2700,I2700)=1,1,0)</f>
        <v>0</v>
      </c>
      <c r="M2700" s="3" t="n">
        <f aca="false">IF(K2700&gt;=Parametri!$B$1,1,0)</f>
        <v>1</v>
      </c>
      <c r="N2700" s="3" t="n">
        <f aca="false">L2700*M2700</f>
        <v>0</v>
      </c>
    </row>
    <row r="2701" customFormat="false" ht="15" hidden="false" customHeight="false" outlineLevel="0" collapsed="false">
      <c r="A2701" s="0" t="s">
        <v>4182</v>
      </c>
      <c r="B2701" s="0" t="s">
        <v>79</v>
      </c>
      <c r="C2701" s="0" t="s">
        <v>1052</v>
      </c>
      <c r="D2701" s="0" t="s">
        <v>63</v>
      </c>
      <c r="E2701" s="2" t="n">
        <v>45434</v>
      </c>
      <c r="F2701" s="3" t="s">
        <v>20</v>
      </c>
      <c r="G2701" s="3" t="s">
        <v>39</v>
      </c>
      <c r="H2701" s="3" t="s">
        <v>22</v>
      </c>
      <c r="I2701" s="3" t="n">
        <f aca="false">YEAR(E2701)</f>
        <v>2024</v>
      </c>
      <c r="J2701" s="3" t="n">
        <f aca="false">MONTH(E2701)</f>
        <v>5</v>
      </c>
      <c r="K2701" s="3" t="n">
        <f aca="false">COUNTIFS($B$2:$B$4077,B2701,$C$2:$C$4077,C2701,$I$2:$I$4077,I2701)</f>
        <v>2</v>
      </c>
      <c r="L2701" s="3" t="n">
        <f aca="false">IF(COUNTIFS($B$2:B2701,B2701,$C$2:C2701,C2701,$I$2:I2701,I2701)=1,1,0)</f>
        <v>0</v>
      </c>
      <c r="M2701" s="3" t="n">
        <f aca="false">IF(K2701&gt;=Parametri!$B$1,1,0)</f>
        <v>1</v>
      </c>
      <c r="N2701" s="3" t="n">
        <f aca="false">L2701*M2701</f>
        <v>0</v>
      </c>
    </row>
    <row r="2702" customFormat="false" ht="15" hidden="false" customHeight="false" outlineLevel="0" collapsed="false">
      <c r="A2702" s="0" t="s">
        <v>4183</v>
      </c>
      <c r="B2702" s="0" t="s">
        <v>41</v>
      </c>
      <c r="C2702" s="0" t="s">
        <v>4184</v>
      </c>
      <c r="D2702" s="0" t="s">
        <v>63</v>
      </c>
      <c r="E2702" s="2" t="n">
        <v>45387</v>
      </c>
      <c r="F2702" s="3" t="s">
        <v>20</v>
      </c>
      <c r="G2702" s="3" t="s">
        <v>35</v>
      </c>
      <c r="H2702" s="3" t="s">
        <v>48</v>
      </c>
      <c r="I2702" s="3" t="n">
        <f aca="false">YEAR(E2702)</f>
        <v>2024</v>
      </c>
      <c r="J2702" s="3" t="n">
        <f aca="false">MONTH(E2702)</f>
        <v>4</v>
      </c>
      <c r="K2702" s="3" t="n">
        <f aca="false">COUNTIFS($B$2:$B$4077,B2702,$C$2:$C$4077,C2702,$I$2:$I$4077,I2702)</f>
        <v>1</v>
      </c>
      <c r="L2702" s="3" t="n">
        <f aca="false">IF(COUNTIFS($B$2:B2702,B2702,$C$2:C2702,C2702,$I$2:I2702,I2702)=1,1,0)</f>
        <v>1</v>
      </c>
      <c r="M2702" s="3" t="n">
        <f aca="false">IF(K2702&gt;=Parametri!$B$1,1,0)</f>
        <v>0</v>
      </c>
      <c r="N2702" s="3" t="n">
        <f aca="false">L2702*M2702</f>
        <v>0</v>
      </c>
    </row>
    <row r="2703" customFormat="false" ht="15" hidden="false" customHeight="false" outlineLevel="0" collapsed="false">
      <c r="A2703" s="0" t="s">
        <v>4185</v>
      </c>
      <c r="B2703" s="0" t="s">
        <v>57</v>
      </c>
      <c r="C2703" s="0" t="s">
        <v>3999</v>
      </c>
      <c r="D2703" s="0" t="s">
        <v>66</v>
      </c>
      <c r="E2703" s="2" t="n">
        <v>45850</v>
      </c>
      <c r="F2703" s="3" t="s">
        <v>20</v>
      </c>
      <c r="G2703" s="3" t="s">
        <v>89</v>
      </c>
      <c r="H2703" s="3" t="s">
        <v>48</v>
      </c>
      <c r="I2703" s="3" t="n">
        <f aca="false">YEAR(E2703)</f>
        <v>2025</v>
      </c>
      <c r="J2703" s="3" t="n">
        <f aca="false">MONTH(E2703)</f>
        <v>7</v>
      </c>
      <c r="K2703" s="3" t="n">
        <f aca="false">COUNTIFS($B$2:$B$4077,B2703,$C$2:$C$4077,C2703,$I$2:$I$4077,I2703)</f>
        <v>4</v>
      </c>
      <c r="L2703" s="3" t="n">
        <f aca="false">IF(COUNTIFS($B$2:B2703,B2703,$C$2:C2703,C2703,$I$2:I2703,I2703)=1,1,0)</f>
        <v>1</v>
      </c>
      <c r="M2703" s="3" t="n">
        <f aca="false">IF(K2703&gt;=Parametri!$B$1,1,0)</f>
        <v>1</v>
      </c>
      <c r="N2703" s="3" t="n">
        <f aca="false">L2703*M2703</f>
        <v>1</v>
      </c>
    </row>
    <row r="2704" customFormat="false" ht="15" hidden="false" customHeight="false" outlineLevel="0" collapsed="false">
      <c r="A2704" s="0" t="s">
        <v>4186</v>
      </c>
      <c r="B2704" s="0" t="s">
        <v>57</v>
      </c>
      <c r="C2704" s="0" t="s">
        <v>3038</v>
      </c>
      <c r="D2704" s="0" t="s">
        <v>38</v>
      </c>
      <c r="E2704" s="2" t="n">
        <v>45389</v>
      </c>
      <c r="F2704" s="3" t="s">
        <v>34</v>
      </c>
      <c r="G2704" s="3" t="s">
        <v>21</v>
      </c>
      <c r="H2704" s="3" t="s">
        <v>29</v>
      </c>
      <c r="I2704" s="3" t="n">
        <f aca="false">YEAR(E2704)</f>
        <v>2024</v>
      </c>
      <c r="J2704" s="3" t="n">
        <f aca="false">MONTH(E2704)</f>
        <v>4</v>
      </c>
      <c r="K2704" s="3" t="n">
        <f aca="false">COUNTIFS($B$2:$B$4077,B2704,$C$2:$C$4077,C2704,$I$2:$I$4077,I2704)</f>
        <v>2</v>
      </c>
      <c r="L2704" s="3" t="n">
        <f aca="false">IF(COUNTIFS($B$2:B2704,B2704,$C$2:C2704,C2704,$I$2:I2704,I2704)=1,1,0)</f>
        <v>0</v>
      </c>
      <c r="M2704" s="3" t="n">
        <f aca="false">IF(K2704&gt;=Parametri!$B$1,1,0)</f>
        <v>1</v>
      </c>
      <c r="N2704" s="3" t="n">
        <f aca="false">L2704*M2704</f>
        <v>0</v>
      </c>
    </row>
    <row r="2705" customFormat="false" ht="15" hidden="false" customHeight="false" outlineLevel="0" collapsed="false">
      <c r="A2705" s="0" t="s">
        <v>4187</v>
      </c>
      <c r="B2705" s="0" t="s">
        <v>50</v>
      </c>
      <c r="C2705" s="0" t="s">
        <v>4188</v>
      </c>
      <c r="D2705" s="0" t="s">
        <v>63</v>
      </c>
      <c r="E2705" s="2" t="n">
        <v>45922</v>
      </c>
      <c r="F2705" s="3" t="s">
        <v>20</v>
      </c>
      <c r="G2705" s="3" t="s">
        <v>35</v>
      </c>
      <c r="H2705" s="3" t="s">
        <v>29</v>
      </c>
      <c r="I2705" s="3" t="n">
        <f aca="false">YEAR(E2705)</f>
        <v>2025</v>
      </c>
      <c r="J2705" s="3" t="n">
        <f aca="false">MONTH(E2705)</f>
        <v>9</v>
      </c>
      <c r="K2705" s="3" t="n">
        <f aca="false">COUNTIFS($B$2:$B$4077,B2705,$C$2:$C$4077,C2705,$I$2:$I$4077,I2705)</f>
        <v>1</v>
      </c>
      <c r="L2705" s="3" t="n">
        <f aca="false">IF(COUNTIFS($B$2:B2705,B2705,$C$2:C2705,C2705,$I$2:I2705,I2705)=1,1,0)</f>
        <v>1</v>
      </c>
      <c r="M2705" s="3" t="n">
        <f aca="false">IF(K2705&gt;=Parametri!$B$1,1,0)</f>
        <v>0</v>
      </c>
      <c r="N2705" s="3" t="n">
        <f aca="false">L2705*M2705</f>
        <v>0</v>
      </c>
    </row>
    <row r="2706" customFormat="false" ht="15" hidden="false" customHeight="false" outlineLevel="0" collapsed="false">
      <c r="A2706" s="0" t="s">
        <v>4189</v>
      </c>
      <c r="B2706" s="0" t="s">
        <v>124</v>
      </c>
      <c r="C2706" s="0" t="s">
        <v>1315</v>
      </c>
      <c r="D2706" s="0" t="s">
        <v>54</v>
      </c>
      <c r="E2706" s="2" t="n">
        <v>45413</v>
      </c>
      <c r="F2706" s="3" t="s">
        <v>20</v>
      </c>
      <c r="G2706" s="3" t="s">
        <v>55</v>
      </c>
      <c r="H2706" s="3" t="s">
        <v>22</v>
      </c>
      <c r="I2706" s="3" t="n">
        <f aca="false">YEAR(E2706)</f>
        <v>2024</v>
      </c>
      <c r="J2706" s="3" t="n">
        <f aca="false">MONTH(E2706)</f>
        <v>5</v>
      </c>
      <c r="K2706" s="3" t="n">
        <f aca="false">COUNTIFS($B$2:$B$4077,B2706,$C$2:$C$4077,C2706,$I$2:$I$4077,I2706)</f>
        <v>1</v>
      </c>
      <c r="L2706" s="3" t="n">
        <f aca="false">IF(COUNTIFS($B$2:B2706,B2706,$C$2:C2706,C2706,$I$2:I2706,I2706)=1,1,0)</f>
        <v>1</v>
      </c>
      <c r="M2706" s="3" t="n">
        <f aca="false">IF(K2706&gt;=Parametri!$B$1,1,0)</f>
        <v>0</v>
      </c>
      <c r="N2706" s="3" t="n">
        <f aca="false">L2706*M2706</f>
        <v>0</v>
      </c>
    </row>
    <row r="2707" customFormat="false" ht="15" hidden="false" customHeight="false" outlineLevel="0" collapsed="false">
      <c r="A2707" s="0" t="s">
        <v>4190</v>
      </c>
      <c r="B2707" s="0" t="s">
        <v>46</v>
      </c>
      <c r="C2707" s="0" t="s">
        <v>1512</v>
      </c>
      <c r="D2707" s="0" t="s">
        <v>33</v>
      </c>
      <c r="E2707" s="2" t="n">
        <v>45308</v>
      </c>
      <c r="F2707" s="3" t="s">
        <v>20</v>
      </c>
      <c r="G2707" s="3" t="s">
        <v>35</v>
      </c>
      <c r="H2707" s="3" t="s">
        <v>22</v>
      </c>
      <c r="I2707" s="3" t="n">
        <f aca="false">YEAR(E2707)</f>
        <v>2024</v>
      </c>
      <c r="J2707" s="3" t="n">
        <f aca="false">MONTH(E2707)</f>
        <v>1</v>
      </c>
      <c r="K2707" s="3" t="n">
        <f aca="false">COUNTIFS($B$2:$B$4077,B2707,$C$2:$C$4077,C2707,$I$2:$I$4077,I2707)</f>
        <v>3</v>
      </c>
      <c r="L2707" s="3" t="n">
        <f aca="false">IF(COUNTIFS($B$2:B2707,B2707,$C$2:C2707,C2707,$I$2:I2707,I2707)=1,1,0)</f>
        <v>0</v>
      </c>
      <c r="M2707" s="3" t="n">
        <f aca="false">IF(K2707&gt;=Parametri!$B$1,1,0)</f>
        <v>1</v>
      </c>
      <c r="N2707" s="3" t="n">
        <f aca="false">L2707*M2707</f>
        <v>0</v>
      </c>
    </row>
    <row r="2708" customFormat="false" ht="15" hidden="false" customHeight="false" outlineLevel="0" collapsed="false">
      <c r="A2708" s="0" t="s">
        <v>4191</v>
      </c>
      <c r="B2708" s="0" t="s">
        <v>50</v>
      </c>
      <c r="C2708" s="0" t="s">
        <v>4192</v>
      </c>
      <c r="D2708" s="0" t="s">
        <v>26</v>
      </c>
      <c r="E2708" s="2" t="n">
        <v>46077</v>
      </c>
      <c r="F2708" s="3" t="s">
        <v>20</v>
      </c>
      <c r="G2708" s="3" t="s">
        <v>72</v>
      </c>
      <c r="H2708" s="3" t="s">
        <v>22</v>
      </c>
      <c r="I2708" s="3" t="n">
        <f aca="false">YEAR(E2708)</f>
        <v>2026</v>
      </c>
      <c r="J2708" s="3" t="n">
        <f aca="false">MONTH(E2708)</f>
        <v>2</v>
      </c>
      <c r="K2708" s="3" t="n">
        <f aca="false">COUNTIFS($B$2:$B$4077,B2708,$C$2:$C$4077,C2708,$I$2:$I$4077,I2708)</f>
        <v>1</v>
      </c>
      <c r="L2708" s="3" t="n">
        <f aca="false">IF(COUNTIFS($B$2:B2708,B2708,$C$2:C2708,C2708,$I$2:I2708,I2708)=1,1,0)</f>
        <v>1</v>
      </c>
      <c r="M2708" s="3" t="n">
        <f aca="false">IF(K2708&gt;=Parametri!$B$1,1,0)</f>
        <v>0</v>
      </c>
      <c r="N2708" s="3" t="n">
        <f aca="false">L2708*M2708</f>
        <v>0</v>
      </c>
    </row>
    <row r="2709" customFormat="false" ht="15" hidden="false" customHeight="false" outlineLevel="0" collapsed="false">
      <c r="A2709" s="0" t="s">
        <v>4193</v>
      </c>
      <c r="B2709" s="0" t="s">
        <v>46</v>
      </c>
      <c r="C2709" s="0" t="s">
        <v>4194</v>
      </c>
      <c r="D2709" s="0" t="s">
        <v>19</v>
      </c>
      <c r="E2709" s="2" t="n">
        <v>45371</v>
      </c>
      <c r="F2709" s="3" t="s">
        <v>34</v>
      </c>
      <c r="G2709" s="3" t="s">
        <v>39</v>
      </c>
      <c r="H2709" s="3" t="s">
        <v>44</v>
      </c>
      <c r="I2709" s="3" t="n">
        <f aca="false">YEAR(E2709)</f>
        <v>2024</v>
      </c>
      <c r="J2709" s="3" t="n">
        <f aca="false">MONTH(E2709)</f>
        <v>3</v>
      </c>
      <c r="K2709" s="3" t="n">
        <f aca="false">COUNTIFS($B$2:$B$4077,B2709,$C$2:$C$4077,C2709,$I$2:$I$4077,I2709)</f>
        <v>1</v>
      </c>
      <c r="L2709" s="3" t="n">
        <f aca="false">IF(COUNTIFS($B$2:B2709,B2709,$C$2:C2709,C2709,$I$2:I2709,I2709)=1,1,0)</f>
        <v>1</v>
      </c>
      <c r="M2709" s="3" t="n">
        <f aca="false">IF(K2709&gt;=Parametri!$B$1,1,0)</f>
        <v>0</v>
      </c>
      <c r="N2709" s="3" t="n">
        <f aca="false">L2709*M2709</f>
        <v>0</v>
      </c>
    </row>
    <row r="2710" customFormat="false" ht="15" hidden="false" customHeight="false" outlineLevel="0" collapsed="false">
      <c r="A2710" s="0" t="s">
        <v>4195</v>
      </c>
      <c r="B2710" s="0" t="s">
        <v>124</v>
      </c>
      <c r="C2710" s="0" t="s">
        <v>710</v>
      </c>
      <c r="D2710" s="0" t="s">
        <v>26</v>
      </c>
      <c r="E2710" s="2" t="n">
        <v>45400</v>
      </c>
      <c r="F2710" s="3" t="s">
        <v>27</v>
      </c>
      <c r="G2710" s="3" t="s">
        <v>72</v>
      </c>
      <c r="H2710" s="3" t="s">
        <v>44</v>
      </c>
      <c r="I2710" s="3" t="n">
        <f aca="false">YEAR(E2710)</f>
        <v>2024</v>
      </c>
      <c r="J2710" s="3" t="n">
        <f aca="false">MONTH(E2710)</f>
        <v>4</v>
      </c>
      <c r="K2710" s="3" t="n">
        <f aca="false">COUNTIFS($B$2:$B$4077,B2710,$C$2:$C$4077,C2710,$I$2:$I$4077,I2710)</f>
        <v>2</v>
      </c>
      <c r="L2710" s="3" t="n">
        <f aca="false">IF(COUNTIFS($B$2:B2710,B2710,$C$2:C2710,C2710,$I$2:I2710,I2710)=1,1,0)</f>
        <v>0</v>
      </c>
      <c r="M2710" s="3" t="n">
        <f aca="false">IF(K2710&gt;=Parametri!$B$1,1,0)</f>
        <v>1</v>
      </c>
      <c r="N2710" s="3" t="n">
        <f aca="false">L2710*M2710</f>
        <v>0</v>
      </c>
    </row>
    <row r="2711" customFormat="false" ht="15" hidden="false" customHeight="false" outlineLevel="0" collapsed="false">
      <c r="A2711" s="0" t="s">
        <v>4196</v>
      </c>
      <c r="B2711" s="0" t="s">
        <v>31</v>
      </c>
      <c r="C2711" s="0" t="s">
        <v>1621</v>
      </c>
      <c r="D2711" s="0" t="s">
        <v>66</v>
      </c>
      <c r="E2711" s="2" t="n">
        <v>45916</v>
      </c>
      <c r="F2711" s="3" t="s">
        <v>20</v>
      </c>
      <c r="G2711" s="3" t="s">
        <v>28</v>
      </c>
      <c r="H2711" s="3" t="s">
        <v>29</v>
      </c>
      <c r="I2711" s="3" t="n">
        <f aca="false">YEAR(E2711)</f>
        <v>2025</v>
      </c>
      <c r="J2711" s="3" t="n">
        <f aca="false">MONTH(E2711)</f>
        <v>9</v>
      </c>
      <c r="K2711" s="3" t="n">
        <f aca="false">COUNTIFS($B$2:$B$4077,B2711,$C$2:$C$4077,C2711,$I$2:$I$4077,I2711)</f>
        <v>2</v>
      </c>
      <c r="L2711" s="3" t="n">
        <f aca="false">IF(COUNTIFS($B$2:B2711,B2711,$C$2:C2711,C2711,$I$2:I2711,I2711)=1,1,0)</f>
        <v>0</v>
      </c>
      <c r="M2711" s="3" t="n">
        <f aca="false">IF(K2711&gt;=Parametri!$B$1,1,0)</f>
        <v>1</v>
      </c>
      <c r="N2711" s="3" t="n">
        <f aca="false">L2711*M2711</f>
        <v>0</v>
      </c>
    </row>
    <row r="2712" customFormat="false" ht="15" hidden="false" customHeight="false" outlineLevel="0" collapsed="false">
      <c r="A2712" s="0" t="s">
        <v>4197</v>
      </c>
      <c r="B2712" s="0" t="s">
        <v>41</v>
      </c>
      <c r="C2712" s="0" t="s">
        <v>4198</v>
      </c>
      <c r="D2712" s="0" t="s">
        <v>63</v>
      </c>
      <c r="E2712" s="2" t="n">
        <v>45851</v>
      </c>
      <c r="F2712" s="3" t="s">
        <v>27</v>
      </c>
      <c r="G2712" s="3" t="s">
        <v>43</v>
      </c>
      <c r="H2712" s="3" t="s">
        <v>29</v>
      </c>
      <c r="I2712" s="3" t="n">
        <f aca="false">YEAR(E2712)</f>
        <v>2025</v>
      </c>
      <c r="J2712" s="3" t="n">
        <f aca="false">MONTH(E2712)</f>
        <v>7</v>
      </c>
      <c r="K2712" s="3" t="n">
        <f aca="false">COUNTIFS($B$2:$B$4077,B2712,$C$2:$C$4077,C2712,$I$2:$I$4077,I2712)</f>
        <v>1</v>
      </c>
      <c r="L2712" s="3" t="n">
        <f aca="false">IF(COUNTIFS($B$2:B2712,B2712,$C$2:C2712,C2712,$I$2:I2712,I2712)=1,1,0)</f>
        <v>1</v>
      </c>
      <c r="M2712" s="3" t="n">
        <f aca="false">IF(K2712&gt;=Parametri!$B$1,1,0)</f>
        <v>0</v>
      </c>
      <c r="N2712" s="3" t="n">
        <f aca="false">L2712*M2712</f>
        <v>0</v>
      </c>
    </row>
    <row r="2713" customFormat="false" ht="15" hidden="false" customHeight="false" outlineLevel="0" collapsed="false">
      <c r="A2713" s="0" t="s">
        <v>4199</v>
      </c>
      <c r="B2713" s="0" t="s">
        <v>41</v>
      </c>
      <c r="C2713" s="0" t="s">
        <v>4164</v>
      </c>
      <c r="D2713" s="0" t="s">
        <v>63</v>
      </c>
      <c r="E2713" s="2" t="n">
        <v>46224</v>
      </c>
      <c r="F2713" s="3" t="s">
        <v>20</v>
      </c>
      <c r="G2713" s="3" t="s">
        <v>39</v>
      </c>
      <c r="H2713" s="3" t="s">
        <v>44</v>
      </c>
      <c r="I2713" s="3" t="n">
        <f aca="false">YEAR(E2713)</f>
        <v>2026</v>
      </c>
      <c r="J2713" s="3" t="n">
        <f aca="false">MONTH(E2713)</f>
        <v>7</v>
      </c>
      <c r="K2713" s="3" t="n">
        <f aca="false">COUNTIFS($B$2:$B$4077,B2713,$C$2:$C$4077,C2713,$I$2:$I$4077,I2713)</f>
        <v>2</v>
      </c>
      <c r="L2713" s="3" t="n">
        <f aca="false">IF(COUNTIFS($B$2:B2713,B2713,$C$2:C2713,C2713,$I$2:I2713,I2713)=1,1,0)</f>
        <v>0</v>
      </c>
      <c r="M2713" s="3" t="n">
        <f aca="false">IF(K2713&gt;=Parametri!$B$1,1,0)</f>
        <v>1</v>
      </c>
      <c r="N2713" s="3" t="n">
        <f aca="false">L2713*M2713</f>
        <v>0</v>
      </c>
    </row>
    <row r="2714" customFormat="false" ht="15" hidden="false" customHeight="false" outlineLevel="0" collapsed="false">
      <c r="A2714" s="0" t="s">
        <v>4200</v>
      </c>
      <c r="B2714" s="0" t="s">
        <v>17</v>
      </c>
      <c r="C2714" s="0" t="s">
        <v>2045</v>
      </c>
      <c r="D2714" s="0" t="s">
        <v>33</v>
      </c>
      <c r="E2714" s="2" t="n">
        <v>45916</v>
      </c>
      <c r="F2714" s="3" t="s">
        <v>20</v>
      </c>
      <c r="G2714" s="3" t="s">
        <v>28</v>
      </c>
      <c r="H2714" s="3" t="s">
        <v>44</v>
      </c>
      <c r="I2714" s="3" t="n">
        <f aca="false">YEAR(E2714)</f>
        <v>2025</v>
      </c>
      <c r="J2714" s="3" t="n">
        <f aca="false">MONTH(E2714)</f>
        <v>9</v>
      </c>
      <c r="K2714" s="3" t="n">
        <f aca="false">COUNTIFS($B$2:$B$4077,B2714,$C$2:$C$4077,C2714,$I$2:$I$4077,I2714)</f>
        <v>1</v>
      </c>
      <c r="L2714" s="3" t="n">
        <f aca="false">IF(COUNTIFS($B$2:B2714,B2714,$C$2:C2714,C2714,$I$2:I2714,I2714)=1,1,0)</f>
        <v>1</v>
      </c>
      <c r="M2714" s="3" t="n">
        <f aca="false">IF(K2714&gt;=Parametri!$B$1,1,0)</f>
        <v>0</v>
      </c>
      <c r="N2714" s="3" t="n">
        <f aca="false">L2714*M2714</f>
        <v>0</v>
      </c>
    </row>
    <row r="2715" customFormat="false" ht="15" hidden="false" customHeight="false" outlineLevel="0" collapsed="false">
      <c r="A2715" s="0" t="s">
        <v>4201</v>
      </c>
      <c r="B2715" s="0" t="s">
        <v>24</v>
      </c>
      <c r="C2715" s="0" t="s">
        <v>798</v>
      </c>
      <c r="D2715" s="0" t="s">
        <v>38</v>
      </c>
      <c r="E2715" s="2" t="n">
        <v>45453</v>
      </c>
      <c r="F2715" s="3" t="s">
        <v>27</v>
      </c>
      <c r="G2715" s="3" t="s">
        <v>35</v>
      </c>
      <c r="H2715" s="3" t="s">
        <v>22</v>
      </c>
      <c r="I2715" s="3" t="n">
        <f aca="false">YEAR(E2715)</f>
        <v>2024</v>
      </c>
      <c r="J2715" s="3" t="n">
        <f aca="false">MONTH(E2715)</f>
        <v>6</v>
      </c>
      <c r="K2715" s="3" t="n">
        <f aca="false">COUNTIFS($B$2:$B$4077,B2715,$C$2:$C$4077,C2715,$I$2:$I$4077,I2715)</f>
        <v>3</v>
      </c>
      <c r="L2715" s="3" t="n">
        <f aca="false">IF(COUNTIFS($B$2:B2715,B2715,$C$2:C2715,C2715,$I$2:I2715,I2715)=1,1,0)</f>
        <v>0</v>
      </c>
      <c r="M2715" s="3" t="n">
        <f aca="false">IF(K2715&gt;=Parametri!$B$1,1,0)</f>
        <v>1</v>
      </c>
      <c r="N2715" s="3" t="n">
        <f aca="false">L2715*M2715</f>
        <v>0</v>
      </c>
    </row>
    <row r="2716" customFormat="false" ht="15" hidden="false" customHeight="false" outlineLevel="0" collapsed="false">
      <c r="A2716" s="0" t="s">
        <v>4202</v>
      </c>
      <c r="B2716" s="0" t="s">
        <v>17</v>
      </c>
      <c r="C2716" s="0" t="s">
        <v>2445</v>
      </c>
      <c r="D2716" s="0" t="s">
        <v>33</v>
      </c>
      <c r="E2716" s="2" t="n">
        <v>45779</v>
      </c>
      <c r="F2716" s="3" t="s">
        <v>34</v>
      </c>
      <c r="G2716" s="3" t="s">
        <v>28</v>
      </c>
      <c r="H2716" s="3" t="s">
        <v>29</v>
      </c>
      <c r="I2716" s="3" t="n">
        <f aca="false">YEAR(E2716)</f>
        <v>2025</v>
      </c>
      <c r="J2716" s="3" t="n">
        <f aca="false">MONTH(E2716)</f>
        <v>5</v>
      </c>
      <c r="K2716" s="3" t="n">
        <f aca="false">COUNTIFS($B$2:$B$4077,B2716,$C$2:$C$4077,C2716,$I$2:$I$4077,I2716)</f>
        <v>1</v>
      </c>
      <c r="L2716" s="3" t="n">
        <f aca="false">IF(COUNTIFS($B$2:B2716,B2716,$C$2:C2716,C2716,$I$2:I2716,I2716)=1,1,0)</f>
        <v>1</v>
      </c>
      <c r="M2716" s="3" t="n">
        <f aca="false">IF(K2716&gt;=Parametri!$B$1,1,0)</f>
        <v>0</v>
      </c>
      <c r="N2716" s="3" t="n">
        <f aca="false">L2716*M2716</f>
        <v>0</v>
      </c>
    </row>
    <row r="2717" customFormat="false" ht="15" hidden="false" customHeight="false" outlineLevel="0" collapsed="false">
      <c r="A2717" s="0" t="s">
        <v>4203</v>
      </c>
      <c r="B2717" s="0" t="s">
        <v>124</v>
      </c>
      <c r="C2717" s="0" t="s">
        <v>4204</v>
      </c>
      <c r="D2717" s="0" t="s">
        <v>66</v>
      </c>
      <c r="E2717" s="2" t="n">
        <v>45636</v>
      </c>
      <c r="F2717" s="3" t="s">
        <v>34</v>
      </c>
      <c r="G2717" s="3" t="s">
        <v>43</v>
      </c>
      <c r="H2717" s="3" t="s">
        <v>29</v>
      </c>
      <c r="I2717" s="3" t="n">
        <f aca="false">YEAR(E2717)</f>
        <v>2024</v>
      </c>
      <c r="J2717" s="3" t="n">
        <f aca="false">MONTH(E2717)</f>
        <v>12</v>
      </c>
      <c r="K2717" s="3" t="n">
        <f aca="false">COUNTIFS($B$2:$B$4077,B2717,$C$2:$C$4077,C2717,$I$2:$I$4077,I2717)</f>
        <v>1</v>
      </c>
      <c r="L2717" s="3" t="n">
        <f aca="false">IF(COUNTIFS($B$2:B2717,B2717,$C$2:C2717,C2717,$I$2:I2717,I2717)=1,1,0)</f>
        <v>1</v>
      </c>
      <c r="M2717" s="3" t="n">
        <f aca="false">IF(K2717&gt;=Parametri!$B$1,1,0)</f>
        <v>0</v>
      </c>
      <c r="N2717" s="3" t="n">
        <f aca="false">L2717*M2717</f>
        <v>0</v>
      </c>
    </row>
    <row r="2718" customFormat="false" ht="15" hidden="false" customHeight="false" outlineLevel="0" collapsed="false">
      <c r="A2718" s="0" t="s">
        <v>4205</v>
      </c>
      <c r="B2718" s="0" t="s">
        <v>17</v>
      </c>
      <c r="C2718" s="0" t="s">
        <v>1071</v>
      </c>
      <c r="D2718" s="0" t="s">
        <v>63</v>
      </c>
      <c r="E2718" s="2" t="n">
        <v>46050</v>
      </c>
      <c r="F2718" s="3" t="s">
        <v>20</v>
      </c>
      <c r="G2718" s="3" t="s">
        <v>35</v>
      </c>
      <c r="H2718" s="3" t="s">
        <v>44</v>
      </c>
      <c r="I2718" s="3" t="n">
        <f aca="false">YEAR(E2718)</f>
        <v>2026</v>
      </c>
      <c r="J2718" s="3" t="n">
        <f aca="false">MONTH(E2718)</f>
        <v>1</v>
      </c>
      <c r="K2718" s="3" t="n">
        <f aca="false">COUNTIFS($B$2:$B$4077,B2718,$C$2:$C$4077,C2718,$I$2:$I$4077,I2718)</f>
        <v>1</v>
      </c>
      <c r="L2718" s="3" t="n">
        <f aca="false">IF(COUNTIFS($B$2:B2718,B2718,$C$2:C2718,C2718,$I$2:I2718,I2718)=1,1,0)</f>
        <v>1</v>
      </c>
      <c r="M2718" s="3" t="n">
        <f aca="false">IF(K2718&gt;=Parametri!$B$1,1,0)</f>
        <v>0</v>
      </c>
      <c r="N2718" s="3" t="n">
        <f aca="false">L2718*M2718</f>
        <v>0</v>
      </c>
    </row>
    <row r="2719" customFormat="false" ht="15" hidden="false" customHeight="false" outlineLevel="0" collapsed="false">
      <c r="A2719" s="0" t="s">
        <v>4206</v>
      </c>
      <c r="B2719" s="0" t="s">
        <v>24</v>
      </c>
      <c r="C2719" s="0" t="s">
        <v>4207</v>
      </c>
      <c r="D2719" s="0" t="s">
        <v>77</v>
      </c>
      <c r="E2719" s="2" t="n">
        <v>45679</v>
      </c>
      <c r="F2719" s="3" t="s">
        <v>20</v>
      </c>
      <c r="G2719" s="3" t="s">
        <v>89</v>
      </c>
      <c r="H2719" s="3" t="s">
        <v>48</v>
      </c>
      <c r="I2719" s="3" t="n">
        <f aca="false">YEAR(E2719)</f>
        <v>2025</v>
      </c>
      <c r="J2719" s="3" t="n">
        <f aca="false">MONTH(E2719)</f>
        <v>1</v>
      </c>
      <c r="K2719" s="3" t="n">
        <f aca="false">COUNTIFS($B$2:$B$4077,B2719,$C$2:$C$4077,C2719,$I$2:$I$4077,I2719)</f>
        <v>3</v>
      </c>
      <c r="L2719" s="3" t="n">
        <f aca="false">IF(COUNTIFS($B$2:B2719,B2719,$C$2:C2719,C2719,$I$2:I2719,I2719)=1,1,0)</f>
        <v>1</v>
      </c>
      <c r="M2719" s="3" t="n">
        <f aca="false">IF(K2719&gt;=Parametri!$B$1,1,0)</f>
        <v>1</v>
      </c>
      <c r="N2719" s="3" t="n">
        <f aca="false">L2719*M2719</f>
        <v>1</v>
      </c>
    </row>
    <row r="2720" customFormat="false" ht="15" hidden="false" customHeight="false" outlineLevel="0" collapsed="false">
      <c r="A2720" s="0" t="s">
        <v>4208</v>
      </c>
      <c r="B2720" s="0" t="s">
        <v>124</v>
      </c>
      <c r="C2720" s="0" t="s">
        <v>1670</v>
      </c>
      <c r="D2720" s="0" t="s">
        <v>19</v>
      </c>
      <c r="E2720" s="2" t="n">
        <v>45318</v>
      </c>
      <c r="F2720" s="3" t="s">
        <v>20</v>
      </c>
      <c r="G2720" s="3" t="s">
        <v>35</v>
      </c>
      <c r="H2720" s="3" t="s">
        <v>44</v>
      </c>
      <c r="I2720" s="3" t="n">
        <f aca="false">YEAR(E2720)</f>
        <v>2024</v>
      </c>
      <c r="J2720" s="3" t="n">
        <f aca="false">MONTH(E2720)</f>
        <v>1</v>
      </c>
      <c r="K2720" s="3" t="n">
        <f aca="false">COUNTIFS($B$2:$B$4077,B2720,$C$2:$C$4077,C2720,$I$2:$I$4077,I2720)</f>
        <v>4</v>
      </c>
      <c r="L2720" s="3" t="n">
        <f aca="false">IF(COUNTIFS($B$2:B2720,B2720,$C$2:C2720,C2720,$I$2:I2720,I2720)=1,1,0)</f>
        <v>0</v>
      </c>
      <c r="M2720" s="3" t="n">
        <f aca="false">IF(K2720&gt;=Parametri!$B$1,1,0)</f>
        <v>1</v>
      </c>
      <c r="N2720" s="3" t="n">
        <f aca="false">L2720*M2720</f>
        <v>0</v>
      </c>
    </row>
    <row r="2721" customFormat="false" ht="15" hidden="false" customHeight="false" outlineLevel="0" collapsed="false">
      <c r="A2721" s="0" t="s">
        <v>4209</v>
      </c>
      <c r="B2721" s="0" t="s">
        <v>57</v>
      </c>
      <c r="C2721" s="0" t="s">
        <v>4210</v>
      </c>
      <c r="D2721" s="0" t="s">
        <v>26</v>
      </c>
      <c r="E2721" s="2" t="n">
        <v>46073</v>
      </c>
      <c r="F2721" s="3" t="s">
        <v>104</v>
      </c>
      <c r="G2721" s="3" t="s">
        <v>104</v>
      </c>
      <c r="H2721" s="3" t="s">
        <v>104</v>
      </c>
      <c r="I2721" s="3" t="n">
        <f aca="false">YEAR(E2721)</f>
        <v>2026</v>
      </c>
      <c r="J2721" s="3" t="n">
        <f aca="false">MONTH(E2721)</f>
        <v>2</v>
      </c>
      <c r="K2721" s="3" t="n">
        <f aca="false">COUNTIFS($B$2:$B$4077,B2721,$C$2:$C$4077,C2721,$I$2:$I$4077,I2721)</f>
        <v>2</v>
      </c>
      <c r="L2721" s="3" t="n">
        <f aca="false">IF(COUNTIFS($B$2:B2721,B2721,$C$2:C2721,C2721,$I$2:I2721,I2721)=1,1,0)</f>
        <v>1</v>
      </c>
      <c r="M2721" s="3" t="n">
        <f aca="false">IF(K2721&gt;=Parametri!$B$1,1,0)</f>
        <v>1</v>
      </c>
      <c r="N2721" s="3" t="n">
        <f aca="false">L2721*M2721</f>
        <v>1</v>
      </c>
    </row>
    <row r="2722" customFormat="false" ht="15" hidden="false" customHeight="false" outlineLevel="0" collapsed="false">
      <c r="A2722" s="0" t="s">
        <v>4211</v>
      </c>
      <c r="B2722" s="0" t="s">
        <v>31</v>
      </c>
      <c r="C2722" s="0" t="s">
        <v>354</v>
      </c>
      <c r="D2722" s="0" t="s">
        <v>66</v>
      </c>
      <c r="E2722" s="2" t="n">
        <v>46192</v>
      </c>
      <c r="F2722" s="3" t="s">
        <v>20</v>
      </c>
      <c r="G2722" s="3" t="s">
        <v>89</v>
      </c>
      <c r="H2722" s="3" t="s">
        <v>48</v>
      </c>
      <c r="I2722" s="3" t="n">
        <f aca="false">YEAR(E2722)</f>
        <v>2026</v>
      </c>
      <c r="J2722" s="3" t="n">
        <f aca="false">MONTH(E2722)</f>
        <v>6</v>
      </c>
      <c r="K2722" s="3" t="n">
        <f aca="false">COUNTIFS($B$2:$B$4077,B2722,$C$2:$C$4077,C2722,$I$2:$I$4077,I2722)</f>
        <v>2</v>
      </c>
      <c r="L2722" s="3" t="n">
        <f aca="false">IF(COUNTIFS($B$2:B2722,B2722,$C$2:C2722,C2722,$I$2:I2722,I2722)=1,1,0)</f>
        <v>0</v>
      </c>
      <c r="M2722" s="3" t="n">
        <f aca="false">IF(K2722&gt;=Parametri!$B$1,1,0)</f>
        <v>1</v>
      </c>
      <c r="N2722" s="3" t="n">
        <f aca="false">L2722*M2722</f>
        <v>0</v>
      </c>
    </row>
    <row r="2723" customFormat="false" ht="15" hidden="false" customHeight="false" outlineLevel="0" collapsed="false">
      <c r="A2723" s="0" t="s">
        <v>4212</v>
      </c>
      <c r="B2723" s="0" t="s">
        <v>68</v>
      </c>
      <c r="C2723" s="0" t="s">
        <v>4213</v>
      </c>
      <c r="D2723" s="0" t="s">
        <v>66</v>
      </c>
      <c r="E2723" s="2" t="n">
        <v>45348</v>
      </c>
      <c r="F2723" s="3" t="s">
        <v>27</v>
      </c>
      <c r="G2723" s="3" t="s">
        <v>39</v>
      </c>
      <c r="H2723" s="3" t="s">
        <v>29</v>
      </c>
      <c r="I2723" s="3" t="n">
        <f aca="false">YEAR(E2723)</f>
        <v>2024</v>
      </c>
      <c r="J2723" s="3" t="n">
        <f aca="false">MONTH(E2723)</f>
        <v>2</v>
      </c>
      <c r="K2723" s="3" t="n">
        <f aca="false">COUNTIFS($B$2:$B$4077,B2723,$C$2:$C$4077,C2723,$I$2:$I$4077,I2723)</f>
        <v>1</v>
      </c>
      <c r="L2723" s="3" t="n">
        <f aca="false">IF(COUNTIFS($B$2:B2723,B2723,$C$2:C2723,C2723,$I$2:I2723,I2723)=1,1,0)</f>
        <v>1</v>
      </c>
      <c r="M2723" s="3" t="n">
        <f aca="false">IF(K2723&gt;=Parametri!$B$1,1,0)</f>
        <v>0</v>
      </c>
      <c r="N2723" s="3" t="n">
        <f aca="false">L2723*M2723</f>
        <v>0</v>
      </c>
    </row>
    <row r="2724" customFormat="false" ht="15" hidden="false" customHeight="false" outlineLevel="0" collapsed="false">
      <c r="A2724" s="0" t="s">
        <v>4214</v>
      </c>
      <c r="B2724" s="0" t="s">
        <v>68</v>
      </c>
      <c r="C2724" s="0" t="s">
        <v>4100</v>
      </c>
      <c r="D2724" s="0" t="s">
        <v>54</v>
      </c>
      <c r="E2724" s="2" t="n">
        <v>45443</v>
      </c>
      <c r="F2724" s="3" t="s">
        <v>20</v>
      </c>
      <c r="G2724" s="3" t="s">
        <v>28</v>
      </c>
      <c r="H2724" s="3" t="s">
        <v>44</v>
      </c>
      <c r="I2724" s="3" t="n">
        <f aca="false">YEAR(E2724)</f>
        <v>2024</v>
      </c>
      <c r="J2724" s="3" t="n">
        <f aca="false">MONTH(E2724)</f>
        <v>5</v>
      </c>
      <c r="K2724" s="3" t="n">
        <f aca="false">COUNTIFS($B$2:$B$4077,B2724,$C$2:$C$4077,C2724,$I$2:$I$4077,I2724)</f>
        <v>2</v>
      </c>
      <c r="L2724" s="3" t="n">
        <f aca="false">IF(COUNTIFS($B$2:B2724,B2724,$C$2:C2724,C2724,$I$2:I2724,I2724)=1,1,0)</f>
        <v>0</v>
      </c>
      <c r="M2724" s="3" t="n">
        <f aca="false">IF(K2724&gt;=Parametri!$B$1,1,0)</f>
        <v>1</v>
      </c>
      <c r="N2724" s="3" t="n">
        <f aca="false">L2724*M2724</f>
        <v>0</v>
      </c>
    </row>
    <row r="2725" customFormat="false" ht="15" hidden="false" customHeight="false" outlineLevel="0" collapsed="false">
      <c r="A2725" s="0" t="s">
        <v>4215</v>
      </c>
      <c r="B2725" s="0" t="s">
        <v>41</v>
      </c>
      <c r="C2725" s="0" t="s">
        <v>3362</v>
      </c>
      <c r="D2725" s="0" t="s">
        <v>54</v>
      </c>
      <c r="E2725" s="2" t="n">
        <v>45726</v>
      </c>
      <c r="F2725" s="3" t="s">
        <v>27</v>
      </c>
      <c r="G2725" s="3" t="s">
        <v>35</v>
      </c>
      <c r="H2725" s="3" t="s">
        <v>48</v>
      </c>
      <c r="I2725" s="3" t="n">
        <f aca="false">YEAR(E2725)</f>
        <v>2025</v>
      </c>
      <c r="J2725" s="3" t="n">
        <f aca="false">MONTH(E2725)</f>
        <v>3</v>
      </c>
      <c r="K2725" s="3" t="n">
        <f aca="false">COUNTIFS($B$2:$B$4077,B2725,$C$2:$C$4077,C2725,$I$2:$I$4077,I2725)</f>
        <v>1</v>
      </c>
      <c r="L2725" s="3" t="n">
        <f aca="false">IF(COUNTIFS($B$2:B2725,B2725,$C$2:C2725,C2725,$I$2:I2725,I2725)=1,1,0)</f>
        <v>1</v>
      </c>
      <c r="M2725" s="3" t="n">
        <f aca="false">IF(K2725&gt;=Parametri!$B$1,1,0)</f>
        <v>0</v>
      </c>
      <c r="N2725" s="3" t="n">
        <f aca="false">L2725*M2725</f>
        <v>0</v>
      </c>
    </row>
    <row r="2726" customFormat="false" ht="15" hidden="false" customHeight="false" outlineLevel="0" collapsed="false">
      <c r="A2726" s="0" t="s">
        <v>4216</v>
      </c>
      <c r="B2726" s="0" t="s">
        <v>68</v>
      </c>
      <c r="C2726" s="0" t="s">
        <v>4217</v>
      </c>
      <c r="D2726" s="0" t="s">
        <v>66</v>
      </c>
      <c r="E2726" s="2" t="n">
        <v>45735</v>
      </c>
      <c r="F2726" s="3" t="s">
        <v>20</v>
      </c>
      <c r="G2726" s="3" t="s">
        <v>21</v>
      </c>
      <c r="H2726" s="3" t="s">
        <v>29</v>
      </c>
      <c r="I2726" s="3" t="n">
        <f aca="false">YEAR(E2726)</f>
        <v>2025</v>
      </c>
      <c r="J2726" s="3" t="n">
        <f aca="false">MONTH(E2726)</f>
        <v>3</v>
      </c>
      <c r="K2726" s="3" t="n">
        <f aca="false">COUNTIFS($B$2:$B$4077,B2726,$C$2:$C$4077,C2726,$I$2:$I$4077,I2726)</f>
        <v>2</v>
      </c>
      <c r="L2726" s="3" t="n">
        <f aca="false">IF(COUNTIFS($B$2:B2726,B2726,$C$2:C2726,C2726,$I$2:I2726,I2726)=1,1,0)</f>
        <v>1</v>
      </c>
      <c r="M2726" s="3" t="n">
        <f aca="false">IF(K2726&gt;=Parametri!$B$1,1,0)</f>
        <v>1</v>
      </c>
      <c r="N2726" s="3" t="n">
        <f aca="false">L2726*M2726</f>
        <v>1</v>
      </c>
    </row>
    <row r="2727" customFormat="false" ht="15" hidden="false" customHeight="false" outlineLevel="0" collapsed="false">
      <c r="A2727" s="0" t="s">
        <v>4218</v>
      </c>
      <c r="B2727" s="0" t="s">
        <v>17</v>
      </c>
      <c r="C2727" s="0" t="s">
        <v>4083</v>
      </c>
      <c r="D2727" s="0" t="s">
        <v>63</v>
      </c>
      <c r="E2727" s="2" t="n">
        <v>46182</v>
      </c>
      <c r="F2727" s="3" t="s">
        <v>27</v>
      </c>
      <c r="G2727" s="3" t="s">
        <v>89</v>
      </c>
      <c r="H2727" s="3" t="s">
        <v>44</v>
      </c>
      <c r="I2727" s="3" t="n">
        <f aca="false">YEAR(E2727)</f>
        <v>2026</v>
      </c>
      <c r="J2727" s="3" t="n">
        <f aca="false">MONTH(E2727)</f>
        <v>6</v>
      </c>
      <c r="K2727" s="3" t="n">
        <f aca="false">COUNTIFS($B$2:$B$4077,B2727,$C$2:$C$4077,C2727,$I$2:$I$4077,I2727)</f>
        <v>1</v>
      </c>
      <c r="L2727" s="3" t="n">
        <f aca="false">IF(COUNTIFS($B$2:B2727,B2727,$C$2:C2727,C2727,$I$2:I2727,I2727)=1,1,0)</f>
        <v>1</v>
      </c>
      <c r="M2727" s="3" t="n">
        <f aca="false">IF(K2727&gt;=Parametri!$B$1,1,0)</f>
        <v>0</v>
      </c>
      <c r="N2727" s="3" t="n">
        <f aca="false">L2727*M2727</f>
        <v>0</v>
      </c>
    </row>
    <row r="2728" customFormat="false" ht="15" hidden="false" customHeight="false" outlineLevel="0" collapsed="false">
      <c r="A2728" s="0" t="s">
        <v>4219</v>
      </c>
      <c r="B2728" s="0" t="s">
        <v>68</v>
      </c>
      <c r="C2728" s="0" t="s">
        <v>662</v>
      </c>
      <c r="D2728" s="0" t="s">
        <v>19</v>
      </c>
      <c r="E2728" s="2" t="n">
        <v>46257</v>
      </c>
      <c r="F2728" s="3" t="s">
        <v>20</v>
      </c>
      <c r="G2728" s="3" t="s">
        <v>43</v>
      </c>
      <c r="H2728" s="3" t="s">
        <v>22</v>
      </c>
      <c r="I2728" s="3" t="n">
        <f aca="false">YEAR(E2728)</f>
        <v>2026</v>
      </c>
      <c r="J2728" s="3" t="n">
        <f aca="false">MONTH(E2728)</f>
        <v>8</v>
      </c>
      <c r="K2728" s="3" t="n">
        <f aca="false">COUNTIFS($B$2:$B$4077,B2728,$C$2:$C$4077,C2728,$I$2:$I$4077,I2728)</f>
        <v>1</v>
      </c>
      <c r="L2728" s="3" t="n">
        <f aca="false">IF(COUNTIFS($B$2:B2728,B2728,$C$2:C2728,C2728,$I$2:I2728,I2728)=1,1,0)</f>
        <v>1</v>
      </c>
      <c r="M2728" s="3" t="n">
        <f aca="false">IF(K2728&gt;=Parametri!$B$1,1,0)</f>
        <v>0</v>
      </c>
      <c r="N2728" s="3" t="n">
        <f aca="false">L2728*M2728</f>
        <v>0</v>
      </c>
    </row>
    <row r="2729" customFormat="false" ht="15" hidden="false" customHeight="false" outlineLevel="0" collapsed="false">
      <c r="A2729" s="0" t="s">
        <v>4220</v>
      </c>
      <c r="B2729" s="0" t="s">
        <v>79</v>
      </c>
      <c r="C2729" s="0" t="s">
        <v>2095</v>
      </c>
      <c r="D2729" s="0" t="s">
        <v>26</v>
      </c>
      <c r="E2729" s="2" t="n">
        <v>45345</v>
      </c>
      <c r="F2729" s="3" t="s">
        <v>34</v>
      </c>
      <c r="G2729" s="3" t="s">
        <v>21</v>
      </c>
      <c r="H2729" s="3" t="s">
        <v>22</v>
      </c>
      <c r="I2729" s="3" t="n">
        <f aca="false">YEAR(E2729)</f>
        <v>2024</v>
      </c>
      <c r="J2729" s="3" t="n">
        <f aca="false">MONTH(E2729)</f>
        <v>2</v>
      </c>
      <c r="K2729" s="3" t="n">
        <f aca="false">COUNTIFS($B$2:$B$4077,B2729,$C$2:$C$4077,C2729,$I$2:$I$4077,I2729)</f>
        <v>4</v>
      </c>
      <c r="L2729" s="3" t="n">
        <f aca="false">IF(COUNTIFS($B$2:B2729,B2729,$C$2:C2729,C2729,$I$2:I2729,I2729)=1,1,0)</f>
        <v>0</v>
      </c>
      <c r="M2729" s="3" t="n">
        <f aca="false">IF(K2729&gt;=Parametri!$B$1,1,0)</f>
        <v>1</v>
      </c>
      <c r="N2729" s="3" t="n">
        <f aca="false">L2729*M2729</f>
        <v>0</v>
      </c>
    </row>
    <row r="2730" customFormat="false" ht="15" hidden="false" customHeight="false" outlineLevel="0" collapsed="false">
      <c r="A2730" s="0" t="s">
        <v>4221</v>
      </c>
      <c r="B2730" s="0" t="s">
        <v>46</v>
      </c>
      <c r="C2730" s="0" t="s">
        <v>4222</v>
      </c>
      <c r="D2730" s="0" t="s">
        <v>54</v>
      </c>
      <c r="E2730" s="2" t="n">
        <v>45519</v>
      </c>
      <c r="F2730" s="3" t="s">
        <v>20</v>
      </c>
      <c r="G2730" s="3" t="s">
        <v>39</v>
      </c>
      <c r="H2730" s="3" t="s">
        <v>48</v>
      </c>
      <c r="I2730" s="3" t="n">
        <f aca="false">YEAR(E2730)</f>
        <v>2024</v>
      </c>
      <c r="J2730" s="3" t="n">
        <f aca="false">MONTH(E2730)</f>
        <v>8</v>
      </c>
      <c r="K2730" s="3" t="n">
        <f aca="false">COUNTIFS($B$2:$B$4077,B2730,$C$2:$C$4077,C2730,$I$2:$I$4077,I2730)</f>
        <v>1</v>
      </c>
      <c r="L2730" s="3" t="n">
        <f aca="false">IF(COUNTIFS($B$2:B2730,B2730,$C$2:C2730,C2730,$I$2:I2730,I2730)=1,1,0)</f>
        <v>1</v>
      </c>
      <c r="M2730" s="3" t="n">
        <f aca="false">IF(K2730&gt;=Parametri!$B$1,1,0)</f>
        <v>0</v>
      </c>
      <c r="N2730" s="3" t="n">
        <f aca="false">L2730*M2730</f>
        <v>0</v>
      </c>
    </row>
    <row r="2731" customFormat="false" ht="15" hidden="false" customHeight="false" outlineLevel="0" collapsed="false">
      <c r="A2731" s="0" t="s">
        <v>4223</v>
      </c>
      <c r="B2731" s="0" t="s">
        <v>50</v>
      </c>
      <c r="C2731" s="0" t="s">
        <v>4224</v>
      </c>
      <c r="D2731" s="0" t="s">
        <v>66</v>
      </c>
      <c r="E2731" s="2" t="n">
        <v>45773</v>
      </c>
      <c r="F2731" s="3" t="s">
        <v>20</v>
      </c>
      <c r="G2731" s="3" t="s">
        <v>39</v>
      </c>
      <c r="H2731" s="3" t="s">
        <v>22</v>
      </c>
      <c r="I2731" s="3" t="n">
        <f aca="false">YEAR(E2731)</f>
        <v>2025</v>
      </c>
      <c r="J2731" s="3" t="n">
        <f aca="false">MONTH(E2731)</f>
        <v>4</v>
      </c>
      <c r="K2731" s="3" t="n">
        <f aca="false">COUNTIFS($B$2:$B$4077,B2731,$C$2:$C$4077,C2731,$I$2:$I$4077,I2731)</f>
        <v>1</v>
      </c>
      <c r="L2731" s="3" t="n">
        <f aca="false">IF(COUNTIFS($B$2:B2731,B2731,$C$2:C2731,C2731,$I$2:I2731,I2731)=1,1,0)</f>
        <v>1</v>
      </c>
      <c r="M2731" s="3" t="n">
        <f aca="false">IF(K2731&gt;=Parametri!$B$1,1,0)</f>
        <v>0</v>
      </c>
      <c r="N2731" s="3" t="n">
        <f aca="false">L2731*M2731</f>
        <v>0</v>
      </c>
    </row>
    <row r="2732" customFormat="false" ht="15" hidden="false" customHeight="false" outlineLevel="0" collapsed="false">
      <c r="A2732" s="0" t="s">
        <v>4225</v>
      </c>
      <c r="B2732" s="0" t="s">
        <v>46</v>
      </c>
      <c r="C2732" s="0" t="s">
        <v>4226</v>
      </c>
      <c r="D2732" s="0" t="s">
        <v>19</v>
      </c>
      <c r="E2732" s="2" t="n">
        <v>45848</v>
      </c>
      <c r="F2732" s="3" t="s">
        <v>20</v>
      </c>
      <c r="G2732" s="3" t="s">
        <v>89</v>
      </c>
      <c r="H2732" s="3" t="s">
        <v>29</v>
      </c>
      <c r="I2732" s="3" t="n">
        <f aca="false">YEAR(E2732)</f>
        <v>2025</v>
      </c>
      <c r="J2732" s="3" t="n">
        <f aca="false">MONTH(E2732)</f>
        <v>7</v>
      </c>
      <c r="K2732" s="3" t="n">
        <f aca="false">COUNTIFS($B$2:$B$4077,B2732,$C$2:$C$4077,C2732,$I$2:$I$4077,I2732)</f>
        <v>1</v>
      </c>
      <c r="L2732" s="3" t="n">
        <f aca="false">IF(COUNTIFS($B$2:B2732,B2732,$C$2:C2732,C2732,$I$2:I2732,I2732)=1,1,0)</f>
        <v>1</v>
      </c>
      <c r="M2732" s="3" t="n">
        <f aca="false">IF(K2732&gt;=Parametri!$B$1,1,0)</f>
        <v>0</v>
      </c>
      <c r="N2732" s="3" t="n">
        <f aca="false">L2732*M2732</f>
        <v>0</v>
      </c>
    </row>
    <row r="2733" customFormat="false" ht="15" hidden="false" customHeight="false" outlineLevel="0" collapsed="false">
      <c r="A2733" s="0" t="s">
        <v>4227</v>
      </c>
      <c r="B2733" s="0" t="s">
        <v>68</v>
      </c>
      <c r="C2733" s="0" t="s">
        <v>1457</v>
      </c>
      <c r="D2733" s="0" t="s">
        <v>19</v>
      </c>
      <c r="E2733" s="2" t="n">
        <v>46196</v>
      </c>
      <c r="F2733" s="3" t="s">
        <v>27</v>
      </c>
      <c r="G2733" s="3" t="s">
        <v>43</v>
      </c>
      <c r="H2733" s="3" t="s">
        <v>48</v>
      </c>
      <c r="I2733" s="3" t="n">
        <f aca="false">YEAR(E2733)</f>
        <v>2026</v>
      </c>
      <c r="J2733" s="3" t="n">
        <f aca="false">MONTH(E2733)</f>
        <v>6</v>
      </c>
      <c r="K2733" s="3" t="n">
        <f aca="false">COUNTIFS($B$2:$B$4077,B2733,$C$2:$C$4077,C2733,$I$2:$I$4077,I2733)</f>
        <v>6</v>
      </c>
      <c r="L2733" s="3" t="n">
        <f aca="false">IF(COUNTIFS($B$2:B2733,B2733,$C$2:C2733,C2733,$I$2:I2733,I2733)=1,1,0)</f>
        <v>0</v>
      </c>
      <c r="M2733" s="3" t="n">
        <f aca="false">IF(K2733&gt;=Parametri!$B$1,1,0)</f>
        <v>1</v>
      </c>
      <c r="N2733" s="3" t="n">
        <f aca="false">L2733*M2733</f>
        <v>0</v>
      </c>
    </row>
    <row r="2734" customFormat="false" ht="15" hidden="false" customHeight="false" outlineLevel="0" collapsed="false">
      <c r="A2734" s="0" t="s">
        <v>4228</v>
      </c>
      <c r="B2734" s="0" t="s">
        <v>68</v>
      </c>
      <c r="C2734" s="0" t="s">
        <v>3158</v>
      </c>
      <c r="D2734" s="0" t="s">
        <v>66</v>
      </c>
      <c r="E2734" s="2" t="n">
        <v>45905</v>
      </c>
      <c r="F2734" s="3" t="s">
        <v>20</v>
      </c>
      <c r="G2734" s="3" t="s">
        <v>28</v>
      </c>
      <c r="H2734" s="3" t="s">
        <v>48</v>
      </c>
      <c r="I2734" s="3" t="n">
        <f aca="false">YEAR(E2734)</f>
        <v>2025</v>
      </c>
      <c r="J2734" s="3" t="n">
        <f aca="false">MONTH(E2734)</f>
        <v>9</v>
      </c>
      <c r="K2734" s="3" t="n">
        <f aca="false">COUNTIFS($B$2:$B$4077,B2734,$C$2:$C$4077,C2734,$I$2:$I$4077,I2734)</f>
        <v>1</v>
      </c>
      <c r="L2734" s="3" t="n">
        <f aca="false">IF(COUNTIFS($B$2:B2734,B2734,$C$2:C2734,C2734,$I$2:I2734,I2734)=1,1,0)</f>
        <v>1</v>
      </c>
      <c r="M2734" s="3" t="n">
        <f aca="false">IF(K2734&gt;=Parametri!$B$1,1,0)</f>
        <v>0</v>
      </c>
      <c r="N2734" s="3" t="n">
        <f aca="false">L2734*M2734</f>
        <v>0</v>
      </c>
    </row>
    <row r="2735" customFormat="false" ht="15" hidden="false" customHeight="false" outlineLevel="0" collapsed="false">
      <c r="A2735" s="0" t="s">
        <v>4229</v>
      </c>
      <c r="B2735" s="0" t="s">
        <v>31</v>
      </c>
      <c r="C2735" s="0" t="s">
        <v>108</v>
      </c>
      <c r="D2735" s="0" t="s">
        <v>38</v>
      </c>
      <c r="E2735" s="2" t="n">
        <v>45763</v>
      </c>
      <c r="F2735" s="3" t="s">
        <v>27</v>
      </c>
      <c r="G2735" s="3" t="s">
        <v>28</v>
      </c>
      <c r="H2735" s="3" t="s">
        <v>44</v>
      </c>
      <c r="I2735" s="3" t="n">
        <f aca="false">YEAR(E2735)</f>
        <v>2025</v>
      </c>
      <c r="J2735" s="3" t="n">
        <f aca="false">MONTH(E2735)</f>
        <v>4</v>
      </c>
      <c r="K2735" s="3" t="n">
        <f aca="false">COUNTIFS($B$2:$B$4077,B2735,$C$2:$C$4077,C2735,$I$2:$I$4077,I2735)</f>
        <v>5</v>
      </c>
      <c r="L2735" s="3" t="n">
        <f aca="false">IF(COUNTIFS($B$2:B2735,B2735,$C$2:C2735,C2735,$I$2:I2735,I2735)=1,1,0)</f>
        <v>0</v>
      </c>
      <c r="M2735" s="3" t="n">
        <f aca="false">IF(K2735&gt;=Parametri!$B$1,1,0)</f>
        <v>1</v>
      </c>
      <c r="N2735" s="3" t="n">
        <f aca="false">L2735*M2735</f>
        <v>0</v>
      </c>
    </row>
    <row r="2736" customFormat="false" ht="15" hidden="false" customHeight="false" outlineLevel="0" collapsed="false">
      <c r="A2736" s="0" t="s">
        <v>4230</v>
      </c>
      <c r="B2736" s="0" t="s">
        <v>68</v>
      </c>
      <c r="C2736" s="0" t="s">
        <v>1115</v>
      </c>
      <c r="D2736" s="0" t="s">
        <v>63</v>
      </c>
      <c r="E2736" s="2" t="n">
        <v>46028</v>
      </c>
      <c r="F2736" s="3" t="s">
        <v>20</v>
      </c>
      <c r="G2736" s="3" t="s">
        <v>55</v>
      </c>
      <c r="H2736" s="3" t="s">
        <v>29</v>
      </c>
      <c r="I2736" s="3" t="n">
        <f aca="false">YEAR(E2736)</f>
        <v>2026</v>
      </c>
      <c r="J2736" s="3" t="n">
        <f aca="false">MONTH(E2736)</f>
        <v>1</v>
      </c>
      <c r="K2736" s="3" t="n">
        <f aca="false">COUNTIFS($B$2:$B$4077,B2736,$C$2:$C$4077,C2736,$I$2:$I$4077,I2736)</f>
        <v>1</v>
      </c>
      <c r="L2736" s="3" t="n">
        <f aca="false">IF(COUNTIFS($B$2:B2736,B2736,$C$2:C2736,C2736,$I$2:I2736,I2736)=1,1,0)</f>
        <v>1</v>
      </c>
      <c r="M2736" s="3" t="n">
        <f aca="false">IF(K2736&gt;=Parametri!$B$1,1,0)</f>
        <v>0</v>
      </c>
      <c r="N2736" s="3" t="n">
        <f aca="false">L2736*M2736</f>
        <v>0</v>
      </c>
    </row>
    <row r="2737" customFormat="false" ht="15" hidden="false" customHeight="false" outlineLevel="0" collapsed="false">
      <c r="A2737" s="0" t="s">
        <v>4231</v>
      </c>
      <c r="B2737" s="0" t="s">
        <v>24</v>
      </c>
      <c r="C2737" s="0" t="s">
        <v>4232</v>
      </c>
      <c r="D2737" s="0" t="s">
        <v>33</v>
      </c>
      <c r="E2737" s="2" t="n">
        <v>46025</v>
      </c>
      <c r="F2737" s="3" t="s">
        <v>34</v>
      </c>
      <c r="G2737" s="3" t="s">
        <v>28</v>
      </c>
      <c r="H2737" s="3" t="s">
        <v>48</v>
      </c>
      <c r="I2737" s="3" t="n">
        <f aca="false">YEAR(E2737)</f>
        <v>2026</v>
      </c>
      <c r="J2737" s="3" t="n">
        <f aca="false">MONTH(E2737)</f>
        <v>1</v>
      </c>
      <c r="K2737" s="3" t="n">
        <f aca="false">COUNTIFS($B$2:$B$4077,B2737,$C$2:$C$4077,C2737,$I$2:$I$4077,I2737)</f>
        <v>1</v>
      </c>
      <c r="L2737" s="3" t="n">
        <f aca="false">IF(COUNTIFS($B$2:B2737,B2737,$C$2:C2737,C2737,$I$2:I2737,I2737)=1,1,0)</f>
        <v>1</v>
      </c>
      <c r="M2737" s="3" t="n">
        <f aca="false">IF(K2737&gt;=Parametri!$B$1,1,0)</f>
        <v>0</v>
      </c>
      <c r="N2737" s="3" t="n">
        <f aca="false">L2737*M2737</f>
        <v>0</v>
      </c>
    </row>
    <row r="2738" customFormat="false" ht="15" hidden="false" customHeight="false" outlineLevel="0" collapsed="false">
      <c r="A2738" s="0" t="s">
        <v>4233</v>
      </c>
      <c r="B2738" s="0" t="s">
        <v>79</v>
      </c>
      <c r="C2738" s="0" t="s">
        <v>4234</v>
      </c>
      <c r="D2738" s="0" t="s">
        <v>77</v>
      </c>
      <c r="E2738" s="2" t="n">
        <v>46019</v>
      </c>
      <c r="F2738" s="3" t="s">
        <v>34</v>
      </c>
      <c r="G2738" s="3" t="s">
        <v>89</v>
      </c>
      <c r="H2738" s="3" t="s">
        <v>22</v>
      </c>
      <c r="I2738" s="3" t="n">
        <f aca="false">YEAR(E2738)</f>
        <v>2025</v>
      </c>
      <c r="J2738" s="3" t="n">
        <f aca="false">MONTH(E2738)</f>
        <v>12</v>
      </c>
      <c r="K2738" s="3" t="n">
        <f aca="false">COUNTIFS($B$2:$B$4077,B2738,$C$2:$C$4077,C2738,$I$2:$I$4077,I2738)</f>
        <v>1</v>
      </c>
      <c r="L2738" s="3" t="n">
        <f aca="false">IF(COUNTIFS($B$2:B2738,B2738,$C$2:C2738,C2738,$I$2:I2738,I2738)=1,1,0)</f>
        <v>1</v>
      </c>
      <c r="M2738" s="3" t="n">
        <f aca="false">IF(K2738&gt;=Parametri!$B$1,1,0)</f>
        <v>0</v>
      </c>
      <c r="N2738" s="3" t="n">
        <f aca="false">L2738*M2738</f>
        <v>0</v>
      </c>
    </row>
    <row r="2739" customFormat="false" ht="15" hidden="false" customHeight="false" outlineLevel="0" collapsed="false">
      <c r="A2739" s="0" t="s">
        <v>4235</v>
      </c>
      <c r="B2739" s="0" t="s">
        <v>46</v>
      </c>
      <c r="C2739" s="0" t="s">
        <v>4236</v>
      </c>
      <c r="D2739" s="0" t="s">
        <v>77</v>
      </c>
      <c r="E2739" s="2" t="n">
        <v>46216</v>
      </c>
      <c r="F2739" s="3" t="s">
        <v>20</v>
      </c>
      <c r="G2739" s="3" t="s">
        <v>35</v>
      </c>
      <c r="H2739" s="3" t="s">
        <v>48</v>
      </c>
      <c r="I2739" s="3" t="n">
        <f aca="false">YEAR(E2739)</f>
        <v>2026</v>
      </c>
      <c r="J2739" s="3" t="n">
        <f aca="false">MONTH(E2739)</f>
        <v>7</v>
      </c>
      <c r="K2739" s="3" t="n">
        <f aca="false">COUNTIFS($B$2:$B$4077,B2739,$C$2:$C$4077,C2739,$I$2:$I$4077,I2739)</f>
        <v>1</v>
      </c>
      <c r="L2739" s="3" t="n">
        <f aca="false">IF(COUNTIFS($B$2:B2739,B2739,$C$2:C2739,C2739,$I$2:I2739,I2739)=1,1,0)</f>
        <v>1</v>
      </c>
      <c r="M2739" s="3" t="n">
        <f aca="false">IF(K2739&gt;=Parametri!$B$1,1,0)</f>
        <v>0</v>
      </c>
      <c r="N2739" s="3" t="n">
        <f aca="false">L2739*M2739</f>
        <v>0</v>
      </c>
    </row>
    <row r="2740" customFormat="false" ht="15" hidden="false" customHeight="false" outlineLevel="0" collapsed="false">
      <c r="A2740" s="0" t="s">
        <v>4237</v>
      </c>
      <c r="B2740" s="0" t="s">
        <v>50</v>
      </c>
      <c r="C2740" s="0" t="s">
        <v>202</v>
      </c>
      <c r="D2740" s="0" t="s">
        <v>33</v>
      </c>
      <c r="E2740" s="2" t="n">
        <v>46051</v>
      </c>
      <c r="F2740" s="3" t="s">
        <v>27</v>
      </c>
      <c r="G2740" s="3" t="s">
        <v>89</v>
      </c>
      <c r="H2740" s="3" t="s">
        <v>44</v>
      </c>
      <c r="I2740" s="3" t="n">
        <f aca="false">YEAR(E2740)</f>
        <v>2026</v>
      </c>
      <c r="J2740" s="3" t="n">
        <f aca="false">MONTH(E2740)</f>
        <v>1</v>
      </c>
      <c r="K2740" s="3" t="n">
        <f aca="false">COUNTIFS($B$2:$B$4077,B2740,$C$2:$C$4077,C2740,$I$2:$I$4077,I2740)</f>
        <v>1</v>
      </c>
      <c r="L2740" s="3" t="n">
        <f aca="false">IF(COUNTIFS($B$2:B2740,B2740,$C$2:C2740,C2740,$I$2:I2740,I2740)=1,1,0)</f>
        <v>1</v>
      </c>
      <c r="M2740" s="3" t="n">
        <f aca="false">IF(K2740&gt;=Parametri!$B$1,1,0)</f>
        <v>0</v>
      </c>
      <c r="N2740" s="3" t="n">
        <f aca="false">L2740*M2740</f>
        <v>0</v>
      </c>
    </row>
    <row r="2741" customFormat="false" ht="15" hidden="false" customHeight="false" outlineLevel="0" collapsed="false">
      <c r="A2741" s="0" t="s">
        <v>4238</v>
      </c>
      <c r="B2741" s="0" t="s">
        <v>50</v>
      </c>
      <c r="C2741" s="0" t="s">
        <v>3251</v>
      </c>
      <c r="D2741" s="0" t="s">
        <v>38</v>
      </c>
      <c r="E2741" s="2" t="n">
        <v>45379</v>
      </c>
      <c r="F2741" s="3" t="s">
        <v>20</v>
      </c>
      <c r="G2741" s="3" t="s">
        <v>55</v>
      </c>
      <c r="H2741" s="3" t="s">
        <v>22</v>
      </c>
      <c r="I2741" s="3" t="n">
        <f aca="false">YEAR(E2741)</f>
        <v>2024</v>
      </c>
      <c r="J2741" s="3" t="n">
        <f aca="false">MONTH(E2741)</f>
        <v>3</v>
      </c>
      <c r="K2741" s="3" t="n">
        <f aca="false">COUNTIFS($B$2:$B$4077,B2741,$C$2:$C$4077,C2741,$I$2:$I$4077,I2741)</f>
        <v>4</v>
      </c>
      <c r="L2741" s="3" t="n">
        <f aca="false">IF(COUNTIFS($B$2:B2741,B2741,$C$2:C2741,C2741,$I$2:I2741,I2741)=1,1,0)</f>
        <v>1</v>
      </c>
      <c r="M2741" s="3" t="n">
        <f aca="false">IF(K2741&gt;=Parametri!$B$1,1,0)</f>
        <v>1</v>
      </c>
      <c r="N2741" s="3" t="n">
        <f aca="false">L2741*M2741</f>
        <v>1</v>
      </c>
    </row>
    <row r="2742" customFormat="false" ht="15" hidden="false" customHeight="false" outlineLevel="0" collapsed="false">
      <c r="A2742" s="0" t="s">
        <v>4239</v>
      </c>
      <c r="B2742" s="0" t="s">
        <v>68</v>
      </c>
      <c r="C2742" s="0" t="s">
        <v>3641</v>
      </c>
      <c r="D2742" s="0" t="s">
        <v>66</v>
      </c>
      <c r="E2742" s="2" t="n">
        <v>45858</v>
      </c>
      <c r="F2742" s="3" t="s">
        <v>20</v>
      </c>
      <c r="G2742" s="3" t="s">
        <v>39</v>
      </c>
      <c r="H2742" s="3" t="s">
        <v>48</v>
      </c>
      <c r="I2742" s="3" t="n">
        <f aca="false">YEAR(E2742)</f>
        <v>2025</v>
      </c>
      <c r="J2742" s="3" t="n">
        <f aca="false">MONTH(E2742)</f>
        <v>7</v>
      </c>
      <c r="K2742" s="3" t="n">
        <f aca="false">COUNTIFS($B$2:$B$4077,B2742,$C$2:$C$4077,C2742,$I$2:$I$4077,I2742)</f>
        <v>1</v>
      </c>
      <c r="L2742" s="3" t="n">
        <f aca="false">IF(COUNTIFS($B$2:B2742,B2742,$C$2:C2742,C2742,$I$2:I2742,I2742)=1,1,0)</f>
        <v>1</v>
      </c>
      <c r="M2742" s="3" t="n">
        <f aca="false">IF(K2742&gt;=Parametri!$B$1,1,0)</f>
        <v>0</v>
      </c>
      <c r="N2742" s="3" t="n">
        <f aca="false">L2742*M2742</f>
        <v>0</v>
      </c>
    </row>
    <row r="2743" customFormat="false" ht="15" hidden="false" customHeight="false" outlineLevel="0" collapsed="false">
      <c r="A2743" s="0" t="s">
        <v>4240</v>
      </c>
      <c r="B2743" s="0" t="s">
        <v>68</v>
      </c>
      <c r="C2743" s="0" t="s">
        <v>4217</v>
      </c>
      <c r="D2743" s="0" t="s">
        <v>26</v>
      </c>
      <c r="E2743" s="2" t="n">
        <v>45799</v>
      </c>
      <c r="F2743" s="3" t="s">
        <v>34</v>
      </c>
      <c r="G2743" s="3" t="s">
        <v>72</v>
      </c>
      <c r="H2743" s="3" t="s">
        <v>44</v>
      </c>
      <c r="I2743" s="3" t="n">
        <f aca="false">YEAR(E2743)</f>
        <v>2025</v>
      </c>
      <c r="J2743" s="3" t="n">
        <f aca="false">MONTH(E2743)</f>
        <v>5</v>
      </c>
      <c r="K2743" s="3" t="n">
        <f aca="false">COUNTIFS($B$2:$B$4077,B2743,$C$2:$C$4077,C2743,$I$2:$I$4077,I2743)</f>
        <v>2</v>
      </c>
      <c r="L2743" s="3" t="n">
        <f aca="false">IF(COUNTIFS($B$2:B2743,B2743,$C$2:C2743,C2743,$I$2:I2743,I2743)=1,1,0)</f>
        <v>0</v>
      </c>
      <c r="M2743" s="3" t="n">
        <f aca="false">IF(K2743&gt;=Parametri!$B$1,1,0)</f>
        <v>1</v>
      </c>
      <c r="N2743" s="3" t="n">
        <f aca="false">L2743*M2743</f>
        <v>0</v>
      </c>
    </row>
    <row r="2744" customFormat="false" ht="15" hidden="false" customHeight="false" outlineLevel="0" collapsed="false">
      <c r="A2744" s="0" t="s">
        <v>4241</v>
      </c>
      <c r="B2744" s="0" t="s">
        <v>31</v>
      </c>
      <c r="C2744" s="0" t="s">
        <v>4178</v>
      </c>
      <c r="D2744" s="0" t="s">
        <v>77</v>
      </c>
      <c r="E2744" s="2" t="n">
        <v>45539</v>
      </c>
      <c r="F2744" s="3" t="s">
        <v>20</v>
      </c>
      <c r="G2744" s="3" t="s">
        <v>89</v>
      </c>
      <c r="H2744" s="3" t="s">
        <v>48</v>
      </c>
      <c r="I2744" s="3" t="n">
        <f aca="false">YEAR(E2744)</f>
        <v>2024</v>
      </c>
      <c r="J2744" s="3" t="n">
        <f aca="false">MONTH(E2744)</f>
        <v>9</v>
      </c>
      <c r="K2744" s="3" t="n">
        <f aca="false">COUNTIFS($B$2:$B$4077,B2744,$C$2:$C$4077,C2744,$I$2:$I$4077,I2744)</f>
        <v>1</v>
      </c>
      <c r="L2744" s="3" t="n">
        <f aca="false">IF(COUNTIFS($B$2:B2744,B2744,$C$2:C2744,C2744,$I$2:I2744,I2744)=1,1,0)</f>
        <v>1</v>
      </c>
      <c r="M2744" s="3" t="n">
        <f aca="false">IF(K2744&gt;=Parametri!$B$1,1,0)</f>
        <v>0</v>
      </c>
      <c r="N2744" s="3" t="n">
        <f aca="false">L2744*M2744</f>
        <v>0</v>
      </c>
    </row>
    <row r="2745" customFormat="false" ht="15" hidden="false" customHeight="false" outlineLevel="0" collapsed="false">
      <c r="A2745" s="0" t="s">
        <v>4242</v>
      </c>
      <c r="B2745" s="0" t="s">
        <v>17</v>
      </c>
      <c r="C2745" s="0" t="s">
        <v>4243</v>
      </c>
      <c r="D2745" s="0" t="s">
        <v>54</v>
      </c>
      <c r="E2745" s="2" t="n">
        <v>45642</v>
      </c>
      <c r="F2745" s="3" t="s">
        <v>27</v>
      </c>
      <c r="G2745" s="3" t="s">
        <v>89</v>
      </c>
      <c r="H2745" s="3" t="s">
        <v>22</v>
      </c>
      <c r="I2745" s="3" t="n">
        <f aca="false">YEAR(E2745)</f>
        <v>2024</v>
      </c>
      <c r="J2745" s="3" t="n">
        <f aca="false">MONTH(E2745)</f>
        <v>12</v>
      </c>
      <c r="K2745" s="3" t="n">
        <f aca="false">COUNTIFS($B$2:$B$4077,B2745,$C$2:$C$4077,C2745,$I$2:$I$4077,I2745)</f>
        <v>1</v>
      </c>
      <c r="L2745" s="3" t="n">
        <f aca="false">IF(COUNTIFS($B$2:B2745,B2745,$C$2:C2745,C2745,$I$2:I2745,I2745)=1,1,0)</f>
        <v>1</v>
      </c>
      <c r="M2745" s="3" t="n">
        <f aca="false">IF(K2745&gt;=Parametri!$B$1,1,0)</f>
        <v>0</v>
      </c>
      <c r="N2745" s="3" t="n">
        <f aca="false">L2745*M2745</f>
        <v>0</v>
      </c>
    </row>
    <row r="2746" customFormat="false" ht="15" hidden="false" customHeight="false" outlineLevel="0" collapsed="false">
      <c r="A2746" s="0" t="s">
        <v>4244</v>
      </c>
      <c r="B2746" s="0" t="s">
        <v>31</v>
      </c>
      <c r="C2746" s="0" t="s">
        <v>112</v>
      </c>
      <c r="D2746" s="0" t="s">
        <v>33</v>
      </c>
      <c r="E2746" s="2" t="n">
        <v>45750</v>
      </c>
      <c r="F2746" s="3" t="s">
        <v>20</v>
      </c>
      <c r="G2746" s="3" t="s">
        <v>55</v>
      </c>
      <c r="H2746" s="3" t="s">
        <v>48</v>
      </c>
      <c r="I2746" s="3" t="n">
        <f aca="false">YEAR(E2746)</f>
        <v>2025</v>
      </c>
      <c r="J2746" s="3" t="n">
        <f aca="false">MONTH(E2746)</f>
        <v>4</v>
      </c>
      <c r="K2746" s="3" t="n">
        <f aca="false">COUNTIFS($B$2:$B$4077,B2746,$C$2:$C$4077,C2746,$I$2:$I$4077,I2746)</f>
        <v>2</v>
      </c>
      <c r="L2746" s="3" t="n">
        <f aca="false">IF(COUNTIFS($B$2:B2746,B2746,$C$2:C2746,C2746,$I$2:I2746,I2746)=1,1,0)</f>
        <v>0</v>
      </c>
      <c r="M2746" s="3" t="n">
        <f aca="false">IF(K2746&gt;=Parametri!$B$1,1,0)</f>
        <v>1</v>
      </c>
      <c r="N2746" s="3" t="n">
        <f aca="false">L2746*M2746</f>
        <v>0</v>
      </c>
    </row>
    <row r="2747" customFormat="false" ht="15" hidden="false" customHeight="false" outlineLevel="0" collapsed="false">
      <c r="A2747" s="0" t="s">
        <v>4245</v>
      </c>
      <c r="B2747" s="0" t="s">
        <v>50</v>
      </c>
      <c r="C2747" s="0" t="s">
        <v>3582</v>
      </c>
      <c r="D2747" s="0" t="s">
        <v>63</v>
      </c>
      <c r="E2747" s="2" t="n">
        <v>46040</v>
      </c>
      <c r="F2747" s="3" t="s">
        <v>34</v>
      </c>
      <c r="G2747" s="3" t="s">
        <v>35</v>
      </c>
      <c r="H2747" s="3" t="s">
        <v>44</v>
      </c>
      <c r="I2747" s="3" t="n">
        <f aca="false">YEAR(E2747)</f>
        <v>2026</v>
      </c>
      <c r="J2747" s="3" t="n">
        <f aca="false">MONTH(E2747)</f>
        <v>1</v>
      </c>
      <c r="K2747" s="3" t="n">
        <f aca="false">COUNTIFS($B$2:$B$4077,B2747,$C$2:$C$4077,C2747,$I$2:$I$4077,I2747)</f>
        <v>1</v>
      </c>
      <c r="L2747" s="3" t="n">
        <f aca="false">IF(COUNTIFS($B$2:B2747,B2747,$C$2:C2747,C2747,$I$2:I2747,I2747)=1,1,0)</f>
        <v>1</v>
      </c>
      <c r="M2747" s="3" t="n">
        <f aca="false">IF(K2747&gt;=Parametri!$B$1,1,0)</f>
        <v>0</v>
      </c>
      <c r="N2747" s="3" t="n">
        <f aca="false">L2747*M2747</f>
        <v>0</v>
      </c>
    </row>
    <row r="2748" customFormat="false" ht="15" hidden="false" customHeight="false" outlineLevel="0" collapsed="false">
      <c r="A2748" s="0" t="s">
        <v>4246</v>
      </c>
      <c r="B2748" s="0" t="s">
        <v>41</v>
      </c>
      <c r="C2748" s="0" t="s">
        <v>1392</v>
      </c>
      <c r="D2748" s="0" t="s">
        <v>33</v>
      </c>
      <c r="E2748" s="2" t="n">
        <v>45377</v>
      </c>
      <c r="F2748" s="3" t="s">
        <v>20</v>
      </c>
      <c r="G2748" s="3" t="s">
        <v>72</v>
      </c>
      <c r="H2748" s="3" t="s">
        <v>48</v>
      </c>
      <c r="I2748" s="3" t="n">
        <f aca="false">YEAR(E2748)</f>
        <v>2024</v>
      </c>
      <c r="J2748" s="3" t="n">
        <f aca="false">MONTH(E2748)</f>
        <v>3</v>
      </c>
      <c r="K2748" s="3" t="n">
        <f aca="false">COUNTIFS($B$2:$B$4077,B2748,$C$2:$C$4077,C2748,$I$2:$I$4077,I2748)</f>
        <v>1</v>
      </c>
      <c r="L2748" s="3" t="n">
        <f aca="false">IF(COUNTIFS($B$2:B2748,B2748,$C$2:C2748,C2748,$I$2:I2748,I2748)=1,1,0)</f>
        <v>1</v>
      </c>
      <c r="M2748" s="3" t="n">
        <f aca="false">IF(K2748&gt;=Parametri!$B$1,1,0)</f>
        <v>0</v>
      </c>
      <c r="N2748" s="3" t="n">
        <f aca="false">L2748*M2748</f>
        <v>0</v>
      </c>
    </row>
    <row r="2749" customFormat="false" ht="15" hidden="false" customHeight="false" outlineLevel="0" collapsed="false">
      <c r="A2749" s="0" t="s">
        <v>4247</v>
      </c>
      <c r="B2749" s="0" t="s">
        <v>50</v>
      </c>
      <c r="C2749" s="0" t="s">
        <v>4248</v>
      </c>
      <c r="D2749" s="0" t="s">
        <v>33</v>
      </c>
      <c r="E2749" s="2" t="n">
        <v>45954</v>
      </c>
      <c r="F2749" s="3" t="s">
        <v>27</v>
      </c>
      <c r="G2749" s="3" t="s">
        <v>72</v>
      </c>
      <c r="H2749" s="3" t="s">
        <v>29</v>
      </c>
      <c r="I2749" s="3" t="n">
        <f aca="false">YEAR(E2749)</f>
        <v>2025</v>
      </c>
      <c r="J2749" s="3" t="n">
        <f aca="false">MONTH(E2749)</f>
        <v>10</v>
      </c>
      <c r="K2749" s="3" t="n">
        <f aca="false">COUNTIFS($B$2:$B$4077,B2749,$C$2:$C$4077,C2749,$I$2:$I$4077,I2749)</f>
        <v>1</v>
      </c>
      <c r="L2749" s="3" t="n">
        <f aca="false">IF(COUNTIFS($B$2:B2749,B2749,$C$2:C2749,C2749,$I$2:I2749,I2749)=1,1,0)</f>
        <v>1</v>
      </c>
      <c r="M2749" s="3" t="n">
        <f aca="false">IF(K2749&gt;=Parametri!$B$1,1,0)</f>
        <v>0</v>
      </c>
      <c r="N2749" s="3" t="n">
        <f aca="false">L2749*M2749</f>
        <v>0</v>
      </c>
    </row>
    <row r="2750" customFormat="false" ht="15" hidden="false" customHeight="false" outlineLevel="0" collapsed="false">
      <c r="A2750" s="0" t="s">
        <v>4249</v>
      </c>
      <c r="B2750" s="0" t="s">
        <v>79</v>
      </c>
      <c r="C2750" s="0" t="s">
        <v>327</v>
      </c>
      <c r="D2750" s="0" t="s">
        <v>77</v>
      </c>
      <c r="E2750" s="2" t="n">
        <v>45870</v>
      </c>
      <c r="F2750" s="3" t="s">
        <v>20</v>
      </c>
      <c r="G2750" s="3" t="s">
        <v>55</v>
      </c>
      <c r="H2750" s="3" t="s">
        <v>29</v>
      </c>
      <c r="I2750" s="3" t="n">
        <f aca="false">YEAR(E2750)</f>
        <v>2025</v>
      </c>
      <c r="J2750" s="3" t="n">
        <f aca="false">MONTH(E2750)</f>
        <v>8</v>
      </c>
      <c r="K2750" s="3" t="n">
        <f aca="false">COUNTIFS($B$2:$B$4077,B2750,$C$2:$C$4077,C2750,$I$2:$I$4077,I2750)</f>
        <v>4</v>
      </c>
      <c r="L2750" s="3" t="n">
        <f aca="false">IF(COUNTIFS($B$2:B2750,B2750,$C$2:C2750,C2750,$I$2:I2750,I2750)=1,1,0)</f>
        <v>0</v>
      </c>
      <c r="M2750" s="3" t="n">
        <f aca="false">IF(K2750&gt;=Parametri!$B$1,1,0)</f>
        <v>1</v>
      </c>
      <c r="N2750" s="3" t="n">
        <f aca="false">L2750*M2750</f>
        <v>0</v>
      </c>
    </row>
    <row r="2751" customFormat="false" ht="15" hidden="false" customHeight="false" outlineLevel="0" collapsed="false">
      <c r="A2751" s="0" t="s">
        <v>4250</v>
      </c>
      <c r="B2751" s="0" t="s">
        <v>46</v>
      </c>
      <c r="C2751" s="0" t="s">
        <v>1731</v>
      </c>
      <c r="D2751" s="0" t="s">
        <v>66</v>
      </c>
      <c r="E2751" s="2" t="n">
        <v>45485</v>
      </c>
      <c r="F2751" s="3" t="s">
        <v>34</v>
      </c>
      <c r="G2751" s="3" t="s">
        <v>35</v>
      </c>
      <c r="H2751" s="3" t="s">
        <v>22</v>
      </c>
      <c r="I2751" s="3" t="n">
        <f aca="false">YEAR(E2751)</f>
        <v>2024</v>
      </c>
      <c r="J2751" s="3" t="n">
        <f aca="false">MONTH(E2751)</f>
        <v>7</v>
      </c>
      <c r="K2751" s="3" t="n">
        <f aca="false">COUNTIFS($B$2:$B$4077,B2751,$C$2:$C$4077,C2751,$I$2:$I$4077,I2751)</f>
        <v>2</v>
      </c>
      <c r="L2751" s="3" t="n">
        <f aca="false">IF(COUNTIFS($B$2:B2751,B2751,$C$2:C2751,C2751,$I$2:I2751,I2751)=1,1,0)</f>
        <v>0</v>
      </c>
      <c r="M2751" s="3" t="n">
        <f aca="false">IF(K2751&gt;=Parametri!$B$1,1,0)</f>
        <v>1</v>
      </c>
      <c r="N2751" s="3" t="n">
        <f aca="false">L2751*M2751</f>
        <v>0</v>
      </c>
    </row>
    <row r="2752" customFormat="false" ht="15" hidden="false" customHeight="false" outlineLevel="0" collapsed="false">
      <c r="A2752" s="0" t="s">
        <v>4251</v>
      </c>
      <c r="B2752" s="0" t="s">
        <v>57</v>
      </c>
      <c r="C2752" s="0" t="s">
        <v>4252</v>
      </c>
      <c r="D2752" s="0" t="s">
        <v>66</v>
      </c>
      <c r="E2752" s="2" t="n">
        <v>45787</v>
      </c>
      <c r="F2752" s="3" t="s">
        <v>20</v>
      </c>
      <c r="G2752" s="3" t="s">
        <v>43</v>
      </c>
      <c r="H2752" s="3" t="s">
        <v>44</v>
      </c>
      <c r="I2752" s="3" t="n">
        <f aca="false">YEAR(E2752)</f>
        <v>2025</v>
      </c>
      <c r="J2752" s="3" t="n">
        <f aca="false">MONTH(E2752)</f>
        <v>5</v>
      </c>
      <c r="K2752" s="3" t="n">
        <f aca="false">COUNTIFS($B$2:$B$4077,B2752,$C$2:$C$4077,C2752,$I$2:$I$4077,I2752)</f>
        <v>1</v>
      </c>
      <c r="L2752" s="3" t="n">
        <f aca="false">IF(COUNTIFS($B$2:B2752,B2752,$C$2:C2752,C2752,$I$2:I2752,I2752)=1,1,0)</f>
        <v>1</v>
      </c>
      <c r="M2752" s="3" t="n">
        <f aca="false">IF(K2752&gt;=Parametri!$B$1,1,0)</f>
        <v>0</v>
      </c>
      <c r="N2752" s="3" t="n">
        <f aca="false">L2752*M2752</f>
        <v>0</v>
      </c>
    </row>
    <row r="2753" customFormat="false" ht="15" hidden="false" customHeight="false" outlineLevel="0" collapsed="false">
      <c r="A2753" s="0" t="s">
        <v>4253</v>
      </c>
      <c r="B2753" s="0" t="s">
        <v>41</v>
      </c>
      <c r="C2753" s="0" t="s">
        <v>4254</v>
      </c>
      <c r="D2753" s="0" t="s">
        <v>63</v>
      </c>
      <c r="E2753" s="2" t="n">
        <v>45453</v>
      </c>
      <c r="F2753" s="3" t="s">
        <v>34</v>
      </c>
      <c r="G2753" s="3" t="s">
        <v>55</v>
      </c>
      <c r="H2753" s="3" t="s">
        <v>48</v>
      </c>
      <c r="I2753" s="3" t="n">
        <f aca="false">YEAR(E2753)</f>
        <v>2024</v>
      </c>
      <c r="J2753" s="3" t="n">
        <f aca="false">MONTH(E2753)</f>
        <v>6</v>
      </c>
      <c r="K2753" s="3" t="n">
        <f aca="false">COUNTIFS($B$2:$B$4077,B2753,$C$2:$C$4077,C2753,$I$2:$I$4077,I2753)</f>
        <v>1</v>
      </c>
      <c r="L2753" s="3" t="n">
        <f aca="false">IF(COUNTIFS($B$2:B2753,B2753,$C$2:C2753,C2753,$I$2:I2753,I2753)=1,1,0)</f>
        <v>1</v>
      </c>
      <c r="M2753" s="3" t="n">
        <f aca="false">IF(K2753&gt;=Parametri!$B$1,1,0)</f>
        <v>0</v>
      </c>
      <c r="N2753" s="3" t="n">
        <f aca="false">L2753*M2753</f>
        <v>0</v>
      </c>
    </row>
    <row r="2754" customFormat="false" ht="15" hidden="false" customHeight="false" outlineLevel="0" collapsed="false">
      <c r="A2754" s="0" t="s">
        <v>4255</v>
      </c>
      <c r="B2754" s="0" t="s">
        <v>124</v>
      </c>
      <c r="C2754" s="0" t="s">
        <v>1407</v>
      </c>
      <c r="D2754" s="0" t="s">
        <v>54</v>
      </c>
      <c r="E2754" s="2" t="n">
        <v>45991</v>
      </c>
      <c r="F2754" s="3" t="s">
        <v>20</v>
      </c>
      <c r="G2754" s="3" t="s">
        <v>21</v>
      </c>
      <c r="H2754" s="3" t="s">
        <v>29</v>
      </c>
      <c r="I2754" s="3" t="n">
        <f aca="false">YEAR(E2754)</f>
        <v>2025</v>
      </c>
      <c r="J2754" s="3" t="n">
        <f aca="false">MONTH(E2754)</f>
        <v>11</v>
      </c>
      <c r="K2754" s="3" t="n">
        <f aca="false">COUNTIFS($B$2:$B$4077,B2754,$C$2:$C$4077,C2754,$I$2:$I$4077,I2754)</f>
        <v>4</v>
      </c>
      <c r="L2754" s="3" t="n">
        <f aca="false">IF(COUNTIFS($B$2:B2754,B2754,$C$2:C2754,C2754,$I$2:I2754,I2754)=1,1,0)</f>
        <v>0</v>
      </c>
      <c r="M2754" s="3" t="n">
        <f aca="false">IF(K2754&gt;=Parametri!$B$1,1,0)</f>
        <v>1</v>
      </c>
      <c r="N2754" s="3" t="n">
        <f aca="false">L2754*M2754</f>
        <v>0</v>
      </c>
    </row>
    <row r="2755" customFormat="false" ht="15" hidden="false" customHeight="false" outlineLevel="0" collapsed="false">
      <c r="A2755" s="0" t="s">
        <v>4256</v>
      </c>
      <c r="B2755" s="0" t="s">
        <v>46</v>
      </c>
      <c r="C2755" s="0" t="s">
        <v>2525</v>
      </c>
      <c r="D2755" s="0" t="s">
        <v>77</v>
      </c>
      <c r="E2755" s="2" t="n">
        <v>46130</v>
      </c>
      <c r="F2755" s="3" t="s">
        <v>20</v>
      </c>
      <c r="G2755" s="3" t="s">
        <v>35</v>
      </c>
      <c r="H2755" s="3" t="s">
        <v>48</v>
      </c>
      <c r="I2755" s="3" t="n">
        <f aca="false">YEAR(E2755)</f>
        <v>2026</v>
      </c>
      <c r="J2755" s="3" t="n">
        <f aca="false">MONTH(E2755)</f>
        <v>4</v>
      </c>
      <c r="K2755" s="3" t="n">
        <f aca="false">COUNTIFS($B$2:$B$4077,B2755,$C$2:$C$4077,C2755,$I$2:$I$4077,I2755)</f>
        <v>2</v>
      </c>
      <c r="L2755" s="3" t="n">
        <f aca="false">IF(COUNTIFS($B$2:B2755,B2755,$C$2:C2755,C2755,$I$2:I2755,I2755)=1,1,0)</f>
        <v>0</v>
      </c>
      <c r="M2755" s="3" t="n">
        <f aca="false">IF(K2755&gt;=Parametri!$B$1,1,0)</f>
        <v>1</v>
      </c>
      <c r="N2755" s="3" t="n">
        <f aca="false">L2755*M2755</f>
        <v>0</v>
      </c>
    </row>
    <row r="2756" customFormat="false" ht="15" hidden="false" customHeight="false" outlineLevel="0" collapsed="false">
      <c r="A2756" s="0" t="s">
        <v>4257</v>
      </c>
      <c r="B2756" s="0" t="s">
        <v>79</v>
      </c>
      <c r="C2756" s="0" t="s">
        <v>86</v>
      </c>
      <c r="D2756" s="0" t="s">
        <v>33</v>
      </c>
      <c r="E2756" s="2" t="n">
        <v>46067</v>
      </c>
      <c r="F2756" s="3" t="s">
        <v>34</v>
      </c>
      <c r="G2756" s="3" t="s">
        <v>28</v>
      </c>
      <c r="H2756" s="3" t="s">
        <v>48</v>
      </c>
      <c r="I2756" s="3" t="n">
        <f aca="false">YEAR(E2756)</f>
        <v>2026</v>
      </c>
      <c r="J2756" s="3" t="n">
        <f aca="false">MONTH(E2756)</f>
        <v>2</v>
      </c>
      <c r="K2756" s="3" t="n">
        <f aca="false">COUNTIFS($B$2:$B$4077,B2756,$C$2:$C$4077,C2756,$I$2:$I$4077,I2756)</f>
        <v>1</v>
      </c>
      <c r="L2756" s="3" t="n">
        <f aca="false">IF(COUNTIFS($B$2:B2756,B2756,$C$2:C2756,C2756,$I$2:I2756,I2756)=1,1,0)</f>
        <v>1</v>
      </c>
      <c r="M2756" s="3" t="n">
        <f aca="false">IF(K2756&gt;=Parametri!$B$1,1,0)</f>
        <v>0</v>
      </c>
      <c r="N2756" s="3" t="n">
        <f aca="false">L2756*M2756</f>
        <v>0</v>
      </c>
    </row>
    <row r="2757" customFormat="false" ht="15" hidden="false" customHeight="false" outlineLevel="0" collapsed="false">
      <c r="A2757" s="0" t="s">
        <v>4258</v>
      </c>
      <c r="B2757" s="0" t="s">
        <v>57</v>
      </c>
      <c r="C2757" s="0" t="s">
        <v>4210</v>
      </c>
      <c r="D2757" s="0" t="s">
        <v>63</v>
      </c>
      <c r="E2757" s="2" t="n">
        <v>46167</v>
      </c>
      <c r="F2757" s="3" t="s">
        <v>20</v>
      </c>
      <c r="G2757" s="3" t="s">
        <v>21</v>
      </c>
      <c r="H2757" s="3" t="s">
        <v>22</v>
      </c>
      <c r="I2757" s="3" t="n">
        <f aca="false">YEAR(E2757)</f>
        <v>2026</v>
      </c>
      <c r="J2757" s="3" t="n">
        <f aca="false">MONTH(E2757)</f>
        <v>5</v>
      </c>
      <c r="K2757" s="3" t="n">
        <f aca="false">COUNTIFS($B$2:$B$4077,B2757,$C$2:$C$4077,C2757,$I$2:$I$4077,I2757)</f>
        <v>2</v>
      </c>
      <c r="L2757" s="3" t="n">
        <f aca="false">IF(COUNTIFS($B$2:B2757,B2757,$C$2:C2757,C2757,$I$2:I2757,I2757)=1,1,0)</f>
        <v>0</v>
      </c>
      <c r="M2757" s="3" t="n">
        <f aca="false">IF(K2757&gt;=Parametri!$B$1,1,0)</f>
        <v>1</v>
      </c>
      <c r="N2757" s="3" t="n">
        <f aca="false">L2757*M2757</f>
        <v>0</v>
      </c>
    </row>
    <row r="2758" customFormat="false" ht="15" hidden="false" customHeight="false" outlineLevel="0" collapsed="false">
      <c r="A2758" s="0" t="s">
        <v>4259</v>
      </c>
      <c r="B2758" s="0" t="s">
        <v>31</v>
      </c>
      <c r="C2758" s="0" t="s">
        <v>2583</v>
      </c>
      <c r="D2758" s="0" t="s">
        <v>19</v>
      </c>
      <c r="E2758" s="2" t="n">
        <v>46089</v>
      </c>
      <c r="F2758" s="3" t="s">
        <v>27</v>
      </c>
      <c r="G2758" s="3" t="s">
        <v>55</v>
      </c>
      <c r="H2758" s="3" t="s">
        <v>48</v>
      </c>
      <c r="I2758" s="3" t="n">
        <f aca="false">YEAR(E2758)</f>
        <v>2026</v>
      </c>
      <c r="J2758" s="3" t="n">
        <f aca="false">MONTH(E2758)</f>
        <v>3</v>
      </c>
      <c r="K2758" s="3" t="n">
        <f aca="false">COUNTIFS($B$2:$B$4077,B2758,$C$2:$C$4077,C2758,$I$2:$I$4077,I2758)</f>
        <v>1</v>
      </c>
      <c r="L2758" s="3" t="n">
        <f aca="false">IF(COUNTIFS($B$2:B2758,B2758,$C$2:C2758,C2758,$I$2:I2758,I2758)=1,1,0)</f>
        <v>1</v>
      </c>
      <c r="M2758" s="3" t="n">
        <f aca="false">IF(K2758&gt;=Parametri!$B$1,1,0)</f>
        <v>0</v>
      </c>
      <c r="N2758" s="3" t="n">
        <f aca="false">L2758*M2758</f>
        <v>0</v>
      </c>
    </row>
    <row r="2759" customFormat="false" ht="15" hidden="false" customHeight="false" outlineLevel="0" collapsed="false">
      <c r="A2759" s="0" t="s">
        <v>4260</v>
      </c>
      <c r="B2759" s="0" t="s">
        <v>79</v>
      </c>
      <c r="C2759" s="0" t="s">
        <v>327</v>
      </c>
      <c r="D2759" s="0" t="s">
        <v>63</v>
      </c>
      <c r="E2759" s="2" t="n">
        <v>46240</v>
      </c>
      <c r="F2759" s="3" t="s">
        <v>20</v>
      </c>
      <c r="G2759" s="3" t="s">
        <v>21</v>
      </c>
      <c r="H2759" s="3" t="s">
        <v>48</v>
      </c>
      <c r="I2759" s="3" t="n">
        <f aca="false">YEAR(E2759)</f>
        <v>2026</v>
      </c>
      <c r="J2759" s="3" t="n">
        <f aca="false">MONTH(E2759)</f>
        <v>8</v>
      </c>
      <c r="K2759" s="3" t="n">
        <f aca="false">COUNTIFS($B$2:$B$4077,B2759,$C$2:$C$4077,C2759,$I$2:$I$4077,I2759)</f>
        <v>2</v>
      </c>
      <c r="L2759" s="3" t="n">
        <f aca="false">IF(COUNTIFS($B$2:B2759,B2759,$C$2:C2759,C2759,$I$2:I2759,I2759)=1,1,0)</f>
        <v>0</v>
      </c>
      <c r="M2759" s="3" t="n">
        <f aca="false">IF(K2759&gt;=Parametri!$B$1,1,0)</f>
        <v>1</v>
      </c>
      <c r="N2759" s="3" t="n">
        <f aca="false">L2759*M2759</f>
        <v>0</v>
      </c>
    </row>
    <row r="2760" customFormat="false" ht="15" hidden="false" customHeight="false" outlineLevel="0" collapsed="false">
      <c r="A2760" s="0" t="s">
        <v>4261</v>
      </c>
      <c r="B2760" s="0" t="s">
        <v>124</v>
      </c>
      <c r="C2760" s="0" t="s">
        <v>1670</v>
      </c>
      <c r="D2760" s="0" t="s">
        <v>54</v>
      </c>
      <c r="E2760" s="2" t="n">
        <v>45487</v>
      </c>
      <c r="F2760" s="3" t="s">
        <v>34</v>
      </c>
      <c r="G2760" s="3" t="s">
        <v>21</v>
      </c>
      <c r="H2760" s="3" t="s">
        <v>48</v>
      </c>
      <c r="I2760" s="3" t="n">
        <f aca="false">YEAR(E2760)</f>
        <v>2024</v>
      </c>
      <c r="J2760" s="3" t="n">
        <f aca="false">MONTH(E2760)</f>
        <v>7</v>
      </c>
      <c r="K2760" s="3" t="n">
        <f aca="false">COUNTIFS($B$2:$B$4077,B2760,$C$2:$C$4077,C2760,$I$2:$I$4077,I2760)</f>
        <v>4</v>
      </c>
      <c r="L2760" s="3" t="n">
        <f aca="false">IF(COUNTIFS($B$2:B2760,B2760,$C$2:C2760,C2760,$I$2:I2760,I2760)=1,1,0)</f>
        <v>0</v>
      </c>
      <c r="M2760" s="3" t="n">
        <f aca="false">IF(K2760&gt;=Parametri!$B$1,1,0)</f>
        <v>1</v>
      </c>
      <c r="N2760" s="3" t="n">
        <f aca="false">L2760*M2760</f>
        <v>0</v>
      </c>
    </row>
    <row r="2761" customFormat="false" ht="15" hidden="false" customHeight="false" outlineLevel="0" collapsed="false">
      <c r="A2761" s="0" t="s">
        <v>4262</v>
      </c>
      <c r="B2761" s="0" t="s">
        <v>50</v>
      </c>
      <c r="C2761" s="0" t="s">
        <v>1112</v>
      </c>
      <c r="D2761" s="0" t="s">
        <v>54</v>
      </c>
      <c r="E2761" s="2" t="n">
        <v>45993</v>
      </c>
      <c r="F2761" s="3" t="s">
        <v>27</v>
      </c>
      <c r="G2761" s="3" t="s">
        <v>89</v>
      </c>
      <c r="H2761" s="3" t="s">
        <v>48</v>
      </c>
      <c r="I2761" s="3" t="n">
        <f aca="false">YEAR(E2761)</f>
        <v>2025</v>
      </c>
      <c r="J2761" s="3" t="n">
        <f aca="false">MONTH(E2761)</f>
        <v>12</v>
      </c>
      <c r="K2761" s="3" t="n">
        <f aca="false">COUNTIFS($B$2:$B$4077,B2761,$C$2:$C$4077,C2761,$I$2:$I$4077,I2761)</f>
        <v>2</v>
      </c>
      <c r="L2761" s="3" t="n">
        <f aca="false">IF(COUNTIFS($B$2:B2761,B2761,$C$2:C2761,C2761,$I$2:I2761,I2761)=1,1,0)</f>
        <v>0</v>
      </c>
      <c r="M2761" s="3" t="n">
        <f aca="false">IF(K2761&gt;=Parametri!$B$1,1,0)</f>
        <v>1</v>
      </c>
      <c r="N2761" s="3" t="n">
        <f aca="false">L2761*M2761</f>
        <v>0</v>
      </c>
    </row>
    <row r="2762" customFormat="false" ht="15" hidden="false" customHeight="false" outlineLevel="0" collapsed="false">
      <c r="A2762" s="0" t="s">
        <v>4263</v>
      </c>
      <c r="B2762" s="0" t="s">
        <v>50</v>
      </c>
      <c r="C2762" s="0" t="s">
        <v>4264</v>
      </c>
      <c r="D2762" s="0" t="s">
        <v>38</v>
      </c>
      <c r="E2762" s="2" t="n">
        <v>45775</v>
      </c>
      <c r="F2762" s="3" t="s">
        <v>20</v>
      </c>
      <c r="G2762" s="3" t="s">
        <v>43</v>
      </c>
      <c r="H2762" s="3" t="s">
        <v>22</v>
      </c>
      <c r="I2762" s="3" t="n">
        <f aca="false">YEAR(E2762)</f>
        <v>2025</v>
      </c>
      <c r="J2762" s="3" t="n">
        <f aca="false">MONTH(E2762)</f>
        <v>4</v>
      </c>
      <c r="K2762" s="3" t="n">
        <f aca="false">COUNTIFS($B$2:$B$4077,B2762,$C$2:$C$4077,C2762,$I$2:$I$4077,I2762)</f>
        <v>1</v>
      </c>
      <c r="L2762" s="3" t="n">
        <f aca="false">IF(COUNTIFS($B$2:B2762,B2762,$C$2:C2762,C2762,$I$2:I2762,I2762)=1,1,0)</f>
        <v>1</v>
      </c>
      <c r="M2762" s="3" t="n">
        <f aca="false">IF(K2762&gt;=Parametri!$B$1,1,0)</f>
        <v>0</v>
      </c>
      <c r="N2762" s="3" t="n">
        <f aca="false">L2762*M2762</f>
        <v>0</v>
      </c>
    </row>
    <row r="2763" customFormat="false" ht="15" hidden="false" customHeight="false" outlineLevel="0" collapsed="false">
      <c r="A2763" s="0" t="s">
        <v>4265</v>
      </c>
      <c r="B2763" s="0" t="s">
        <v>68</v>
      </c>
      <c r="C2763" s="0" t="s">
        <v>4266</v>
      </c>
      <c r="D2763" s="0" t="s">
        <v>77</v>
      </c>
      <c r="E2763" s="2" t="n">
        <v>45698</v>
      </c>
      <c r="F2763" s="3" t="s">
        <v>27</v>
      </c>
      <c r="G2763" s="3" t="s">
        <v>39</v>
      </c>
      <c r="H2763" s="3" t="s">
        <v>48</v>
      </c>
      <c r="I2763" s="3" t="n">
        <f aca="false">YEAR(E2763)</f>
        <v>2025</v>
      </c>
      <c r="J2763" s="3" t="n">
        <f aca="false">MONTH(E2763)</f>
        <v>2</v>
      </c>
      <c r="K2763" s="3" t="n">
        <f aca="false">COUNTIFS($B$2:$B$4077,B2763,$C$2:$C$4077,C2763,$I$2:$I$4077,I2763)</f>
        <v>1</v>
      </c>
      <c r="L2763" s="3" t="n">
        <f aca="false">IF(COUNTIFS($B$2:B2763,B2763,$C$2:C2763,C2763,$I$2:I2763,I2763)=1,1,0)</f>
        <v>1</v>
      </c>
      <c r="M2763" s="3" t="n">
        <f aca="false">IF(K2763&gt;=Parametri!$B$1,1,0)</f>
        <v>0</v>
      </c>
      <c r="N2763" s="3" t="n">
        <f aca="false">L2763*M2763</f>
        <v>0</v>
      </c>
    </row>
    <row r="2764" customFormat="false" ht="15" hidden="false" customHeight="false" outlineLevel="0" collapsed="false">
      <c r="A2764" s="0" t="s">
        <v>4267</v>
      </c>
      <c r="B2764" s="0" t="s">
        <v>79</v>
      </c>
      <c r="C2764" s="0" t="s">
        <v>4268</v>
      </c>
      <c r="D2764" s="0" t="s">
        <v>38</v>
      </c>
      <c r="E2764" s="2" t="n">
        <v>45905</v>
      </c>
      <c r="F2764" s="3" t="s">
        <v>20</v>
      </c>
      <c r="G2764" s="3" t="s">
        <v>21</v>
      </c>
      <c r="H2764" s="3" t="s">
        <v>48</v>
      </c>
      <c r="I2764" s="3" t="n">
        <f aca="false">YEAR(E2764)</f>
        <v>2025</v>
      </c>
      <c r="J2764" s="3" t="n">
        <f aca="false">MONTH(E2764)</f>
        <v>9</v>
      </c>
      <c r="K2764" s="3" t="n">
        <f aca="false">COUNTIFS($B$2:$B$4077,B2764,$C$2:$C$4077,C2764,$I$2:$I$4077,I2764)</f>
        <v>1</v>
      </c>
      <c r="L2764" s="3" t="n">
        <f aca="false">IF(COUNTIFS($B$2:B2764,B2764,$C$2:C2764,C2764,$I$2:I2764,I2764)=1,1,0)</f>
        <v>1</v>
      </c>
      <c r="M2764" s="3" t="n">
        <f aca="false">IF(K2764&gt;=Parametri!$B$1,1,0)</f>
        <v>0</v>
      </c>
      <c r="N2764" s="3" t="n">
        <f aca="false">L2764*M2764</f>
        <v>0</v>
      </c>
    </row>
    <row r="2765" customFormat="false" ht="15" hidden="false" customHeight="false" outlineLevel="0" collapsed="false">
      <c r="A2765" s="0" t="s">
        <v>4269</v>
      </c>
      <c r="B2765" s="0" t="s">
        <v>50</v>
      </c>
      <c r="C2765" s="0" t="s">
        <v>2438</v>
      </c>
      <c r="D2765" s="0" t="s">
        <v>19</v>
      </c>
      <c r="E2765" s="2" t="n">
        <v>46232</v>
      </c>
      <c r="F2765" s="3" t="s">
        <v>20</v>
      </c>
      <c r="G2765" s="3" t="s">
        <v>89</v>
      </c>
      <c r="H2765" s="3" t="s">
        <v>29</v>
      </c>
      <c r="I2765" s="3" t="n">
        <f aca="false">YEAR(E2765)</f>
        <v>2026</v>
      </c>
      <c r="J2765" s="3" t="n">
        <f aca="false">MONTH(E2765)</f>
        <v>7</v>
      </c>
      <c r="K2765" s="3" t="n">
        <f aca="false">COUNTIFS($B$2:$B$4077,B2765,$C$2:$C$4077,C2765,$I$2:$I$4077,I2765)</f>
        <v>1</v>
      </c>
      <c r="L2765" s="3" t="n">
        <f aca="false">IF(COUNTIFS($B$2:B2765,B2765,$C$2:C2765,C2765,$I$2:I2765,I2765)=1,1,0)</f>
        <v>1</v>
      </c>
      <c r="M2765" s="3" t="n">
        <f aca="false">IF(K2765&gt;=Parametri!$B$1,1,0)</f>
        <v>0</v>
      </c>
      <c r="N2765" s="3" t="n">
        <f aca="false">L2765*M2765</f>
        <v>0</v>
      </c>
    </row>
    <row r="2766" customFormat="false" ht="15" hidden="false" customHeight="false" outlineLevel="0" collapsed="false">
      <c r="A2766" s="0" t="s">
        <v>4270</v>
      </c>
      <c r="B2766" s="0" t="s">
        <v>46</v>
      </c>
      <c r="C2766" s="0" t="s">
        <v>4271</v>
      </c>
      <c r="D2766" s="0" t="s">
        <v>26</v>
      </c>
      <c r="E2766" s="2" t="n">
        <v>45533</v>
      </c>
      <c r="F2766" s="3" t="s">
        <v>34</v>
      </c>
      <c r="G2766" s="3" t="s">
        <v>28</v>
      </c>
      <c r="H2766" s="3" t="s">
        <v>22</v>
      </c>
      <c r="I2766" s="3" t="n">
        <f aca="false">YEAR(E2766)</f>
        <v>2024</v>
      </c>
      <c r="J2766" s="3" t="n">
        <f aca="false">MONTH(E2766)</f>
        <v>8</v>
      </c>
      <c r="K2766" s="3" t="n">
        <f aca="false">COUNTIFS($B$2:$B$4077,B2766,$C$2:$C$4077,C2766,$I$2:$I$4077,I2766)</f>
        <v>1</v>
      </c>
      <c r="L2766" s="3" t="n">
        <f aca="false">IF(COUNTIFS($B$2:B2766,B2766,$C$2:C2766,C2766,$I$2:I2766,I2766)=1,1,0)</f>
        <v>1</v>
      </c>
      <c r="M2766" s="3" t="n">
        <f aca="false">IF(K2766&gt;=Parametri!$B$1,1,0)</f>
        <v>0</v>
      </c>
      <c r="N2766" s="3" t="n">
        <f aca="false">L2766*M2766</f>
        <v>0</v>
      </c>
    </row>
    <row r="2767" customFormat="false" ht="15" hidden="false" customHeight="false" outlineLevel="0" collapsed="false">
      <c r="A2767" s="0" t="s">
        <v>4272</v>
      </c>
      <c r="B2767" s="0" t="s">
        <v>46</v>
      </c>
      <c r="C2767" s="0" t="s">
        <v>3431</v>
      </c>
      <c r="D2767" s="0" t="s">
        <v>33</v>
      </c>
      <c r="E2767" s="2" t="n">
        <v>45788</v>
      </c>
      <c r="F2767" s="3" t="s">
        <v>20</v>
      </c>
      <c r="G2767" s="3" t="s">
        <v>39</v>
      </c>
      <c r="H2767" s="3" t="s">
        <v>44</v>
      </c>
      <c r="I2767" s="3" t="n">
        <f aca="false">YEAR(E2767)</f>
        <v>2025</v>
      </c>
      <c r="J2767" s="3" t="n">
        <f aca="false">MONTH(E2767)</f>
        <v>5</v>
      </c>
      <c r="K2767" s="3" t="n">
        <f aca="false">COUNTIFS($B$2:$B$4077,B2767,$C$2:$C$4077,C2767,$I$2:$I$4077,I2767)</f>
        <v>1</v>
      </c>
      <c r="L2767" s="3" t="n">
        <f aca="false">IF(COUNTIFS($B$2:B2767,B2767,$C$2:C2767,C2767,$I$2:I2767,I2767)=1,1,0)</f>
        <v>1</v>
      </c>
      <c r="M2767" s="3" t="n">
        <f aca="false">IF(K2767&gt;=Parametri!$B$1,1,0)</f>
        <v>0</v>
      </c>
      <c r="N2767" s="3" t="n">
        <f aca="false">L2767*M2767</f>
        <v>0</v>
      </c>
    </row>
    <row r="2768" customFormat="false" ht="15" hidden="false" customHeight="false" outlineLevel="0" collapsed="false">
      <c r="A2768" s="0" t="s">
        <v>4273</v>
      </c>
      <c r="B2768" s="0" t="s">
        <v>31</v>
      </c>
      <c r="C2768" s="0" t="s">
        <v>4274</v>
      </c>
      <c r="D2768" s="0" t="s">
        <v>19</v>
      </c>
      <c r="E2768" s="2" t="n">
        <v>45493</v>
      </c>
      <c r="F2768" s="3" t="s">
        <v>20</v>
      </c>
      <c r="G2768" s="3" t="s">
        <v>72</v>
      </c>
      <c r="H2768" s="3" t="s">
        <v>44</v>
      </c>
      <c r="I2768" s="3" t="n">
        <f aca="false">YEAR(E2768)</f>
        <v>2024</v>
      </c>
      <c r="J2768" s="3" t="n">
        <f aca="false">MONTH(E2768)</f>
        <v>7</v>
      </c>
      <c r="K2768" s="3" t="n">
        <f aca="false">COUNTIFS($B$2:$B$4077,B2768,$C$2:$C$4077,C2768,$I$2:$I$4077,I2768)</f>
        <v>1</v>
      </c>
      <c r="L2768" s="3" t="n">
        <f aca="false">IF(COUNTIFS($B$2:B2768,B2768,$C$2:C2768,C2768,$I$2:I2768,I2768)=1,1,0)</f>
        <v>1</v>
      </c>
      <c r="M2768" s="3" t="n">
        <f aca="false">IF(K2768&gt;=Parametri!$B$1,1,0)</f>
        <v>0</v>
      </c>
      <c r="N2768" s="3" t="n">
        <f aca="false">L2768*M2768</f>
        <v>0</v>
      </c>
    </row>
    <row r="2769" customFormat="false" ht="15" hidden="false" customHeight="false" outlineLevel="0" collapsed="false">
      <c r="A2769" s="0" t="s">
        <v>4275</v>
      </c>
      <c r="B2769" s="0" t="s">
        <v>17</v>
      </c>
      <c r="C2769" s="0" t="s">
        <v>208</v>
      </c>
      <c r="D2769" s="0" t="s">
        <v>77</v>
      </c>
      <c r="E2769" s="2" t="n">
        <v>45625</v>
      </c>
      <c r="F2769" s="3" t="s">
        <v>20</v>
      </c>
      <c r="G2769" s="3" t="s">
        <v>35</v>
      </c>
      <c r="H2769" s="3" t="s">
        <v>44</v>
      </c>
      <c r="I2769" s="3" t="n">
        <f aca="false">YEAR(E2769)</f>
        <v>2024</v>
      </c>
      <c r="J2769" s="3" t="n">
        <f aca="false">MONTH(E2769)</f>
        <v>11</v>
      </c>
      <c r="K2769" s="3" t="n">
        <f aca="false">COUNTIFS($B$2:$B$4077,B2769,$C$2:$C$4077,C2769,$I$2:$I$4077,I2769)</f>
        <v>4</v>
      </c>
      <c r="L2769" s="3" t="n">
        <f aca="false">IF(COUNTIFS($B$2:B2769,B2769,$C$2:C2769,C2769,$I$2:I2769,I2769)=1,1,0)</f>
        <v>0</v>
      </c>
      <c r="M2769" s="3" t="n">
        <f aca="false">IF(K2769&gt;=Parametri!$B$1,1,0)</f>
        <v>1</v>
      </c>
      <c r="N2769" s="3" t="n">
        <f aca="false">L2769*M2769</f>
        <v>0</v>
      </c>
    </row>
    <row r="2770" customFormat="false" ht="15" hidden="false" customHeight="false" outlineLevel="0" collapsed="false">
      <c r="A2770" s="0" t="s">
        <v>4276</v>
      </c>
      <c r="B2770" s="0" t="s">
        <v>68</v>
      </c>
      <c r="C2770" s="0" t="s">
        <v>4277</v>
      </c>
      <c r="D2770" s="0" t="s">
        <v>19</v>
      </c>
      <c r="E2770" s="2" t="n">
        <v>45767</v>
      </c>
      <c r="F2770" s="3" t="s">
        <v>27</v>
      </c>
      <c r="G2770" s="3" t="s">
        <v>43</v>
      </c>
      <c r="H2770" s="3" t="s">
        <v>48</v>
      </c>
      <c r="I2770" s="3" t="n">
        <f aca="false">YEAR(E2770)</f>
        <v>2025</v>
      </c>
      <c r="J2770" s="3" t="n">
        <f aca="false">MONTH(E2770)</f>
        <v>4</v>
      </c>
      <c r="K2770" s="3" t="n">
        <f aca="false">COUNTIFS($B$2:$B$4077,B2770,$C$2:$C$4077,C2770,$I$2:$I$4077,I2770)</f>
        <v>1</v>
      </c>
      <c r="L2770" s="3" t="n">
        <f aca="false">IF(COUNTIFS($B$2:B2770,B2770,$C$2:C2770,C2770,$I$2:I2770,I2770)=1,1,0)</f>
        <v>1</v>
      </c>
      <c r="M2770" s="3" t="n">
        <f aca="false">IF(K2770&gt;=Parametri!$B$1,1,0)</f>
        <v>0</v>
      </c>
      <c r="N2770" s="3" t="n">
        <f aca="false">L2770*M2770</f>
        <v>0</v>
      </c>
    </row>
    <row r="2771" customFormat="false" ht="15" hidden="false" customHeight="false" outlineLevel="0" collapsed="false">
      <c r="A2771" s="0" t="s">
        <v>4278</v>
      </c>
      <c r="B2771" s="0" t="s">
        <v>46</v>
      </c>
      <c r="C2771" s="0" t="s">
        <v>4279</v>
      </c>
      <c r="D2771" s="0" t="s">
        <v>38</v>
      </c>
      <c r="E2771" s="2" t="n">
        <v>45890</v>
      </c>
      <c r="F2771" s="3" t="s">
        <v>20</v>
      </c>
      <c r="G2771" s="3" t="s">
        <v>55</v>
      </c>
      <c r="H2771" s="3" t="s">
        <v>22</v>
      </c>
      <c r="I2771" s="3" t="n">
        <f aca="false">YEAR(E2771)</f>
        <v>2025</v>
      </c>
      <c r="J2771" s="3" t="n">
        <f aca="false">MONTH(E2771)</f>
        <v>8</v>
      </c>
      <c r="K2771" s="3" t="n">
        <f aca="false">COUNTIFS($B$2:$B$4077,B2771,$C$2:$C$4077,C2771,$I$2:$I$4077,I2771)</f>
        <v>1</v>
      </c>
      <c r="L2771" s="3" t="n">
        <f aca="false">IF(COUNTIFS($B$2:B2771,B2771,$C$2:C2771,C2771,$I$2:I2771,I2771)=1,1,0)</f>
        <v>1</v>
      </c>
      <c r="M2771" s="3" t="n">
        <f aca="false">IF(K2771&gt;=Parametri!$B$1,1,0)</f>
        <v>0</v>
      </c>
      <c r="N2771" s="3" t="n">
        <f aca="false">L2771*M2771</f>
        <v>0</v>
      </c>
    </row>
    <row r="2772" customFormat="false" ht="15" hidden="false" customHeight="false" outlineLevel="0" collapsed="false">
      <c r="A2772" s="0" t="s">
        <v>4280</v>
      </c>
      <c r="B2772" s="0" t="s">
        <v>124</v>
      </c>
      <c r="C2772" s="0" t="s">
        <v>3979</v>
      </c>
      <c r="D2772" s="0" t="s">
        <v>33</v>
      </c>
      <c r="E2772" s="2" t="n">
        <v>45512</v>
      </c>
      <c r="F2772" s="3" t="s">
        <v>20</v>
      </c>
      <c r="G2772" s="3" t="s">
        <v>21</v>
      </c>
      <c r="H2772" s="3" t="s">
        <v>22</v>
      </c>
      <c r="I2772" s="3" t="n">
        <f aca="false">YEAR(E2772)</f>
        <v>2024</v>
      </c>
      <c r="J2772" s="3" t="n">
        <f aca="false">MONTH(E2772)</f>
        <v>8</v>
      </c>
      <c r="K2772" s="3" t="n">
        <f aca="false">COUNTIFS($B$2:$B$4077,B2772,$C$2:$C$4077,C2772,$I$2:$I$4077,I2772)</f>
        <v>1</v>
      </c>
      <c r="L2772" s="3" t="n">
        <f aca="false">IF(COUNTIFS($B$2:B2772,B2772,$C$2:C2772,C2772,$I$2:I2772,I2772)=1,1,0)</f>
        <v>1</v>
      </c>
      <c r="M2772" s="3" t="n">
        <f aca="false">IF(K2772&gt;=Parametri!$B$1,1,0)</f>
        <v>0</v>
      </c>
      <c r="N2772" s="3" t="n">
        <f aca="false">L2772*M2772</f>
        <v>0</v>
      </c>
    </row>
    <row r="2773" customFormat="false" ht="15" hidden="false" customHeight="false" outlineLevel="0" collapsed="false">
      <c r="A2773" s="0" t="s">
        <v>4281</v>
      </c>
      <c r="B2773" s="0" t="s">
        <v>41</v>
      </c>
      <c r="C2773" s="0" t="s">
        <v>4282</v>
      </c>
      <c r="D2773" s="0" t="s">
        <v>77</v>
      </c>
      <c r="E2773" s="2" t="n">
        <v>45488</v>
      </c>
      <c r="F2773" s="3" t="s">
        <v>20</v>
      </c>
      <c r="G2773" s="3" t="s">
        <v>55</v>
      </c>
      <c r="H2773" s="3" t="s">
        <v>29</v>
      </c>
      <c r="I2773" s="3" t="n">
        <f aca="false">YEAR(E2773)</f>
        <v>2024</v>
      </c>
      <c r="J2773" s="3" t="n">
        <f aca="false">MONTH(E2773)</f>
        <v>7</v>
      </c>
      <c r="K2773" s="3" t="n">
        <f aca="false">COUNTIFS($B$2:$B$4077,B2773,$C$2:$C$4077,C2773,$I$2:$I$4077,I2773)</f>
        <v>2</v>
      </c>
      <c r="L2773" s="3" t="n">
        <f aca="false">IF(COUNTIFS($B$2:B2773,B2773,$C$2:C2773,C2773,$I$2:I2773,I2773)=1,1,0)</f>
        <v>1</v>
      </c>
      <c r="M2773" s="3" t="n">
        <f aca="false">IF(K2773&gt;=Parametri!$B$1,1,0)</f>
        <v>1</v>
      </c>
      <c r="N2773" s="3" t="n">
        <f aca="false">L2773*M2773</f>
        <v>1</v>
      </c>
    </row>
    <row r="2774" customFormat="false" ht="15" hidden="false" customHeight="false" outlineLevel="0" collapsed="false">
      <c r="A2774" s="0" t="s">
        <v>4283</v>
      </c>
      <c r="B2774" s="0" t="s">
        <v>24</v>
      </c>
      <c r="C2774" s="0" t="s">
        <v>738</v>
      </c>
      <c r="D2774" s="0" t="s">
        <v>54</v>
      </c>
      <c r="E2774" s="2" t="n">
        <v>45897</v>
      </c>
      <c r="F2774" s="3" t="s">
        <v>27</v>
      </c>
      <c r="G2774" s="3" t="s">
        <v>43</v>
      </c>
      <c r="H2774" s="3" t="s">
        <v>22</v>
      </c>
      <c r="I2774" s="3" t="n">
        <f aca="false">YEAR(E2774)</f>
        <v>2025</v>
      </c>
      <c r="J2774" s="3" t="n">
        <f aca="false">MONTH(E2774)</f>
        <v>8</v>
      </c>
      <c r="K2774" s="3" t="n">
        <f aca="false">COUNTIFS($B$2:$B$4077,B2774,$C$2:$C$4077,C2774,$I$2:$I$4077,I2774)</f>
        <v>3</v>
      </c>
      <c r="L2774" s="3" t="n">
        <f aca="false">IF(COUNTIFS($B$2:B2774,B2774,$C$2:C2774,C2774,$I$2:I2774,I2774)=1,1,0)</f>
        <v>0</v>
      </c>
      <c r="M2774" s="3" t="n">
        <f aca="false">IF(K2774&gt;=Parametri!$B$1,1,0)</f>
        <v>1</v>
      </c>
      <c r="N2774" s="3" t="n">
        <f aca="false">L2774*M2774</f>
        <v>0</v>
      </c>
    </row>
    <row r="2775" customFormat="false" ht="15" hidden="false" customHeight="false" outlineLevel="0" collapsed="false">
      <c r="A2775" s="0" t="s">
        <v>4284</v>
      </c>
      <c r="B2775" s="0" t="s">
        <v>24</v>
      </c>
      <c r="C2775" s="0" t="s">
        <v>4285</v>
      </c>
      <c r="D2775" s="0" t="s">
        <v>54</v>
      </c>
      <c r="E2775" s="2" t="n">
        <v>45474</v>
      </c>
      <c r="F2775" s="3" t="s">
        <v>20</v>
      </c>
      <c r="G2775" s="3" t="s">
        <v>35</v>
      </c>
      <c r="H2775" s="3" t="s">
        <v>22</v>
      </c>
      <c r="I2775" s="3" t="n">
        <f aca="false">YEAR(E2775)</f>
        <v>2024</v>
      </c>
      <c r="J2775" s="3" t="n">
        <f aca="false">MONTH(E2775)</f>
        <v>7</v>
      </c>
      <c r="K2775" s="3" t="n">
        <f aca="false">COUNTIFS($B$2:$B$4077,B2775,$C$2:$C$4077,C2775,$I$2:$I$4077,I2775)</f>
        <v>1</v>
      </c>
      <c r="L2775" s="3" t="n">
        <f aca="false">IF(COUNTIFS($B$2:B2775,B2775,$C$2:C2775,C2775,$I$2:I2775,I2775)=1,1,0)</f>
        <v>1</v>
      </c>
      <c r="M2775" s="3" t="n">
        <f aca="false">IF(K2775&gt;=Parametri!$B$1,1,0)</f>
        <v>0</v>
      </c>
      <c r="N2775" s="3" t="n">
        <f aca="false">L2775*M2775</f>
        <v>0</v>
      </c>
    </row>
    <row r="2776" customFormat="false" ht="15" hidden="false" customHeight="false" outlineLevel="0" collapsed="false">
      <c r="A2776" s="0" t="s">
        <v>4286</v>
      </c>
      <c r="B2776" s="0" t="s">
        <v>57</v>
      </c>
      <c r="C2776" s="0" t="s">
        <v>3853</v>
      </c>
      <c r="D2776" s="0" t="s">
        <v>63</v>
      </c>
      <c r="E2776" s="2" t="n">
        <v>45871</v>
      </c>
      <c r="F2776" s="3" t="s">
        <v>20</v>
      </c>
      <c r="G2776" s="3" t="s">
        <v>43</v>
      </c>
      <c r="H2776" s="3" t="s">
        <v>29</v>
      </c>
      <c r="I2776" s="3" t="n">
        <f aca="false">YEAR(E2776)</f>
        <v>2025</v>
      </c>
      <c r="J2776" s="3" t="n">
        <f aca="false">MONTH(E2776)</f>
        <v>8</v>
      </c>
      <c r="K2776" s="3" t="n">
        <f aca="false">COUNTIFS($B$2:$B$4077,B2776,$C$2:$C$4077,C2776,$I$2:$I$4077,I2776)</f>
        <v>1</v>
      </c>
      <c r="L2776" s="3" t="n">
        <f aca="false">IF(COUNTIFS($B$2:B2776,B2776,$C$2:C2776,C2776,$I$2:I2776,I2776)=1,1,0)</f>
        <v>1</v>
      </c>
      <c r="M2776" s="3" t="n">
        <f aca="false">IF(K2776&gt;=Parametri!$B$1,1,0)</f>
        <v>0</v>
      </c>
      <c r="N2776" s="3" t="n">
        <f aca="false">L2776*M2776</f>
        <v>0</v>
      </c>
    </row>
    <row r="2777" customFormat="false" ht="15" hidden="false" customHeight="false" outlineLevel="0" collapsed="false">
      <c r="A2777" s="0" t="s">
        <v>4287</v>
      </c>
      <c r="B2777" s="0" t="s">
        <v>79</v>
      </c>
      <c r="C2777" s="0" t="s">
        <v>1396</v>
      </c>
      <c r="D2777" s="0" t="s">
        <v>77</v>
      </c>
      <c r="E2777" s="2" t="n">
        <v>46166</v>
      </c>
      <c r="F2777" s="3" t="s">
        <v>34</v>
      </c>
      <c r="G2777" s="3" t="s">
        <v>21</v>
      </c>
      <c r="H2777" s="3" t="s">
        <v>44</v>
      </c>
      <c r="I2777" s="3" t="n">
        <f aca="false">YEAR(E2777)</f>
        <v>2026</v>
      </c>
      <c r="J2777" s="3" t="n">
        <f aca="false">MONTH(E2777)</f>
        <v>5</v>
      </c>
      <c r="K2777" s="3" t="n">
        <f aca="false">COUNTIFS($B$2:$B$4077,B2777,$C$2:$C$4077,C2777,$I$2:$I$4077,I2777)</f>
        <v>1</v>
      </c>
      <c r="L2777" s="3" t="n">
        <f aca="false">IF(COUNTIFS($B$2:B2777,B2777,$C$2:C2777,C2777,$I$2:I2777,I2777)=1,1,0)</f>
        <v>1</v>
      </c>
      <c r="M2777" s="3" t="n">
        <f aca="false">IF(K2777&gt;=Parametri!$B$1,1,0)</f>
        <v>0</v>
      </c>
      <c r="N2777" s="3" t="n">
        <f aca="false">L2777*M2777</f>
        <v>0</v>
      </c>
    </row>
    <row r="2778" customFormat="false" ht="15" hidden="false" customHeight="false" outlineLevel="0" collapsed="false">
      <c r="A2778" s="0" t="s">
        <v>4288</v>
      </c>
      <c r="B2778" s="0" t="s">
        <v>24</v>
      </c>
      <c r="C2778" s="0" t="s">
        <v>1983</v>
      </c>
      <c r="D2778" s="0" t="s">
        <v>19</v>
      </c>
      <c r="E2778" s="2" t="n">
        <v>45741</v>
      </c>
      <c r="F2778" s="3" t="s">
        <v>20</v>
      </c>
      <c r="G2778" s="3" t="s">
        <v>28</v>
      </c>
      <c r="H2778" s="3" t="s">
        <v>48</v>
      </c>
      <c r="I2778" s="3" t="n">
        <f aca="false">YEAR(E2778)</f>
        <v>2025</v>
      </c>
      <c r="J2778" s="3" t="n">
        <f aca="false">MONTH(E2778)</f>
        <v>3</v>
      </c>
      <c r="K2778" s="3" t="n">
        <f aca="false">COUNTIFS($B$2:$B$4077,B2778,$C$2:$C$4077,C2778,$I$2:$I$4077,I2778)</f>
        <v>2</v>
      </c>
      <c r="L2778" s="3" t="n">
        <f aca="false">IF(COUNTIFS($B$2:B2778,B2778,$C$2:C2778,C2778,$I$2:I2778,I2778)=1,1,0)</f>
        <v>0</v>
      </c>
      <c r="M2778" s="3" t="n">
        <f aca="false">IF(K2778&gt;=Parametri!$B$1,1,0)</f>
        <v>1</v>
      </c>
      <c r="N2778" s="3" t="n">
        <f aca="false">L2778*M2778</f>
        <v>0</v>
      </c>
    </row>
    <row r="2779" customFormat="false" ht="15" hidden="false" customHeight="false" outlineLevel="0" collapsed="false">
      <c r="A2779" s="0" t="s">
        <v>4289</v>
      </c>
      <c r="B2779" s="0" t="s">
        <v>57</v>
      </c>
      <c r="C2779" s="0" t="s">
        <v>3532</v>
      </c>
      <c r="D2779" s="0" t="s">
        <v>33</v>
      </c>
      <c r="E2779" s="2" t="n">
        <v>46051</v>
      </c>
      <c r="F2779" s="3" t="s">
        <v>20</v>
      </c>
      <c r="G2779" s="3" t="s">
        <v>89</v>
      </c>
      <c r="H2779" s="3" t="s">
        <v>48</v>
      </c>
      <c r="I2779" s="3" t="n">
        <f aca="false">YEAR(E2779)</f>
        <v>2026</v>
      </c>
      <c r="J2779" s="3" t="n">
        <f aca="false">MONTH(E2779)</f>
        <v>1</v>
      </c>
      <c r="K2779" s="3" t="n">
        <f aca="false">COUNTIFS($B$2:$B$4077,B2779,$C$2:$C$4077,C2779,$I$2:$I$4077,I2779)</f>
        <v>2</v>
      </c>
      <c r="L2779" s="3" t="n">
        <f aca="false">IF(COUNTIFS($B$2:B2779,B2779,$C$2:C2779,C2779,$I$2:I2779,I2779)=1,1,0)</f>
        <v>1</v>
      </c>
      <c r="M2779" s="3" t="n">
        <f aca="false">IF(K2779&gt;=Parametri!$B$1,1,0)</f>
        <v>1</v>
      </c>
      <c r="N2779" s="3" t="n">
        <f aca="false">L2779*M2779</f>
        <v>1</v>
      </c>
    </row>
    <row r="2780" customFormat="false" ht="15" hidden="false" customHeight="false" outlineLevel="0" collapsed="false">
      <c r="A2780" s="0" t="s">
        <v>4290</v>
      </c>
      <c r="B2780" s="0" t="s">
        <v>124</v>
      </c>
      <c r="C2780" s="0" t="s">
        <v>677</v>
      </c>
      <c r="D2780" s="0" t="s">
        <v>63</v>
      </c>
      <c r="E2780" s="2" t="n">
        <v>45407</v>
      </c>
      <c r="F2780" s="3" t="s">
        <v>34</v>
      </c>
      <c r="G2780" s="3" t="s">
        <v>55</v>
      </c>
      <c r="H2780" s="3" t="s">
        <v>44</v>
      </c>
      <c r="I2780" s="3" t="n">
        <f aca="false">YEAR(E2780)</f>
        <v>2024</v>
      </c>
      <c r="J2780" s="3" t="n">
        <f aca="false">MONTH(E2780)</f>
        <v>4</v>
      </c>
      <c r="K2780" s="3" t="n">
        <f aca="false">COUNTIFS($B$2:$B$4077,B2780,$C$2:$C$4077,C2780,$I$2:$I$4077,I2780)</f>
        <v>1</v>
      </c>
      <c r="L2780" s="3" t="n">
        <f aca="false">IF(COUNTIFS($B$2:B2780,B2780,$C$2:C2780,C2780,$I$2:I2780,I2780)=1,1,0)</f>
        <v>1</v>
      </c>
      <c r="M2780" s="3" t="n">
        <f aca="false">IF(K2780&gt;=Parametri!$B$1,1,0)</f>
        <v>0</v>
      </c>
      <c r="N2780" s="3" t="n">
        <f aca="false">L2780*M2780</f>
        <v>0</v>
      </c>
    </row>
    <row r="2781" customFormat="false" ht="15" hidden="false" customHeight="false" outlineLevel="0" collapsed="false">
      <c r="A2781" s="0" t="s">
        <v>4291</v>
      </c>
      <c r="B2781" s="0" t="s">
        <v>57</v>
      </c>
      <c r="C2781" s="0" t="s">
        <v>147</v>
      </c>
      <c r="D2781" s="0" t="s">
        <v>38</v>
      </c>
      <c r="E2781" s="2" t="n">
        <v>45963</v>
      </c>
      <c r="F2781" s="3" t="s">
        <v>27</v>
      </c>
      <c r="G2781" s="3" t="s">
        <v>89</v>
      </c>
      <c r="H2781" s="3" t="s">
        <v>48</v>
      </c>
      <c r="I2781" s="3" t="n">
        <f aca="false">YEAR(E2781)</f>
        <v>2025</v>
      </c>
      <c r="J2781" s="3" t="n">
        <f aca="false">MONTH(E2781)</f>
        <v>11</v>
      </c>
      <c r="K2781" s="3" t="n">
        <f aca="false">COUNTIFS($B$2:$B$4077,B2781,$C$2:$C$4077,C2781,$I$2:$I$4077,I2781)</f>
        <v>1</v>
      </c>
      <c r="L2781" s="3" t="n">
        <f aca="false">IF(COUNTIFS($B$2:B2781,B2781,$C$2:C2781,C2781,$I$2:I2781,I2781)=1,1,0)</f>
        <v>1</v>
      </c>
      <c r="M2781" s="3" t="n">
        <f aca="false">IF(K2781&gt;=Parametri!$B$1,1,0)</f>
        <v>0</v>
      </c>
      <c r="N2781" s="3" t="n">
        <f aca="false">L2781*M2781</f>
        <v>0</v>
      </c>
    </row>
    <row r="2782" customFormat="false" ht="15" hidden="false" customHeight="false" outlineLevel="0" collapsed="false">
      <c r="A2782" s="0" t="s">
        <v>4292</v>
      </c>
      <c r="B2782" s="0" t="s">
        <v>24</v>
      </c>
      <c r="C2782" s="0" t="s">
        <v>1148</v>
      </c>
      <c r="D2782" s="0" t="s">
        <v>54</v>
      </c>
      <c r="E2782" s="2" t="n">
        <v>45477</v>
      </c>
      <c r="F2782" s="3" t="s">
        <v>20</v>
      </c>
      <c r="G2782" s="3" t="s">
        <v>28</v>
      </c>
      <c r="H2782" s="3" t="s">
        <v>29</v>
      </c>
      <c r="I2782" s="3" t="n">
        <f aca="false">YEAR(E2782)</f>
        <v>2024</v>
      </c>
      <c r="J2782" s="3" t="n">
        <f aca="false">MONTH(E2782)</f>
        <v>7</v>
      </c>
      <c r="K2782" s="3" t="n">
        <f aca="false">COUNTIFS($B$2:$B$4077,B2782,$C$2:$C$4077,C2782,$I$2:$I$4077,I2782)</f>
        <v>2</v>
      </c>
      <c r="L2782" s="3" t="n">
        <f aca="false">IF(COUNTIFS($B$2:B2782,B2782,$C$2:C2782,C2782,$I$2:I2782,I2782)=1,1,0)</f>
        <v>0</v>
      </c>
      <c r="M2782" s="3" t="n">
        <f aca="false">IF(K2782&gt;=Parametri!$B$1,1,0)</f>
        <v>1</v>
      </c>
      <c r="N2782" s="3" t="n">
        <f aca="false">L2782*M2782</f>
        <v>0</v>
      </c>
    </row>
    <row r="2783" customFormat="false" ht="15" hidden="false" customHeight="false" outlineLevel="0" collapsed="false">
      <c r="A2783" s="0" t="s">
        <v>4293</v>
      </c>
      <c r="B2783" s="0" t="s">
        <v>124</v>
      </c>
      <c r="C2783" s="0" t="s">
        <v>2155</v>
      </c>
      <c r="D2783" s="0" t="s">
        <v>33</v>
      </c>
      <c r="E2783" s="2" t="n">
        <v>46160</v>
      </c>
      <c r="F2783" s="3" t="s">
        <v>20</v>
      </c>
      <c r="G2783" s="3" t="s">
        <v>43</v>
      </c>
      <c r="H2783" s="3" t="s">
        <v>44</v>
      </c>
      <c r="I2783" s="3" t="n">
        <f aca="false">YEAR(E2783)</f>
        <v>2026</v>
      </c>
      <c r="J2783" s="3" t="n">
        <f aca="false">MONTH(E2783)</f>
        <v>5</v>
      </c>
      <c r="K2783" s="3" t="n">
        <f aca="false">COUNTIFS($B$2:$B$4077,B2783,$C$2:$C$4077,C2783,$I$2:$I$4077,I2783)</f>
        <v>2</v>
      </c>
      <c r="L2783" s="3" t="n">
        <f aca="false">IF(COUNTIFS($B$2:B2783,B2783,$C$2:C2783,C2783,$I$2:I2783,I2783)=1,1,0)</f>
        <v>1</v>
      </c>
      <c r="M2783" s="3" t="n">
        <f aca="false">IF(K2783&gt;=Parametri!$B$1,1,0)</f>
        <v>1</v>
      </c>
      <c r="N2783" s="3" t="n">
        <f aca="false">L2783*M2783</f>
        <v>1</v>
      </c>
    </row>
    <row r="2784" customFormat="false" ht="15" hidden="false" customHeight="false" outlineLevel="0" collapsed="false">
      <c r="A2784" s="0" t="s">
        <v>4294</v>
      </c>
      <c r="B2784" s="0" t="s">
        <v>50</v>
      </c>
      <c r="C2784" s="0" t="s">
        <v>2632</v>
      </c>
      <c r="D2784" s="0" t="s">
        <v>33</v>
      </c>
      <c r="E2784" s="2" t="n">
        <v>46057</v>
      </c>
      <c r="F2784" s="3" t="s">
        <v>20</v>
      </c>
      <c r="G2784" s="3" t="s">
        <v>28</v>
      </c>
      <c r="H2784" s="3" t="s">
        <v>44</v>
      </c>
      <c r="I2784" s="3" t="n">
        <f aca="false">YEAR(E2784)</f>
        <v>2026</v>
      </c>
      <c r="J2784" s="3" t="n">
        <f aca="false">MONTH(E2784)</f>
        <v>2</v>
      </c>
      <c r="K2784" s="3" t="n">
        <f aca="false">COUNTIFS($B$2:$B$4077,B2784,$C$2:$C$4077,C2784,$I$2:$I$4077,I2784)</f>
        <v>1</v>
      </c>
      <c r="L2784" s="3" t="n">
        <f aca="false">IF(COUNTIFS($B$2:B2784,B2784,$C$2:C2784,C2784,$I$2:I2784,I2784)=1,1,0)</f>
        <v>1</v>
      </c>
      <c r="M2784" s="3" t="n">
        <f aca="false">IF(K2784&gt;=Parametri!$B$1,1,0)</f>
        <v>0</v>
      </c>
      <c r="N2784" s="3" t="n">
        <f aca="false">L2784*M2784</f>
        <v>0</v>
      </c>
    </row>
    <row r="2785" customFormat="false" ht="15" hidden="false" customHeight="false" outlineLevel="0" collapsed="false">
      <c r="A2785" s="0" t="s">
        <v>4295</v>
      </c>
      <c r="B2785" s="0" t="s">
        <v>124</v>
      </c>
      <c r="C2785" s="0" t="s">
        <v>1135</v>
      </c>
      <c r="D2785" s="0" t="s">
        <v>63</v>
      </c>
      <c r="E2785" s="2" t="n">
        <v>46211</v>
      </c>
      <c r="F2785" s="3" t="s">
        <v>27</v>
      </c>
      <c r="G2785" s="3" t="s">
        <v>39</v>
      </c>
      <c r="H2785" s="3" t="s">
        <v>22</v>
      </c>
      <c r="I2785" s="3" t="n">
        <f aca="false">YEAR(E2785)</f>
        <v>2026</v>
      </c>
      <c r="J2785" s="3" t="n">
        <f aca="false">MONTH(E2785)</f>
        <v>7</v>
      </c>
      <c r="K2785" s="3" t="n">
        <f aca="false">COUNTIFS($B$2:$B$4077,B2785,$C$2:$C$4077,C2785,$I$2:$I$4077,I2785)</f>
        <v>2</v>
      </c>
      <c r="L2785" s="3" t="n">
        <f aca="false">IF(COUNTIFS($B$2:B2785,B2785,$C$2:C2785,C2785,$I$2:I2785,I2785)=1,1,0)</f>
        <v>0</v>
      </c>
      <c r="M2785" s="3" t="n">
        <f aca="false">IF(K2785&gt;=Parametri!$B$1,1,0)</f>
        <v>1</v>
      </c>
      <c r="N2785" s="3" t="n">
        <f aca="false">L2785*M2785</f>
        <v>0</v>
      </c>
    </row>
    <row r="2786" customFormat="false" ht="15" hidden="false" customHeight="false" outlineLevel="0" collapsed="false">
      <c r="A2786" s="0" t="s">
        <v>4296</v>
      </c>
      <c r="B2786" s="0" t="s">
        <v>50</v>
      </c>
      <c r="C2786" s="0" t="s">
        <v>4297</v>
      </c>
      <c r="D2786" s="0" t="s">
        <v>54</v>
      </c>
      <c r="E2786" s="2" t="n">
        <v>46089</v>
      </c>
      <c r="F2786" s="3" t="s">
        <v>20</v>
      </c>
      <c r="G2786" s="3" t="s">
        <v>35</v>
      </c>
      <c r="H2786" s="3" t="s">
        <v>48</v>
      </c>
      <c r="I2786" s="3" t="n">
        <f aca="false">YEAR(E2786)</f>
        <v>2026</v>
      </c>
      <c r="J2786" s="3" t="n">
        <f aca="false">MONTH(E2786)</f>
        <v>3</v>
      </c>
      <c r="K2786" s="3" t="n">
        <f aca="false">COUNTIFS($B$2:$B$4077,B2786,$C$2:$C$4077,C2786,$I$2:$I$4077,I2786)</f>
        <v>1</v>
      </c>
      <c r="L2786" s="3" t="n">
        <f aca="false">IF(COUNTIFS($B$2:B2786,B2786,$C$2:C2786,C2786,$I$2:I2786,I2786)=1,1,0)</f>
        <v>1</v>
      </c>
      <c r="M2786" s="3" t="n">
        <f aca="false">IF(K2786&gt;=Parametri!$B$1,1,0)</f>
        <v>0</v>
      </c>
      <c r="N2786" s="3" t="n">
        <f aca="false">L2786*M2786</f>
        <v>0</v>
      </c>
    </row>
    <row r="2787" customFormat="false" ht="15" hidden="false" customHeight="false" outlineLevel="0" collapsed="false">
      <c r="A2787" s="0" t="s">
        <v>4298</v>
      </c>
      <c r="B2787" s="0" t="s">
        <v>124</v>
      </c>
      <c r="C2787" s="0" t="s">
        <v>1574</v>
      </c>
      <c r="D2787" s="0" t="s">
        <v>38</v>
      </c>
      <c r="E2787" s="2" t="n">
        <v>45361</v>
      </c>
      <c r="F2787" s="3" t="s">
        <v>27</v>
      </c>
      <c r="G2787" s="3" t="s">
        <v>39</v>
      </c>
      <c r="H2787" s="3" t="s">
        <v>22</v>
      </c>
      <c r="I2787" s="3" t="n">
        <f aca="false">YEAR(E2787)</f>
        <v>2024</v>
      </c>
      <c r="J2787" s="3" t="n">
        <f aca="false">MONTH(E2787)</f>
        <v>3</v>
      </c>
      <c r="K2787" s="3" t="n">
        <f aca="false">COUNTIFS($B$2:$B$4077,B2787,$C$2:$C$4077,C2787,$I$2:$I$4077,I2787)</f>
        <v>4</v>
      </c>
      <c r="L2787" s="3" t="n">
        <f aca="false">IF(COUNTIFS($B$2:B2787,B2787,$C$2:C2787,C2787,$I$2:I2787,I2787)=1,1,0)</f>
        <v>0</v>
      </c>
      <c r="M2787" s="3" t="n">
        <f aca="false">IF(K2787&gt;=Parametri!$B$1,1,0)</f>
        <v>1</v>
      </c>
      <c r="N2787" s="3" t="n">
        <f aca="false">L2787*M2787</f>
        <v>0</v>
      </c>
    </row>
    <row r="2788" customFormat="false" ht="15" hidden="false" customHeight="false" outlineLevel="0" collapsed="false">
      <c r="A2788" s="0" t="s">
        <v>4299</v>
      </c>
      <c r="B2788" s="0" t="s">
        <v>57</v>
      </c>
      <c r="C2788" s="0" t="s">
        <v>4031</v>
      </c>
      <c r="D2788" s="0" t="s">
        <v>77</v>
      </c>
      <c r="E2788" s="2" t="n">
        <v>45706</v>
      </c>
      <c r="F2788" s="3" t="s">
        <v>104</v>
      </c>
      <c r="G2788" s="3" t="s">
        <v>104</v>
      </c>
      <c r="H2788" s="3" t="s">
        <v>104</v>
      </c>
      <c r="I2788" s="3" t="n">
        <f aca="false">YEAR(E2788)</f>
        <v>2025</v>
      </c>
      <c r="J2788" s="3" t="n">
        <f aca="false">MONTH(E2788)</f>
        <v>2</v>
      </c>
      <c r="K2788" s="3" t="n">
        <f aca="false">COUNTIFS($B$2:$B$4077,B2788,$C$2:$C$4077,C2788,$I$2:$I$4077,I2788)</f>
        <v>1</v>
      </c>
      <c r="L2788" s="3" t="n">
        <f aca="false">IF(COUNTIFS($B$2:B2788,B2788,$C$2:C2788,C2788,$I$2:I2788,I2788)=1,1,0)</f>
        <v>1</v>
      </c>
      <c r="M2788" s="3" t="n">
        <f aca="false">IF(K2788&gt;=Parametri!$B$1,1,0)</f>
        <v>0</v>
      </c>
      <c r="N2788" s="3" t="n">
        <f aca="false">L2788*M2788</f>
        <v>0</v>
      </c>
    </row>
    <row r="2789" customFormat="false" ht="15" hidden="false" customHeight="false" outlineLevel="0" collapsed="false">
      <c r="A2789" s="0" t="s">
        <v>4300</v>
      </c>
      <c r="B2789" s="0" t="s">
        <v>17</v>
      </c>
      <c r="C2789" s="0" t="s">
        <v>3860</v>
      </c>
      <c r="D2789" s="0" t="s">
        <v>63</v>
      </c>
      <c r="E2789" s="2" t="n">
        <v>45380</v>
      </c>
      <c r="F2789" s="3" t="s">
        <v>27</v>
      </c>
      <c r="G2789" s="3" t="s">
        <v>104</v>
      </c>
      <c r="H2789" s="3" t="s">
        <v>48</v>
      </c>
      <c r="I2789" s="3" t="n">
        <f aca="false">YEAR(E2789)</f>
        <v>2024</v>
      </c>
      <c r="J2789" s="3" t="n">
        <f aca="false">MONTH(E2789)</f>
        <v>3</v>
      </c>
      <c r="K2789" s="3" t="n">
        <f aca="false">COUNTIFS($B$2:$B$4077,B2789,$C$2:$C$4077,C2789,$I$2:$I$4077,I2789)</f>
        <v>2</v>
      </c>
      <c r="L2789" s="3" t="n">
        <f aca="false">IF(COUNTIFS($B$2:B2789,B2789,$C$2:C2789,C2789,$I$2:I2789,I2789)=1,1,0)</f>
        <v>0</v>
      </c>
      <c r="M2789" s="3" t="n">
        <f aca="false">IF(K2789&gt;=Parametri!$B$1,1,0)</f>
        <v>1</v>
      </c>
      <c r="N2789" s="3" t="n">
        <f aca="false">L2789*M2789</f>
        <v>0</v>
      </c>
    </row>
    <row r="2790" customFormat="false" ht="15" hidden="false" customHeight="false" outlineLevel="0" collapsed="false">
      <c r="A2790" s="0" t="s">
        <v>4301</v>
      </c>
      <c r="B2790" s="0" t="s">
        <v>124</v>
      </c>
      <c r="C2790" s="0" t="s">
        <v>4302</v>
      </c>
      <c r="D2790" s="0" t="s">
        <v>63</v>
      </c>
      <c r="E2790" s="2" t="n">
        <v>45375</v>
      </c>
      <c r="F2790" s="3" t="s">
        <v>20</v>
      </c>
      <c r="G2790" s="3" t="s">
        <v>72</v>
      </c>
      <c r="H2790" s="3" t="s">
        <v>29</v>
      </c>
      <c r="I2790" s="3" t="n">
        <f aca="false">YEAR(E2790)</f>
        <v>2024</v>
      </c>
      <c r="J2790" s="3" t="n">
        <f aca="false">MONTH(E2790)</f>
        <v>3</v>
      </c>
      <c r="K2790" s="3" t="n">
        <f aca="false">COUNTIFS($B$2:$B$4077,B2790,$C$2:$C$4077,C2790,$I$2:$I$4077,I2790)</f>
        <v>1</v>
      </c>
      <c r="L2790" s="3" t="n">
        <f aca="false">IF(COUNTIFS($B$2:B2790,B2790,$C$2:C2790,C2790,$I$2:I2790,I2790)=1,1,0)</f>
        <v>1</v>
      </c>
      <c r="M2790" s="3" t="n">
        <f aca="false">IF(K2790&gt;=Parametri!$B$1,1,0)</f>
        <v>0</v>
      </c>
      <c r="N2790" s="3" t="n">
        <f aca="false">L2790*M2790</f>
        <v>0</v>
      </c>
    </row>
    <row r="2791" customFormat="false" ht="15" hidden="false" customHeight="false" outlineLevel="0" collapsed="false">
      <c r="A2791" s="0" t="s">
        <v>4303</v>
      </c>
      <c r="B2791" s="0" t="s">
        <v>79</v>
      </c>
      <c r="C2791" s="0" t="s">
        <v>114</v>
      </c>
      <c r="D2791" s="0" t="s">
        <v>38</v>
      </c>
      <c r="E2791" s="2" t="n">
        <v>46231</v>
      </c>
      <c r="F2791" s="3" t="s">
        <v>20</v>
      </c>
      <c r="G2791" s="3" t="s">
        <v>89</v>
      </c>
      <c r="H2791" s="3" t="s">
        <v>29</v>
      </c>
      <c r="I2791" s="3" t="n">
        <f aca="false">YEAR(E2791)</f>
        <v>2026</v>
      </c>
      <c r="J2791" s="3" t="n">
        <f aca="false">MONTH(E2791)</f>
        <v>7</v>
      </c>
      <c r="K2791" s="3" t="n">
        <f aca="false">COUNTIFS($B$2:$B$4077,B2791,$C$2:$C$4077,C2791,$I$2:$I$4077,I2791)</f>
        <v>2</v>
      </c>
      <c r="L2791" s="3" t="n">
        <f aca="false">IF(COUNTIFS($B$2:B2791,B2791,$C$2:C2791,C2791,$I$2:I2791,I2791)=1,1,0)</f>
        <v>0</v>
      </c>
      <c r="M2791" s="3" t="n">
        <f aca="false">IF(K2791&gt;=Parametri!$B$1,1,0)</f>
        <v>1</v>
      </c>
      <c r="N2791" s="3" t="n">
        <f aca="false">L2791*M2791</f>
        <v>0</v>
      </c>
    </row>
    <row r="2792" customFormat="false" ht="15" hidden="false" customHeight="false" outlineLevel="0" collapsed="false">
      <c r="A2792" s="0" t="s">
        <v>4304</v>
      </c>
      <c r="B2792" s="0" t="s">
        <v>50</v>
      </c>
      <c r="C2792" s="0" t="s">
        <v>4305</v>
      </c>
      <c r="D2792" s="0" t="s">
        <v>77</v>
      </c>
      <c r="E2792" s="2" t="n">
        <v>45405</v>
      </c>
      <c r="F2792" s="3" t="s">
        <v>20</v>
      </c>
      <c r="G2792" s="3" t="s">
        <v>89</v>
      </c>
      <c r="H2792" s="3" t="s">
        <v>22</v>
      </c>
      <c r="I2792" s="3" t="n">
        <f aca="false">YEAR(E2792)</f>
        <v>2024</v>
      </c>
      <c r="J2792" s="3" t="n">
        <f aca="false">MONTH(E2792)</f>
        <v>4</v>
      </c>
      <c r="K2792" s="3" t="n">
        <f aca="false">COUNTIFS($B$2:$B$4077,B2792,$C$2:$C$4077,C2792,$I$2:$I$4077,I2792)</f>
        <v>1</v>
      </c>
      <c r="L2792" s="3" t="n">
        <f aca="false">IF(COUNTIFS($B$2:B2792,B2792,$C$2:C2792,C2792,$I$2:I2792,I2792)=1,1,0)</f>
        <v>1</v>
      </c>
      <c r="M2792" s="3" t="n">
        <f aca="false">IF(K2792&gt;=Parametri!$B$1,1,0)</f>
        <v>0</v>
      </c>
      <c r="N2792" s="3" t="n">
        <f aca="false">L2792*M2792</f>
        <v>0</v>
      </c>
    </row>
    <row r="2793" customFormat="false" ht="15" hidden="false" customHeight="false" outlineLevel="0" collapsed="false">
      <c r="A2793" s="0" t="s">
        <v>4306</v>
      </c>
      <c r="B2793" s="0" t="s">
        <v>50</v>
      </c>
      <c r="C2793" s="0" t="s">
        <v>4307</v>
      </c>
      <c r="D2793" s="0" t="s">
        <v>38</v>
      </c>
      <c r="E2793" s="2" t="n">
        <v>45821</v>
      </c>
      <c r="F2793" s="3" t="s">
        <v>34</v>
      </c>
      <c r="G2793" s="3" t="s">
        <v>43</v>
      </c>
      <c r="H2793" s="3" t="s">
        <v>22</v>
      </c>
      <c r="I2793" s="3" t="n">
        <f aca="false">YEAR(E2793)</f>
        <v>2025</v>
      </c>
      <c r="J2793" s="3" t="n">
        <f aca="false">MONTH(E2793)</f>
        <v>6</v>
      </c>
      <c r="K2793" s="3" t="n">
        <f aca="false">COUNTIFS($B$2:$B$4077,B2793,$C$2:$C$4077,C2793,$I$2:$I$4077,I2793)</f>
        <v>1</v>
      </c>
      <c r="L2793" s="3" t="n">
        <f aca="false">IF(COUNTIFS($B$2:B2793,B2793,$C$2:C2793,C2793,$I$2:I2793,I2793)=1,1,0)</f>
        <v>1</v>
      </c>
      <c r="M2793" s="3" t="n">
        <f aca="false">IF(K2793&gt;=Parametri!$B$1,1,0)</f>
        <v>0</v>
      </c>
      <c r="N2793" s="3" t="n">
        <f aca="false">L2793*M2793</f>
        <v>0</v>
      </c>
    </row>
    <row r="2794" customFormat="false" ht="15" hidden="false" customHeight="false" outlineLevel="0" collapsed="false">
      <c r="A2794" s="0" t="s">
        <v>4308</v>
      </c>
      <c r="B2794" s="0" t="s">
        <v>24</v>
      </c>
      <c r="C2794" s="0" t="s">
        <v>2470</v>
      </c>
      <c r="D2794" s="0" t="s">
        <v>54</v>
      </c>
      <c r="E2794" s="2" t="n">
        <v>45588</v>
      </c>
      <c r="F2794" s="3" t="s">
        <v>20</v>
      </c>
      <c r="G2794" s="3" t="s">
        <v>55</v>
      </c>
      <c r="H2794" s="3" t="s">
        <v>29</v>
      </c>
      <c r="I2794" s="3" t="n">
        <f aca="false">YEAR(E2794)</f>
        <v>2024</v>
      </c>
      <c r="J2794" s="3" t="n">
        <f aca="false">MONTH(E2794)</f>
        <v>10</v>
      </c>
      <c r="K2794" s="3" t="n">
        <f aca="false">COUNTIFS($B$2:$B$4077,B2794,$C$2:$C$4077,C2794,$I$2:$I$4077,I2794)</f>
        <v>2</v>
      </c>
      <c r="L2794" s="3" t="n">
        <f aca="false">IF(COUNTIFS($B$2:B2794,B2794,$C$2:C2794,C2794,$I$2:I2794,I2794)=1,1,0)</f>
        <v>0</v>
      </c>
      <c r="M2794" s="3" t="n">
        <f aca="false">IF(K2794&gt;=Parametri!$B$1,1,0)</f>
        <v>1</v>
      </c>
      <c r="N2794" s="3" t="n">
        <f aca="false">L2794*M2794</f>
        <v>0</v>
      </c>
    </row>
    <row r="2795" customFormat="false" ht="15" hidden="false" customHeight="false" outlineLevel="0" collapsed="false">
      <c r="A2795" s="0" t="s">
        <v>4309</v>
      </c>
      <c r="B2795" s="0" t="s">
        <v>68</v>
      </c>
      <c r="C2795" s="0" t="s">
        <v>4310</v>
      </c>
      <c r="D2795" s="0" t="s">
        <v>63</v>
      </c>
      <c r="E2795" s="2" t="n">
        <v>45586</v>
      </c>
      <c r="F2795" s="3" t="s">
        <v>20</v>
      </c>
      <c r="G2795" s="3" t="s">
        <v>72</v>
      </c>
      <c r="H2795" s="3" t="s">
        <v>48</v>
      </c>
      <c r="I2795" s="3" t="n">
        <f aca="false">YEAR(E2795)</f>
        <v>2024</v>
      </c>
      <c r="J2795" s="3" t="n">
        <f aca="false">MONTH(E2795)</f>
        <v>10</v>
      </c>
      <c r="K2795" s="3" t="n">
        <f aca="false">COUNTIFS($B$2:$B$4077,B2795,$C$2:$C$4077,C2795,$I$2:$I$4077,I2795)</f>
        <v>1</v>
      </c>
      <c r="L2795" s="3" t="n">
        <f aca="false">IF(COUNTIFS($B$2:B2795,B2795,$C$2:C2795,C2795,$I$2:I2795,I2795)=1,1,0)</f>
        <v>1</v>
      </c>
      <c r="M2795" s="3" t="n">
        <f aca="false">IF(K2795&gt;=Parametri!$B$1,1,0)</f>
        <v>0</v>
      </c>
      <c r="N2795" s="3" t="n">
        <f aca="false">L2795*M2795</f>
        <v>0</v>
      </c>
    </row>
    <row r="2796" customFormat="false" ht="15" hidden="false" customHeight="false" outlineLevel="0" collapsed="false">
      <c r="A2796" s="0" t="s">
        <v>4311</v>
      </c>
      <c r="B2796" s="0" t="s">
        <v>31</v>
      </c>
      <c r="C2796" s="0" t="s">
        <v>1596</v>
      </c>
      <c r="D2796" s="0" t="s">
        <v>54</v>
      </c>
      <c r="E2796" s="2" t="n">
        <v>45849</v>
      </c>
      <c r="F2796" s="3" t="s">
        <v>20</v>
      </c>
      <c r="G2796" s="3" t="s">
        <v>21</v>
      </c>
      <c r="H2796" s="3" t="s">
        <v>29</v>
      </c>
      <c r="I2796" s="3" t="n">
        <f aca="false">YEAR(E2796)</f>
        <v>2025</v>
      </c>
      <c r="J2796" s="3" t="n">
        <f aca="false">MONTH(E2796)</f>
        <v>7</v>
      </c>
      <c r="K2796" s="3" t="n">
        <f aca="false">COUNTIFS($B$2:$B$4077,B2796,$C$2:$C$4077,C2796,$I$2:$I$4077,I2796)</f>
        <v>2</v>
      </c>
      <c r="L2796" s="3" t="n">
        <f aca="false">IF(COUNTIFS($B$2:B2796,B2796,$C$2:C2796,C2796,$I$2:I2796,I2796)=1,1,0)</f>
        <v>0</v>
      </c>
      <c r="M2796" s="3" t="n">
        <f aca="false">IF(K2796&gt;=Parametri!$B$1,1,0)</f>
        <v>1</v>
      </c>
      <c r="N2796" s="3" t="n">
        <f aca="false">L2796*M2796</f>
        <v>0</v>
      </c>
    </row>
    <row r="2797" customFormat="false" ht="15" hidden="false" customHeight="false" outlineLevel="0" collapsed="false">
      <c r="A2797" s="0" t="s">
        <v>4312</v>
      </c>
      <c r="B2797" s="0" t="s">
        <v>17</v>
      </c>
      <c r="C2797" s="0" t="s">
        <v>481</v>
      </c>
      <c r="D2797" s="0" t="s">
        <v>54</v>
      </c>
      <c r="E2797" s="2" t="n">
        <v>45571</v>
      </c>
      <c r="F2797" s="3" t="s">
        <v>20</v>
      </c>
      <c r="G2797" s="3" t="s">
        <v>55</v>
      </c>
      <c r="H2797" s="3" t="s">
        <v>48</v>
      </c>
      <c r="I2797" s="3" t="n">
        <f aca="false">YEAR(E2797)</f>
        <v>2024</v>
      </c>
      <c r="J2797" s="3" t="n">
        <f aca="false">MONTH(E2797)</f>
        <v>10</v>
      </c>
      <c r="K2797" s="3" t="n">
        <f aca="false">COUNTIFS($B$2:$B$4077,B2797,$C$2:$C$4077,C2797,$I$2:$I$4077,I2797)</f>
        <v>3</v>
      </c>
      <c r="L2797" s="3" t="n">
        <f aca="false">IF(COUNTIFS($B$2:B2797,B2797,$C$2:C2797,C2797,$I$2:I2797,I2797)=1,1,0)</f>
        <v>0</v>
      </c>
      <c r="M2797" s="3" t="n">
        <f aca="false">IF(K2797&gt;=Parametri!$B$1,1,0)</f>
        <v>1</v>
      </c>
      <c r="N2797" s="3" t="n">
        <f aca="false">L2797*M2797</f>
        <v>0</v>
      </c>
    </row>
    <row r="2798" customFormat="false" ht="15" hidden="false" customHeight="false" outlineLevel="0" collapsed="false">
      <c r="A2798" s="0" t="s">
        <v>4313</v>
      </c>
      <c r="B2798" s="0" t="s">
        <v>79</v>
      </c>
      <c r="C2798" s="0" t="s">
        <v>838</v>
      </c>
      <c r="D2798" s="0" t="s">
        <v>38</v>
      </c>
      <c r="E2798" s="2" t="n">
        <v>45829</v>
      </c>
      <c r="F2798" s="3" t="s">
        <v>20</v>
      </c>
      <c r="G2798" s="3" t="s">
        <v>39</v>
      </c>
      <c r="H2798" s="3" t="s">
        <v>22</v>
      </c>
      <c r="I2798" s="3" t="n">
        <f aca="false">YEAR(E2798)</f>
        <v>2025</v>
      </c>
      <c r="J2798" s="3" t="n">
        <f aca="false">MONTH(E2798)</f>
        <v>6</v>
      </c>
      <c r="K2798" s="3" t="n">
        <f aca="false">COUNTIFS($B$2:$B$4077,B2798,$C$2:$C$4077,C2798,$I$2:$I$4077,I2798)</f>
        <v>3</v>
      </c>
      <c r="L2798" s="3" t="n">
        <f aca="false">IF(COUNTIFS($B$2:B2798,B2798,$C$2:C2798,C2798,$I$2:I2798,I2798)=1,1,0)</f>
        <v>0</v>
      </c>
      <c r="M2798" s="3" t="n">
        <f aca="false">IF(K2798&gt;=Parametri!$B$1,1,0)</f>
        <v>1</v>
      </c>
      <c r="N2798" s="3" t="n">
        <f aca="false">L2798*M2798</f>
        <v>0</v>
      </c>
    </row>
    <row r="2799" customFormat="false" ht="15" hidden="false" customHeight="false" outlineLevel="0" collapsed="false">
      <c r="A2799" s="0" t="s">
        <v>4314</v>
      </c>
      <c r="B2799" s="0" t="s">
        <v>41</v>
      </c>
      <c r="C2799" s="0" t="s">
        <v>2152</v>
      </c>
      <c r="D2799" s="0" t="s">
        <v>77</v>
      </c>
      <c r="E2799" s="2" t="n">
        <v>45500</v>
      </c>
      <c r="F2799" s="3" t="s">
        <v>27</v>
      </c>
      <c r="G2799" s="3" t="s">
        <v>28</v>
      </c>
      <c r="H2799" s="3" t="s">
        <v>44</v>
      </c>
      <c r="I2799" s="3" t="n">
        <f aca="false">YEAR(E2799)</f>
        <v>2024</v>
      </c>
      <c r="J2799" s="3" t="n">
        <f aca="false">MONTH(E2799)</f>
        <v>7</v>
      </c>
      <c r="K2799" s="3" t="n">
        <f aca="false">COUNTIFS($B$2:$B$4077,B2799,$C$2:$C$4077,C2799,$I$2:$I$4077,I2799)</f>
        <v>1</v>
      </c>
      <c r="L2799" s="3" t="n">
        <f aca="false">IF(COUNTIFS($B$2:B2799,B2799,$C$2:C2799,C2799,$I$2:I2799,I2799)=1,1,0)</f>
        <v>1</v>
      </c>
      <c r="M2799" s="3" t="n">
        <f aca="false">IF(K2799&gt;=Parametri!$B$1,1,0)</f>
        <v>0</v>
      </c>
      <c r="N2799" s="3" t="n">
        <f aca="false">L2799*M2799</f>
        <v>0</v>
      </c>
    </row>
    <row r="2800" customFormat="false" ht="15" hidden="false" customHeight="false" outlineLevel="0" collapsed="false">
      <c r="A2800" s="0" t="s">
        <v>4315</v>
      </c>
      <c r="B2800" s="0" t="s">
        <v>46</v>
      </c>
      <c r="C2800" s="0" t="s">
        <v>4316</v>
      </c>
      <c r="D2800" s="0" t="s">
        <v>38</v>
      </c>
      <c r="E2800" s="2" t="n">
        <v>45510</v>
      </c>
      <c r="F2800" s="3" t="s">
        <v>20</v>
      </c>
      <c r="G2800" s="3" t="s">
        <v>21</v>
      </c>
      <c r="H2800" s="3" t="s">
        <v>48</v>
      </c>
      <c r="I2800" s="3" t="n">
        <f aca="false">YEAR(E2800)</f>
        <v>2024</v>
      </c>
      <c r="J2800" s="3" t="n">
        <f aca="false">MONTH(E2800)</f>
        <v>8</v>
      </c>
      <c r="K2800" s="3" t="n">
        <f aca="false">COUNTIFS($B$2:$B$4077,B2800,$C$2:$C$4077,C2800,$I$2:$I$4077,I2800)</f>
        <v>1</v>
      </c>
      <c r="L2800" s="3" t="n">
        <f aca="false">IF(COUNTIFS($B$2:B2800,B2800,$C$2:C2800,C2800,$I$2:I2800,I2800)=1,1,0)</f>
        <v>1</v>
      </c>
      <c r="M2800" s="3" t="n">
        <f aca="false">IF(K2800&gt;=Parametri!$B$1,1,0)</f>
        <v>0</v>
      </c>
      <c r="N2800" s="3" t="n">
        <f aca="false">L2800*M2800</f>
        <v>0</v>
      </c>
    </row>
    <row r="2801" customFormat="false" ht="15" hidden="false" customHeight="false" outlineLevel="0" collapsed="false">
      <c r="A2801" s="0" t="s">
        <v>4317</v>
      </c>
      <c r="B2801" s="0" t="s">
        <v>50</v>
      </c>
      <c r="C2801" s="0" t="s">
        <v>2724</v>
      </c>
      <c r="D2801" s="0" t="s">
        <v>54</v>
      </c>
      <c r="E2801" s="2" t="n">
        <v>46220</v>
      </c>
      <c r="F2801" s="3" t="s">
        <v>20</v>
      </c>
      <c r="G2801" s="3" t="s">
        <v>21</v>
      </c>
      <c r="H2801" s="3" t="s">
        <v>44</v>
      </c>
      <c r="I2801" s="3" t="n">
        <f aca="false">YEAR(E2801)</f>
        <v>2026</v>
      </c>
      <c r="J2801" s="3" t="n">
        <f aca="false">MONTH(E2801)</f>
        <v>7</v>
      </c>
      <c r="K2801" s="3" t="n">
        <f aca="false">COUNTIFS($B$2:$B$4077,B2801,$C$2:$C$4077,C2801,$I$2:$I$4077,I2801)</f>
        <v>2</v>
      </c>
      <c r="L2801" s="3" t="n">
        <f aca="false">IF(COUNTIFS($B$2:B2801,B2801,$C$2:C2801,C2801,$I$2:I2801,I2801)=1,1,0)</f>
        <v>0</v>
      </c>
      <c r="M2801" s="3" t="n">
        <f aca="false">IF(K2801&gt;=Parametri!$B$1,1,0)</f>
        <v>1</v>
      </c>
      <c r="N2801" s="3" t="n">
        <f aca="false">L2801*M2801</f>
        <v>0</v>
      </c>
    </row>
    <row r="2802" customFormat="false" ht="15" hidden="false" customHeight="false" outlineLevel="0" collapsed="false">
      <c r="A2802" s="0" t="s">
        <v>4318</v>
      </c>
      <c r="B2802" s="0" t="s">
        <v>46</v>
      </c>
      <c r="C2802" s="0" t="s">
        <v>4319</v>
      </c>
      <c r="D2802" s="0" t="s">
        <v>33</v>
      </c>
      <c r="E2802" s="2" t="n">
        <v>45967</v>
      </c>
      <c r="F2802" s="3" t="s">
        <v>27</v>
      </c>
      <c r="G2802" s="3" t="s">
        <v>21</v>
      </c>
      <c r="H2802" s="3" t="s">
        <v>48</v>
      </c>
      <c r="I2802" s="3" t="n">
        <f aca="false">YEAR(E2802)</f>
        <v>2025</v>
      </c>
      <c r="J2802" s="3" t="n">
        <f aca="false">MONTH(E2802)</f>
        <v>11</v>
      </c>
      <c r="K2802" s="3" t="n">
        <f aca="false">COUNTIFS($B$2:$B$4077,B2802,$C$2:$C$4077,C2802,$I$2:$I$4077,I2802)</f>
        <v>1</v>
      </c>
      <c r="L2802" s="3" t="n">
        <f aca="false">IF(COUNTIFS($B$2:B2802,B2802,$C$2:C2802,C2802,$I$2:I2802,I2802)=1,1,0)</f>
        <v>1</v>
      </c>
      <c r="M2802" s="3" t="n">
        <f aca="false">IF(K2802&gt;=Parametri!$B$1,1,0)</f>
        <v>0</v>
      </c>
      <c r="N2802" s="3" t="n">
        <f aca="false">L2802*M2802</f>
        <v>0</v>
      </c>
    </row>
    <row r="2803" customFormat="false" ht="15" hidden="false" customHeight="false" outlineLevel="0" collapsed="false">
      <c r="A2803" s="0" t="s">
        <v>4320</v>
      </c>
      <c r="B2803" s="0" t="s">
        <v>46</v>
      </c>
      <c r="C2803" s="0" t="s">
        <v>4321</v>
      </c>
      <c r="D2803" s="0" t="s">
        <v>77</v>
      </c>
      <c r="E2803" s="2" t="n">
        <v>45546</v>
      </c>
      <c r="F2803" s="3" t="s">
        <v>27</v>
      </c>
      <c r="G2803" s="3" t="s">
        <v>43</v>
      </c>
      <c r="H2803" s="3" t="s">
        <v>29</v>
      </c>
      <c r="I2803" s="3" t="n">
        <f aca="false">YEAR(E2803)</f>
        <v>2024</v>
      </c>
      <c r="J2803" s="3" t="n">
        <f aca="false">MONTH(E2803)</f>
        <v>9</v>
      </c>
      <c r="K2803" s="3" t="n">
        <f aca="false">COUNTIFS($B$2:$B$4077,B2803,$C$2:$C$4077,C2803,$I$2:$I$4077,I2803)</f>
        <v>1</v>
      </c>
      <c r="L2803" s="3" t="n">
        <f aca="false">IF(COUNTIFS($B$2:B2803,B2803,$C$2:C2803,C2803,$I$2:I2803,I2803)=1,1,0)</f>
        <v>1</v>
      </c>
      <c r="M2803" s="3" t="n">
        <f aca="false">IF(K2803&gt;=Parametri!$B$1,1,0)</f>
        <v>0</v>
      </c>
      <c r="N2803" s="3" t="n">
        <f aca="false">L2803*M2803</f>
        <v>0</v>
      </c>
    </row>
    <row r="2804" customFormat="false" ht="15" hidden="false" customHeight="false" outlineLevel="0" collapsed="false">
      <c r="A2804" s="0" t="s">
        <v>4322</v>
      </c>
      <c r="B2804" s="0" t="s">
        <v>124</v>
      </c>
      <c r="C2804" s="0" t="s">
        <v>410</v>
      </c>
      <c r="D2804" s="0" t="s">
        <v>77</v>
      </c>
      <c r="E2804" s="2" t="n">
        <v>45573</v>
      </c>
      <c r="F2804" s="3" t="s">
        <v>20</v>
      </c>
      <c r="G2804" s="3" t="s">
        <v>55</v>
      </c>
      <c r="H2804" s="3" t="s">
        <v>48</v>
      </c>
      <c r="I2804" s="3" t="n">
        <f aca="false">YEAR(E2804)</f>
        <v>2024</v>
      </c>
      <c r="J2804" s="3" t="n">
        <f aca="false">MONTH(E2804)</f>
        <v>10</v>
      </c>
      <c r="K2804" s="3" t="n">
        <f aca="false">COUNTIFS($B$2:$B$4077,B2804,$C$2:$C$4077,C2804,$I$2:$I$4077,I2804)</f>
        <v>4</v>
      </c>
      <c r="L2804" s="3" t="n">
        <f aca="false">IF(COUNTIFS($B$2:B2804,B2804,$C$2:C2804,C2804,$I$2:I2804,I2804)=1,1,0)</f>
        <v>0</v>
      </c>
      <c r="M2804" s="3" t="n">
        <f aca="false">IF(K2804&gt;=Parametri!$B$1,1,0)</f>
        <v>1</v>
      </c>
      <c r="N2804" s="3" t="n">
        <f aca="false">L2804*M2804</f>
        <v>0</v>
      </c>
    </row>
    <row r="2805" customFormat="false" ht="15" hidden="false" customHeight="false" outlineLevel="0" collapsed="false">
      <c r="A2805" s="0" t="s">
        <v>4323</v>
      </c>
      <c r="B2805" s="0" t="s">
        <v>46</v>
      </c>
      <c r="C2805" s="0" t="s">
        <v>1540</v>
      </c>
      <c r="D2805" s="0" t="s">
        <v>38</v>
      </c>
      <c r="E2805" s="2" t="n">
        <v>46151</v>
      </c>
      <c r="F2805" s="3" t="s">
        <v>27</v>
      </c>
      <c r="G2805" s="3" t="s">
        <v>72</v>
      </c>
      <c r="H2805" s="3" t="s">
        <v>22</v>
      </c>
      <c r="I2805" s="3" t="n">
        <f aca="false">YEAR(E2805)</f>
        <v>2026</v>
      </c>
      <c r="J2805" s="3" t="n">
        <f aca="false">MONTH(E2805)</f>
        <v>5</v>
      </c>
      <c r="K2805" s="3" t="n">
        <f aca="false">COUNTIFS($B$2:$B$4077,B2805,$C$2:$C$4077,C2805,$I$2:$I$4077,I2805)</f>
        <v>1</v>
      </c>
      <c r="L2805" s="3" t="n">
        <f aca="false">IF(COUNTIFS($B$2:B2805,B2805,$C$2:C2805,C2805,$I$2:I2805,I2805)=1,1,0)</f>
        <v>1</v>
      </c>
      <c r="M2805" s="3" t="n">
        <f aca="false">IF(K2805&gt;=Parametri!$B$1,1,0)</f>
        <v>0</v>
      </c>
      <c r="N2805" s="3" t="n">
        <f aca="false">L2805*M2805</f>
        <v>0</v>
      </c>
    </row>
    <row r="2806" customFormat="false" ht="15" hidden="false" customHeight="false" outlineLevel="0" collapsed="false">
      <c r="A2806" s="0" t="s">
        <v>4324</v>
      </c>
      <c r="B2806" s="0" t="s">
        <v>46</v>
      </c>
      <c r="C2806" s="0" t="s">
        <v>65</v>
      </c>
      <c r="D2806" s="0" t="s">
        <v>19</v>
      </c>
      <c r="E2806" s="2" t="n">
        <v>45848</v>
      </c>
      <c r="F2806" s="3" t="s">
        <v>34</v>
      </c>
      <c r="G2806" s="3" t="s">
        <v>28</v>
      </c>
      <c r="H2806" s="3" t="s">
        <v>44</v>
      </c>
      <c r="I2806" s="3" t="n">
        <f aca="false">YEAR(E2806)</f>
        <v>2025</v>
      </c>
      <c r="J2806" s="3" t="n">
        <f aca="false">MONTH(E2806)</f>
        <v>7</v>
      </c>
      <c r="K2806" s="3" t="n">
        <f aca="false">COUNTIFS($B$2:$B$4077,B2806,$C$2:$C$4077,C2806,$I$2:$I$4077,I2806)</f>
        <v>2</v>
      </c>
      <c r="L2806" s="3" t="n">
        <f aca="false">IF(COUNTIFS($B$2:B2806,B2806,$C$2:C2806,C2806,$I$2:I2806,I2806)=1,1,0)</f>
        <v>0</v>
      </c>
      <c r="M2806" s="3" t="n">
        <f aca="false">IF(K2806&gt;=Parametri!$B$1,1,0)</f>
        <v>1</v>
      </c>
      <c r="N2806" s="3" t="n">
        <f aca="false">L2806*M2806</f>
        <v>0</v>
      </c>
    </row>
    <row r="2807" customFormat="false" ht="15" hidden="false" customHeight="false" outlineLevel="0" collapsed="false">
      <c r="A2807" s="0" t="s">
        <v>4325</v>
      </c>
      <c r="B2807" s="0" t="s">
        <v>41</v>
      </c>
      <c r="C2807" s="0" t="s">
        <v>4326</v>
      </c>
      <c r="D2807" s="0" t="s">
        <v>26</v>
      </c>
      <c r="E2807" s="2" t="n">
        <v>45329</v>
      </c>
      <c r="F2807" s="3" t="s">
        <v>20</v>
      </c>
      <c r="G2807" s="3" t="s">
        <v>104</v>
      </c>
      <c r="H2807" s="3" t="s">
        <v>22</v>
      </c>
      <c r="I2807" s="3" t="n">
        <f aca="false">YEAR(E2807)</f>
        <v>2024</v>
      </c>
      <c r="J2807" s="3" t="n">
        <f aca="false">MONTH(E2807)</f>
        <v>2</v>
      </c>
      <c r="K2807" s="3" t="n">
        <f aca="false">COUNTIFS($B$2:$B$4077,B2807,$C$2:$C$4077,C2807,$I$2:$I$4077,I2807)</f>
        <v>1</v>
      </c>
      <c r="L2807" s="3" t="n">
        <f aca="false">IF(COUNTIFS($B$2:B2807,B2807,$C$2:C2807,C2807,$I$2:I2807,I2807)=1,1,0)</f>
        <v>1</v>
      </c>
      <c r="M2807" s="3" t="n">
        <f aca="false">IF(K2807&gt;=Parametri!$B$1,1,0)</f>
        <v>0</v>
      </c>
      <c r="N2807" s="3" t="n">
        <f aca="false">L2807*M2807</f>
        <v>0</v>
      </c>
    </row>
    <row r="2808" customFormat="false" ht="15" hidden="false" customHeight="false" outlineLevel="0" collapsed="false">
      <c r="A2808" s="0" t="s">
        <v>4327</v>
      </c>
      <c r="B2808" s="0" t="s">
        <v>24</v>
      </c>
      <c r="C2808" s="0" t="s">
        <v>4328</v>
      </c>
      <c r="D2808" s="0" t="s">
        <v>26</v>
      </c>
      <c r="E2808" s="2" t="n">
        <v>45917</v>
      </c>
      <c r="F2808" s="3" t="s">
        <v>20</v>
      </c>
      <c r="G2808" s="3" t="s">
        <v>89</v>
      </c>
      <c r="H2808" s="3" t="s">
        <v>44</v>
      </c>
      <c r="I2808" s="3" t="n">
        <f aca="false">YEAR(E2808)</f>
        <v>2025</v>
      </c>
      <c r="J2808" s="3" t="n">
        <f aca="false">MONTH(E2808)</f>
        <v>9</v>
      </c>
      <c r="K2808" s="3" t="n">
        <f aca="false">COUNTIFS($B$2:$B$4077,B2808,$C$2:$C$4077,C2808,$I$2:$I$4077,I2808)</f>
        <v>1</v>
      </c>
      <c r="L2808" s="3" t="n">
        <f aca="false">IF(COUNTIFS($B$2:B2808,B2808,$C$2:C2808,C2808,$I$2:I2808,I2808)=1,1,0)</f>
        <v>1</v>
      </c>
      <c r="M2808" s="3" t="n">
        <f aca="false">IF(K2808&gt;=Parametri!$B$1,1,0)</f>
        <v>0</v>
      </c>
      <c r="N2808" s="3" t="n">
        <f aca="false">L2808*M2808</f>
        <v>0</v>
      </c>
    </row>
    <row r="2809" customFormat="false" ht="15" hidden="false" customHeight="false" outlineLevel="0" collapsed="false">
      <c r="A2809" s="0" t="s">
        <v>4329</v>
      </c>
      <c r="B2809" s="0" t="s">
        <v>57</v>
      </c>
      <c r="C2809" s="0" t="s">
        <v>2890</v>
      </c>
      <c r="D2809" s="0" t="s">
        <v>38</v>
      </c>
      <c r="E2809" s="2" t="n">
        <v>46163</v>
      </c>
      <c r="F2809" s="3" t="s">
        <v>20</v>
      </c>
      <c r="G2809" s="3" t="s">
        <v>89</v>
      </c>
      <c r="H2809" s="3" t="s">
        <v>22</v>
      </c>
      <c r="I2809" s="3" t="n">
        <f aca="false">YEAR(E2809)</f>
        <v>2026</v>
      </c>
      <c r="J2809" s="3" t="n">
        <f aca="false">MONTH(E2809)</f>
        <v>5</v>
      </c>
      <c r="K2809" s="3" t="n">
        <f aca="false">COUNTIFS($B$2:$B$4077,B2809,$C$2:$C$4077,C2809,$I$2:$I$4077,I2809)</f>
        <v>2</v>
      </c>
      <c r="L2809" s="3" t="n">
        <f aca="false">IF(COUNTIFS($B$2:B2809,B2809,$C$2:C2809,C2809,$I$2:I2809,I2809)=1,1,0)</f>
        <v>0</v>
      </c>
      <c r="M2809" s="3" t="n">
        <f aca="false">IF(K2809&gt;=Parametri!$B$1,1,0)</f>
        <v>1</v>
      </c>
      <c r="N2809" s="3" t="n">
        <f aca="false">L2809*M2809</f>
        <v>0</v>
      </c>
    </row>
    <row r="2810" customFormat="false" ht="15" hidden="false" customHeight="false" outlineLevel="0" collapsed="false">
      <c r="A2810" s="0" t="s">
        <v>4330</v>
      </c>
      <c r="B2810" s="0" t="s">
        <v>68</v>
      </c>
      <c r="C2810" s="0" t="s">
        <v>1457</v>
      </c>
      <c r="D2810" s="0" t="s">
        <v>66</v>
      </c>
      <c r="E2810" s="2" t="n">
        <v>45345</v>
      </c>
      <c r="F2810" s="3" t="s">
        <v>20</v>
      </c>
      <c r="G2810" s="3" t="s">
        <v>21</v>
      </c>
      <c r="H2810" s="3" t="s">
        <v>29</v>
      </c>
      <c r="I2810" s="3" t="n">
        <f aca="false">YEAR(E2810)</f>
        <v>2024</v>
      </c>
      <c r="J2810" s="3" t="n">
        <f aca="false">MONTH(E2810)</f>
        <v>2</v>
      </c>
      <c r="K2810" s="3" t="n">
        <f aca="false">COUNTIFS($B$2:$B$4077,B2810,$C$2:$C$4077,C2810,$I$2:$I$4077,I2810)</f>
        <v>6</v>
      </c>
      <c r="L2810" s="3" t="n">
        <f aca="false">IF(COUNTIFS($B$2:B2810,B2810,$C$2:C2810,C2810,$I$2:I2810,I2810)=1,1,0)</f>
        <v>0</v>
      </c>
      <c r="M2810" s="3" t="n">
        <f aca="false">IF(K2810&gt;=Parametri!$B$1,1,0)</f>
        <v>1</v>
      </c>
      <c r="N2810" s="3" t="n">
        <f aca="false">L2810*M2810</f>
        <v>0</v>
      </c>
    </row>
    <row r="2811" customFormat="false" ht="15" hidden="false" customHeight="false" outlineLevel="0" collapsed="false">
      <c r="A2811" s="0" t="s">
        <v>4331</v>
      </c>
      <c r="B2811" s="0" t="s">
        <v>41</v>
      </c>
      <c r="C2811" s="0" t="s">
        <v>4332</v>
      </c>
      <c r="D2811" s="0" t="s">
        <v>77</v>
      </c>
      <c r="E2811" s="2" t="n">
        <v>45476</v>
      </c>
      <c r="F2811" s="3" t="s">
        <v>27</v>
      </c>
      <c r="G2811" s="3" t="s">
        <v>28</v>
      </c>
      <c r="H2811" s="3" t="s">
        <v>22</v>
      </c>
      <c r="I2811" s="3" t="n">
        <f aca="false">YEAR(E2811)</f>
        <v>2024</v>
      </c>
      <c r="J2811" s="3" t="n">
        <f aca="false">MONTH(E2811)</f>
        <v>7</v>
      </c>
      <c r="K2811" s="3" t="n">
        <f aca="false">COUNTIFS($B$2:$B$4077,B2811,$C$2:$C$4077,C2811,$I$2:$I$4077,I2811)</f>
        <v>1</v>
      </c>
      <c r="L2811" s="3" t="n">
        <f aca="false">IF(COUNTIFS($B$2:B2811,B2811,$C$2:C2811,C2811,$I$2:I2811,I2811)=1,1,0)</f>
        <v>1</v>
      </c>
      <c r="M2811" s="3" t="n">
        <f aca="false">IF(K2811&gt;=Parametri!$B$1,1,0)</f>
        <v>0</v>
      </c>
      <c r="N2811" s="3" t="n">
        <f aca="false">L2811*M2811</f>
        <v>0</v>
      </c>
    </row>
    <row r="2812" customFormat="false" ht="15" hidden="false" customHeight="false" outlineLevel="0" collapsed="false">
      <c r="A2812" s="0" t="s">
        <v>4333</v>
      </c>
      <c r="B2812" s="0" t="s">
        <v>124</v>
      </c>
      <c r="C2812" s="0" t="s">
        <v>1932</v>
      </c>
      <c r="D2812" s="0" t="s">
        <v>19</v>
      </c>
      <c r="E2812" s="2" t="n">
        <v>45704</v>
      </c>
      <c r="F2812" s="3" t="s">
        <v>20</v>
      </c>
      <c r="G2812" s="3" t="s">
        <v>89</v>
      </c>
      <c r="H2812" s="3" t="s">
        <v>44</v>
      </c>
      <c r="I2812" s="3" t="n">
        <f aca="false">YEAR(E2812)</f>
        <v>2025</v>
      </c>
      <c r="J2812" s="3" t="n">
        <f aca="false">MONTH(E2812)</f>
        <v>2</v>
      </c>
      <c r="K2812" s="3" t="n">
        <f aca="false">COUNTIFS($B$2:$B$4077,B2812,$C$2:$C$4077,C2812,$I$2:$I$4077,I2812)</f>
        <v>3</v>
      </c>
      <c r="L2812" s="3" t="n">
        <f aca="false">IF(COUNTIFS($B$2:B2812,B2812,$C$2:C2812,C2812,$I$2:I2812,I2812)=1,1,0)</f>
        <v>0</v>
      </c>
      <c r="M2812" s="3" t="n">
        <f aca="false">IF(K2812&gt;=Parametri!$B$1,1,0)</f>
        <v>1</v>
      </c>
      <c r="N2812" s="3" t="n">
        <f aca="false">L2812*M2812</f>
        <v>0</v>
      </c>
    </row>
    <row r="2813" customFormat="false" ht="15" hidden="false" customHeight="false" outlineLevel="0" collapsed="false">
      <c r="A2813" s="0" t="s">
        <v>4334</v>
      </c>
      <c r="B2813" s="0" t="s">
        <v>124</v>
      </c>
      <c r="C2813" s="0" t="s">
        <v>129</v>
      </c>
      <c r="D2813" s="0" t="s">
        <v>66</v>
      </c>
      <c r="E2813" s="2" t="n">
        <v>45691</v>
      </c>
      <c r="F2813" s="3" t="s">
        <v>20</v>
      </c>
      <c r="G2813" s="3" t="s">
        <v>35</v>
      </c>
      <c r="H2813" s="3" t="s">
        <v>48</v>
      </c>
      <c r="I2813" s="3" t="n">
        <f aca="false">YEAR(E2813)</f>
        <v>2025</v>
      </c>
      <c r="J2813" s="3" t="n">
        <f aca="false">MONTH(E2813)</f>
        <v>2</v>
      </c>
      <c r="K2813" s="3" t="n">
        <f aca="false">COUNTIFS($B$2:$B$4077,B2813,$C$2:$C$4077,C2813,$I$2:$I$4077,I2813)</f>
        <v>1</v>
      </c>
      <c r="L2813" s="3" t="n">
        <f aca="false">IF(COUNTIFS($B$2:B2813,B2813,$C$2:C2813,C2813,$I$2:I2813,I2813)=1,1,0)</f>
        <v>1</v>
      </c>
      <c r="M2813" s="3" t="n">
        <f aca="false">IF(K2813&gt;=Parametri!$B$1,1,0)</f>
        <v>0</v>
      </c>
      <c r="N2813" s="3" t="n">
        <f aca="false">L2813*M2813</f>
        <v>0</v>
      </c>
    </row>
    <row r="2814" customFormat="false" ht="15" hidden="false" customHeight="false" outlineLevel="0" collapsed="false">
      <c r="A2814" s="0" t="s">
        <v>4335</v>
      </c>
      <c r="B2814" s="0" t="s">
        <v>124</v>
      </c>
      <c r="C2814" s="0" t="s">
        <v>3747</v>
      </c>
      <c r="D2814" s="0" t="s">
        <v>26</v>
      </c>
      <c r="E2814" s="2" t="n">
        <v>45429</v>
      </c>
      <c r="F2814" s="3" t="s">
        <v>20</v>
      </c>
      <c r="G2814" s="3" t="s">
        <v>55</v>
      </c>
      <c r="H2814" s="3" t="s">
        <v>29</v>
      </c>
      <c r="I2814" s="3" t="n">
        <f aca="false">YEAR(E2814)</f>
        <v>2024</v>
      </c>
      <c r="J2814" s="3" t="n">
        <f aca="false">MONTH(E2814)</f>
        <v>5</v>
      </c>
      <c r="K2814" s="3" t="n">
        <f aca="false">COUNTIFS($B$2:$B$4077,B2814,$C$2:$C$4077,C2814,$I$2:$I$4077,I2814)</f>
        <v>1</v>
      </c>
      <c r="L2814" s="3" t="n">
        <f aca="false">IF(COUNTIFS($B$2:B2814,B2814,$C$2:C2814,C2814,$I$2:I2814,I2814)=1,1,0)</f>
        <v>1</v>
      </c>
      <c r="M2814" s="3" t="n">
        <f aca="false">IF(K2814&gt;=Parametri!$B$1,1,0)</f>
        <v>0</v>
      </c>
      <c r="N2814" s="3" t="n">
        <f aca="false">L2814*M2814</f>
        <v>0</v>
      </c>
    </row>
    <row r="2815" customFormat="false" ht="15" hidden="false" customHeight="false" outlineLevel="0" collapsed="false">
      <c r="A2815" s="0" t="s">
        <v>4336</v>
      </c>
      <c r="B2815" s="0" t="s">
        <v>41</v>
      </c>
      <c r="C2815" s="0" t="s">
        <v>598</v>
      </c>
      <c r="D2815" s="0" t="s">
        <v>19</v>
      </c>
      <c r="E2815" s="2" t="n">
        <v>46044</v>
      </c>
      <c r="F2815" s="3" t="s">
        <v>20</v>
      </c>
      <c r="G2815" s="3" t="s">
        <v>89</v>
      </c>
      <c r="H2815" s="3" t="s">
        <v>44</v>
      </c>
      <c r="I2815" s="3" t="n">
        <f aca="false">YEAR(E2815)</f>
        <v>2026</v>
      </c>
      <c r="J2815" s="3" t="n">
        <f aca="false">MONTH(E2815)</f>
        <v>1</v>
      </c>
      <c r="K2815" s="3" t="n">
        <f aca="false">COUNTIFS($B$2:$B$4077,B2815,$C$2:$C$4077,C2815,$I$2:$I$4077,I2815)</f>
        <v>4</v>
      </c>
      <c r="L2815" s="3" t="n">
        <f aca="false">IF(COUNTIFS($B$2:B2815,B2815,$C$2:C2815,C2815,$I$2:I2815,I2815)=1,1,0)</f>
        <v>0</v>
      </c>
      <c r="M2815" s="3" t="n">
        <f aca="false">IF(K2815&gt;=Parametri!$B$1,1,0)</f>
        <v>1</v>
      </c>
      <c r="N2815" s="3" t="n">
        <f aca="false">L2815*M2815</f>
        <v>0</v>
      </c>
    </row>
    <row r="2816" customFormat="false" ht="15" hidden="false" customHeight="false" outlineLevel="0" collapsed="false">
      <c r="A2816" s="0" t="s">
        <v>4337</v>
      </c>
      <c r="B2816" s="0" t="s">
        <v>46</v>
      </c>
      <c r="C2816" s="0" t="s">
        <v>4338</v>
      </c>
      <c r="D2816" s="0" t="s">
        <v>66</v>
      </c>
      <c r="E2816" s="2" t="n">
        <v>46209</v>
      </c>
      <c r="F2816" s="3" t="s">
        <v>27</v>
      </c>
      <c r="G2816" s="3" t="s">
        <v>43</v>
      </c>
      <c r="H2816" s="3" t="s">
        <v>22</v>
      </c>
      <c r="I2816" s="3" t="n">
        <f aca="false">YEAR(E2816)</f>
        <v>2026</v>
      </c>
      <c r="J2816" s="3" t="n">
        <f aca="false">MONTH(E2816)</f>
        <v>7</v>
      </c>
      <c r="K2816" s="3" t="n">
        <f aca="false">COUNTIFS($B$2:$B$4077,B2816,$C$2:$C$4077,C2816,$I$2:$I$4077,I2816)</f>
        <v>1</v>
      </c>
      <c r="L2816" s="3" t="n">
        <f aca="false">IF(COUNTIFS($B$2:B2816,B2816,$C$2:C2816,C2816,$I$2:I2816,I2816)=1,1,0)</f>
        <v>1</v>
      </c>
      <c r="M2816" s="3" t="n">
        <f aca="false">IF(K2816&gt;=Parametri!$B$1,1,0)</f>
        <v>0</v>
      </c>
      <c r="N2816" s="3" t="n">
        <f aca="false">L2816*M2816</f>
        <v>0</v>
      </c>
    </row>
    <row r="2817" customFormat="false" ht="15" hidden="false" customHeight="false" outlineLevel="0" collapsed="false">
      <c r="A2817" s="0" t="s">
        <v>4339</v>
      </c>
      <c r="B2817" s="0" t="s">
        <v>31</v>
      </c>
      <c r="C2817" s="0" t="s">
        <v>4340</v>
      </c>
      <c r="D2817" s="0" t="s">
        <v>19</v>
      </c>
      <c r="E2817" s="2" t="n">
        <v>45658</v>
      </c>
      <c r="F2817" s="3" t="s">
        <v>27</v>
      </c>
      <c r="G2817" s="3" t="s">
        <v>39</v>
      </c>
      <c r="H2817" s="3" t="s">
        <v>48</v>
      </c>
      <c r="I2817" s="3" t="n">
        <f aca="false">YEAR(E2817)</f>
        <v>2025</v>
      </c>
      <c r="J2817" s="3" t="n">
        <f aca="false">MONTH(E2817)</f>
        <v>1</v>
      </c>
      <c r="K2817" s="3" t="n">
        <f aca="false">COUNTIFS($B$2:$B$4077,B2817,$C$2:$C$4077,C2817,$I$2:$I$4077,I2817)</f>
        <v>2</v>
      </c>
      <c r="L2817" s="3" t="n">
        <f aca="false">IF(COUNTIFS($B$2:B2817,B2817,$C$2:C2817,C2817,$I$2:I2817,I2817)=1,1,0)</f>
        <v>1</v>
      </c>
      <c r="M2817" s="3" t="n">
        <f aca="false">IF(K2817&gt;=Parametri!$B$1,1,0)</f>
        <v>1</v>
      </c>
      <c r="N2817" s="3" t="n">
        <f aca="false">L2817*M2817</f>
        <v>1</v>
      </c>
    </row>
    <row r="2818" customFormat="false" ht="15" hidden="false" customHeight="false" outlineLevel="0" collapsed="false">
      <c r="A2818" s="0" t="s">
        <v>4341</v>
      </c>
      <c r="B2818" s="0" t="s">
        <v>17</v>
      </c>
      <c r="C2818" s="0" t="s">
        <v>2574</v>
      </c>
      <c r="D2818" s="0" t="s">
        <v>26</v>
      </c>
      <c r="E2818" s="2" t="n">
        <v>45679</v>
      </c>
      <c r="F2818" s="3" t="s">
        <v>34</v>
      </c>
      <c r="G2818" s="3" t="s">
        <v>55</v>
      </c>
      <c r="H2818" s="3" t="s">
        <v>29</v>
      </c>
      <c r="I2818" s="3" t="n">
        <f aca="false">YEAR(E2818)</f>
        <v>2025</v>
      </c>
      <c r="J2818" s="3" t="n">
        <f aca="false">MONTH(E2818)</f>
        <v>1</v>
      </c>
      <c r="K2818" s="3" t="n">
        <f aca="false">COUNTIFS($B$2:$B$4077,B2818,$C$2:$C$4077,C2818,$I$2:$I$4077,I2818)</f>
        <v>1</v>
      </c>
      <c r="L2818" s="3" t="n">
        <f aca="false">IF(COUNTIFS($B$2:B2818,B2818,$C$2:C2818,C2818,$I$2:I2818,I2818)=1,1,0)</f>
        <v>1</v>
      </c>
      <c r="M2818" s="3" t="n">
        <f aca="false">IF(K2818&gt;=Parametri!$B$1,1,0)</f>
        <v>0</v>
      </c>
      <c r="N2818" s="3" t="n">
        <f aca="false">L2818*M2818</f>
        <v>0</v>
      </c>
    </row>
    <row r="2819" customFormat="false" ht="15" hidden="false" customHeight="false" outlineLevel="0" collapsed="false">
      <c r="A2819" s="0" t="s">
        <v>4342</v>
      </c>
      <c r="B2819" s="0" t="s">
        <v>50</v>
      </c>
      <c r="C2819" s="0" t="s">
        <v>3027</v>
      </c>
      <c r="D2819" s="0" t="s">
        <v>38</v>
      </c>
      <c r="E2819" s="2" t="n">
        <v>45581</v>
      </c>
      <c r="F2819" s="3" t="s">
        <v>20</v>
      </c>
      <c r="G2819" s="3" t="s">
        <v>43</v>
      </c>
      <c r="H2819" s="3" t="s">
        <v>29</v>
      </c>
      <c r="I2819" s="3" t="n">
        <f aca="false">YEAR(E2819)</f>
        <v>2024</v>
      </c>
      <c r="J2819" s="3" t="n">
        <f aca="false">MONTH(E2819)</f>
        <v>10</v>
      </c>
      <c r="K2819" s="3" t="n">
        <f aca="false">COUNTIFS($B$2:$B$4077,B2819,$C$2:$C$4077,C2819,$I$2:$I$4077,I2819)</f>
        <v>1</v>
      </c>
      <c r="L2819" s="3" t="n">
        <f aca="false">IF(COUNTIFS($B$2:B2819,B2819,$C$2:C2819,C2819,$I$2:I2819,I2819)=1,1,0)</f>
        <v>1</v>
      </c>
      <c r="M2819" s="3" t="n">
        <f aca="false">IF(K2819&gt;=Parametri!$B$1,1,0)</f>
        <v>0</v>
      </c>
      <c r="N2819" s="3" t="n">
        <f aca="false">L2819*M2819</f>
        <v>0</v>
      </c>
    </row>
    <row r="2820" customFormat="false" ht="15" hidden="false" customHeight="false" outlineLevel="0" collapsed="false">
      <c r="A2820" s="0" t="s">
        <v>4343</v>
      </c>
      <c r="B2820" s="0" t="s">
        <v>31</v>
      </c>
      <c r="C2820" s="0" t="s">
        <v>4344</v>
      </c>
      <c r="D2820" s="0" t="s">
        <v>33</v>
      </c>
      <c r="E2820" s="2" t="n">
        <v>45794</v>
      </c>
      <c r="F2820" s="3" t="s">
        <v>20</v>
      </c>
      <c r="G2820" s="3" t="s">
        <v>28</v>
      </c>
      <c r="H2820" s="3" t="s">
        <v>29</v>
      </c>
      <c r="I2820" s="3" t="n">
        <f aca="false">YEAR(E2820)</f>
        <v>2025</v>
      </c>
      <c r="J2820" s="3" t="n">
        <f aca="false">MONTH(E2820)</f>
        <v>5</v>
      </c>
      <c r="K2820" s="3" t="n">
        <f aca="false">COUNTIFS($B$2:$B$4077,B2820,$C$2:$C$4077,C2820,$I$2:$I$4077,I2820)</f>
        <v>1</v>
      </c>
      <c r="L2820" s="3" t="n">
        <f aca="false">IF(COUNTIFS($B$2:B2820,B2820,$C$2:C2820,C2820,$I$2:I2820,I2820)=1,1,0)</f>
        <v>1</v>
      </c>
      <c r="M2820" s="3" t="n">
        <f aca="false">IF(K2820&gt;=Parametri!$B$1,1,0)</f>
        <v>0</v>
      </c>
      <c r="N2820" s="3" t="n">
        <f aca="false">L2820*M2820</f>
        <v>0</v>
      </c>
    </row>
    <row r="2821" customFormat="false" ht="15" hidden="false" customHeight="false" outlineLevel="0" collapsed="false">
      <c r="A2821" s="0" t="s">
        <v>4345</v>
      </c>
      <c r="B2821" s="0" t="s">
        <v>79</v>
      </c>
      <c r="C2821" s="0" t="s">
        <v>2417</v>
      </c>
      <c r="D2821" s="0" t="s">
        <v>19</v>
      </c>
      <c r="E2821" s="2" t="n">
        <v>46134</v>
      </c>
      <c r="F2821" s="3" t="s">
        <v>34</v>
      </c>
      <c r="G2821" s="3" t="s">
        <v>39</v>
      </c>
      <c r="H2821" s="3" t="s">
        <v>44</v>
      </c>
      <c r="I2821" s="3" t="n">
        <f aca="false">YEAR(E2821)</f>
        <v>2026</v>
      </c>
      <c r="J2821" s="3" t="n">
        <f aca="false">MONTH(E2821)</f>
        <v>4</v>
      </c>
      <c r="K2821" s="3" t="n">
        <f aca="false">COUNTIFS($B$2:$B$4077,B2821,$C$2:$C$4077,C2821,$I$2:$I$4077,I2821)</f>
        <v>1</v>
      </c>
      <c r="L2821" s="3" t="n">
        <f aca="false">IF(COUNTIFS($B$2:B2821,B2821,$C$2:C2821,C2821,$I$2:I2821,I2821)=1,1,0)</f>
        <v>1</v>
      </c>
      <c r="M2821" s="3" t="n">
        <f aca="false">IF(K2821&gt;=Parametri!$B$1,1,0)</f>
        <v>0</v>
      </c>
      <c r="N2821" s="3" t="n">
        <f aca="false">L2821*M2821</f>
        <v>0</v>
      </c>
    </row>
    <row r="2822" customFormat="false" ht="15" hidden="false" customHeight="false" outlineLevel="0" collapsed="false">
      <c r="A2822" s="0" t="s">
        <v>4346</v>
      </c>
      <c r="B2822" s="0" t="s">
        <v>17</v>
      </c>
      <c r="C2822" s="0" t="s">
        <v>4347</v>
      </c>
      <c r="D2822" s="0" t="s">
        <v>63</v>
      </c>
      <c r="E2822" s="2" t="n">
        <v>46101</v>
      </c>
      <c r="F2822" s="3" t="s">
        <v>20</v>
      </c>
      <c r="G2822" s="3" t="s">
        <v>89</v>
      </c>
      <c r="H2822" s="3" t="s">
        <v>44</v>
      </c>
      <c r="I2822" s="3" t="n">
        <f aca="false">YEAR(E2822)</f>
        <v>2026</v>
      </c>
      <c r="J2822" s="3" t="n">
        <f aca="false">MONTH(E2822)</f>
        <v>3</v>
      </c>
      <c r="K2822" s="3" t="n">
        <f aca="false">COUNTIFS($B$2:$B$4077,B2822,$C$2:$C$4077,C2822,$I$2:$I$4077,I2822)</f>
        <v>2</v>
      </c>
      <c r="L2822" s="3" t="n">
        <f aca="false">IF(COUNTIFS($B$2:B2822,B2822,$C$2:C2822,C2822,$I$2:I2822,I2822)=1,1,0)</f>
        <v>1</v>
      </c>
      <c r="M2822" s="3" t="n">
        <f aca="false">IF(K2822&gt;=Parametri!$B$1,1,0)</f>
        <v>1</v>
      </c>
      <c r="N2822" s="3" t="n">
        <f aca="false">L2822*M2822</f>
        <v>1</v>
      </c>
    </row>
    <row r="2823" customFormat="false" ht="15" hidden="false" customHeight="false" outlineLevel="0" collapsed="false">
      <c r="A2823" s="0" t="s">
        <v>4348</v>
      </c>
      <c r="B2823" s="0" t="s">
        <v>31</v>
      </c>
      <c r="C2823" s="0" t="s">
        <v>4349</v>
      </c>
      <c r="D2823" s="0" t="s">
        <v>19</v>
      </c>
      <c r="E2823" s="2" t="n">
        <v>45423</v>
      </c>
      <c r="F2823" s="3" t="s">
        <v>20</v>
      </c>
      <c r="G2823" s="3" t="s">
        <v>35</v>
      </c>
      <c r="H2823" s="3" t="s">
        <v>48</v>
      </c>
      <c r="I2823" s="3" t="n">
        <f aca="false">YEAR(E2823)</f>
        <v>2024</v>
      </c>
      <c r="J2823" s="3" t="n">
        <f aca="false">MONTH(E2823)</f>
        <v>5</v>
      </c>
      <c r="K2823" s="3" t="n">
        <f aca="false">COUNTIFS($B$2:$B$4077,B2823,$C$2:$C$4077,C2823,$I$2:$I$4077,I2823)</f>
        <v>1</v>
      </c>
      <c r="L2823" s="3" t="n">
        <f aca="false">IF(COUNTIFS($B$2:B2823,B2823,$C$2:C2823,C2823,$I$2:I2823,I2823)=1,1,0)</f>
        <v>1</v>
      </c>
      <c r="M2823" s="3" t="n">
        <f aca="false">IF(K2823&gt;=Parametri!$B$1,1,0)</f>
        <v>0</v>
      </c>
      <c r="N2823" s="3" t="n">
        <f aca="false">L2823*M2823</f>
        <v>0</v>
      </c>
    </row>
    <row r="2824" customFormat="false" ht="15" hidden="false" customHeight="false" outlineLevel="0" collapsed="false">
      <c r="A2824" s="0" t="s">
        <v>4350</v>
      </c>
      <c r="B2824" s="0" t="s">
        <v>17</v>
      </c>
      <c r="C2824" s="0" t="s">
        <v>3064</v>
      </c>
      <c r="D2824" s="0" t="s">
        <v>66</v>
      </c>
      <c r="E2824" s="2" t="n">
        <v>45758</v>
      </c>
      <c r="F2824" s="3" t="s">
        <v>20</v>
      </c>
      <c r="G2824" s="3" t="s">
        <v>21</v>
      </c>
      <c r="H2824" s="3" t="s">
        <v>48</v>
      </c>
      <c r="I2824" s="3" t="n">
        <f aca="false">YEAR(E2824)</f>
        <v>2025</v>
      </c>
      <c r="J2824" s="3" t="n">
        <f aca="false">MONTH(E2824)</f>
        <v>4</v>
      </c>
      <c r="K2824" s="3" t="n">
        <f aca="false">COUNTIFS($B$2:$B$4077,B2824,$C$2:$C$4077,C2824,$I$2:$I$4077,I2824)</f>
        <v>1</v>
      </c>
      <c r="L2824" s="3" t="n">
        <f aca="false">IF(COUNTIFS($B$2:B2824,B2824,$C$2:C2824,C2824,$I$2:I2824,I2824)=1,1,0)</f>
        <v>1</v>
      </c>
      <c r="M2824" s="3" t="n">
        <f aca="false">IF(K2824&gt;=Parametri!$B$1,1,0)</f>
        <v>0</v>
      </c>
      <c r="N2824" s="3" t="n">
        <f aca="false">L2824*M2824</f>
        <v>0</v>
      </c>
    </row>
    <row r="2825" customFormat="false" ht="15" hidden="false" customHeight="false" outlineLevel="0" collapsed="false">
      <c r="A2825" s="0" t="s">
        <v>4351</v>
      </c>
      <c r="B2825" s="0" t="s">
        <v>31</v>
      </c>
      <c r="C2825" s="0" t="s">
        <v>613</v>
      </c>
      <c r="D2825" s="0" t="s">
        <v>66</v>
      </c>
      <c r="E2825" s="2" t="n">
        <v>46232</v>
      </c>
      <c r="F2825" s="3" t="s">
        <v>20</v>
      </c>
      <c r="G2825" s="3" t="s">
        <v>55</v>
      </c>
      <c r="H2825" s="3" t="s">
        <v>48</v>
      </c>
      <c r="I2825" s="3" t="n">
        <f aca="false">YEAR(E2825)</f>
        <v>2026</v>
      </c>
      <c r="J2825" s="3" t="n">
        <f aca="false">MONTH(E2825)</f>
        <v>7</v>
      </c>
      <c r="K2825" s="3" t="n">
        <f aca="false">COUNTIFS($B$2:$B$4077,B2825,$C$2:$C$4077,C2825,$I$2:$I$4077,I2825)</f>
        <v>1</v>
      </c>
      <c r="L2825" s="3" t="n">
        <f aca="false">IF(COUNTIFS($B$2:B2825,B2825,$C$2:C2825,C2825,$I$2:I2825,I2825)=1,1,0)</f>
        <v>1</v>
      </c>
      <c r="M2825" s="3" t="n">
        <f aca="false">IF(K2825&gt;=Parametri!$B$1,1,0)</f>
        <v>0</v>
      </c>
      <c r="N2825" s="3" t="n">
        <f aca="false">L2825*M2825</f>
        <v>0</v>
      </c>
    </row>
    <row r="2826" customFormat="false" ht="15" hidden="false" customHeight="false" outlineLevel="0" collapsed="false">
      <c r="A2826" s="0" t="s">
        <v>4352</v>
      </c>
      <c r="B2826" s="0" t="s">
        <v>68</v>
      </c>
      <c r="C2826" s="0" t="s">
        <v>1457</v>
      </c>
      <c r="D2826" s="0" t="s">
        <v>26</v>
      </c>
      <c r="E2826" s="2" t="n">
        <v>46171</v>
      </c>
      <c r="F2826" s="3" t="s">
        <v>20</v>
      </c>
      <c r="G2826" s="3" t="s">
        <v>28</v>
      </c>
      <c r="H2826" s="3" t="s">
        <v>48</v>
      </c>
      <c r="I2826" s="3" t="n">
        <f aca="false">YEAR(E2826)</f>
        <v>2026</v>
      </c>
      <c r="J2826" s="3" t="n">
        <f aca="false">MONTH(E2826)</f>
        <v>5</v>
      </c>
      <c r="K2826" s="3" t="n">
        <f aca="false">COUNTIFS($B$2:$B$4077,B2826,$C$2:$C$4077,C2826,$I$2:$I$4077,I2826)</f>
        <v>6</v>
      </c>
      <c r="L2826" s="3" t="n">
        <f aca="false">IF(COUNTIFS($B$2:B2826,B2826,$C$2:C2826,C2826,$I$2:I2826,I2826)=1,1,0)</f>
        <v>0</v>
      </c>
      <c r="M2826" s="3" t="n">
        <f aca="false">IF(K2826&gt;=Parametri!$B$1,1,0)</f>
        <v>1</v>
      </c>
      <c r="N2826" s="3" t="n">
        <f aca="false">L2826*M2826</f>
        <v>0</v>
      </c>
    </row>
    <row r="2827" customFormat="false" ht="15" hidden="false" customHeight="false" outlineLevel="0" collapsed="false">
      <c r="A2827" s="0" t="s">
        <v>4353</v>
      </c>
      <c r="B2827" s="0" t="s">
        <v>68</v>
      </c>
      <c r="C2827" s="0" t="s">
        <v>2168</v>
      </c>
      <c r="D2827" s="0" t="s">
        <v>63</v>
      </c>
      <c r="E2827" s="2" t="n">
        <v>46103</v>
      </c>
      <c r="F2827" s="3" t="s">
        <v>34</v>
      </c>
      <c r="G2827" s="3" t="s">
        <v>55</v>
      </c>
      <c r="H2827" s="3" t="s">
        <v>48</v>
      </c>
      <c r="I2827" s="3" t="n">
        <f aca="false">YEAR(E2827)</f>
        <v>2026</v>
      </c>
      <c r="J2827" s="3" t="n">
        <f aca="false">MONTH(E2827)</f>
        <v>3</v>
      </c>
      <c r="K2827" s="3" t="n">
        <f aca="false">COUNTIFS($B$2:$B$4077,B2827,$C$2:$C$4077,C2827,$I$2:$I$4077,I2827)</f>
        <v>2</v>
      </c>
      <c r="L2827" s="3" t="n">
        <f aca="false">IF(COUNTIFS($B$2:B2827,B2827,$C$2:C2827,C2827,$I$2:I2827,I2827)=1,1,0)</f>
        <v>0</v>
      </c>
      <c r="M2827" s="3" t="n">
        <f aca="false">IF(K2827&gt;=Parametri!$B$1,1,0)</f>
        <v>1</v>
      </c>
      <c r="N2827" s="3" t="n">
        <f aca="false">L2827*M2827</f>
        <v>0</v>
      </c>
    </row>
    <row r="2828" customFormat="false" ht="15" hidden="false" customHeight="false" outlineLevel="0" collapsed="false">
      <c r="A2828" s="0" t="s">
        <v>4354</v>
      </c>
      <c r="B2828" s="0" t="s">
        <v>57</v>
      </c>
      <c r="C2828" s="0" t="s">
        <v>2275</v>
      </c>
      <c r="D2828" s="0" t="s">
        <v>38</v>
      </c>
      <c r="E2828" s="2" t="n">
        <v>45606</v>
      </c>
      <c r="F2828" s="3" t="s">
        <v>20</v>
      </c>
      <c r="G2828" s="3" t="s">
        <v>55</v>
      </c>
      <c r="H2828" s="3" t="s">
        <v>48</v>
      </c>
      <c r="I2828" s="3" t="n">
        <f aca="false">YEAR(E2828)</f>
        <v>2024</v>
      </c>
      <c r="J2828" s="3" t="n">
        <f aca="false">MONTH(E2828)</f>
        <v>11</v>
      </c>
      <c r="K2828" s="3" t="n">
        <f aca="false">COUNTIFS($B$2:$B$4077,B2828,$C$2:$C$4077,C2828,$I$2:$I$4077,I2828)</f>
        <v>1</v>
      </c>
      <c r="L2828" s="3" t="n">
        <f aca="false">IF(COUNTIFS($B$2:B2828,B2828,$C$2:C2828,C2828,$I$2:I2828,I2828)=1,1,0)</f>
        <v>1</v>
      </c>
      <c r="M2828" s="3" t="n">
        <f aca="false">IF(K2828&gt;=Parametri!$B$1,1,0)</f>
        <v>0</v>
      </c>
      <c r="N2828" s="3" t="n">
        <f aca="false">L2828*M2828</f>
        <v>0</v>
      </c>
    </row>
    <row r="2829" customFormat="false" ht="15" hidden="false" customHeight="false" outlineLevel="0" collapsed="false">
      <c r="A2829" s="0" t="s">
        <v>4355</v>
      </c>
      <c r="B2829" s="0" t="s">
        <v>41</v>
      </c>
      <c r="C2829" s="0" t="s">
        <v>2465</v>
      </c>
      <c r="D2829" s="0" t="s">
        <v>38</v>
      </c>
      <c r="E2829" s="2" t="n">
        <v>45293</v>
      </c>
      <c r="F2829" s="3" t="s">
        <v>34</v>
      </c>
      <c r="G2829" s="3" t="s">
        <v>39</v>
      </c>
      <c r="H2829" s="3" t="s">
        <v>44</v>
      </c>
      <c r="I2829" s="3" t="n">
        <f aca="false">YEAR(E2829)</f>
        <v>2024</v>
      </c>
      <c r="J2829" s="3" t="n">
        <f aca="false">MONTH(E2829)</f>
        <v>1</v>
      </c>
      <c r="K2829" s="3" t="n">
        <f aca="false">COUNTIFS($B$2:$B$4077,B2829,$C$2:$C$4077,C2829,$I$2:$I$4077,I2829)</f>
        <v>1</v>
      </c>
      <c r="L2829" s="3" t="n">
        <f aca="false">IF(COUNTIFS($B$2:B2829,B2829,$C$2:C2829,C2829,$I$2:I2829,I2829)=1,1,0)</f>
        <v>1</v>
      </c>
      <c r="M2829" s="3" t="n">
        <f aca="false">IF(K2829&gt;=Parametri!$B$1,1,0)</f>
        <v>0</v>
      </c>
      <c r="N2829" s="3" t="n">
        <f aca="false">L2829*M2829</f>
        <v>0</v>
      </c>
    </row>
    <row r="2830" customFormat="false" ht="15" hidden="false" customHeight="false" outlineLevel="0" collapsed="false">
      <c r="A2830" s="0" t="s">
        <v>4356</v>
      </c>
      <c r="B2830" s="0" t="s">
        <v>124</v>
      </c>
      <c r="C2830" s="0" t="s">
        <v>1629</v>
      </c>
      <c r="D2830" s="0" t="s">
        <v>33</v>
      </c>
      <c r="E2830" s="2" t="n">
        <v>46065</v>
      </c>
      <c r="F2830" s="3" t="s">
        <v>20</v>
      </c>
      <c r="G2830" s="3" t="s">
        <v>43</v>
      </c>
      <c r="H2830" s="3" t="s">
        <v>29</v>
      </c>
      <c r="I2830" s="3" t="n">
        <f aca="false">YEAR(E2830)</f>
        <v>2026</v>
      </c>
      <c r="J2830" s="3" t="n">
        <f aca="false">MONTH(E2830)</f>
        <v>2</v>
      </c>
      <c r="K2830" s="3" t="n">
        <f aca="false">COUNTIFS($B$2:$B$4077,B2830,$C$2:$C$4077,C2830,$I$2:$I$4077,I2830)</f>
        <v>1</v>
      </c>
      <c r="L2830" s="3" t="n">
        <f aca="false">IF(COUNTIFS($B$2:B2830,B2830,$C$2:C2830,C2830,$I$2:I2830,I2830)=1,1,0)</f>
        <v>1</v>
      </c>
      <c r="M2830" s="3" t="n">
        <f aca="false">IF(K2830&gt;=Parametri!$B$1,1,0)</f>
        <v>0</v>
      </c>
      <c r="N2830" s="3" t="n">
        <f aca="false">L2830*M2830</f>
        <v>0</v>
      </c>
    </row>
    <row r="2831" customFormat="false" ht="15" hidden="false" customHeight="false" outlineLevel="0" collapsed="false">
      <c r="A2831" s="0" t="s">
        <v>4357</v>
      </c>
      <c r="B2831" s="0" t="s">
        <v>17</v>
      </c>
      <c r="C2831" s="0" t="s">
        <v>71</v>
      </c>
      <c r="D2831" s="0" t="s">
        <v>38</v>
      </c>
      <c r="E2831" s="2" t="n">
        <v>46234</v>
      </c>
      <c r="F2831" s="3" t="s">
        <v>20</v>
      </c>
      <c r="G2831" s="3" t="s">
        <v>43</v>
      </c>
      <c r="H2831" s="3" t="s">
        <v>48</v>
      </c>
      <c r="I2831" s="3" t="n">
        <f aca="false">YEAR(E2831)</f>
        <v>2026</v>
      </c>
      <c r="J2831" s="3" t="n">
        <f aca="false">MONTH(E2831)</f>
        <v>7</v>
      </c>
      <c r="K2831" s="3" t="n">
        <f aca="false">COUNTIFS($B$2:$B$4077,B2831,$C$2:$C$4077,C2831,$I$2:$I$4077,I2831)</f>
        <v>3</v>
      </c>
      <c r="L2831" s="3" t="n">
        <f aca="false">IF(COUNTIFS($B$2:B2831,B2831,$C$2:C2831,C2831,$I$2:I2831,I2831)=1,1,0)</f>
        <v>0</v>
      </c>
      <c r="M2831" s="3" t="n">
        <f aca="false">IF(K2831&gt;=Parametri!$B$1,1,0)</f>
        <v>1</v>
      </c>
      <c r="N2831" s="3" t="n">
        <f aca="false">L2831*M2831</f>
        <v>0</v>
      </c>
    </row>
    <row r="2832" customFormat="false" ht="15" hidden="false" customHeight="false" outlineLevel="0" collapsed="false">
      <c r="A2832" s="0" t="s">
        <v>4358</v>
      </c>
      <c r="B2832" s="0" t="s">
        <v>17</v>
      </c>
      <c r="C2832" s="0" t="s">
        <v>231</v>
      </c>
      <c r="D2832" s="0" t="s">
        <v>54</v>
      </c>
      <c r="E2832" s="2" t="n">
        <v>45567</v>
      </c>
      <c r="F2832" s="3" t="s">
        <v>20</v>
      </c>
      <c r="G2832" s="3" t="s">
        <v>43</v>
      </c>
      <c r="H2832" s="3" t="s">
        <v>44</v>
      </c>
      <c r="I2832" s="3" t="n">
        <f aca="false">YEAR(E2832)</f>
        <v>2024</v>
      </c>
      <c r="J2832" s="3" t="n">
        <f aca="false">MONTH(E2832)</f>
        <v>10</v>
      </c>
      <c r="K2832" s="3" t="n">
        <f aca="false">COUNTIFS($B$2:$B$4077,B2832,$C$2:$C$4077,C2832,$I$2:$I$4077,I2832)</f>
        <v>4</v>
      </c>
      <c r="L2832" s="3" t="n">
        <f aca="false">IF(COUNTIFS($B$2:B2832,B2832,$C$2:C2832,C2832,$I$2:I2832,I2832)=1,1,0)</f>
        <v>0</v>
      </c>
      <c r="M2832" s="3" t="n">
        <f aca="false">IF(K2832&gt;=Parametri!$B$1,1,0)</f>
        <v>1</v>
      </c>
      <c r="N2832" s="3" t="n">
        <f aca="false">L2832*M2832</f>
        <v>0</v>
      </c>
    </row>
    <row r="2833" customFormat="false" ht="15" hidden="false" customHeight="false" outlineLevel="0" collapsed="false">
      <c r="A2833" s="0" t="s">
        <v>4359</v>
      </c>
      <c r="B2833" s="0" t="s">
        <v>50</v>
      </c>
      <c r="C2833" s="0" t="s">
        <v>4360</v>
      </c>
      <c r="D2833" s="0" t="s">
        <v>33</v>
      </c>
      <c r="E2833" s="2" t="n">
        <v>45592</v>
      </c>
      <c r="F2833" s="3" t="s">
        <v>104</v>
      </c>
      <c r="G2833" s="3" t="s">
        <v>104</v>
      </c>
      <c r="H2833" s="3" t="s">
        <v>104</v>
      </c>
      <c r="I2833" s="3" t="n">
        <f aca="false">YEAR(E2833)</f>
        <v>2024</v>
      </c>
      <c r="J2833" s="3" t="n">
        <f aca="false">MONTH(E2833)</f>
        <v>10</v>
      </c>
      <c r="K2833" s="3" t="n">
        <f aca="false">COUNTIFS($B$2:$B$4077,B2833,$C$2:$C$4077,C2833,$I$2:$I$4077,I2833)</f>
        <v>1</v>
      </c>
      <c r="L2833" s="3" t="n">
        <f aca="false">IF(COUNTIFS($B$2:B2833,B2833,$C$2:C2833,C2833,$I$2:I2833,I2833)=1,1,0)</f>
        <v>1</v>
      </c>
      <c r="M2833" s="3" t="n">
        <f aca="false">IF(K2833&gt;=Parametri!$B$1,1,0)</f>
        <v>0</v>
      </c>
      <c r="N2833" s="3" t="n">
        <f aca="false">L2833*M2833</f>
        <v>0</v>
      </c>
    </row>
    <row r="2834" customFormat="false" ht="15" hidden="false" customHeight="false" outlineLevel="0" collapsed="false">
      <c r="A2834" s="0" t="s">
        <v>4361</v>
      </c>
      <c r="B2834" s="0" t="s">
        <v>41</v>
      </c>
      <c r="C2834" s="0" t="s">
        <v>4362</v>
      </c>
      <c r="D2834" s="0" t="s">
        <v>19</v>
      </c>
      <c r="E2834" s="2" t="n">
        <v>45580</v>
      </c>
      <c r="F2834" s="3" t="s">
        <v>20</v>
      </c>
      <c r="G2834" s="3" t="s">
        <v>43</v>
      </c>
      <c r="H2834" s="3" t="s">
        <v>22</v>
      </c>
      <c r="I2834" s="3" t="n">
        <f aca="false">YEAR(E2834)</f>
        <v>2024</v>
      </c>
      <c r="J2834" s="3" t="n">
        <f aca="false">MONTH(E2834)</f>
        <v>10</v>
      </c>
      <c r="K2834" s="3" t="n">
        <f aca="false">COUNTIFS($B$2:$B$4077,B2834,$C$2:$C$4077,C2834,$I$2:$I$4077,I2834)</f>
        <v>1</v>
      </c>
      <c r="L2834" s="3" t="n">
        <f aca="false">IF(COUNTIFS($B$2:B2834,B2834,$C$2:C2834,C2834,$I$2:I2834,I2834)=1,1,0)</f>
        <v>1</v>
      </c>
      <c r="M2834" s="3" t="n">
        <f aca="false">IF(K2834&gt;=Parametri!$B$1,1,0)</f>
        <v>0</v>
      </c>
      <c r="N2834" s="3" t="n">
        <f aca="false">L2834*M2834</f>
        <v>0</v>
      </c>
    </row>
    <row r="2835" customFormat="false" ht="15" hidden="false" customHeight="false" outlineLevel="0" collapsed="false">
      <c r="A2835" s="0" t="s">
        <v>4363</v>
      </c>
      <c r="B2835" s="0" t="s">
        <v>79</v>
      </c>
      <c r="C2835" s="0" t="s">
        <v>909</v>
      </c>
      <c r="D2835" s="0" t="s">
        <v>63</v>
      </c>
      <c r="E2835" s="2" t="n">
        <v>46061</v>
      </c>
      <c r="F2835" s="3" t="s">
        <v>34</v>
      </c>
      <c r="G2835" s="3" t="s">
        <v>55</v>
      </c>
      <c r="H2835" s="3" t="s">
        <v>29</v>
      </c>
      <c r="I2835" s="3" t="n">
        <f aca="false">YEAR(E2835)</f>
        <v>2026</v>
      </c>
      <c r="J2835" s="3" t="n">
        <f aca="false">MONTH(E2835)</f>
        <v>2</v>
      </c>
      <c r="K2835" s="3" t="n">
        <f aca="false">COUNTIFS($B$2:$B$4077,B2835,$C$2:$C$4077,C2835,$I$2:$I$4077,I2835)</f>
        <v>6</v>
      </c>
      <c r="L2835" s="3" t="n">
        <f aca="false">IF(COUNTIFS($B$2:B2835,B2835,$C$2:C2835,C2835,$I$2:I2835,I2835)=1,1,0)</f>
        <v>0</v>
      </c>
      <c r="M2835" s="3" t="n">
        <f aca="false">IF(K2835&gt;=Parametri!$B$1,1,0)</f>
        <v>1</v>
      </c>
      <c r="N2835" s="3" t="n">
        <f aca="false">L2835*M2835</f>
        <v>0</v>
      </c>
    </row>
    <row r="2836" customFormat="false" ht="15" hidden="false" customHeight="false" outlineLevel="0" collapsed="false">
      <c r="A2836" s="0" t="s">
        <v>4364</v>
      </c>
      <c r="B2836" s="0" t="s">
        <v>31</v>
      </c>
      <c r="C2836" s="0" t="s">
        <v>712</v>
      </c>
      <c r="D2836" s="0" t="s">
        <v>77</v>
      </c>
      <c r="E2836" s="2" t="n">
        <v>45421</v>
      </c>
      <c r="F2836" s="3" t="s">
        <v>20</v>
      </c>
      <c r="G2836" s="3" t="s">
        <v>72</v>
      </c>
      <c r="H2836" s="3" t="s">
        <v>48</v>
      </c>
      <c r="I2836" s="3" t="n">
        <f aca="false">YEAR(E2836)</f>
        <v>2024</v>
      </c>
      <c r="J2836" s="3" t="n">
        <f aca="false">MONTH(E2836)</f>
        <v>5</v>
      </c>
      <c r="K2836" s="3" t="n">
        <f aca="false">COUNTIFS($B$2:$B$4077,B2836,$C$2:$C$4077,C2836,$I$2:$I$4077,I2836)</f>
        <v>5</v>
      </c>
      <c r="L2836" s="3" t="n">
        <f aca="false">IF(COUNTIFS($B$2:B2836,B2836,$C$2:C2836,C2836,$I$2:I2836,I2836)=1,1,0)</f>
        <v>0</v>
      </c>
      <c r="M2836" s="3" t="n">
        <f aca="false">IF(K2836&gt;=Parametri!$B$1,1,0)</f>
        <v>1</v>
      </c>
      <c r="N2836" s="3" t="n">
        <f aca="false">L2836*M2836</f>
        <v>0</v>
      </c>
    </row>
    <row r="2837" customFormat="false" ht="15" hidden="false" customHeight="false" outlineLevel="0" collapsed="false">
      <c r="A2837" s="0" t="s">
        <v>4365</v>
      </c>
      <c r="B2837" s="0" t="s">
        <v>17</v>
      </c>
      <c r="C2837" s="0" t="s">
        <v>1938</v>
      </c>
      <c r="D2837" s="0" t="s">
        <v>26</v>
      </c>
      <c r="E2837" s="2" t="n">
        <v>45848</v>
      </c>
      <c r="F2837" s="3" t="s">
        <v>20</v>
      </c>
      <c r="G2837" s="3" t="s">
        <v>72</v>
      </c>
      <c r="H2837" s="3" t="s">
        <v>44</v>
      </c>
      <c r="I2837" s="3" t="n">
        <f aca="false">YEAR(E2837)</f>
        <v>2025</v>
      </c>
      <c r="J2837" s="3" t="n">
        <f aca="false">MONTH(E2837)</f>
        <v>7</v>
      </c>
      <c r="K2837" s="3" t="n">
        <f aca="false">COUNTIFS($B$2:$B$4077,B2837,$C$2:$C$4077,C2837,$I$2:$I$4077,I2837)</f>
        <v>1</v>
      </c>
      <c r="L2837" s="3" t="n">
        <f aca="false">IF(COUNTIFS($B$2:B2837,B2837,$C$2:C2837,C2837,$I$2:I2837,I2837)=1,1,0)</f>
        <v>1</v>
      </c>
      <c r="M2837" s="3" t="n">
        <f aca="false">IF(K2837&gt;=Parametri!$B$1,1,0)</f>
        <v>0</v>
      </c>
      <c r="N2837" s="3" t="n">
        <f aca="false">L2837*M2837</f>
        <v>0</v>
      </c>
    </row>
    <row r="2838" customFormat="false" ht="15" hidden="false" customHeight="false" outlineLevel="0" collapsed="false">
      <c r="A2838" s="0" t="s">
        <v>4366</v>
      </c>
      <c r="B2838" s="0" t="s">
        <v>68</v>
      </c>
      <c r="C2838" s="0" t="s">
        <v>4367</v>
      </c>
      <c r="D2838" s="0" t="s">
        <v>33</v>
      </c>
      <c r="E2838" s="2" t="n">
        <v>45828</v>
      </c>
      <c r="F2838" s="3" t="s">
        <v>34</v>
      </c>
      <c r="G2838" s="3" t="s">
        <v>55</v>
      </c>
      <c r="H2838" s="3" t="s">
        <v>44</v>
      </c>
      <c r="I2838" s="3" t="n">
        <f aca="false">YEAR(E2838)</f>
        <v>2025</v>
      </c>
      <c r="J2838" s="3" t="n">
        <f aca="false">MONTH(E2838)</f>
        <v>6</v>
      </c>
      <c r="K2838" s="3" t="n">
        <f aca="false">COUNTIFS($B$2:$B$4077,B2838,$C$2:$C$4077,C2838,$I$2:$I$4077,I2838)</f>
        <v>1</v>
      </c>
      <c r="L2838" s="3" t="n">
        <f aca="false">IF(COUNTIFS($B$2:B2838,B2838,$C$2:C2838,C2838,$I$2:I2838,I2838)=1,1,0)</f>
        <v>1</v>
      </c>
      <c r="M2838" s="3" t="n">
        <f aca="false">IF(K2838&gt;=Parametri!$B$1,1,0)</f>
        <v>0</v>
      </c>
      <c r="N2838" s="3" t="n">
        <f aca="false">L2838*M2838</f>
        <v>0</v>
      </c>
    </row>
    <row r="2839" customFormat="false" ht="15" hidden="false" customHeight="false" outlineLevel="0" collapsed="false">
      <c r="A2839" s="0" t="s">
        <v>4368</v>
      </c>
      <c r="B2839" s="0" t="s">
        <v>68</v>
      </c>
      <c r="C2839" s="0" t="s">
        <v>2474</v>
      </c>
      <c r="D2839" s="0" t="s">
        <v>63</v>
      </c>
      <c r="E2839" s="2" t="n">
        <v>45943</v>
      </c>
      <c r="F2839" s="3" t="s">
        <v>34</v>
      </c>
      <c r="G2839" s="3" t="s">
        <v>43</v>
      </c>
      <c r="H2839" s="3" t="s">
        <v>44</v>
      </c>
      <c r="I2839" s="3" t="n">
        <f aca="false">YEAR(E2839)</f>
        <v>2025</v>
      </c>
      <c r="J2839" s="3" t="n">
        <f aca="false">MONTH(E2839)</f>
        <v>10</v>
      </c>
      <c r="K2839" s="3" t="n">
        <f aca="false">COUNTIFS($B$2:$B$4077,B2839,$C$2:$C$4077,C2839,$I$2:$I$4077,I2839)</f>
        <v>2</v>
      </c>
      <c r="L2839" s="3" t="n">
        <f aca="false">IF(COUNTIFS($B$2:B2839,B2839,$C$2:C2839,C2839,$I$2:I2839,I2839)=1,1,0)</f>
        <v>0</v>
      </c>
      <c r="M2839" s="3" t="n">
        <f aca="false">IF(K2839&gt;=Parametri!$B$1,1,0)</f>
        <v>1</v>
      </c>
      <c r="N2839" s="3" t="n">
        <f aca="false">L2839*M2839</f>
        <v>0</v>
      </c>
    </row>
    <row r="2840" customFormat="false" ht="15" hidden="false" customHeight="false" outlineLevel="0" collapsed="false">
      <c r="A2840" s="0" t="s">
        <v>4369</v>
      </c>
      <c r="B2840" s="0" t="s">
        <v>41</v>
      </c>
      <c r="C2840" s="0" t="s">
        <v>1423</v>
      </c>
      <c r="D2840" s="0" t="s">
        <v>63</v>
      </c>
      <c r="E2840" s="2" t="n">
        <v>45792</v>
      </c>
      <c r="F2840" s="3" t="s">
        <v>20</v>
      </c>
      <c r="G2840" s="3" t="s">
        <v>39</v>
      </c>
      <c r="H2840" s="3" t="s">
        <v>48</v>
      </c>
      <c r="I2840" s="3" t="n">
        <f aca="false">YEAR(E2840)</f>
        <v>2025</v>
      </c>
      <c r="J2840" s="3" t="n">
        <f aca="false">MONTH(E2840)</f>
        <v>5</v>
      </c>
      <c r="K2840" s="3" t="n">
        <f aca="false">COUNTIFS($B$2:$B$4077,B2840,$C$2:$C$4077,C2840,$I$2:$I$4077,I2840)</f>
        <v>2</v>
      </c>
      <c r="L2840" s="3" t="n">
        <f aca="false">IF(COUNTIFS($B$2:B2840,B2840,$C$2:C2840,C2840,$I$2:I2840,I2840)=1,1,0)</f>
        <v>0</v>
      </c>
      <c r="M2840" s="3" t="n">
        <f aca="false">IF(K2840&gt;=Parametri!$B$1,1,0)</f>
        <v>1</v>
      </c>
      <c r="N2840" s="3" t="n">
        <f aca="false">L2840*M2840</f>
        <v>0</v>
      </c>
    </row>
    <row r="2841" customFormat="false" ht="15" hidden="false" customHeight="false" outlineLevel="0" collapsed="false">
      <c r="A2841" s="0" t="s">
        <v>4370</v>
      </c>
      <c r="B2841" s="0" t="s">
        <v>41</v>
      </c>
      <c r="C2841" s="0" t="s">
        <v>2494</v>
      </c>
      <c r="D2841" s="0" t="s">
        <v>66</v>
      </c>
      <c r="E2841" s="2" t="n">
        <v>46244</v>
      </c>
      <c r="F2841" s="3" t="s">
        <v>20</v>
      </c>
      <c r="G2841" s="3" t="s">
        <v>21</v>
      </c>
      <c r="H2841" s="3" t="s">
        <v>48</v>
      </c>
      <c r="I2841" s="3" t="n">
        <f aca="false">YEAR(E2841)</f>
        <v>2026</v>
      </c>
      <c r="J2841" s="3" t="n">
        <f aca="false">MONTH(E2841)</f>
        <v>8</v>
      </c>
      <c r="K2841" s="3" t="n">
        <f aca="false">COUNTIFS($B$2:$B$4077,B2841,$C$2:$C$4077,C2841,$I$2:$I$4077,I2841)</f>
        <v>2</v>
      </c>
      <c r="L2841" s="3" t="n">
        <f aca="false">IF(COUNTIFS($B$2:B2841,B2841,$C$2:C2841,C2841,$I$2:I2841,I2841)=1,1,0)</f>
        <v>0</v>
      </c>
      <c r="M2841" s="3" t="n">
        <f aca="false">IF(K2841&gt;=Parametri!$B$1,1,0)</f>
        <v>1</v>
      </c>
      <c r="N2841" s="3" t="n">
        <f aca="false">L2841*M2841</f>
        <v>0</v>
      </c>
    </row>
    <row r="2842" customFormat="false" ht="15" hidden="false" customHeight="false" outlineLevel="0" collapsed="false">
      <c r="A2842" s="0" t="s">
        <v>4371</v>
      </c>
      <c r="B2842" s="0" t="s">
        <v>57</v>
      </c>
      <c r="C2842" s="0" t="s">
        <v>2133</v>
      </c>
      <c r="D2842" s="0" t="s">
        <v>33</v>
      </c>
      <c r="E2842" s="2" t="n">
        <v>46084</v>
      </c>
      <c r="F2842" s="3" t="s">
        <v>20</v>
      </c>
      <c r="G2842" s="3" t="s">
        <v>39</v>
      </c>
      <c r="H2842" s="3" t="s">
        <v>29</v>
      </c>
      <c r="I2842" s="3" t="n">
        <f aca="false">YEAR(E2842)</f>
        <v>2026</v>
      </c>
      <c r="J2842" s="3" t="n">
        <f aca="false">MONTH(E2842)</f>
        <v>3</v>
      </c>
      <c r="K2842" s="3" t="n">
        <f aca="false">COUNTIFS($B$2:$B$4077,B2842,$C$2:$C$4077,C2842,$I$2:$I$4077,I2842)</f>
        <v>1</v>
      </c>
      <c r="L2842" s="3" t="n">
        <f aca="false">IF(COUNTIFS($B$2:B2842,B2842,$C$2:C2842,C2842,$I$2:I2842,I2842)=1,1,0)</f>
        <v>1</v>
      </c>
      <c r="M2842" s="3" t="n">
        <f aca="false">IF(K2842&gt;=Parametri!$B$1,1,0)</f>
        <v>0</v>
      </c>
      <c r="N2842" s="3" t="n">
        <f aca="false">L2842*M2842</f>
        <v>0</v>
      </c>
    </row>
    <row r="2843" customFormat="false" ht="15" hidden="false" customHeight="false" outlineLevel="0" collapsed="false">
      <c r="A2843" s="0" t="s">
        <v>4372</v>
      </c>
      <c r="B2843" s="0" t="s">
        <v>24</v>
      </c>
      <c r="C2843" s="0" t="s">
        <v>4373</v>
      </c>
      <c r="D2843" s="0" t="s">
        <v>26</v>
      </c>
      <c r="E2843" s="2" t="n">
        <v>46213</v>
      </c>
      <c r="F2843" s="3" t="s">
        <v>20</v>
      </c>
      <c r="G2843" s="3" t="s">
        <v>21</v>
      </c>
      <c r="H2843" s="3" t="s">
        <v>48</v>
      </c>
      <c r="I2843" s="3" t="n">
        <f aca="false">YEAR(E2843)</f>
        <v>2026</v>
      </c>
      <c r="J2843" s="3" t="n">
        <f aca="false">MONTH(E2843)</f>
        <v>7</v>
      </c>
      <c r="K2843" s="3" t="n">
        <f aca="false">COUNTIFS($B$2:$B$4077,B2843,$C$2:$C$4077,C2843,$I$2:$I$4077,I2843)</f>
        <v>1</v>
      </c>
      <c r="L2843" s="3" t="n">
        <f aca="false">IF(COUNTIFS($B$2:B2843,B2843,$C$2:C2843,C2843,$I$2:I2843,I2843)=1,1,0)</f>
        <v>1</v>
      </c>
      <c r="M2843" s="3" t="n">
        <f aca="false">IF(K2843&gt;=Parametri!$B$1,1,0)</f>
        <v>0</v>
      </c>
      <c r="N2843" s="3" t="n">
        <f aca="false">L2843*M2843</f>
        <v>0</v>
      </c>
    </row>
    <row r="2844" customFormat="false" ht="15" hidden="false" customHeight="false" outlineLevel="0" collapsed="false">
      <c r="A2844" s="0" t="s">
        <v>4374</v>
      </c>
      <c r="B2844" s="0" t="s">
        <v>41</v>
      </c>
      <c r="C2844" s="0" t="s">
        <v>675</v>
      </c>
      <c r="D2844" s="0" t="s">
        <v>19</v>
      </c>
      <c r="E2844" s="2" t="n">
        <v>45398</v>
      </c>
      <c r="F2844" s="3" t="s">
        <v>34</v>
      </c>
      <c r="G2844" s="3" t="s">
        <v>21</v>
      </c>
      <c r="H2844" s="3" t="s">
        <v>29</v>
      </c>
      <c r="I2844" s="3" t="n">
        <f aca="false">YEAR(E2844)</f>
        <v>2024</v>
      </c>
      <c r="J2844" s="3" t="n">
        <f aca="false">MONTH(E2844)</f>
        <v>4</v>
      </c>
      <c r="K2844" s="3" t="n">
        <f aca="false">COUNTIFS($B$2:$B$4077,B2844,$C$2:$C$4077,C2844,$I$2:$I$4077,I2844)</f>
        <v>5</v>
      </c>
      <c r="L2844" s="3" t="n">
        <f aca="false">IF(COUNTIFS($B$2:B2844,B2844,$C$2:C2844,C2844,$I$2:I2844,I2844)=1,1,0)</f>
        <v>0</v>
      </c>
      <c r="M2844" s="3" t="n">
        <f aca="false">IF(K2844&gt;=Parametri!$B$1,1,0)</f>
        <v>1</v>
      </c>
      <c r="N2844" s="3" t="n">
        <f aca="false">L2844*M2844</f>
        <v>0</v>
      </c>
    </row>
    <row r="2845" customFormat="false" ht="15" hidden="false" customHeight="false" outlineLevel="0" collapsed="false">
      <c r="A2845" s="0" t="s">
        <v>4375</v>
      </c>
      <c r="B2845" s="0" t="s">
        <v>57</v>
      </c>
      <c r="C2845" s="0" t="s">
        <v>4376</v>
      </c>
      <c r="D2845" s="0" t="s">
        <v>38</v>
      </c>
      <c r="E2845" s="2" t="n">
        <v>45654</v>
      </c>
      <c r="F2845" s="3" t="s">
        <v>34</v>
      </c>
      <c r="G2845" s="3" t="s">
        <v>72</v>
      </c>
      <c r="H2845" s="3" t="s">
        <v>22</v>
      </c>
      <c r="I2845" s="3" t="n">
        <f aca="false">YEAR(E2845)</f>
        <v>2024</v>
      </c>
      <c r="J2845" s="3" t="n">
        <f aca="false">MONTH(E2845)</f>
        <v>12</v>
      </c>
      <c r="K2845" s="3" t="n">
        <f aca="false">COUNTIFS($B$2:$B$4077,B2845,$C$2:$C$4077,C2845,$I$2:$I$4077,I2845)</f>
        <v>1</v>
      </c>
      <c r="L2845" s="3" t="n">
        <f aca="false">IF(COUNTIFS($B$2:B2845,B2845,$C$2:C2845,C2845,$I$2:I2845,I2845)=1,1,0)</f>
        <v>1</v>
      </c>
      <c r="M2845" s="3" t="n">
        <f aca="false">IF(K2845&gt;=Parametri!$B$1,1,0)</f>
        <v>0</v>
      </c>
      <c r="N2845" s="3" t="n">
        <f aca="false">L2845*M2845</f>
        <v>0</v>
      </c>
    </row>
    <row r="2846" customFormat="false" ht="15" hidden="false" customHeight="false" outlineLevel="0" collapsed="false">
      <c r="A2846" s="0" t="s">
        <v>4377</v>
      </c>
      <c r="B2846" s="0" t="s">
        <v>17</v>
      </c>
      <c r="C2846" s="0" t="s">
        <v>671</v>
      </c>
      <c r="D2846" s="0" t="s">
        <v>26</v>
      </c>
      <c r="E2846" s="2" t="n">
        <v>45468</v>
      </c>
      <c r="F2846" s="3" t="s">
        <v>27</v>
      </c>
      <c r="G2846" s="3" t="s">
        <v>28</v>
      </c>
      <c r="H2846" s="3" t="s">
        <v>22</v>
      </c>
      <c r="I2846" s="3" t="n">
        <f aca="false">YEAR(E2846)</f>
        <v>2024</v>
      </c>
      <c r="J2846" s="3" t="n">
        <f aca="false">MONTH(E2846)</f>
        <v>6</v>
      </c>
      <c r="K2846" s="3" t="n">
        <f aca="false">COUNTIFS($B$2:$B$4077,B2846,$C$2:$C$4077,C2846,$I$2:$I$4077,I2846)</f>
        <v>4</v>
      </c>
      <c r="L2846" s="3" t="n">
        <f aca="false">IF(COUNTIFS($B$2:B2846,B2846,$C$2:C2846,C2846,$I$2:I2846,I2846)=1,1,0)</f>
        <v>0</v>
      </c>
      <c r="M2846" s="3" t="n">
        <f aca="false">IF(K2846&gt;=Parametri!$B$1,1,0)</f>
        <v>1</v>
      </c>
      <c r="N2846" s="3" t="n">
        <f aca="false">L2846*M2846</f>
        <v>0</v>
      </c>
    </row>
    <row r="2847" customFormat="false" ht="15" hidden="false" customHeight="false" outlineLevel="0" collapsed="false">
      <c r="A2847" s="0" t="s">
        <v>4378</v>
      </c>
      <c r="B2847" s="0" t="s">
        <v>50</v>
      </c>
      <c r="C2847" s="0" t="s">
        <v>3251</v>
      </c>
      <c r="D2847" s="0" t="s">
        <v>54</v>
      </c>
      <c r="E2847" s="2" t="n">
        <v>46120</v>
      </c>
      <c r="F2847" s="3" t="s">
        <v>20</v>
      </c>
      <c r="G2847" s="3" t="s">
        <v>28</v>
      </c>
      <c r="H2847" s="3" t="s">
        <v>44</v>
      </c>
      <c r="I2847" s="3" t="n">
        <f aca="false">YEAR(E2847)</f>
        <v>2026</v>
      </c>
      <c r="J2847" s="3" t="n">
        <f aca="false">MONTH(E2847)</f>
        <v>4</v>
      </c>
      <c r="K2847" s="3" t="n">
        <f aca="false">COUNTIFS($B$2:$B$4077,B2847,$C$2:$C$4077,C2847,$I$2:$I$4077,I2847)</f>
        <v>1</v>
      </c>
      <c r="L2847" s="3" t="n">
        <f aca="false">IF(COUNTIFS($B$2:B2847,B2847,$C$2:C2847,C2847,$I$2:I2847,I2847)=1,1,0)</f>
        <v>1</v>
      </c>
      <c r="M2847" s="3" t="n">
        <f aca="false">IF(K2847&gt;=Parametri!$B$1,1,0)</f>
        <v>0</v>
      </c>
      <c r="N2847" s="3" t="n">
        <f aca="false">L2847*M2847</f>
        <v>0</v>
      </c>
    </row>
    <row r="2848" customFormat="false" ht="15" hidden="false" customHeight="false" outlineLevel="0" collapsed="false">
      <c r="A2848" s="0" t="s">
        <v>4379</v>
      </c>
      <c r="B2848" s="0" t="s">
        <v>24</v>
      </c>
      <c r="C2848" s="0" t="s">
        <v>1727</v>
      </c>
      <c r="D2848" s="0" t="s">
        <v>77</v>
      </c>
      <c r="E2848" s="2" t="n">
        <v>46119</v>
      </c>
      <c r="F2848" s="3" t="s">
        <v>34</v>
      </c>
      <c r="G2848" s="3" t="s">
        <v>43</v>
      </c>
      <c r="H2848" s="3" t="s">
        <v>48</v>
      </c>
      <c r="I2848" s="3" t="n">
        <f aca="false">YEAR(E2848)</f>
        <v>2026</v>
      </c>
      <c r="J2848" s="3" t="n">
        <f aca="false">MONTH(E2848)</f>
        <v>4</v>
      </c>
      <c r="K2848" s="3" t="n">
        <f aca="false">COUNTIFS($B$2:$B$4077,B2848,$C$2:$C$4077,C2848,$I$2:$I$4077,I2848)</f>
        <v>2</v>
      </c>
      <c r="L2848" s="3" t="n">
        <f aca="false">IF(COUNTIFS($B$2:B2848,B2848,$C$2:C2848,C2848,$I$2:I2848,I2848)=1,1,0)</f>
        <v>0</v>
      </c>
      <c r="M2848" s="3" t="n">
        <f aca="false">IF(K2848&gt;=Parametri!$B$1,1,0)</f>
        <v>1</v>
      </c>
      <c r="N2848" s="3" t="n">
        <f aca="false">L2848*M2848</f>
        <v>0</v>
      </c>
    </row>
    <row r="2849" customFormat="false" ht="15" hidden="false" customHeight="false" outlineLevel="0" collapsed="false">
      <c r="A2849" s="0" t="s">
        <v>4380</v>
      </c>
      <c r="B2849" s="0" t="s">
        <v>124</v>
      </c>
      <c r="C2849" s="0" t="s">
        <v>153</v>
      </c>
      <c r="D2849" s="0" t="s">
        <v>66</v>
      </c>
      <c r="E2849" s="2" t="n">
        <v>45901</v>
      </c>
      <c r="F2849" s="3" t="s">
        <v>34</v>
      </c>
      <c r="G2849" s="3" t="s">
        <v>89</v>
      </c>
      <c r="H2849" s="3" t="s">
        <v>48</v>
      </c>
      <c r="I2849" s="3" t="n">
        <f aca="false">YEAR(E2849)</f>
        <v>2025</v>
      </c>
      <c r="J2849" s="3" t="n">
        <f aca="false">MONTH(E2849)</f>
        <v>9</v>
      </c>
      <c r="K2849" s="3" t="n">
        <f aca="false">COUNTIFS($B$2:$B$4077,B2849,$C$2:$C$4077,C2849,$I$2:$I$4077,I2849)</f>
        <v>2</v>
      </c>
      <c r="L2849" s="3" t="n">
        <f aca="false">IF(COUNTIFS($B$2:B2849,B2849,$C$2:C2849,C2849,$I$2:I2849,I2849)=1,1,0)</f>
        <v>0</v>
      </c>
      <c r="M2849" s="3" t="n">
        <f aca="false">IF(K2849&gt;=Parametri!$B$1,1,0)</f>
        <v>1</v>
      </c>
      <c r="N2849" s="3" t="n">
        <f aca="false">L2849*M2849</f>
        <v>0</v>
      </c>
    </row>
    <row r="2850" customFormat="false" ht="15" hidden="false" customHeight="false" outlineLevel="0" collapsed="false">
      <c r="A2850" s="0" t="s">
        <v>4381</v>
      </c>
      <c r="B2850" s="0" t="s">
        <v>124</v>
      </c>
      <c r="C2850" s="0" t="s">
        <v>4382</v>
      </c>
      <c r="D2850" s="0" t="s">
        <v>26</v>
      </c>
      <c r="E2850" s="2" t="n">
        <v>45597</v>
      </c>
      <c r="F2850" s="3" t="s">
        <v>20</v>
      </c>
      <c r="G2850" s="3" t="s">
        <v>21</v>
      </c>
      <c r="H2850" s="3" t="s">
        <v>44</v>
      </c>
      <c r="I2850" s="3" t="n">
        <f aca="false">YEAR(E2850)</f>
        <v>2024</v>
      </c>
      <c r="J2850" s="3" t="n">
        <f aca="false">MONTH(E2850)</f>
        <v>11</v>
      </c>
      <c r="K2850" s="3" t="n">
        <f aca="false">COUNTIFS($B$2:$B$4077,B2850,$C$2:$C$4077,C2850,$I$2:$I$4077,I2850)</f>
        <v>1</v>
      </c>
      <c r="L2850" s="3" t="n">
        <f aca="false">IF(COUNTIFS($B$2:B2850,B2850,$C$2:C2850,C2850,$I$2:I2850,I2850)=1,1,0)</f>
        <v>1</v>
      </c>
      <c r="M2850" s="3" t="n">
        <f aca="false">IF(K2850&gt;=Parametri!$B$1,1,0)</f>
        <v>0</v>
      </c>
      <c r="N2850" s="3" t="n">
        <f aca="false">L2850*M2850</f>
        <v>0</v>
      </c>
    </row>
    <row r="2851" customFormat="false" ht="15" hidden="false" customHeight="false" outlineLevel="0" collapsed="false">
      <c r="A2851" s="0" t="s">
        <v>4383</v>
      </c>
      <c r="B2851" s="0" t="s">
        <v>31</v>
      </c>
      <c r="C2851" s="0" t="s">
        <v>1048</v>
      </c>
      <c r="D2851" s="0" t="s">
        <v>77</v>
      </c>
      <c r="E2851" s="2" t="n">
        <v>46094</v>
      </c>
      <c r="F2851" s="3" t="s">
        <v>27</v>
      </c>
      <c r="G2851" s="3" t="s">
        <v>72</v>
      </c>
      <c r="H2851" s="3" t="s">
        <v>48</v>
      </c>
      <c r="I2851" s="3" t="n">
        <f aca="false">YEAR(E2851)</f>
        <v>2026</v>
      </c>
      <c r="J2851" s="3" t="n">
        <f aca="false">MONTH(E2851)</f>
        <v>3</v>
      </c>
      <c r="K2851" s="3" t="n">
        <f aca="false">COUNTIFS($B$2:$B$4077,B2851,$C$2:$C$4077,C2851,$I$2:$I$4077,I2851)</f>
        <v>1</v>
      </c>
      <c r="L2851" s="3" t="n">
        <f aca="false">IF(COUNTIFS($B$2:B2851,B2851,$C$2:C2851,C2851,$I$2:I2851,I2851)=1,1,0)</f>
        <v>1</v>
      </c>
      <c r="M2851" s="3" t="n">
        <f aca="false">IF(K2851&gt;=Parametri!$B$1,1,0)</f>
        <v>0</v>
      </c>
      <c r="N2851" s="3" t="n">
        <f aca="false">L2851*M2851</f>
        <v>0</v>
      </c>
    </row>
    <row r="2852" customFormat="false" ht="15" hidden="false" customHeight="false" outlineLevel="0" collapsed="false">
      <c r="A2852" s="0" t="s">
        <v>4384</v>
      </c>
      <c r="B2852" s="0" t="s">
        <v>41</v>
      </c>
      <c r="C2852" s="0" t="s">
        <v>343</v>
      </c>
      <c r="D2852" s="0" t="s">
        <v>66</v>
      </c>
      <c r="E2852" s="2" t="n">
        <v>46000</v>
      </c>
      <c r="F2852" s="3" t="s">
        <v>34</v>
      </c>
      <c r="G2852" s="3" t="s">
        <v>35</v>
      </c>
      <c r="H2852" s="3" t="s">
        <v>29</v>
      </c>
      <c r="I2852" s="3" t="n">
        <f aca="false">YEAR(E2852)</f>
        <v>2025</v>
      </c>
      <c r="J2852" s="3" t="n">
        <f aca="false">MONTH(E2852)</f>
        <v>12</v>
      </c>
      <c r="K2852" s="3" t="n">
        <f aca="false">COUNTIFS($B$2:$B$4077,B2852,$C$2:$C$4077,C2852,$I$2:$I$4077,I2852)</f>
        <v>7</v>
      </c>
      <c r="L2852" s="3" t="n">
        <f aca="false">IF(COUNTIFS($B$2:B2852,B2852,$C$2:C2852,C2852,$I$2:I2852,I2852)=1,1,0)</f>
        <v>0</v>
      </c>
      <c r="M2852" s="3" t="n">
        <f aca="false">IF(K2852&gt;=Parametri!$B$1,1,0)</f>
        <v>1</v>
      </c>
      <c r="N2852" s="3" t="n">
        <f aca="false">L2852*M2852</f>
        <v>0</v>
      </c>
    </row>
    <row r="2853" customFormat="false" ht="15" hidden="false" customHeight="false" outlineLevel="0" collapsed="false">
      <c r="A2853" s="0" t="s">
        <v>4385</v>
      </c>
      <c r="B2853" s="0" t="s">
        <v>57</v>
      </c>
      <c r="C2853" s="0" t="s">
        <v>2193</v>
      </c>
      <c r="D2853" s="0" t="s">
        <v>26</v>
      </c>
      <c r="E2853" s="2" t="n">
        <v>45692</v>
      </c>
      <c r="F2853" s="3" t="s">
        <v>20</v>
      </c>
      <c r="G2853" s="3" t="s">
        <v>21</v>
      </c>
      <c r="H2853" s="3" t="s">
        <v>22</v>
      </c>
      <c r="I2853" s="3" t="n">
        <f aca="false">YEAR(E2853)</f>
        <v>2025</v>
      </c>
      <c r="J2853" s="3" t="n">
        <f aca="false">MONTH(E2853)</f>
        <v>2</v>
      </c>
      <c r="K2853" s="3" t="n">
        <f aca="false">COUNTIFS($B$2:$B$4077,B2853,$C$2:$C$4077,C2853,$I$2:$I$4077,I2853)</f>
        <v>2</v>
      </c>
      <c r="L2853" s="3" t="n">
        <f aca="false">IF(COUNTIFS($B$2:B2853,B2853,$C$2:C2853,C2853,$I$2:I2853,I2853)=1,1,0)</f>
        <v>0</v>
      </c>
      <c r="M2853" s="3" t="n">
        <f aca="false">IF(K2853&gt;=Parametri!$B$1,1,0)</f>
        <v>1</v>
      </c>
      <c r="N2853" s="3" t="n">
        <f aca="false">L2853*M2853</f>
        <v>0</v>
      </c>
    </row>
    <row r="2854" customFormat="false" ht="15" hidden="false" customHeight="false" outlineLevel="0" collapsed="false">
      <c r="A2854" s="0" t="s">
        <v>4386</v>
      </c>
      <c r="B2854" s="0" t="s">
        <v>57</v>
      </c>
      <c r="C2854" s="0" t="s">
        <v>1044</v>
      </c>
      <c r="D2854" s="0" t="s">
        <v>54</v>
      </c>
      <c r="E2854" s="2" t="n">
        <v>45353</v>
      </c>
      <c r="F2854" s="3" t="s">
        <v>34</v>
      </c>
      <c r="G2854" s="3" t="s">
        <v>21</v>
      </c>
      <c r="H2854" s="3" t="s">
        <v>29</v>
      </c>
      <c r="I2854" s="3" t="n">
        <f aca="false">YEAR(E2854)</f>
        <v>2024</v>
      </c>
      <c r="J2854" s="3" t="n">
        <f aca="false">MONTH(E2854)</f>
        <v>3</v>
      </c>
      <c r="K2854" s="3" t="n">
        <f aca="false">COUNTIFS($B$2:$B$4077,B2854,$C$2:$C$4077,C2854,$I$2:$I$4077,I2854)</f>
        <v>3</v>
      </c>
      <c r="L2854" s="3" t="n">
        <f aca="false">IF(COUNTIFS($B$2:B2854,B2854,$C$2:C2854,C2854,$I$2:I2854,I2854)=1,1,0)</f>
        <v>0</v>
      </c>
      <c r="M2854" s="3" t="n">
        <f aca="false">IF(K2854&gt;=Parametri!$B$1,1,0)</f>
        <v>1</v>
      </c>
      <c r="N2854" s="3" t="n">
        <f aca="false">L2854*M2854</f>
        <v>0</v>
      </c>
    </row>
    <row r="2855" customFormat="false" ht="15" hidden="false" customHeight="false" outlineLevel="0" collapsed="false">
      <c r="A2855" s="0" t="s">
        <v>4387</v>
      </c>
      <c r="B2855" s="0" t="s">
        <v>31</v>
      </c>
      <c r="C2855" s="0" t="s">
        <v>1123</v>
      </c>
      <c r="D2855" s="0" t="s">
        <v>38</v>
      </c>
      <c r="E2855" s="2" t="n">
        <v>45699</v>
      </c>
      <c r="F2855" s="3" t="s">
        <v>34</v>
      </c>
      <c r="G2855" s="3" t="s">
        <v>35</v>
      </c>
      <c r="H2855" s="3" t="s">
        <v>22</v>
      </c>
      <c r="I2855" s="3" t="n">
        <f aca="false">YEAR(E2855)</f>
        <v>2025</v>
      </c>
      <c r="J2855" s="3" t="n">
        <f aca="false">MONTH(E2855)</f>
        <v>2</v>
      </c>
      <c r="K2855" s="3" t="n">
        <f aca="false">COUNTIFS($B$2:$B$4077,B2855,$C$2:$C$4077,C2855,$I$2:$I$4077,I2855)</f>
        <v>1</v>
      </c>
      <c r="L2855" s="3" t="n">
        <f aca="false">IF(COUNTIFS($B$2:B2855,B2855,$C$2:C2855,C2855,$I$2:I2855,I2855)=1,1,0)</f>
        <v>1</v>
      </c>
      <c r="M2855" s="3" t="n">
        <f aca="false">IF(K2855&gt;=Parametri!$B$1,1,0)</f>
        <v>0</v>
      </c>
      <c r="N2855" s="3" t="n">
        <f aca="false">L2855*M2855</f>
        <v>0</v>
      </c>
    </row>
    <row r="2856" customFormat="false" ht="15" hidden="false" customHeight="false" outlineLevel="0" collapsed="false">
      <c r="A2856" s="0" t="s">
        <v>4388</v>
      </c>
      <c r="B2856" s="0" t="s">
        <v>17</v>
      </c>
      <c r="C2856" s="0" t="s">
        <v>481</v>
      </c>
      <c r="D2856" s="0" t="s">
        <v>33</v>
      </c>
      <c r="E2856" s="2" t="n">
        <v>45729</v>
      </c>
      <c r="F2856" s="3" t="s">
        <v>34</v>
      </c>
      <c r="G2856" s="3" t="s">
        <v>35</v>
      </c>
      <c r="H2856" s="3" t="s">
        <v>29</v>
      </c>
      <c r="I2856" s="3" t="n">
        <f aca="false">YEAR(E2856)</f>
        <v>2025</v>
      </c>
      <c r="J2856" s="3" t="n">
        <f aca="false">MONTH(E2856)</f>
        <v>3</v>
      </c>
      <c r="K2856" s="3" t="n">
        <f aca="false">COUNTIFS($B$2:$B$4077,B2856,$C$2:$C$4077,C2856,$I$2:$I$4077,I2856)</f>
        <v>4</v>
      </c>
      <c r="L2856" s="3" t="n">
        <f aca="false">IF(COUNTIFS($B$2:B2856,B2856,$C$2:C2856,C2856,$I$2:I2856,I2856)=1,1,0)</f>
        <v>0</v>
      </c>
      <c r="M2856" s="3" t="n">
        <f aca="false">IF(K2856&gt;=Parametri!$B$1,1,0)</f>
        <v>1</v>
      </c>
      <c r="N2856" s="3" t="n">
        <f aca="false">L2856*M2856</f>
        <v>0</v>
      </c>
    </row>
    <row r="2857" customFormat="false" ht="15" hidden="false" customHeight="false" outlineLevel="0" collapsed="false">
      <c r="A2857" s="0" t="s">
        <v>4389</v>
      </c>
      <c r="B2857" s="0" t="s">
        <v>50</v>
      </c>
      <c r="C2857" s="0" t="s">
        <v>362</v>
      </c>
      <c r="D2857" s="0" t="s">
        <v>54</v>
      </c>
      <c r="E2857" s="2" t="n">
        <v>45543</v>
      </c>
      <c r="F2857" s="3" t="s">
        <v>20</v>
      </c>
      <c r="G2857" s="3" t="s">
        <v>28</v>
      </c>
      <c r="H2857" s="3" t="s">
        <v>22</v>
      </c>
      <c r="I2857" s="3" t="n">
        <f aca="false">YEAR(E2857)</f>
        <v>2024</v>
      </c>
      <c r="J2857" s="3" t="n">
        <f aca="false">MONTH(E2857)</f>
        <v>9</v>
      </c>
      <c r="K2857" s="3" t="n">
        <f aca="false">COUNTIFS($B$2:$B$4077,B2857,$C$2:$C$4077,C2857,$I$2:$I$4077,I2857)</f>
        <v>2</v>
      </c>
      <c r="L2857" s="3" t="n">
        <f aca="false">IF(COUNTIFS($B$2:B2857,B2857,$C$2:C2857,C2857,$I$2:I2857,I2857)=1,1,0)</f>
        <v>0</v>
      </c>
      <c r="M2857" s="3" t="n">
        <f aca="false">IF(K2857&gt;=Parametri!$B$1,1,0)</f>
        <v>1</v>
      </c>
      <c r="N2857" s="3" t="n">
        <f aca="false">L2857*M2857</f>
        <v>0</v>
      </c>
    </row>
    <row r="2858" customFormat="false" ht="15" hidden="false" customHeight="false" outlineLevel="0" collapsed="false">
      <c r="A2858" s="0" t="s">
        <v>4390</v>
      </c>
      <c r="B2858" s="0" t="s">
        <v>24</v>
      </c>
      <c r="C2858" s="0" t="s">
        <v>789</v>
      </c>
      <c r="D2858" s="0" t="s">
        <v>19</v>
      </c>
      <c r="E2858" s="2" t="n">
        <v>45979</v>
      </c>
      <c r="F2858" s="3" t="s">
        <v>34</v>
      </c>
      <c r="G2858" s="3" t="s">
        <v>43</v>
      </c>
      <c r="H2858" s="3" t="s">
        <v>44</v>
      </c>
      <c r="I2858" s="3" t="n">
        <f aca="false">YEAR(E2858)</f>
        <v>2025</v>
      </c>
      <c r="J2858" s="3" t="n">
        <f aca="false">MONTH(E2858)</f>
        <v>11</v>
      </c>
      <c r="K2858" s="3" t="n">
        <f aca="false">COUNTIFS($B$2:$B$4077,B2858,$C$2:$C$4077,C2858,$I$2:$I$4077,I2858)</f>
        <v>2</v>
      </c>
      <c r="L2858" s="3" t="n">
        <f aca="false">IF(COUNTIFS($B$2:B2858,B2858,$C$2:C2858,C2858,$I$2:I2858,I2858)=1,1,0)</f>
        <v>0</v>
      </c>
      <c r="M2858" s="3" t="n">
        <f aca="false">IF(K2858&gt;=Parametri!$B$1,1,0)</f>
        <v>1</v>
      </c>
      <c r="N2858" s="3" t="n">
        <f aca="false">L2858*M2858</f>
        <v>0</v>
      </c>
    </row>
    <row r="2859" customFormat="false" ht="15" hidden="false" customHeight="false" outlineLevel="0" collapsed="false">
      <c r="A2859" s="0" t="s">
        <v>4391</v>
      </c>
      <c r="B2859" s="0" t="s">
        <v>24</v>
      </c>
      <c r="C2859" s="0" t="s">
        <v>1876</v>
      </c>
      <c r="D2859" s="0" t="s">
        <v>77</v>
      </c>
      <c r="E2859" s="2" t="n">
        <v>46121</v>
      </c>
      <c r="F2859" s="3" t="s">
        <v>20</v>
      </c>
      <c r="G2859" s="3" t="s">
        <v>39</v>
      </c>
      <c r="H2859" s="3" t="s">
        <v>22</v>
      </c>
      <c r="I2859" s="3" t="n">
        <f aca="false">YEAR(E2859)</f>
        <v>2026</v>
      </c>
      <c r="J2859" s="3" t="n">
        <f aca="false">MONTH(E2859)</f>
        <v>4</v>
      </c>
      <c r="K2859" s="3" t="n">
        <f aca="false">COUNTIFS($B$2:$B$4077,B2859,$C$2:$C$4077,C2859,$I$2:$I$4077,I2859)</f>
        <v>1</v>
      </c>
      <c r="L2859" s="3" t="n">
        <f aca="false">IF(COUNTIFS($B$2:B2859,B2859,$C$2:C2859,C2859,$I$2:I2859,I2859)=1,1,0)</f>
        <v>1</v>
      </c>
      <c r="M2859" s="3" t="n">
        <f aca="false">IF(K2859&gt;=Parametri!$B$1,1,0)</f>
        <v>0</v>
      </c>
      <c r="N2859" s="3" t="n">
        <f aca="false">L2859*M2859</f>
        <v>0</v>
      </c>
    </row>
    <row r="2860" customFormat="false" ht="15" hidden="false" customHeight="false" outlineLevel="0" collapsed="false">
      <c r="A2860" s="0" t="s">
        <v>4392</v>
      </c>
      <c r="B2860" s="0" t="s">
        <v>57</v>
      </c>
      <c r="C2860" s="0" t="s">
        <v>4393</v>
      </c>
      <c r="D2860" s="0" t="s">
        <v>38</v>
      </c>
      <c r="E2860" s="2" t="n">
        <v>45677</v>
      </c>
      <c r="F2860" s="3" t="s">
        <v>20</v>
      </c>
      <c r="G2860" s="3" t="s">
        <v>39</v>
      </c>
      <c r="H2860" s="3" t="s">
        <v>29</v>
      </c>
      <c r="I2860" s="3" t="n">
        <f aca="false">YEAR(E2860)</f>
        <v>2025</v>
      </c>
      <c r="J2860" s="3" t="n">
        <f aca="false">MONTH(E2860)</f>
        <v>1</v>
      </c>
      <c r="K2860" s="3" t="n">
        <f aca="false">COUNTIFS($B$2:$B$4077,B2860,$C$2:$C$4077,C2860,$I$2:$I$4077,I2860)</f>
        <v>1</v>
      </c>
      <c r="L2860" s="3" t="n">
        <f aca="false">IF(COUNTIFS($B$2:B2860,B2860,$C$2:C2860,C2860,$I$2:I2860,I2860)=1,1,0)</f>
        <v>1</v>
      </c>
      <c r="M2860" s="3" t="n">
        <f aca="false">IF(K2860&gt;=Parametri!$B$1,1,0)</f>
        <v>0</v>
      </c>
      <c r="N2860" s="3" t="n">
        <f aca="false">L2860*M2860</f>
        <v>0</v>
      </c>
    </row>
    <row r="2861" customFormat="false" ht="15" hidden="false" customHeight="false" outlineLevel="0" collapsed="false">
      <c r="A2861" s="0" t="s">
        <v>4394</v>
      </c>
      <c r="B2861" s="0" t="s">
        <v>124</v>
      </c>
      <c r="C2861" s="0" t="s">
        <v>929</v>
      </c>
      <c r="D2861" s="0" t="s">
        <v>33</v>
      </c>
      <c r="E2861" s="2" t="n">
        <v>45908</v>
      </c>
      <c r="F2861" s="3" t="s">
        <v>27</v>
      </c>
      <c r="G2861" s="3" t="s">
        <v>89</v>
      </c>
      <c r="H2861" s="3" t="s">
        <v>48</v>
      </c>
      <c r="I2861" s="3" t="n">
        <f aca="false">YEAR(E2861)</f>
        <v>2025</v>
      </c>
      <c r="J2861" s="3" t="n">
        <f aca="false">MONTH(E2861)</f>
        <v>9</v>
      </c>
      <c r="K2861" s="3" t="n">
        <f aca="false">COUNTIFS($B$2:$B$4077,B2861,$C$2:$C$4077,C2861,$I$2:$I$4077,I2861)</f>
        <v>3</v>
      </c>
      <c r="L2861" s="3" t="n">
        <f aca="false">IF(COUNTIFS($B$2:B2861,B2861,$C$2:C2861,C2861,$I$2:I2861,I2861)=1,1,0)</f>
        <v>0</v>
      </c>
      <c r="M2861" s="3" t="n">
        <f aca="false">IF(K2861&gt;=Parametri!$B$1,1,0)</f>
        <v>1</v>
      </c>
      <c r="N2861" s="3" t="n">
        <f aca="false">L2861*M2861</f>
        <v>0</v>
      </c>
    </row>
    <row r="2862" customFormat="false" ht="15" hidden="false" customHeight="false" outlineLevel="0" collapsed="false">
      <c r="A2862" s="0" t="s">
        <v>4395</v>
      </c>
      <c r="B2862" s="0" t="s">
        <v>57</v>
      </c>
      <c r="C2862" s="0" t="s">
        <v>1531</v>
      </c>
      <c r="D2862" s="0" t="s">
        <v>63</v>
      </c>
      <c r="E2862" s="2" t="n">
        <v>45738</v>
      </c>
      <c r="F2862" s="3" t="s">
        <v>34</v>
      </c>
      <c r="G2862" s="3" t="s">
        <v>55</v>
      </c>
      <c r="H2862" s="3" t="s">
        <v>22</v>
      </c>
      <c r="I2862" s="3" t="n">
        <f aca="false">YEAR(E2862)</f>
        <v>2025</v>
      </c>
      <c r="J2862" s="3" t="n">
        <f aca="false">MONTH(E2862)</f>
        <v>3</v>
      </c>
      <c r="K2862" s="3" t="n">
        <f aca="false">COUNTIFS($B$2:$B$4077,B2862,$C$2:$C$4077,C2862,$I$2:$I$4077,I2862)</f>
        <v>7</v>
      </c>
      <c r="L2862" s="3" t="n">
        <f aca="false">IF(COUNTIFS($B$2:B2862,B2862,$C$2:C2862,C2862,$I$2:I2862,I2862)=1,1,0)</f>
        <v>0</v>
      </c>
      <c r="M2862" s="3" t="n">
        <f aca="false">IF(K2862&gt;=Parametri!$B$1,1,0)</f>
        <v>1</v>
      </c>
      <c r="N2862" s="3" t="n">
        <f aca="false">L2862*M2862</f>
        <v>0</v>
      </c>
    </row>
    <row r="2863" customFormat="false" ht="15" hidden="false" customHeight="false" outlineLevel="0" collapsed="false">
      <c r="A2863" s="0" t="s">
        <v>4396</v>
      </c>
      <c r="B2863" s="0" t="s">
        <v>17</v>
      </c>
      <c r="C2863" s="0" t="s">
        <v>60</v>
      </c>
      <c r="D2863" s="0" t="s">
        <v>54</v>
      </c>
      <c r="E2863" s="2" t="n">
        <v>45604</v>
      </c>
      <c r="F2863" s="3" t="s">
        <v>20</v>
      </c>
      <c r="G2863" s="3" t="s">
        <v>72</v>
      </c>
      <c r="H2863" s="3" t="s">
        <v>22</v>
      </c>
      <c r="I2863" s="3" t="n">
        <f aca="false">YEAR(E2863)</f>
        <v>2024</v>
      </c>
      <c r="J2863" s="3" t="n">
        <f aca="false">MONTH(E2863)</f>
        <v>11</v>
      </c>
      <c r="K2863" s="3" t="n">
        <f aca="false">COUNTIFS($B$2:$B$4077,B2863,$C$2:$C$4077,C2863,$I$2:$I$4077,I2863)</f>
        <v>4</v>
      </c>
      <c r="L2863" s="3" t="n">
        <f aca="false">IF(COUNTIFS($B$2:B2863,B2863,$C$2:C2863,C2863,$I$2:I2863,I2863)=1,1,0)</f>
        <v>0</v>
      </c>
      <c r="M2863" s="3" t="n">
        <f aca="false">IF(K2863&gt;=Parametri!$B$1,1,0)</f>
        <v>1</v>
      </c>
      <c r="N2863" s="3" t="n">
        <f aca="false">L2863*M2863</f>
        <v>0</v>
      </c>
    </row>
    <row r="2864" customFormat="false" ht="15" hidden="false" customHeight="false" outlineLevel="0" collapsed="false">
      <c r="A2864" s="0" t="s">
        <v>4397</v>
      </c>
      <c r="B2864" s="0" t="s">
        <v>41</v>
      </c>
      <c r="C2864" s="0" t="s">
        <v>4398</v>
      </c>
      <c r="D2864" s="0" t="s">
        <v>77</v>
      </c>
      <c r="E2864" s="2" t="n">
        <v>46180</v>
      </c>
      <c r="F2864" s="3" t="s">
        <v>34</v>
      </c>
      <c r="G2864" s="3" t="s">
        <v>39</v>
      </c>
      <c r="H2864" s="3" t="s">
        <v>48</v>
      </c>
      <c r="I2864" s="3" t="n">
        <f aca="false">YEAR(E2864)</f>
        <v>2026</v>
      </c>
      <c r="J2864" s="3" t="n">
        <f aca="false">MONTH(E2864)</f>
        <v>6</v>
      </c>
      <c r="K2864" s="3" t="n">
        <f aca="false">COUNTIFS($B$2:$B$4077,B2864,$C$2:$C$4077,C2864,$I$2:$I$4077,I2864)</f>
        <v>1</v>
      </c>
      <c r="L2864" s="3" t="n">
        <f aca="false">IF(COUNTIFS($B$2:B2864,B2864,$C$2:C2864,C2864,$I$2:I2864,I2864)=1,1,0)</f>
        <v>1</v>
      </c>
      <c r="M2864" s="3" t="n">
        <f aca="false">IF(K2864&gt;=Parametri!$B$1,1,0)</f>
        <v>0</v>
      </c>
      <c r="N2864" s="3" t="n">
        <f aca="false">L2864*M2864</f>
        <v>0</v>
      </c>
    </row>
    <row r="2865" customFormat="false" ht="15" hidden="false" customHeight="false" outlineLevel="0" collapsed="false">
      <c r="A2865" s="0" t="s">
        <v>4399</v>
      </c>
      <c r="B2865" s="0" t="s">
        <v>46</v>
      </c>
      <c r="C2865" s="0" t="s">
        <v>4400</v>
      </c>
      <c r="D2865" s="0" t="s">
        <v>26</v>
      </c>
      <c r="E2865" s="2" t="n">
        <v>45849</v>
      </c>
      <c r="F2865" s="3" t="s">
        <v>20</v>
      </c>
      <c r="G2865" s="3" t="s">
        <v>43</v>
      </c>
      <c r="H2865" s="3" t="s">
        <v>48</v>
      </c>
      <c r="I2865" s="3" t="n">
        <f aca="false">YEAR(E2865)</f>
        <v>2025</v>
      </c>
      <c r="J2865" s="3" t="n">
        <f aca="false">MONTH(E2865)</f>
        <v>7</v>
      </c>
      <c r="K2865" s="3" t="n">
        <f aca="false">COUNTIFS($B$2:$B$4077,B2865,$C$2:$C$4077,C2865,$I$2:$I$4077,I2865)</f>
        <v>1</v>
      </c>
      <c r="L2865" s="3" t="n">
        <f aca="false">IF(COUNTIFS($B$2:B2865,B2865,$C$2:C2865,C2865,$I$2:I2865,I2865)=1,1,0)</f>
        <v>1</v>
      </c>
      <c r="M2865" s="3" t="n">
        <f aca="false">IF(K2865&gt;=Parametri!$B$1,1,0)</f>
        <v>0</v>
      </c>
      <c r="N2865" s="3" t="n">
        <f aca="false">L2865*M2865</f>
        <v>0</v>
      </c>
    </row>
    <row r="2866" customFormat="false" ht="15" hidden="false" customHeight="false" outlineLevel="0" collapsed="false">
      <c r="A2866" s="0" t="s">
        <v>4401</v>
      </c>
      <c r="B2866" s="0" t="s">
        <v>31</v>
      </c>
      <c r="C2866" s="0" t="s">
        <v>4402</v>
      </c>
      <c r="D2866" s="0" t="s">
        <v>63</v>
      </c>
      <c r="E2866" s="2" t="n">
        <v>46016</v>
      </c>
      <c r="F2866" s="3" t="s">
        <v>20</v>
      </c>
      <c r="G2866" s="3" t="s">
        <v>28</v>
      </c>
      <c r="H2866" s="3" t="s">
        <v>22</v>
      </c>
      <c r="I2866" s="3" t="n">
        <f aca="false">YEAR(E2866)</f>
        <v>2025</v>
      </c>
      <c r="J2866" s="3" t="n">
        <f aca="false">MONTH(E2866)</f>
        <v>12</v>
      </c>
      <c r="K2866" s="3" t="n">
        <f aca="false">COUNTIFS($B$2:$B$4077,B2866,$C$2:$C$4077,C2866,$I$2:$I$4077,I2866)</f>
        <v>1</v>
      </c>
      <c r="L2866" s="3" t="n">
        <f aca="false">IF(COUNTIFS($B$2:B2866,B2866,$C$2:C2866,C2866,$I$2:I2866,I2866)=1,1,0)</f>
        <v>1</v>
      </c>
      <c r="M2866" s="3" t="n">
        <f aca="false">IF(K2866&gt;=Parametri!$B$1,1,0)</f>
        <v>0</v>
      </c>
      <c r="N2866" s="3" t="n">
        <f aca="false">L2866*M2866</f>
        <v>0</v>
      </c>
    </row>
    <row r="2867" customFormat="false" ht="15" hidden="false" customHeight="false" outlineLevel="0" collapsed="false">
      <c r="A2867" s="0" t="s">
        <v>4403</v>
      </c>
      <c r="B2867" s="0" t="s">
        <v>31</v>
      </c>
      <c r="C2867" s="0" t="s">
        <v>4404</v>
      </c>
      <c r="D2867" s="0" t="s">
        <v>66</v>
      </c>
      <c r="E2867" s="2" t="n">
        <v>46257</v>
      </c>
      <c r="F2867" s="3" t="s">
        <v>20</v>
      </c>
      <c r="G2867" s="3" t="s">
        <v>35</v>
      </c>
      <c r="H2867" s="3" t="s">
        <v>22</v>
      </c>
      <c r="I2867" s="3" t="n">
        <f aca="false">YEAR(E2867)</f>
        <v>2026</v>
      </c>
      <c r="J2867" s="3" t="n">
        <f aca="false">MONTH(E2867)</f>
        <v>8</v>
      </c>
      <c r="K2867" s="3" t="n">
        <f aca="false">COUNTIFS($B$2:$B$4077,B2867,$C$2:$C$4077,C2867,$I$2:$I$4077,I2867)</f>
        <v>1</v>
      </c>
      <c r="L2867" s="3" t="n">
        <f aca="false">IF(COUNTIFS($B$2:B2867,B2867,$C$2:C2867,C2867,$I$2:I2867,I2867)=1,1,0)</f>
        <v>1</v>
      </c>
      <c r="M2867" s="3" t="n">
        <f aca="false">IF(K2867&gt;=Parametri!$B$1,1,0)</f>
        <v>0</v>
      </c>
      <c r="N2867" s="3" t="n">
        <f aca="false">L2867*M2867</f>
        <v>0</v>
      </c>
    </row>
    <row r="2868" customFormat="false" ht="15" hidden="false" customHeight="false" outlineLevel="0" collapsed="false">
      <c r="A2868" s="0" t="s">
        <v>4405</v>
      </c>
      <c r="B2868" s="0" t="s">
        <v>31</v>
      </c>
      <c r="C2868" s="0" t="s">
        <v>214</v>
      </c>
      <c r="D2868" s="0" t="s">
        <v>19</v>
      </c>
      <c r="E2868" s="2" t="n">
        <v>46018</v>
      </c>
      <c r="F2868" s="3" t="s">
        <v>20</v>
      </c>
      <c r="G2868" s="3" t="s">
        <v>43</v>
      </c>
      <c r="H2868" s="3" t="s">
        <v>48</v>
      </c>
      <c r="I2868" s="3" t="n">
        <f aca="false">YEAR(E2868)</f>
        <v>2025</v>
      </c>
      <c r="J2868" s="3" t="n">
        <f aca="false">MONTH(E2868)</f>
        <v>12</v>
      </c>
      <c r="K2868" s="3" t="n">
        <f aca="false">COUNTIFS($B$2:$B$4077,B2868,$C$2:$C$4077,C2868,$I$2:$I$4077,I2868)</f>
        <v>3</v>
      </c>
      <c r="L2868" s="3" t="n">
        <f aca="false">IF(COUNTIFS($B$2:B2868,B2868,$C$2:C2868,C2868,$I$2:I2868,I2868)=1,1,0)</f>
        <v>0</v>
      </c>
      <c r="M2868" s="3" t="n">
        <f aca="false">IF(K2868&gt;=Parametri!$B$1,1,0)</f>
        <v>1</v>
      </c>
      <c r="N2868" s="3" t="n">
        <f aca="false">L2868*M2868</f>
        <v>0</v>
      </c>
    </row>
    <row r="2869" customFormat="false" ht="15" hidden="false" customHeight="false" outlineLevel="0" collapsed="false">
      <c r="A2869" s="0" t="s">
        <v>4406</v>
      </c>
      <c r="B2869" s="0" t="s">
        <v>68</v>
      </c>
      <c r="C2869" s="0" t="s">
        <v>730</v>
      </c>
      <c r="D2869" s="0" t="s">
        <v>54</v>
      </c>
      <c r="E2869" s="2" t="n">
        <v>46186</v>
      </c>
      <c r="F2869" s="3" t="s">
        <v>34</v>
      </c>
      <c r="G2869" s="3" t="s">
        <v>39</v>
      </c>
      <c r="H2869" s="3" t="s">
        <v>48</v>
      </c>
      <c r="I2869" s="3" t="n">
        <f aca="false">YEAR(E2869)</f>
        <v>2026</v>
      </c>
      <c r="J2869" s="3" t="n">
        <f aca="false">MONTH(E2869)</f>
        <v>6</v>
      </c>
      <c r="K2869" s="3" t="n">
        <f aca="false">COUNTIFS($B$2:$B$4077,B2869,$C$2:$C$4077,C2869,$I$2:$I$4077,I2869)</f>
        <v>4</v>
      </c>
      <c r="L2869" s="3" t="n">
        <f aca="false">IF(COUNTIFS($B$2:B2869,B2869,$C$2:C2869,C2869,$I$2:I2869,I2869)=1,1,0)</f>
        <v>0</v>
      </c>
      <c r="M2869" s="3" t="n">
        <f aca="false">IF(K2869&gt;=Parametri!$B$1,1,0)</f>
        <v>1</v>
      </c>
      <c r="N2869" s="3" t="n">
        <f aca="false">L2869*M2869</f>
        <v>0</v>
      </c>
    </row>
    <row r="2870" customFormat="false" ht="15" hidden="false" customHeight="false" outlineLevel="0" collapsed="false">
      <c r="A2870" s="0" t="s">
        <v>4407</v>
      </c>
      <c r="B2870" s="0" t="s">
        <v>124</v>
      </c>
      <c r="C2870" s="0" t="s">
        <v>4408</v>
      </c>
      <c r="D2870" s="0" t="s">
        <v>19</v>
      </c>
      <c r="E2870" s="2" t="n">
        <v>45577</v>
      </c>
      <c r="F2870" s="3" t="s">
        <v>20</v>
      </c>
      <c r="G2870" s="3" t="s">
        <v>72</v>
      </c>
      <c r="H2870" s="3" t="s">
        <v>48</v>
      </c>
      <c r="I2870" s="3" t="n">
        <f aca="false">YEAR(E2870)</f>
        <v>2024</v>
      </c>
      <c r="J2870" s="3" t="n">
        <f aca="false">MONTH(E2870)</f>
        <v>10</v>
      </c>
      <c r="K2870" s="3" t="n">
        <f aca="false">COUNTIFS($B$2:$B$4077,B2870,$C$2:$C$4077,C2870,$I$2:$I$4077,I2870)</f>
        <v>1</v>
      </c>
      <c r="L2870" s="3" t="n">
        <f aca="false">IF(COUNTIFS($B$2:B2870,B2870,$C$2:C2870,C2870,$I$2:I2870,I2870)=1,1,0)</f>
        <v>1</v>
      </c>
      <c r="M2870" s="3" t="n">
        <f aca="false">IF(K2870&gt;=Parametri!$B$1,1,0)</f>
        <v>0</v>
      </c>
      <c r="N2870" s="3" t="n">
        <f aca="false">L2870*M2870</f>
        <v>0</v>
      </c>
    </row>
    <row r="2871" customFormat="false" ht="15" hidden="false" customHeight="false" outlineLevel="0" collapsed="false">
      <c r="A2871" s="0" t="s">
        <v>4409</v>
      </c>
      <c r="B2871" s="0" t="s">
        <v>68</v>
      </c>
      <c r="C2871" s="0" t="s">
        <v>4410</v>
      </c>
      <c r="D2871" s="0" t="s">
        <v>77</v>
      </c>
      <c r="E2871" s="2" t="n">
        <v>46085</v>
      </c>
      <c r="F2871" s="3" t="s">
        <v>20</v>
      </c>
      <c r="G2871" s="3" t="s">
        <v>55</v>
      </c>
      <c r="H2871" s="3" t="s">
        <v>44</v>
      </c>
      <c r="I2871" s="3" t="n">
        <f aca="false">YEAR(E2871)</f>
        <v>2026</v>
      </c>
      <c r="J2871" s="3" t="n">
        <f aca="false">MONTH(E2871)</f>
        <v>3</v>
      </c>
      <c r="K2871" s="3" t="n">
        <f aca="false">COUNTIFS($B$2:$B$4077,B2871,$C$2:$C$4077,C2871,$I$2:$I$4077,I2871)</f>
        <v>1</v>
      </c>
      <c r="L2871" s="3" t="n">
        <f aca="false">IF(COUNTIFS($B$2:B2871,B2871,$C$2:C2871,C2871,$I$2:I2871,I2871)=1,1,0)</f>
        <v>1</v>
      </c>
      <c r="M2871" s="3" t="n">
        <f aca="false">IF(K2871&gt;=Parametri!$B$1,1,0)</f>
        <v>0</v>
      </c>
      <c r="N2871" s="3" t="n">
        <f aca="false">L2871*M2871</f>
        <v>0</v>
      </c>
    </row>
    <row r="2872" customFormat="false" ht="15" hidden="false" customHeight="false" outlineLevel="0" collapsed="false">
      <c r="A2872" s="0" t="s">
        <v>4411</v>
      </c>
      <c r="B2872" s="0" t="s">
        <v>17</v>
      </c>
      <c r="C2872" s="0" t="s">
        <v>4347</v>
      </c>
      <c r="D2872" s="0" t="s">
        <v>19</v>
      </c>
      <c r="E2872" s="2" t="n">
        <v>46204</v>
      </c>
      <c r="F2872" s="3" t="s">
        <v>20</v>
      </c>
      <c r="G2872" s="3" t="s">
        <v>72</v>
      </c>
      <c r="H2872" s="3" t="s">
        <v>22</v>
      </c>
      <c r="I2872" s="3" t="n">
        <f aca="false">YEAR(E2872)</f>
        <v>2026</v>
      </c>
      <c r="J2872" s="3" t="n">
        <f aca="false">MONTH(E2872)</f>
        <v>7</v>
      </c>
      <c r="K2872" s="3" t="n">
        <f aca="false">COUNTIFS($B$2:$B$4077,B2872,$C$2:$C$4077,C2872,$I$2:$I$4077,I2872)</f>
        <v>2</v>
      </c>
      <c r="L2872" s="3" t="n">
        <f aca="false">IF(COUNTIFS($B$2:B2872,B2872,$C$2:C2872,C2872,$I$2:I2872,I2872)=1,1,0)</f>
        <v>0</v>
      </c>
      <c r="M2872" s="3" t="n">
        <f aca="false">IF(K2872&gt;=Parametri!$B$1,1,0)</f>
        <v>1</v>
      </c>
      <c r="N2872" s="3" t="n">
        <f aca="false">L2872*M2872</f>
        <v>0</v>
      </c>
    </row>
    <row r="2873" customFormat="false" ht="15" hidden="false" customHeight="false" outlineLevel="0" collapsed="false">
      <c r="A2873" s="0" t="s">
        <v>4412</v>
      </c>
      <c r="B2873" s="0" t="s">
        <v>50</v>
      </c>
      <c r="C2873" s="0" t="s">
        <v>4413</v>
      </c>
      <c r="D2873" s="0" t="s">
        <v>38</v>
      </c>
      <c r="E2873" s="2" t="n">
        <v>46174</v>
      </c>
      <c r="F2873" s="3" t="s">
        <v>27</v>
      </c>
      <c r="G2873" s="3" t="s">
        <v>21</v>
      </c>
      <c r="H2873" s="3" t="s">
        <v>29</v>
      </c>
      <c r="I2873" s="3" t="n">
        <f aca="false">YEAR(E2873)</f>
        <v>2026</v>
      </c>
      <c r="J2873" s="3" t="n">
        <f aca="false">MONTH(E2873)</f>
        <v>6</v>
      </c>
      <c r="K2873" s="3" t="n">
        <f aca="false">COUNTIFS($B$2:$B$4077,B2873,$C$2:$C$4077,C2873,$I$2:$I$4077,I2873)</f>
        <v>1</v>
      </c>
      <c r="L2873" s="3" t="n">
        <f aca="false">IF(COUNTIFS($B$2:B2873,B2873,$C$2:C2873,C2873,$I$2:I2873,I2873)=1,1,0)</f>
        <v>1</v>
      </c>
      <c r="M2873" s="3" t="n">
        <f aca="false">IF(K2873&gt;=Parametri!$B$1,1,0)</f>
        <v>0</v>
      </c>
      <c r="N2873" s="3" t="n">
        <f aca="false">L2873*M2873</f>
        <v>0</v>
      </c>
    </row>
    <row r="2874" customFormat="false" ht="15" hidden="false" customHeight="false" outlineLevel="0" collapsed="false">
      <c r="A2874" s="0" t="s">
        <v>4414</v>
      </c>
      <c r="B2874" s="0" t="s">
        <v>17</v>
      </c>
      <c r="C2874" s="0" t="s">
        <v>525</v>
      </c>
      <c r="D2874" s="0" t="s">
        <v>77</v>
      </c>
      <c r="E2874" s="2" t="n">
        <v>45761</v>
      </c>
      <c r="F2874" s="3" t="s">
        <v>27</v>
      </c>
      <c r="G2874" s="3" t="s">
        <v>21</v>
      </c>
      <c r="H2874" s="3" t="s">
        <v>29</v>
      </c>
      <c r="I2874" s="3" t="n">
        <f aca="false">YEAR(E2874)</f>
        <v>2025</v>
      </c>
      <c r="J2874" s="3" t="n">
        <f aca="false">MONTH(E2874)</f>
        <v>4</v>
      </c>
      <c r="K2874" s="3" t="n">
        <f aca="false">COUNTIFS($B$2:$B$4077,B2874,$C$2:$C$4077,C2874,$I$2:$I$4077,I2874)</f>
        <v>1</v>
      </c>
      <c r="L2874" s="3" t="n">
        <f aca="false">IF(COUNTIFS($B$2:B2874,B2874,$C$2:C2874,C2874,$I$2:I2874,I2874)=1,1,0)</f>
        <v>1</v>
      </c>
      <c r="M2874" s="3" t="n">
        <f aca="false">IF(K2874&gt;=Parametri!$B$1,1,0)</f>
        <v>0</v>
      </c>
      <c r="N2874" s="3" t="n">
        <f aca="false">L2874*M2874</f>
        <v>0</v>
      </c>
    </row>
    <row r="2875" customFormat="false" ht="15" hidden="false" customHeight="false" outlineLevel="0" collapsed="false">
      <c r="A2875" s="0" t="s">
        <v>4415</v>
      </c>
      <c r="B2875" s="0" t="s">
        <v>50</v>
      </c>
      <c r="C2875" s="0" t="s">
        <v>3481</v>
      </c>
      <c r="D2875" s="0" t="s">
        <v>54</v>
      </c>
      <c r="E2875" s="2" t="n">
        <v>45576</v>
      </c>
      <c r="F2875" s="3" t="s">
        <v>20</v>
      </c>
      <c r="G2875" s="3" t="s">
        <v>39</v>
      </c>
      <c r="H2875" s="3" t="s">
        <v>48</v>
      </c>
      <c r="I2875" s="3" t="n">
        <f aca="false">YEAR(E2875)</f>
        <v>2024</v>
      </c>
      <c r="J2875" s="3" t="n">
        <f aca="false">MONTH(E2875)</f>
        <v>10</v>
      </c>
      <c r="K2875" s="3" t="n">
        <f aca="false">COUNTIFS($B$2:$B$4077,B2875,$C$2:$C$4077,C2875,$I$2:$I$4077,I2875)</f>
        <v>1</v>
      </c>
      <c r="L2875" s="3" t="n">
        <f aca="false">IF(COUNTIFS($B$2:B2875,B2875,$C$2:C2875,C2875,$I$2:I2875,I2875)=1,1,0)</f>
        <v>1</v>
      </c>
      <c r="M2875" s="3" t="n">
        <f aca="false">IF(K2875&gt;=Parametri!$B$1,1,0)</f>
        <v>0</v>
      </c>
      <c r="N2875" s="3" t="n">
        <f aca="false">L2875*M2875</f>
        <v>0</v>
      </c>
    </row>
    <row r="2876" customFormat="false" ht="15" hidden="false" customHeight="false" outlineLevel="0" collapsed="false">
      <c r="A2876" s="0" t="s">
        <v>4416</v>
      </c>
      <c r="B2876" s="0" t="s">
        <v>124</v>
      </c>
      <c r="C2876" s="0" t="s">
        <v>2331</v>
      </c>
      <c r="D2876" s="0" t="s">
        <v>33</v>
      </c>
      <c r="E2876" s="2" t="n">
        <v>45545</v>
      </c>
      <c r="F2876" s="3" t="s">
        <v>34</v>
      </c>
      <c r="G2876" s="3" t="s">
        <v>39</v>
      </c>
      <c r="H2876" s="3" t="s">
        <v>48</v>
      </c>
      <c r="I2876" s="3" t="n">
        <f aca="false">YEAR(E2876)</f>
        <v>2024</v>
      </c>
      <c r="J2876" s="3" t="n">
        <f aca="false">MONTH(E2876)</f>
        <v>9</v>
      </c>
      <c r="K2876" s="3" t="n">
        <f aca="false">COUNTIFS($B$2:$B$4077,B2876,$C$2:$C$4077,C2876,$I$2:$I$4077,I2876)</f>
        <v>1</v>
      </c>
      <c r="L2876" s="3" t="n">
        <f aca="false">IF(COUNTIFS($B$2:B2876,B2876,$C$2:C2876,C2876,$I$2:I2876,I2876)=1,1,0)</f>
        <v>1</v>
      </c>
      <c r="M2876" s="3" t="n">
        <f aca="false">IF(K2876&gt;=Parametri!$B$1,1,0)</f>
        <v>0</v>
      </c>
      <c r="N2876" s="3" t="n">
        <f aca="false">L2876*M2876</f>
        <v>0</v>
      </c>
    </row>
    <row r="2877" customFormat="false" ht="15" hidden="false" customHeight="false" outlineLevel="0" collapsed="false">
      <c r="A2877" s="0" t="s">
        <v>4417</v>
      </c>
      <c r="B2877" s="0" t="s">
        <v>31</v>
      </c>
      <c r="C2877" s="0" t="s">
        <v>613</v>
      </c>
      <c r="D2877" s="0" t="s">
        <v>54</v>
      </c>
      <c r="E2877" s="2" t="n">
        <v>45400</v>
      </c>
      <c r="F2877" s="3" t="s">
        <v>20</v>
      </c>
      <c r="G2877" s="3" t="s">
        <v>28</v>
      </c>
      <c r="H2877" s="3" t="s">
        <v>44</v>
      </c>
      <c r="I2877" s="3" t="n">
        <f aca="false">YEAR(E2877)</f>
        <v>2024</v>
      </c>
      <c r="J2877" s="3" t="n">
        <f aca="false">MONTH(E2877)</f>
        <v>4</v>
      </c>
      <c r="K2877" s="3" t="n">
        <f aca="false">COUNTIFS($B$2:$B$4077,B2877,$C$2:$C$4077,C2877,$I$2:$I$4077,I2877)</f>
        <v>2</v>
      </c>
      <c r="L2877" s="3" t="n">
        <f aca="false">IF(COUNTIFS($B$2:B2877,B2877,$C$2:C2877,C2877,$I$2:I2877,I2877)=1,1,0)</f>
        <v>0</v>
      </c>
      <c r="M2877" s="3" t="n">
        <f aca="false">IF(K2877&gt;=Parametri!$B$1,1,0)</f>
        <v>1</v>
      </c>
      <c r="N2877" s="3" t="n">
        <f aca="false">L2877*M2877</f>
        <v>0</v>
      </c>
    </row>
    <row r="2878" customFormat="false" ht="15" hidden="false" customHeight="false" outlineLevel="0" collapsed="false">
      <c r="A2878" s="0" t="s">
        <v>4418</v>
      </c>
      <c r="B2878" s="0" t="s">
        <v>124</v>
      </c>
      <c r="C2878" s="0" t="s">
        <v>1040</v>
      </c>
      <c r="D2878" s="0" t="s">
        <v>54</v>
      </c>
      <c r="E2878" s="2" t="n">
        <v>45715</v>
      </c>
      <c r="F2878" s="3" t="s">
        <v>20</v>
      </c>
      <c r="G2878" s="3" t="s">
        <v>55</v>
      </c>
      <c r="H2878" s="3" t="s">
        <v>44</v>
      </c>
      <c r="I2878" s="3" t="n">
        <f aca="false">YEAR(E2878)</f>
        <v>2025</v>
      </c>
      <c r="J2878" s="3" t="n">
        <f aca="false">MONTH(E2878)</f>
        <v>2</v>
      </c>
      <c r="K2878" s="3" t="n">
        <f aca="false">COUNTIFS($B$2:$B$4077,B2878,$C$2:$C$4077,C2878,$I$2:$I$4077,I2878)</f>
        <v>3</v>
      </c>
      <c r="L2878" s="3" t="n">
        <f aca="false">IF(COUNTIFS($B$2:B2878,B2878,$C$2:C2878,C2878,$I$2:I2878,I2878)=1,1,0)</f>
        <v>0</v>
      </c>
      <c r="M2878" s="3" t="n">
        <f aca="false">IF(K2878&gt;=Parametri!$B$1,1,0)</f>
        <v>1</v>
      </c>
      <c r="N2878" s="3" t="n">
        <f aca="false">L2878*M2878</f>
        <v>0</v>
      </c>
    </row>
    <row r="2879" customFormat="false" ht="15" hidden="false" customHeight="false" outlineLevel="0" collapsed="false">
      <c r="A2879" s="0" t="s">
        <v>4419</v>
      </c>
      <c r="B2879" s="0" t="s">
        <v>17</v>
      </c>
      <c r="C2879" s="0" t="s">
        <v>208</v>
      </c>
      <c r="D2879" s="0" t="s">
        <v>77</v>
      </c>
      <c r="E2879" s="2" t="n">
        <v>45814</v>
      </c>
      <c r="F2879" s="3" t="s">
        <v>20</v>
      </c>
      <c r="G2879" s="3" t="s">
        <v>89</v>
      </c>
      <c r="H2879" s="3" t="s">
        <v>29</v>
      </c>
      <c r="I2879" s="3" t="n">
        <f aca="false">YEAR(E2879)</f>
        <v>2025</v>
      </c>
      <c r="J2879" s="3" t="n">
        <f aca="false">MONTH(E2879)</f>
        <v>6</v>
      </c>
      <c r="K2879" s="3" t="n">
        <f aca="false">COUNTIFS($B$2:$B$4077,B2879,$C$2:$C$4077,C2879,$I$2:$I$4077,I2879)</f>
        <v>4</v>
      </c>
      <c r="L2879" s="3" t="n">
        <f aca="false">IF(COUNTIFS($B$2:B2879,B2879,$C$2:C2879,C2879,$I$2:I2879,I2879)=1,1,0)</f>
        <v>0</v>
      </c>
      <c r="M2879" s="3" t="n">
        <f aca="false">IF(K2879&gt;=Parametri!$B$1,1,0)</f>
        <v>1</v>
      </c>
      <c r="N2879" s="3" t="n">
        <f aca="false">L2879*M2879</f>
        <v>0</v>
      </c>
    </row>
    <row r="2880" customFormat="false" ht="15" hidden="false" customHeight="false" outlineLevel="0" collapsed="false">
      <c r="A2880" s="0" t="s">
        <v>4420</v>
      </c>
      <c r="B2880" s="0" t="s">
        <v>124</v>
      </c>
      <c r="C2880" s="0" t="s">
        <v>4421</v>
      </c>
      <c r="D2880" s="0" t="s">
        <v>63</v>
      </c>
      <c r="E2880" s="2" t="n">
        <v>45930</v>
      </c>
      <c r="F2880" s="3" t="s">
        <v>27</v>
      </c>
      <c r="G2880" s="3" t="s">
        <v>72</v>
      </c>
      <c r="H2880" s="3" t="s">
        <v>29</v>
      </c>
      <c r="I2880" s="3" t="n">
        <f aca="false">YEAR(E2880)</f>
        <v>2025</v>
      </c>
      <c r="J2880" s="3" t="n">
        <f aca="false">MONTH(E2880)</f>
        <v>9</v>
      </c>
      <c r="K2880" s="3" t="n">
        <f aca="false">COUNTIFS($B$2:$B$4077,B2880,$C$2:$C$4077,C2880,$I$2:$I$4077,I2880)</f>
        <v>1</v>
      </c>
      <c r="L2880" s="3" t="n">
        <f aca="false">IF(COUNTIFS($B$2:B2880,B2880,$C$2:C2880,C2880,$I$2:I2880,I2880)=1,1,0)</f>
        <v>1</v>
      </c>
      <c r="M2880" s="3" t="n">
        <f aca="false">IF(K2880&gt;=Parametri!$B$1,1,0)</f>
        <v>0</v>
      </c>
      <c r="N2880" s="3" t="n">
        <f aca="false">L2880*M2880</f>
        <v>0</v>
      </c>
    </row>
    <row r="2881" customFormat="false" ht="15" hidden="false" customHeight="false" outlineLevel="0" collapsed="false">
      <c r="A2881" s="0" t="s">
        <v>4422</v>
      </c>
      <c r="B2881" s="0" t="s">
        <v>68</v>
      </c>
      <c r="C2881" s="0" t="s">
        <v>4423</v>
      </c>
      <c r="D2881" s="0" t="s">
        <v>33</v>
      </c>
      <c r="E2881" s="2" t="n">
        <v>46119</v>
      </c>
      <c r="F2881" s="3" t="s">
        <v>20</v>
      </c>
      <c r="G2881" s="3" t="s">
        <v>89</v>
      </c>
      <c r="H2881" s="3" t="s">
        <v>48</v>
      </c>
      <c r="I2881" s="3" t="n">
        <f aca="false">YEAR(E2881)</f>
        <v>2026</v>
      </c>
      <c r="J2881" s="3" t="n">
        <f aca="false">MONTH(E2881)</f>
        <v>4</v>
      </c>
      <c r="K2881" s="3" t="n">
        <f aca="false">COUNTIFS($B$2:$B$4077,B2881,$C$2:$C$4077,C2881,$I$2:$I$4077,I2881)</f>
        <v>1</v>
      </c>
      <c r="L2881" s="3" t="n">
        <f aca="false">IF(COUNTIFS($B$2:B2881,B2881,$C$2:C2881,C2881,$I$2:I2881,I2881)=1,1,0)</f>
        <v>1</v>
      </c>
      <c r="M2881" s="3" t="n">
        <f aca="false">IF(K2881&gt;=Parametri!$B$1,1,0)</f>
        <v>0</v>
      </c>
      <c r="N2881" s="3" t="n">
        <f aca="false">L2881*M2881</f>
        <v>0</v>
      </c>
    </row>
    <row r="2882" customFormat="false" ht="15" hidden="false" customHeight="false" outlineLevel="0" collapsed="false">
      <c r="A2882" s="0" t="s">
        <v>4424</v>
      </c>
      <c r="B2882" s="0" t="s">
        <v>41</v>
      </c>
      <c r="C2882" s="0" t="s">
        <v>4425</v>
      </c>
      <c r="D2882" s="0" t="s">
        <v>54</v>
      </c>
      <c r="E2882" s="2" t="n">
        <v>45869</v>
      </c>
      <c r="F2882" s="3" t="s">
        <v>20</v>
      </c>
      <c r="G2882" s="3" t="s">
        <v>35</v>
      </c>
      <c r="H2882" s="3" t="s">
        <v>48</v>
      </c>
      <c r="I2882" s="3" t="n">
        <f aca="false">YEAR(E2882)</f>
        <v>2025</v>
      </c>
      <c r="J2882" s="3" t="n">
        <f aca="false">MONTH(E2882)</f>
        <v>7</v>
      </c>
      <c r="K2882" s="3" t="n">
        <f aca="false">COUNTIFS($B$2:$B$4077,B2882,$C$2:$C$4077,C2882,$I$2:$I$4077,I2882)</f>
        <v>1</v>
      </c>
      <c r="L2882" s="3" t="n">
        <f aca="false">IF(COUNTIFS($B$2:B2882,B2882,$C$2:C2882,C2882,$I$2:I2882,I2882)=1,1,0)</f>
        <v>1</v>
      </c>
      <c r="M2882" s="3" t="n">
        <f aca="false">IF(K2882&gt;=Parametri!$B$1,1,0)</f>
        <v>0</v>
      </c>
      <c r="N2882" s="3" t="n">
        <f aca="false">L2882*M2882</f>
        <v>0</v>
      </c>
    </row>
    <row r="2883" customFormat="false" ht="15" hidden="false" customHeight="false" outlineLevel="0" collapsed="false">
      <c r="A2883" s="0" t="s">
        <v>4426</v>
      </c>
      <c r="B2883" s="0" t="s">
        <v>24</v>
      </c>
      <c r="C2883" s="0" t="s">
        <v>1533</v>
      </c>
      <c r="D2883" s="0" t="s">
        <v>38</v>
      </c>
      <c r="E2883" s="2" t="n">
        <v>45907</v>
      </c>
      <c r="F2883" s="3" t="s">
        <v>20</v>
      </c>
      <c r="G2883" s="3" t="s">
        <v>21</v>
      </c>
      <c r="H2883" s="3" t="s">
        <v>22</v>
      </c>
      <c r="I2883" s="3" t="n">
        <f aca="false">YEAR(E2883)</f>
        <v>2025</v>
      </c>
      <c r="J2883" s="3" t="n">
        <f aca="false">MONTH(E2883)</f>
        <v>9</v>
      </c>
      <c r="K2883" s="3" t="n">
        <f aca="false">COUNTIFS($B$2:$B$4077,B2883,$C$2:$C$4077,C2883,$I$2:$I$4077,I2883)</f>
        <v>2</v>
      </c>
      <c r="L2883" s="3" t="n">
        <f aca="false">IF(COUNTIFS($B$2:B2883,B2883,$C$2:C2883,C2883,$I$2:I2883,I2883)=1,1,0)</f>
        <v>0</v>
      </c>
      <c r="M2883" s="3" t="n">
        <f aca="false">IF(K2883&gt;=Parametri!$B$1,1,0)</f>
        <v>1</v>
      </c>
      <c r="N2883" s="3" t="n">
        <f aca="false">L2883*M2883</f>
        <v>0</v>
      </c>
    </row>
    <row r="2884" customFormat="false" ht="15" hidden="false" customHeight="false" outlineLevel="0" collapsed="false">
      <c r="A2884" s="0" t="s">
        <v>4427</v>
      </c>
      <c r="B2884" s="0" t="s">
        <v>124</v>
      </c>
      <c r="C2884" s="0" t="s">
        <v>3898</v>
      </c>
      <c r="D2884" s="0" t="s">
        <v>33</v>
      </c>
      <c r="E2884" s="2" t="n">
        <v>46164</v>
      </c>
      <c r="F2884" s="3" t="s">
        <v>34</v>
      </c>
      <c r="G2884" s="3" t="s">
        <v>43</v>
      </c>
      <c r="H2884" s="3" t="s">
        <v>44</v>
      </c>
      <c r="I2884" s="3" t="n">
        <f aca="false">YEAR(E2884)</f>
        <v>2026</v>
      </c>
      <c r="J2884" s="3" t="n">
        <f aca="false">MONTH(E2884)</f>
        <v>5</v>
      </c>
      <c r="K2884" s="3" t="n">
        <f aca="false">COUNTIFS($B$2:$B$4077,B2884,$C$2:$C$4077,C2884,$I$2:$I$4077,I2884)</f>
        <v>1</v>
      </c>
      <c r="L2884" s="3" t="n">
        <f aca="false">IF(COUNTIFS($B$2:B2884,B2884,$C$2:C2884,C2884,$I$2:I2884,I2884)=1,1,0)</f>
        <v>1</v>
      </c>
      <c r="M2884" s="3" t="n">
        <f aca="false">IF(K2884&gt;=Parametri!$B$1,1,0)</f>
        <v>0</v>
      </c>
      <c r="N2884" s="3" t="n">
        <f aca="false">L2884*M2884</f>
        <v>0</v>
      </c>
    </row>
    <row r="2885" customFormat="false" ht="15" hidden="false" customHeight="false" outlineLevel="0" collapsed="false">
      <c r="A2885" s="0" t="s">
        <v>4428</v>
      </c>
      <c r="B2885" s="0" t="s">
        <v>24</v>
      </c>
      <c r="C2885" s="0" t="s">
        <v>4429</v>
      </c>
      <c r="D2885" s="0" t="s">
        <v>54</v>
      </c>
      <c r="E2885" s="2" t="n">
        <v>45534</v>
      </c>
      <c r="F2885" s="3" t="s">
        <v>34</v>
      </c>
      <c r="G2885" s="3" t="s">
        <v>35</v>
      </c>
      <c r="H2885" s="3" t="s">
        <v>44</v>
      </c>
      <c r="I2885" s="3" t="n">
        <f aca="false">YEAR(E2885)</f>
        <v>2024</v>
      </c>
      <c r="J2885" s="3" t="n">
        <f aca="false">MONTH(E2885)</f>
        <v>8</v>
      </c>
      <c r="K2885" s="3" t="n">
        <f aca="false">COUNTIFS($B$2:$B$4077,B2885,$C$2:$C$4077,C2885,$I$2:$I$4077,I2885)</f>
        <v>1</v>
      </c>
      <c r="L2885" s="3" t="n">
        <f aca="false">IF(COUNTIFS($B$2:B2885,B2885,$C$2:C2885,C2885,$I$2:I2885,I2885)=1,1,0)</f>
        <v>1</v>
      </c>
      <c r="M2885" s="3" t="n">
        <f aca="false">IF(K2885&gt;=Parametri!$B$1,1,0)</f>
        <v>0</v>
      </c>
      <c r="N2885" s="3" t="n">
        <f aca="false">L2885*M2885</f>
        <v>0</v>
      </c>
    </row>
    <row r="2886" customFormat="false" ht="15" hidden="false" customHeight="false" outlineLevel="0" collapsed="false">
      <c r="A2886" s="0" t="s">
        <v>4430</v>
      </c>
      <c r="B2886" s="0" t="s">
        <v>17</v>
      </c>
      <c r="C2886" s="0" t="s">
        <v>791</v>
      </c>
      <c r="D2886" s="0" t="s">
        <v>19</v>
      </c>
      <c r="E2886" s="2" t="n">
        <v>45496</v>
      </c>
      <c r="F2886" s="3" t="s">
        <v>20</v>
      </c>
      <c r="G2886" s="3" t="s">
        <v>104</v>
      </c>
      <c r="H2886" s="3" t="s">
        <v>44</v>
      </c>
      <c r="I2886" s="3" t="n">
        <f aca="false">YEAR(E2886)</f>
        <v>2024</v>
      </c>
      <c r="J2886" s="3" t="n">
        <f aca="false">MONTH(E2886)</f>
        <v>7</v>
      </c>
      <c r="K2886" s="3" t="n">
        <f aca="false">COUNTIFS($B$2:$B$4077,B2886,$C$2:$C$4077,C2886,$I$2:$I$4077,I2886)</f>
        <v>7</v>
      </c>
      <c r="L2886" s="3" t="n">
        <f aca="false">IF(COUNTIFS($B$2:B2886,B2886,$C$2:C2886,C2886,$I$2:I2886,I2886)=1,1,0)</f>
        <v>0</v>
      </c>
      <c r="M2886" s="3" t="n">
        <f aca="false">IF(K2886&gt;=Parametri!$B$1,1,0)</f>
        <v>1</v>
      </c>
      <c r="N2886" s="3" t="n">
        <f aca="false">L2886*M2886</f>
        <v>0</v>
      </c>
    </row>
    <row r="2887" customFormat="false" ht="15" hidden="false" customHeight="false" outlineLevel="0" collapsed="false">
      <c r="A2887" s="0" t="s">
        <v>4431</v>
      </c>
      <c r="B2887" s="0" t="s">
        <v>24</v>
      </c>
      <c r="C2887" s="0" t="s">
        <v>4432</v>
      </c>
      <c r="D2887" s="0" t="s">
        <v>33</v>
      </c>
      <c r="E2887" s="2" t="n">
        <v>46100</v>
      </c>
      <c r="F2887" s="3" t="s">
        <v>20</v>
      </c>
      <c r="G2887" s="3" t="s">
        <v>55</v>
      </c>
      <c r="H2887" s="3" t="s">
        <v>29</v>
      </c>
      <c r="I2887" s="3" t="n">
        <f aca="false">YEAR(E2887)</f>
        <v>2026</v>
      </c>
      <c r="J2887" s="3" t="n">
        <f aca="false">MONTH(E2887)</f>
        <v>3</v>
      </c>
      <c r="K2887" s="3" t="n">
        <f aca="false">COUNTIFS($B$2:$B$4077,B2887,$C$2:$C$4077,C2887,$I$2:$I$4077,I2887)</f>
        <v>2</v>
      </c>
      <c r="L2887" s="3" t="n">
        <f aca="false">IF(COUNTIFS($B$2:B2887,B2887,$C$2:C2887,C2887,$I$2:I2887,I2887)=1,1,0)</f>
        <v>1</v>
      </c>
      <c r="M2887" s="3" t="n">
        <f aca="false">IF(K2887&gt;=Parametri!$B$1,1,0)</f>
        <v>1</v>
      </c>
      <c r="N2887" s="3" t="n">
        <f aca="false">L2887*M2887</f>
        <v>1</v>
      </c>
    </row>
    <row r="2888" customFormat="false" ht="15" hidden="false" customHeight="false" outlineLevel="0" collapsed="false">
      <c r="A2888" s="0" t="s">
        <v>4433</v>
      </c>
      <c r="B2888" s="0" t="s">
        <v>31</v>
      </c>
      <c r="C2888" s="0" t="s">
        <v>977</v>
      </c>
      <c r="D2888" s="0" t="s">
        <v>77</v>
      </c>
      <c r="E2888" s="2" t="n">
        <v>45566</v>
      </c>
      <c r="F2888" s="3" t="s">
        <v>20</v>
      </c>
      <c r="G2888" s="3" t="s">
        <v>89</v>
      </c>
      <c r="H2888" s="3" t="s">
        <v>22</v>
      </c>
      <c r="I2888" s="3" t="n">
        <f aca="false">YEAR(E2888)</f>
        <v>2024</v>
      </c>
      <c r="J2888" s="3" t="n">
        <f aca="false">MONTH(E2888)</f>
        <v>10</v>
      </c>
      <c r="K2888" s="3" t="n">
        <f aca="false">COUNTIFS($B$2:$B$4077,B2888,$C$2:$C$4077,C2888,$I$2:$I$4077,I2888)</f>
        <v>1</v>
      </c>
      <c r="L2888" s="3" t="n">
        <f aca="false">IF(COUNTIFS($B$2:B2888,B2888,$C$2:C2888,C2888,$I$2:I2888,I2888)=1,1,0)</f>
        <v>1</v>
      </c>
      <c r="M2888" s="3" t="n">
        <f aca="false">IF(K2888&gt;=Parametri!$B$1,1,0)</f>
        <v>0</v>
      </c>
      <c r="N2888" s="3" t="n">
        <f aca="false">L2888*M2888</f>
        <v>0</v>
      </c>
    </row>
    <row r="2889" customFormat="false" ht="15" hidden="false" customHeight="false" outlineLevel="0" collapsed="false">
      <c r="A2889" s="0" t="s">
        <v>4434</v>
      </c>
      <c r="B2889" s="0" t="s">
        <v>124</v>
      </c>
      <c r="C2889" s="0" t="s">
        <v>196</v>
      </c>
      <c r="D2889" s="0" t="s">
        <v>33</v>
      </c>
      <c r="E2889" s="2" t="n">
        <v>45555</v>
      </c>
      <c r="F2889" s="3" t="s">
        <v>20</v>
      </c>
      <c r="G2889" s="3" t="s">
        <v>39</v>
      </c>
      <c r="H2889" s="3" t="s">
        <v>29</v>
      </c>
      <c r="I2889" s="3" t="n">
        <f aca="false">YEAR(E2889)</f>
        <v>2024</v>
      </c>
      <c r="J2889" s="3" t="n">
        <f aca="false">MONTH(E2889)</f>
        <v>9</v>
      </c>
      <c r="K2889" s="3" t="n">
        <f aca="false">COUNTIFS($B$2:$B$4077,B2889,$C$2:$C$4077,C2889,$I$2:$I$4077,I2889)</f>
        <v>8</v>
      </c>
      <c r="L2889" s="3" t="n">
        <f aca="false">IF(COUNTIFS($B$2:B2889,B2889,$C$2:C2889,C2889,$I$2:I2889,I2889)=1,1,0)</f>
        <v>0</v>
      </c>
      <c r="M2889" s="3" t="n">
        <f aca="false">IF(K2889&gt;=Parametri!$B$1,1,0)</f>
        <v>1</v>
      </c>
      <c r="N2889" s="3" t="n">
        <f aca="false">L2889*M2889</f>
        <v>0</v>
      </c>
    </row>
    <row r="2890" customFormat="false" ht="15" hidden="false" customHeight="false" outlineLevel="0" collapsed="false">
      <c r="A2890" s="0" t="s">
        <v>4435</v>
      </c>
      <c r="B2890" s="0" t="s">
        <v>41</v>
      </c>
      <c r="C2890" s="0" t="s">
        <v>3104</v>
      </c>
      <c r="D2890" s="0" t="s">
        <v>66</v>
      </c>
      <c r="E2890" s="2" t="n">
        <v>45959</v>
      </c>
      <c r="F2890" s="3" t="s">
        <v>20</v>
      </c>
      <c r="G2890" s="3" t="s">
        <v>28</v>
      </c>
      <c r="H2890" s="3" t="s">
        <v>29</v>
      </c>
      <c r="I2890" s="3" t="n">
        <f aca="false">YEAR(E2890)</f>
        <v>2025</v>
      </c>
      <c r="J2890" s="3" t="n">
        <f aca="false">MONTH(E2890)</f>
        <v>10</v>
      </c>
      <c r="K2890" s="3" t="n">
        <f aca="false">COUNTIFS($B$2:$B$4077,B2890,$C$2:$C$4077,C2890,$I$2:$I$4077,I2890)</f>
        <v>2</v>
      </c>
      <c r="L2890" s="3" t="n">
        <f aca="false">IF(COUNTIFS($B$2:B2890,B2890,$C$2:C2890,C2890,$I$2:I2890,I2890)=1,1,0)</f>
        <v>1</v>
      </c>
      <c r="M2890" s="3" t="n">
        <f aca="false">IF(K2890&gt;=Parametri!$B$1,1,0)</f>
        <v>1</v>
      </c>
      <c r="N2890" s="3" t="n">
        <f aca="false">L2890*M2890</f>
        <v>1</v>
      </c>
    </row>
    <row r="2891" customFormat="false" ht="15" hidden="false" customHeight="false" outlineLevel="0" collapsed="false">
      <c r="A2891" s="0" t="s">
        <v>4436</v>
      </c>
      <c r="B2891" s="0" t="s">
        <v>17</v>
      </c>
      <c r="C2891" s="0" t="s">
        <v>915</v>
      </c>
      <c r="D2891" s="0" t="s">
        <v>77</v>
      </c>
      <c r="E2891" s="2" t="n">
        <v>45385</v>
      </c>
      <c r="F2891" s="3" t="s">
        <v>104</v>
      </c>
      <c r="G2891" s="3" t="s">
        <v>104</v>
      </c>
      <c r="H2891" s="3" t="s">
        <v>104</v>
      </c>
      <c r="I2891" s="3" t="n">
        <f aca="false">YEAR(E2891)</f>
        <v>2024</v>
      </c>
      <c r="J2891" s="3" t="n">
        <f aca="false">MONTH(E2891)</f>
        <v>4</v>
      </c>
      <c r="K2891" s="3" t="n">
        <f aca="false">COUNTIFS($B$2:$B$4077,B2891,$C$2:$C$4077,C2891,$I$2:$I$4077,I2891)</f>
        <v>5</v>
      </c>
      <c r="L2891" s="3" t="n">
        <f aca="false">IF(COUNTIFS($B$2:B2891,B2891,$C$2:C2891,C2891,$I$2:I2891,I2891)=1,1,0)</f>
        <v>0</v>
      </c>
      <c r="M2891" s="3" t="n">
        <f aca="false">IF(K2891&gt;=Parametri!$B$1,1,0)</f>
        <v>1</v>
      </c>
      <c r="N2891" s="3" t="n">
        <f aca="false">L2891*M2891</f>
        <v>0</v>
      </c>
    </row>
    <row r="2892" customFormat="false" ht="15" hidden="false" customHeight="false" outlineLevel="0" collapsed="false">
      <c r="A2892" s="0" t="s">
        <v>4437</v>
      </c>
      <c r="B2892" s="0" t="s">
        <v>31</v>
      </c>
      <c r="C2892" s="0" t="s">
        <v>4438</v>
      </c>
      <c r="D2892" s="0" t="s">
        <v>66</v>
      </c>
      <c r="E2892" s="2" t="n">
        <v>46262</v>
      </c>
      <c r="F2892" s="3" t="s">
        <v>27</v>
      </c>
      <c r="G2892" s="3" t="s">
        <v>28</v>
      </c>
      <c r="H2892" s="3" t="s">
        <v>48</v>
      </c>
      <c r="I2892" s="3" t="n">
        <f aca="false">YEAR(E2892)</f>
        <v>2026</v>
      </c>
      <c r="J2892" s="3" t="n">
        <f aca="false">MONTH(E2892)</f>
        <v>8</v>
      </c>
      <c r="K2892" s="3" t="n">
        <f aca="false">COUNTIFS($B$2:$B$4077,B2892,$C$2:$C$4077,C2892,$I$2:$I$4077,I2892)</f>
        <v>1</v>
      </c>
      <c r="L2892" s="3" t="n">
        <f aca="false">IF(COUNTIFS($B$2:B2892,B2892,$C$2:C2892,C2892,$I$2:I2892,I2892)=1,1,0)</f>
        <v>1</v>
      </c>
      <c r="M2892" s="3" t="n">
        <f aca="false">IF(K2892&gt;=Parametri!$B$1,1,0)</f>
        <v>0</v>
      </c>
      <c r="N2892" s="3" t="n">
        <f aca="false">L2892*M2892</f>
        <v>0</v>
      </c>
    </row>
    <row r="2893" customFormat="false" ht="15" hidden="false" customHeight="false" outlineLevel="0" collapsed="false">
      <c r="A2893" s="0" t="s">
        <v>4439</v>
      </c>
      <c r="B2893" s="0" t="s">
        <v>41</v>
      </c>
      <c r="C2893" s="0" t="s">
        <v>2808</v>
      </c>
      <c r="D2893" s="0" t="s">
        <v>77</v>
      </c>
      <c r="E2893" s="2" t="n">
        <v>45966</v>
      </c>
      <c r="F2893" s="3" t="s">
        <v>27</v>
      </c>
      <c r="G2893" s="3" t="s">
        <v>89</v>
      </c>
      <c r="H2893" s="3" t="s">
        <v>44</v>
      </c>
      <c r="I2893" s="3" t="n">
        <f aca="false">YEAR(E2893)</f>
        <v>2025</v>
      </c>
      <c r="J2893" s="3" t="n">
        <f aca="false">MONTH(E2893)</f>
        <v>11</v>
      </c>
      <c r="K2893" s="3" t="n">
        <f aca="false">COUNTIFS($B$2:$B$4077,B2893,$C$2:$C$4077,C2893,$I$2:$I$4077,I2893)</f>
        <v>1</v>
      </c>
      <c r="L2893" s="3" t="n">
        <f aca="false">IF(COUNTIFS($B$2:B2893,B2893,$C$2:C2893,C2893,$I$2:I2893,I2893)=1,1,0)</f>
        <v>1</v>
      </c>
      <c r="M2893" s="3" t="n">
        <f aca="false">IF(K2893&gt;=Parametri!$B$1,1,0)</f>
        <v>0</v>
      </c>
      <c r="N2893" s="3" t="n">
        <f aca="false">L2893*M2893</f>
        <v>0</v>
      </c>
    </row>
    <row r="2894" customFormat="false" ht="15" hidden="false" customHeight="false" outlineLevel="0" collapsed="false">
      <c r="A2894" s="0" t="s">
        <v>4440</v>
      </c>
      <c r="B2894" s="0" t="s">
        <v>31</v>
      </c>
      <c r="C2894" s="0" t="s">
        <v>2756</v>
      </c>
      <c r="D2894" s="0" t="s">
        <v>38</v>
      </c>
      <c r="E2894" s="2" t="n">
        <v>46075</v>
      </c>
      <c r="F2894" s="3" t="s">
        <v>104</v>
      </c>
      <c r="G2894" s="3" t="s">
        <v>104</v>
      </c>
      <c r="H2894" s="3" t="s">
        <v>104</v>
      </c>
      <c r="I2894" s="3" t="n">
        <f aca="false">YEAR(E2894)</f>
        <v>2026</v>
      </c>
      <c r="J2894" s="3" t="n">
        <f aca="false">MONTH(E2894)</f>
        <v>2</v>
      </c>
      <c r="K2894" s="3" t="n">
        <f aca="false">COUNTIFS($B$2:$B$4077,B2894,$C$2:$C$4077,C2894,$I$2:$I$4077,I2894)</f>
        <v>3</v>
      </c>
      <c r="L2894" s="3" t="n">
        <f aca="false">IF(COUNTIFS($B$2:B2894,B2894,$C$2:C2894,C2894,$I$2:I2894,I2894)=1,1,0)</f>
        <v>0</v>
      </c>
      <c r="M2894" s="3" t="n">
        <f aca="false">IF(K2894&gt;=Parametri!$B$1,1,0)</f>
        <v>1</v>
      </c>
      <c r="N2894" s="3" t="n">
        <f aca="false">L2894*M2894</f>
        <v>0</v>
      </c>
    </row>
    <row r="2895" customFormat="false" ht="15" hidden="false" customHeight="false" outlineLevel="0" collapsed="false">
      <c r="A2895" s="0" t="s">
        <v>4441</v>
      </c>
      <c r="B2895" s="0" t="s">
        <v>41</v>
      </c>
      <c r="C2895" s="0" t="s">
        <v>4442</v>
      </c>
      <c r="D2895" s="0" t="s">
        <v>54</v>
      </c>
      <c r="E2895" s="2" t="n">
        <v>46257</v>
      </c>
      <c r="F2895" s="3" t="s">
        <v>20</v>
      </c>
      <c r="G2895" s="3" t="s">
        <v>21</v>
      </c>
      <c r="H2895" s="3" t="s">
        <v>29</v>
      </c>
      <c r="I2895" s="3" t="n">
        <f aca="false">YEAR(E2895)</f>
        <v>2026</v>
      </c>
      <c r="J2895" s="3" t="n">
        <f aca="false">MONTH(E2895)</f>
        <v>8</v>
      </c>
      <c r="K2895" s="3" t="n">
        <f aca="false">COUNTIFS($B$2:$B$4077,B2895,$C$2:$C$4077,C2895,$I$2:$I$4077,I2895)</f>
        <v>1</v>
      </c>
      <c r="L2895" s="3" t="n">
        <f aca="false">IF(COUNTIFS($B$2:B2895,B2895,$C$2:C2895,C2895,$I$2:I2895,I2895)=1,1,0)</f>
        <v>1</v>
      </c>
      <c r="M2895" s="3" t="n">
        <f aca="false">IF(K2895&gt;=Parametri!$B$1,1,0)</f>
        <v>0</v>
      </c>
      <c r="N2895" s="3" t="n">
        <f aca="false">L2895*M2895</f>
        <v>0</v>
      </c>
    </row>
    <row r="2896" customFormat="false" ht="15" hidden="false" customHeight="false" outlineLevel="0" collapsed="false">
      <c r="A2896" s="0" t="s">
        <v>4443</v>
      </c>
      <c r="B2896" s="0" t="s">
        <v>41</v>
      </c>
      <c r="C2896" s="0" t="s">
        <v>4444</v>
      </c>
      <c r="D2896" s="0" t="s">
        <v>38</v>
      </c>
      <c r="E2896" s="2" t="n">
        <v>45435</v>
      </c>
      <c r="F2896" s="3" t="s">
        <v>20</v>
      </c>
      <c r="G2896" s="3" t="s">
        <v>43</v>
      </c>
      <c r="H2896" s="3" t="s">
        <v>48</v>
      </c>
      <c r="I2896" s="3" t="n">
        <f aca="false">YEAR(E2896)</f>
        <v>2024</v>
      </c>
      <c r="J2896" s="3" t="n">
        <f aca="false">MONTH(E2896)</f>
        <v>5</v>
      </c>
      <c r="K2896" s="3" t="n">
        <f aca="false">COUNTIFS($B$2:$B$4077,B2896,$C$2:$C$4077,C2896,$I$2:$I$4077,I2896)</f>
        <v>1</v>
      </c>
      <c r="L2896" s="3" t="n">
        <f aca="false">IF(COUNTIFS($B$2:B2896,B2896,$C$2:C2896,C2896,$I$2:I2896,I2896)=1,1,0)</f>
        <v>1</v>
      </c>
      <c r="M2896" s="3" t="n">
        <f aca="false">IF(K2896&gt;=Parametri!$B$1,1,0)</f>
        <v>0</v>
      </c>
      <c r="N2896" s="3" t="n">
        <f aca="false">L2896*M2896</f>
        <v>0</v>
      </c>
    </row>
    <row r="2897" customFormat="false" ht="15" hidden="false" customHeight="false" outlineLevel="0" collapsed="false">
      <c r="A2897" s="0" t="s">
        <v>4445</v>
      </c>
      <c r="B2897" s="0" t="s">
        <v>31</v>
      </c>
      <c r="C2897" s="0" t="s">
        <v>889</v>
      </c>
      <c r="D2897" s="0" t="s">
        <v>77</v>
      </c>
      <c r="E2897" s="2" t="n">
        <v>45586</v>
      </c>
      <c r="F2897" s="3" t="s">
        <v>20</v>
      </c>
      <c r="G2897" s="3" t="s">
        <v>43</v>
      </c>
      <c r="H2897" s="3" t="s">
        <v>22</v>
      </c>
      <c r="I2897" s="3" t="n">
        <f aca="false">YEAR(E2897)</f>
        <v>2024</v>
      </c>
      <c r="J2897" s="3" t="n">
        <f aca="false">MONTH(E2897)</f>
        <v>10</v>
      </c>
      <c r="K2897" s="3" t="n">
        <f aca="false">COUNTIFS($B$2:$B$4077,B2897,$C$2:$C$4077,C2897,$I$2:$I$4077,I2897)</f>
        <v>4</v>
      </c>
      <c r="L2897" s="3" t="n">
        <f aca="false">IF(COUNTIFS($B$2:B2897,B2897,$C$2:C2897,C2897,$I$2:I2897,I2897)=1,1,0)</f>
        <v>0</v>
      </c>
      <c r="M2897" s="3" t="n">
        <f aca="false">IF(K2897&gt;=Parametri!$B$1,1,0)</f>
        <v>1</v>
      </c>
      <c r="N2897" s="3" t="n">
        <f aca="false">L2897*M2897</f>
        <v>0</v>
      </c>
    </row>
    <row r="2898" customFormat="false" ht="15" hidden="false" customHeight="false" outlineLevel="0" collapsed="false">
      <c r="A2898" s="0" t="s">
        <v>4446</v>
      </c>
      <c r="B2898" s="0" t="s">
        <v>17</v>
      </c>
      <c r="C2898" s="0" t="s">
        <v>1414</v>
      </c>
      <c r="D2898" s="0" t="s">
        <v>77</v>
      </c>
      <c r="E2898" s="2" t="n">
        <v>45618</v>
      </c>
      <c r="F2898" s="3" t="s">
        <v>104</v>
      </c>
      <c r="G2898" s="3" t="s">
        <v>104</v>
      </c>
      <c r="H2898" s="3" t="s">
        <v>104</v>
      </c>
      <c r="I2898" s="3" t="n">
        <f aca="false">YEAR(E2898)</f>
        <v>2024</v>
      </c>
      <c r="J2898" s="3" t="n">
        <f aca="false">MONTH(E2898)</f>
        <v>11</v>
      </c>
      <c r="K2898" s="3" t="n">
        <f aca="false">COUNTIFS($B$2:$B$4077,B2898,$C$2:$C$4077,C2898,$I$2:$I$4077,I2898)</f>
        <v>1</v>
      </c>
      <c r="L2898" s="3" t="n">
        <f aca="false">IF(COUNTIFS($B$2:B2898,B2898,$C$2:C2898,C2898,$I$2:I2898,I2898)=1,1,0)</f>
        <v>1</v>
      </c>
      <c r="M2898" s="3" t="n">
        <f aca="false">IF(K2898&gt;=Parametri!$B$1,1,0)</f>
        <v>0</v>
      </c>
      <c r="N2898" s="3" t="n">
        <f aca="false">L2898*M2898</f>
        <v>0</v>
      </c>
    </row>
    <row r="2899" customFormat="false" ht="15" hidden="false" customHeight="false" outlineLevel="0" collapsed="false">
      <c r="A2899" s="0" t="s">
        <v>4447</v>
      </c>
      <c r="B2899" s="0" t="s">
        <v>124</v>
      </c>
      <c r="C2899" s="0" t="s">
        <v>901</v>
      </c>
      <c r="D2899" s="0" t="s">
        <v>26</v>
      </c>
      <c r="E2899" s="2" t="n">
        <v>45660</v>
      </c>
      <c r="F2899" s="3" t="s">
        <v>20</v>
      </c>
      <c r="G2899" s="3" t="s">
        <v>55</v>
      </c>
      <c r="H2899" s="3" t="s">
        <v>48</v>
      </c>
      <c r="I2899" s="3" t="n">
        <f aca="false">YEAR(E2899)</f>
        <v>2025</v>
      </c>
      <c r="J2899" s="3" t="n">
        <f aca="false">MONTH(E2899)</f>
        <v>1</v>
      </c>
      <c r="K2899" s="3" t="n">
        <f aca="false">COUNTIFS($B$2:$B$4077,B2899,$C$2:$C$4077,C2899,$I$2:$I$4077,I2899)</f>
        <v>1</v>
      </c>
      <c r="L2899" s="3" t="n">
        <f aca="false">IF(COUNTIFS($B$2:B2899,B2899,$C$2:C2899,C2899,$I$2:I2899,I2899)=1,1,0)</f>
        <v>1</v>
      </c>
      <c r="M2899" s="3" t="n">
        <f aca="false">IF(K2899&gt;=Parametri!$B$1,1,0)</f>
        <v>0</v>
      </c>
      <c r="N2899" s="3" t="n">
        <f aca="false">L2899*M2899</f>
        <v>0</v>
      </c>
    </row>
    <row r="2900" customFormat="false" ht="15" hidden="false" customHeight="false" outlineLevel="0" collapsed="false">
      <c r="A2900" s="0" t="s">
        <v>4448</v>
      </c>
      <c r="B2900" s="0" t="s">
        <v>79</v>
      </c>
      <c r="C2900" s="0" t="s">
        <v>3849</v>
      </c>
      <c r="D2900" s="0" t="s">
        <v>63</v>
      </c>
      <c r="E2900" s="2" t="n">
        <v>46062</v>
      </c>
      <c r="F2900" s="3" t="s">
        <v>104</v>
      </c>
      <c r="G2900" s="3" t="s">
        <v>104</v>
      </c>
      <c r="H2900" s="3" t="s">
        <v>104</v>
      </c>
      <c r="I2900" s="3" t="n">
        <f aca="false">YEAR(E2900)</f>
        <v>2026</v>
      </c>
      <c r="J2900" s="3" t="n">
        <f aca="false">MONTH(E2900)</f>
        <v>2</v>
      </c>
      <c r="K2900" s="3" t="n">
        <f aca="false">COUNTIFS($B$2:$B$4077,B2900,$C$2:$C$4077,C2900,$I$2:$I$4077,I2900)</f>
        <v>2</v>
      </c>
      <c r="L2900" s="3" t="n">
        <f aca="false">IF(COUNTIFS($B$2:B2900,B2900,$C$2:C2900,C2900,$I$2:I2900,I2900)=1,1,0)</f>
        <v>1</v>
      </c>
      <c r="M2900" s="3" t="n">
        <f aca="false">IF(K2900&gt;=Parametri!$B$1,1,0)</f>
        <v>1</v>
      </c>
      <c r="N2900" s="3" t="n">
        <f aca="false">L2900*M2900</f>
        <v>1</v>
      </c>
    </row>
    <row r="2901" customFormat="false" ht="15" hidden="false" customHeight="false" outlineLevel="0" collapsed="false">
      <c r="A2901" s="0" t="s">
        <v>4449</v>
      </c>
      <c r="B2901" s="0" t="s">
        <v>79</v>
      </c>
      <c r="C2901" s="0" t="s">
        <v>846</v>
      </c>
      <c r="D2901" s="0" t="s">
        <v>38</v>
      </c>
      <c r="E2901" s="2" t="n">
        <v>45781</v>
      </c>
      <c r="F2901" s="3" t="s">
        <v>20</v>
      </c>
      <c r="G2901" s="3" t="s">
        <v>39</v>
      </c>
      <c r="H2901" s="3" t="s">
        <v>44</v>
      </c>
      <c r="I2901" s="3" t="n">
        <f aca="false">YEAR(E2901)</f>
        <v>2025</v>
      </c>
      <c r="J2901" s="3" t="n">
        <f aca="false">MONTH(E2901)</f>
        <v>5</v>
      </c>
      <c r="K2901" s="3" t="n">
        <f aca="false">COUNTIFS($B$2:$B$4077,B2901,$C$2:$C$4077,C2901,$I$2:$I$4077,I2901)</f>
        <v>2</v>
      </c>
      <c r="L2901" s="3" t="n">
        <f aca="false">IF(COUNTIFS($B$2:B2901,B2901,$C$2:C2901,C2901,$I$2:I2901,I2901)=1,1,0)</f>
        <v>0</v>
      </c>
      <c r="M2901" s="3" t="n">
        <f aca="false">IF(K2901&gt;=Parametri!$B$1,1,0)</f>
        <v>1</v>
      </c>
      <c r="N2901" s="3" t="n">
        <f aca="false">L2901*M2901</f>
        <v>0</v>
      </c>
    </row>
    <row r="2902" customFormat="false" ht="15" hidden="false" customHeight="false" outlineLevel="0" collapsed="false">
      <c r="A2902" s="0" t="s">
        <v>4450</v>
      </c>
      <c r="B2902" s="0" t="s">
        <v>68</v>
      </c>
      <c r="C2902" s="0" t="s">
        <v>634</v>
      </c>
      <c r="D2902" s="0" t="s">
        <v>33</v>
      </c>
      <c r="E2902" s="2" t="n">
        <v>45780</v>
      </c>
      <c r="F2902" s="3" t="s">
        <v>20</v>
      </c>
      <c r="G2902" s="3" t="s">
        <v>104</v>
      </c>
      <c r="H2902" s="3" t="s">
        <v>104</v>
      </c>
      <c r="I2902" s="3" t="n">
        <f aca="false">YEAR(E2902)</f>
        <v>2025</v>
      </c>
      <c r="J2902" s="3" t="n">
        <f aca="false">MONTH(E2902)</f>
        <v>5</v>
      </c>
      <c r="K2902" s="3" t="n">
        <f aca="false">COUNTIFS($B$2:$B$4077,B2902,$C$2:$C$4077,C2902,$I$2:$I$4077,I2902)</f>
        <v>1</v>
      </c>
      <c r="L2902" s="3" t="n">
        <f aca="false">IF(COUNTIFS($B$2:B2902,B2902,$C$2:C2902,C2902,$I$2:I2902,I2902)=1,1,0)</f>
        <v>1</v>
      </c>
      <c r="M2902" s="3" t="n">
        <f aca="false">IF(K2902&gt;=Parametri!$B$1,1,0)</f>
        <v>0</v>
      </c>
      <c r="N2902" s="3" t="n">
        <f aca="false">L2902*M2902</f>
        <v>0</v>
      </c>
    </row>
    <row r="2903" customFormat="false" ht="15" hidden="false" customHeight="false" outlineLevel="0" collapsed="false">
      <c r="A2903" s="0" t="s">
        <v>4451</v>
      </c>
      <c r="B2903" s="0" t="s">
        <v>41</v>
      </c>
      <c r="C2903" s="0" t="s">
        <v>2808</v>
      </c>
      <c r="D2903" s="0" t="s">
        <v>19</v>
      </c>
      <c r="E2903" s="2" t="n">
        <v>45456</v>
      </c>
      <c r="F2903" s="3" t="s">
        <v>20</v>
      </c>
      <c r="G2903" s="3" t="s">
        <v>39</v>
      </c>
      <c r="H2903" s="3" t="s">
        <v>29</v>
      </c>
      <c r="I2903" s="3" t="n">
        <f aca="false">YEAR(E2903)</f>
        <v>2024</v>
      </c>
      <c r="J2903" s="3" t="n">
        <f aca="false">MONTH(E2903)</f>
        <v>6</v>
      </c>
      <c r="K2903" s="3" t="n">
        <f aca="false">COUNTIFS($B$2:$B$4077,B2903,$C$2:$C$4077,C2903,$I$2:$I$4077,I2903)</f>
        <v>2</v>
      </c>
      <c r="L2903" s="3" t="n">
        <f aca="false">IF(COUNTIFS($B$2:B2903,B2903,$C$2:C2903,C2903,$I$2:I2903,I2903)=1,1,0)</f>
        <v>0</v>
      </c>
      <c r="M2903" s="3" t="n">
        <f aca="false">IF(K2903&gt;=Parametri!$B$1,1,0)</f>
        <v>1</v>
      </c>
      <c r="N2903" s="3" t="n">
        <f aca="false">L2903*M2903</f>
        <v>0</v>
      </c>
    </row>
    <row r="2904" customFormat="false" ht="15" hidden="false" customHeight="false" outlineLevel="0" collapsed="false">
      <c r="A2904" s="0" t="s">
        <v>4452</v>
      </c>
      <c r="B2904" s="0" t="s">
        <v>124</v>
      </c>
      <c r="C2904" s="0" t="s">
        <v>3801</v>
      </c>
      <c r="D2904" s="0" t="s">
        <v>77</v>
      </c>
      <c r="E2904" s="2" t="n">
        <v>45370</v>
      </c>
      <c r="F2904" s="3" t="s">
        <v>27</v>
      </c>
      <c r="G2904" s="3" t="s">
        <v>89</v>
      </c>
      <c r="H2904" s="3" t="s">
        <v>44</v>
      </c>
      <c r="I2904" s="3" t="n">
        <f aca="false">YEAR(E2904)</f>
        <v>2024</v>
      </c>
      <c r="J2904" s="3" t="n">
        <f aca="false">MONTH(E2904)</f>
        <v>3</v>
      </c>
      <c r="K2904" s="3" t="n">
        <f aca="false">COUNTIFS($B$2:$B$4077,B2904,$C$2:$C$4077,C2904,$I$2:$I$4077,I2904)</f>
        <v>1</v>
      </c>
      <c r="L2904" s="3" t="n">
        <f aca="false">IF(COUNTIFS($B$2:B2904,B2904,$C$2:C2904,C2904,$I$2:I2904,I2904)=1,1,0)</f>
        <v>1</v>
      </c>
      <c r="M2904" s="3" t="n">
        <f aca="false">IF(K2904&gt;=Parametri!$B$1,1,0)</f>
        <v>0</v>
      </c>
      <c r="N2904" s="3" t="n">
        <f aca="false">L2904*M2904</f>
        <v>0</v>
      </c>
    </row>
    <row r="2905" customFormat="false" ht="15" hidden="false" customHeight="false" outlineLevel="0" collapsed="false">
      <c r="A2905" s="0" t="s">
        <v>4453</v>
      </c>
      <c r="B2905" s="0" t="s">
        <v>41</v>
      </c>
      <c r="C2905" s="0" t="s">
        <v>4454</v>
      </c>
      <c r="D2905" s="0" t="s">
        <v>54</v>
      </c>
      <c r="E2905" s="2" t="n">
        <v>46020</v>
      </c>
      <c r="F2905" s="3" t="s">
        <v>27</v>
      </c>
      <c r="G2905" s="3" t="s">
        <v>72</v>
      </c>
      <c r="H2905" s="3" t="s">
        <v>22</v>
      </c>
      <c r="I2905" s="3" t="n">
        <f aca="false">YEAR(E2905)</f>
        <v>2025</v>
      </c>
      <c r="J2905" s="3" t="n">
        <f aca="false">MONTH(E2905)</f>
        <v>12</v>
      </c>
      <c r="K2905" s="3" t="n">
        <f aca="false">COUNTIFS($B$2:$B$4077,B2905,$C$2:$C$4077,C2905,$I$2:$I$4077,I2905)</f>
        <v>1</v>
      </c>
      <c r="L2905" s="3" t="n">
        <f aca="false">IF(COUNTIFS($B$2:B2905,B2905,$C$2:C2905,C2905,$I$2:I2905,I2905)=1,1,0)</f>
        <v>1</v>
      </c>
      <c r="M2905" s="3" t="n">
        <f aca="false">IF(K2905&gt;=Parametri!$B$1,1,0)</f>
        <v>0</v>
      </c>
      <c r="N2905" s="3" t="n">
        <f aca="false">L2905*M2905</f>
        <v>0</v>
      </c>
    </row>
    <row r="2906" customFormat="false" ht="15" hidden="false" customHeight="false" outlineLevel="0" collapsed="false">
      <c r="A2906" s="0" t="s">
        <v>4455</v>
      </c>
      <c r="B2906" s="0" t="s">
        <v>79</v>
      </c>
      <c r="C2906" s="0" t="s">
        <v>846</v>
      </c>
      <c r="D2906" s="0" t="s">
        <v>38</v>
      </c>
      <c r="E2906" s="2" t="n">
        <v>46075</v>
      </c>
      <c r="F2906" s="3" t="s">
        <v>20</v>
      </c>
      <c r="G2906" s="3" t="s">
        <v>43</v>
      </c>
      <c r="H2906" s="3" t="s">
        <v>22</v>
      </c>
      <c r="I2906" s="3" t="n">
        <f aca="false">YEAR(E2906)</f>
        <v>2026</v>
      </c>
      <c r="J2906" s="3" t="n">
        <f aca="false">MONTH(E2906)</f>
        <v>2</v>
      </c>
      <c r="K2906" s="3" t="n">
        <f aca="false">COUNTIFS($B$2:$B$4077,B2906,$C$2:$C$4077,C2906,$I$2:$I$4077,I2906)</f>
        <v>3</v>
      </c>
      <c r="L2906" s="3" t="n">
        <f aca="false">IF(COUNTIFS($B$2:B2906,B2906,$C$2:C2906,C2906,$I$2:I2906,I2906)=1,1,0)</f>
        <v>0</v>
      </c>
      <c r="M2906" s="3" t="n">
        <f aca="false">IF(K2906&gt;=Parametri!$B$1,1,0)</f>
        <v>1</v>
      </c>
      <c r="N2906" s="3" t="n">
        <f aca="false">L2906*M2906</f>
        <v>0</v>
      </c>
    </row>
    <row r="2907" customFormat="false" ht="15" hidden="false" customHeight="false" outlineLevel="0" collapsed="false">
      <c r="A2907" s="0" t="s">
        <v>4456</v>
      </c>
      <c r="B2907" s="0" t="s">
        <v>57</v>
      </c>
      <c r="C2907" s="0" t="s">
        <v>147</v>
      </c>
      <c r="D2907" s="0" t="s">
        <v>63</v>
      </c>
      <c r="E2907" s="2" t="n">
        <v>45358</v>
      </c>
      <c r="F2907" s="3" t="s">
        <v>20</v>
      </c>
      <c r="G2907" s="3" t="s">
        <v>89</v>
      </c>
      <c r="H2907" s="3" t="s">
        <v>29</v>
      </c>
      <c r="I2907" s="3" t="n">
        <f aca="false">YEAR(E2907)</f>
        <v>2024</v>
      </c>
      <c r="J2907" s="3" t="n">
        <f aca="false">MONTH(E2907)</f>
        <v>3</v>
      </c>
      <c r="K2907" s="3" t="n">
        <f aca="false">COUNTIFS($B$2:$B$4077,B2907,$C$2:$C$4077,C2907,$I$2:$I$4077,I2907)</f>
        <v>3</v>
      </c>
      <c r="L2907" s="3" t="n">
        <f aca="false">IF(COUNTIFS($B$2:B2907,B2907,$C$2:C2907,C2907,$I$2:I2907,I2907)=1,1,0)</f>
        <v>0</v>
      </c>
      <c r="M2907" s="3" t="n">
        <f aca="false">IF(K2907&gt;=Parametri!$B$1,1,0)</f>
        <v>1</v>
      </c>
      <c r="N2907" s="3" t="n">
        <f aca="false">L2907*M2907</f>
        <v>0</v>
      </c>
    </row>
    <row r="2908" customFormat="false" ht="15" hidden="false" customHeight="false" outlineLevel="0" collapsed="false">
      <c r="A2908" s="0" t="s">
        <v>4457</v>
      </c>
      <c r="B2908" s="0" t="s">
        <v>17</v>
      </c>
      <c r="C2908" s="0" t="s">
        <v>4458</v>
      </c>
      <c r="D2908" s="0" t="s">
        <v>19</v>
      </c>
      <c r="E2908" s="2" t="n">
        <v>45477</v>
      </c>
      <c r="F2908" s="3" t="s">
        <v>20</v>
      </c>
      <c r="G2908" s="3" t="s">
        <v>35</v>
      </c>
      <c r="H2908" s="3" t="s">
        <v>48</v>
      </c>
      <c r="I2908" s="3" t="n">
        <f aca="false">YEAR(E2908)</f>
        <v>2024</v>
      </c>
      <c r="J2908" s="3" t="n">
        <f aca="false">MONTH(E2908)</f>
        <v>7</v>
      </c>
      <c r="K2908" s="3" t="n">
        <f aca="false">COUNTIFS($B$2:$B$4077,B2908,$C$2:$C$4077,C2908,$I$2:$I$4077,I2908)</f>
        <v>2</v>
      </c>
      <c r="L2908" s="3" t="n">
        <f aca="false">IF(COUNTIFS($B$2:B2908,B2908,$C$2:C2908,C2908,$I$2:I2908,I2908)=1,1,0)</f>
        <v>1</v>
      </c>
      <c r="M2908" s="3" t="n">
        <f aca="false">IF(K2908&gt;=Parametri!$B$1,1,0)</f>
        <v>1</v>
      </c>
      <c r="N2908" s="3" t="n">
        <f aca="false">L2908*M2908</f>
        <v>1</v>
      </c>
    </row>
    <row r="2909" customFormat="false" ht="15" hidden="false" customHeight="false" outlineLevel="0" collapsed="false">
      <c r="A2909" s="0" t="s">
        <v>4459</v>
      </c>
      <c r="B2909" s="0" t="s">
        <v>124</v>
      </c>
      <c r="C2909" s="0" t="s">
        <v>4460</v>
      </c>
      <c r="D2909" s="0" t="s">
        <v>54</v>
      </c>
      <c r="E2909" s="2" t="n">
        <v>46086</v>
      </c>
      <c r="F2909" s="3" t="s">
        <v>27</v>
      </c>
      <c r="G2909" s="3" t="s">
        <v>28</v>
      </c>
      <c r="H2909" s="3" t="s">
        <v>29</v>
      </c>
      <c r="I2909" s="3" t="n">
        <f aca="false">YEAR(E2909)</f>
        <v>2026</v>
      </c>
      <c r="J2909" s="3" t="n">
        <f aca="false">MONTH(E2909)</f>
        <v>3</v>
      </c>
      <c r="K2909" s="3" t="n">
        <f aca="false">COUNTIFS($B$2:$B$4077,B2909,$C$2:$C$4077,C2909,$I$2:$I$4077,I2909)</f>
        <v>1</v>
      </c>
      <c r="L2909" s="3" t="n">
        <f aca="false">IF(COUNTIFS($B$2:B2909,B2909,$C$2:C2909,C2909,$I$2:I2909,I2909)=1,1,0)</f>
        <v>1</v>
      </c>
      <c r="M2909" s="3" t="n">
        <f aca="false">IF(K2909&gt;=Parametri!$B$1,1,0)</f>
        <v>0</v>
      </c>
      <c r="N2909" s="3" t="n">
        <f aca="false">L2909*M2909</f>
        <v>0</v>
      </c>
    </row>
    <row r="2910" customFormat="false" ht="15" hidden="false" customHeight="false" outlineLevel="0" collapsed="false">
      <c r="A2910" s="0" t="s">
        <v>4461</v>
      </c>
      <c r="B2910" s="0" t="s">
        <v>50</v>
      </c>
      <c r="C2910" s="0" t="s">
        <v>4224</v>
      </c>
      <c r="D2910" s="0" t="s">
        <v>38</v>
      </c>
      <c r="E2910" s="2" t="n">
        <v>45347</v>
      </c>
      <c r="F2910" s="3" t="s">
        <v>20</v>
      </c>
      <c r="G2910" s="3" t="s">
        <v>39</v>
      </c>
      <c r="H2910" s="3" t="s">
        <v>44</v>
      </c>
      <c r="I2910" s="3" t="n">
        <f aca="false">YEAR(E2910)</f>
        <v>2024</v>
      </c>
      <c r="J2910" s="3" t="n">
        <f aca="false">MONTH(E2910)</f>
        <v>2</v>
      </c>
      <c r="K2910" s="3" t="n">
        <f aca="false">COUNTIFS($B$2:$B$4077,B2910,$C$2:$C$4077,C2910,$I$2:$I$4077,I2910)</f>
        <v>1</v>
      </c>
      <c r="L2910" s="3" t="n">
        <f aca="false">IF(COUNTIFS($B$2:B2910,B2910,$C$2:C2910,C2910,$I$2:I2910,I2910)=1,1,0)</f>
        <v>1</v>
      </c>
      <c r="M2910" s="3" t="n">
        <f aca="false">IF(K2910&gt;=Parametri!$B$1,1,0)</f>
        <v>0</v>
      </c>
      <c r="N2910" s="3" t="n">
        <f aca="false">L2910*M2910</f>
        <v>0</v>
      </c>
    </row>
    <row r="2911" customFormat="false" ht="15" hidden="false" customHeight="false" outlineLevel="0" collapsed="false">
      <c r="A2911" s="0" t="s">
        <v>4462</v>
      </c>
      <c r="B2911" s="0" t="s">
        <v>79</v>
      </c>
      <c r="C2911" s="0" t="s">
        <v>727</v>
      </c>
      <c r="D2911" s="0" t="s">
        <v>63</v>
      </c>
      <c r="E2911" s="2" t="n">
        <v>46264</v>
      </c>
      <c r="F2911" s="3" t="s">
        <v>27</v>
      </c>
      <c r="G2911" s="3" t="s">
        <v>39</v>
      </c>
      <c r="H2911" s="3" t="s">
        <v>29</v>
      </c>
      <c r="I2911" s="3" t="n">
        <f aca="false">YEAR(E2911)</f>
        <v>2026</v>
      </c>
      <c r="J2911" s="3" t="n">
        <f aca="false">MONTH(E2911)</f>
        <v>8</v>
      </c>
      <c r="K2911" s="3" t="n">
        <f aca="false">COUNTIFS($B$2:$B$4077,B2911,$C$2:$C$4077,C2911,$I$2:$I$4077,I2911)</f>
        <v>2</v>
      </c>
      <c r="L2911" s="3" t="n">
        <f aca="false">IF(COUNTIFS($B$2:B2911,B2911,$C$2:C2911,C2911,$I$2:I2911,I2911)=1,1,0)</f>
        <v>0</v>
      </c>
      <c r="M2911" s="3" t="n">
        <f aca="false">IF(K2911&gt;=Parametri!$B$1,1,0)</f>
        <v>1</v>
      </c>
      <c r="N2911" s="3" t="n">
        <f aca="false">L2911*M2911</f>
        <v>0</v>
      </c>
    </row>
    <row r="2912" customFormat="false" ht="15" hidden="false" customHeight="false" outlineLevel="0" collapsed="false">
      <c r="A2912" s="0" t="s">
        <v>4463</v>
      </c>
      <c r="B2912" s="0" t="s">
        <v>24</v>
      </c>
      <c r="C2912" s="0" t="s">
        <v>1585</v>
      </c>
      <c r="D2912" s="0" t="s">
        <v>54</v>
      </c>
      <c r="E2912" s="2" t="n">
        <v>46010</v>
      </c>
      <c r="F2912" s="3" t="s">
        <v>27</v>
      </c>
      <c r="G2912" s="3" t="s">
        <v>35</v>
      </c>
      <c r="H2912" s="3" t="s">
        <v>48</v>
      </c>
      <c r="I2912" s="3" t="n">
        <f aca="false">YEAR(E2912)</f>
        <v>2025</v>
      </c>
      <c r="J2912" s="3" t="n">
        <f aca="false">MONTH(E2912)</f>
        <v>12</v>
      </c>
      <c r="K2912" s="3" t="n">
        <f aca="false">COUNTIFS($B$2:$B$4077,B2912,$C$2:$C$4077,C2912,$I$2:$I$4077,I2912)</f>
        <v>1</v>
      </c>
      <c r="L2912" s="3" t="n">
        <f aca="false">IF(COUNTIFS($B$2:B2912,B2912,$C$2:C2912,C2912,$I$2:I2912,I2912)=1,1,0)</f>
        <v>1</v>
      </c>
      <c r="M2912" s="3" t="n">
        <f aca="false">IF(K2912&gt;=Parametri!$B$1,1,0)</f>
        <v>0</v>
      </c>
      <c r="N2912" s="3" t="n">
        <f aca="false">L2912*M2912</f>
        <v>0</v>
      </c>
    </row>
    <row r="2913" customFormat="false" ht="15" hidden="false" customHeight="false" outlineLevel="0" collapsed="false">
      <c r="A2913" s="0" t="s">
        <v>4464</v>
      </c>
      <c r="B2913" s="0" t="s">
        <v>57</v>
      </c>
      <c r="C2913" s="0" t="s">
        <v>1299</v>
      </c>
      <c r="D2913" s="0" t="s">
        <v>66</v>
      </c>
      <c r="E2913" s="2" t="n">
        <v>46100</v>
      </c>
      <c r="F2913" s="3" t="s">
        <v>20</v>
      </c>
      <c r="G2913" s="3" t="s">
        <v>39</v>
      </c>
      <c r="H2913" s="3" t="s">
        <v>29</v>
      </c>
      <c r="I2913" s="3" t="n">
        <f aca="false">YEAR(E2913)</f>
        <v>2026</v>
      </c>
      <c r="J2913" s="3" t="n">
        <f aca="false">MONTH(E2913)</f>
        <v>3</v>
      </c>
      <c r="K2913" s="3" t="n">
        <f aca="false">COUNTIFS($B$2:$B$4077,B2913,$C$2:$C$4077,C2913,$I$2:$I$4077,I2913)</f>
        <v>2</v>
      </c>
      <c r="L2913" s="3" t="n">
        <f aca="false">IF(COUNTIFS($B$2:B2913,B2913,$C$2:C2913,C2913,$I$2:I2913,I2913)=1,1,0)</f>
        <v>0</v>
      </c>
      <c r="M2913" s="3" t="n">
        <f aca="false">IF(K2913&gt;=Parametri!$B$1,1,0)</f>
        <v>1</v>
      </c>
      <c r="N2913" s="3" t="n">
        <f aca="false">L2913*M2913</f>
        <v>0</v>
      </c>
    </row>
    <row r="2914" customFormat="false" ht="15" hidden="false" customHeight="false" outlineLevel="0" collapsed="false">
      <c r="A2914" s="0" t="s">
        <v>4465</v>
      </c>
      <c r="B2914" s="0" t="s">
        <v>17</v>
      </c>
      <c r="C2914" s="0" t="s">
        <v>2451</v>
      </c>
      <c r="D2914" s="0" t="s">
        <v>63</v>
      </c>
      <c r="E2914" s="2" t="n">
        <v>45370</v>
      </c>
      <c r="F2914" s="3" t="s">
        <v>20</v>
      </c>
      <c r="G2914" s="3" t="s">
        <v>39</v>
      </c>
      <c r="H2914" s="3" t="s">
        <v>48</v>
      </c>
      <c r="I2914" s="3" t="n">
        <f aca="false">YEAR(E2914)</f>
        <v>2024</v>
      </c>
      <c r="J2914" s="3" t="n">
        <f aca="false">MONTH(E2914)</f>
        <v>3</v>
      </c>
      <c r="K2914" s="3" t="n">
        <f aca="false">COUNTIFS($B$2:$B$4077,B2914,$C$2:$C$4077,C2914,$I$2:$I$4077,I2914)</f>
        <v>1</v>
      </c>
      <c r="L2914" s="3" t="n">
        <f aca="false">IF(COUNTIFS($B$2:B2914,B2914,$C$2:C2914,C2914,$I$2:I2914,I2914)=1,1,0)</f>
        <v>1</v>
      </c>
      <c r="M2914" s="3" t="n">
        <f aca="false">IF(K2914&gt;=Parametri!$B$1,1,0)</f>
        <v>0</v>
      </c>
      <c r="N2914" s="3" t="n">
        <f aca="false">L2914*M2914</f>
        <v>0</v>
      </c>
    </row>
    <row r="2915" customFormat="false" ht="15" hidden="false" customHeight="false" outlineLevel="0" collapsed="false">
      <c r="A2915" s="0" t="s">
        <v>4466</v>
      </c>
      <c r="B2915" s="0" t="s">
        <v>24</v>
      </c>
      <c r="C2915" s="0" t="s">
        <v>1304</v>
      </c>
      <c r="D2915" s="0" t="s">
        <v>77</v>
      </c>
      <c r="E2915" s="2" t="n">
        <v>46116</v>
      </c>
      <c r="F2915" s="3" t="s">
        <v>20</v>
      </c>
      <c r="G2915" s="3" t="s">
        <v>21</v>
      </c>
      <c r="H2915" s="3" t="s">
        <v>44</v>
      </c>
      <c r="I2915" s="3" t="n">
        <f aca="false">YEAR(E2915)</f>
        <v>2026</v>
      </c>
      <c r="J2915" s="3" t="n">
        <f aca="false">MONTH(E2915)</f>
        <v>4</v>
      </c>
      <c r="K2915" s="3" t="n">
        <f aca="false">COUNTIFS($B$2:$B$4077,B2915,$C$2:$C$4077,C2915,$I$2:$I$4077,I2915)</f>
        <v>4</v>
      </c>
      <c r="L2915" s="3" t="n">
        <f aca="false">IF(COUNTIFS($B$2:B2915,B2915,$C$2:C2915,C2915,$I$2:I2915,I2915)=1,1,0)</f>
        <v>0</v>
      </c>
      <c r="M2915" s="3" t="n">
        <f aca="false">IF(K2915&gt;=Parametri!$B$1,1,0)</f>
        <v>1</v>
      </c>
      <c r="N2915" s="3" t="n">
        <f aca="false">L2915*M2915</f>
        <v>0</v>
      </c>
    </row>
    <row r="2916" customFormat="false" ht="15" hidden="false" customHeight="false" outlineLevel="0" collapsed="false">
      <c r="A2916" s="0" t="s">
        <v>4467</v>
      </c>
      <c r="B2916" s="0" t="s">
        <v>124</v>
      </c>
      <c r="C2916" s="0" t="s">
        <v>410</v>
      </c>
      <c r="D2916" s="0" t="s">
        <v>33</v>
      </c>
      <c r="E2916" s="2" t="n">
        <v>46170</v>
      </c>
      <c r="F2916" s="3" t="s">
        <v>20</v>
      </c>
      <c r="G2916" s="3" t="s">
        <v>43</v>
      </c>
      <c r="H2916" s="3" t="s">
        <v>22</v>
      </c>
      <c r="I2916" s="3" t="n">
        <f aca="false">YEAR(E2916)</f>
        <v>2026</v>
      </c>
      <c r="J2916" s="3" t="n">
        <f aca="false">MONTH(E2916)</f>
        <v>5</v>
      </c>
      <c r="K2916" s="3" t="n">
        <f aca="false">COUNTIFS($B$2:$B$4077,B2916,$C$2:$C$4077,C2916,$I$2:$I$4077,I2916)</f>
        <v>6</v>
      </c>
      <c r="L2916" s="3" t="n">
        <f aca="false">IF(COUNTIFS($B$2:B2916,B2916,$C$2:C2916,C2916,$I$2:I2916,I2916)=1,1,0)</f>
        <v>0</v>
      </c>
      <c r="M2916" s="3" t="n">
        <f aca="false">IF(K2916&gt;=Parametri!$B$1,1,0)</f>
        <v>1</v>
      </c>
      <c r="N2916" s="3" t="n">
        <f aca="false">L2916*M2916</f>
        <v>0</v>
      </c>
    </row>
    <row r="2917" customFormat="false" ht="15" hidden="false" customHeight="false" outlineLevel="0" collapsed="false">
      <c r="A2917" s="0" t="s">
        <v>4468</v>
      </c>
      <c r="B2917" s="0" t="s">
        <v>68</v>
      </c>
      <c r="C2917" s="0" t="s">
        <v>3248</v>
      </c>
      <c r="D2917" s="0" t="s">
        <v>38</v>
      </c>
      <c r="E2917" s="2" t="n">
        <v>46062</v>
      </c>
      <c r="F2917" s="3" t="s">
        <v>27</v>
      </c>
      <c r="G2917" s="3" t="s">
        <v>28</v>
      </c>
      <c r="H2917" s="3" t="s">
        <v>29</v>
      </c>
      <c r="I2917" s="3" t="n">
        <f aca="false">YEAR(E2917)</f>
        <v>2026</v>
      </c>
      <c r="J2917" s="3" t="n">
        <f aca="false">MONTH(E2917)</f>
        <v>2</v>
      </c>
      <c r="K2917" s="3" t="n">
        <f aca="false">COUNTIFS($B$2:$B$4077,B2917,$C$2:$C$4077,C2917,$I$2:$I$4077,I2917)</f>
        <v>1</v>
      </c>
      <c r="L2917" s="3" t="n">
        <f aca="false">IF(COUNTIFS($B$2:B2917,B2917,$C$2:C2917,C2917,$I$2:I2917,I2917)=1,1,0)</f>
        <v>1</v>
      </c>
      <c r="M2917" s="3" t="n">
        <f aca="false">IF(K2917&gt;=Parametri!$B$1,1,0)</f>
        <v>0</v>
      </c>
      <c r="N2917" s="3" t="n">
        <f aca="false">L2917*M2917</f>
        <v>0</v>
      </c>
    </row>
    <row r="2918" customFormat="false" ht="15" hidden="false" customHeight="false" outlineLevel="0" collapsed="false">
      <c r="A2918" s="0" t="s">
        <v>4469</v>
      </c>
      <c r="B2918" s="0" t="s">
        <v>46</v>
      </c>
      <c r="C2918" s="0" t="s">
        <v>4470</v>
      </c>
      <c r="D2918" s="0" t="s">
        <v>63</v>
      </c>
      <c r="E2918" s="2" t="n">
        <v>45871</v>
      </c>
      <c r="F2918" s="3" t="s">
        <v>34</v>
      </c>
      <c r="G2918" s="3" t="s">
        <v>72</v>
      </c>
      <c r="H2918" s="3" t="s">
        <v>44</v>
      </c>
      <c r="I2918" s="3" t="n">
        <f aca="false">YEAR(E2918)</f>
        <v>2025</v>
      </c>
      <c r="J2918" s="3" t="n">
        <f aca="false">MONTH(E2918)</f>
        <v>8</v>
      </c>
      <c r="K2918" s="3" t="n">
        <f aca="false">COUNTIFS($B$2:$B$4077,B2918,$C$2:$C$4077,C2918,$I$2:$I$4077,I2918)</f>
        <v>1</v>
      </c>
      <c r="L2918" s="3" t="n">
        <f aca="false">IF(COUNTIFS($B$2:B2918,B2918,$C$2:C2918,C2918,$I$2:I2918,I2918)=1,1,0)</f>
        <v>1</v>
      </c>
      <c r="M2918" s="3" t="n">
        <f aca="false">IF(K2918&gt;=Parametri!$B$1,1,0)</f>
        <v>0</v>
      </c>
      <c r="N2918" s="3" t="n">
        <f aca="false">L2918*M2918</f>
        <v>0</v>
      </c>
    </row>
    <row r="2919" customFormat="false" ht="15" hidden="false" customHeight="false" outlineLevel="0" collapsed="false">
      <c r="A2919" s="0" t="s">
        <v>4471</v>
      </c>
      <c r="B2919" s="0" t="s">
        <v>79</v>
      </c>
      <c r="C2919" s="0" t="s">
        <v>585</v>
      </c>
      <c r="D2919" s="0" t="s">
        <v>63</v>
      </c>
      <c r="E2919" s="2" t="n">
        <v>46164</v>
      </c>
      <c r="F2919" s="3" t="s">
        <v>20</v>
      </c>
      <c r="G2919" s="3" t="s">
        <v>72</v>
      </c>
      <c r="H2919" s="3" t="s">
        <v>48</v>
      </c>
      <c r="I2919" s="3" t="n">
        <f aca="false">YEAR(E2919)</f>
        <v>2026</v>
      </c>
      <c r="J2919" s="3" t="n">
        <f aca="false">MONTH(E2919)</f>
        <v>5</v>
      </c>
      <c r="K2919" s="3" t="n">
        <f aca="false">COUNTIFS($B$2:$B$4077,B2919,$C$2:$C$4077,C2919,$I$2:$I$4077,I2919)</f>
        <v>2</v>
      </c>
      <c r="L2919" s="3" t="n">
        <f aca="false">IF(COUNTIFS($B$2:B2919,B2919,$C$2:C2919,C2919,$I$2:I2919,I2919)=1,1,0)</f>
        <v>1</v>
      </c>
      <c r="M2919" s="3" t="n">
        <f aca="false">IF(K2919&gt;=Parametri!$B$1,1,0)</f>
        <v>1</v>
      </c>
      <c r="N2919" s="3" t="n">
        <f aca="false">L2919*M2919</f>
        <v>1</v>
      </c>
    </row>
    <row r="2920" customFormat="false" ht="15" hidden="false" customHeight="false" outlineLevel="0" collapsed="false">
      <c r="A2920" s="0" t="s">
        <v>4472</v>
      </c>
      <c r="B2920" s="0" t="s">
        <v>68</v>
      </c>
      <c r="C2920" s="0" t="s">
        <v>4473</v>
      </c>
      <c r="D2920" s="0" t="s">
        <v>54</v>
      </c>
      <c r="E2920" s="2" t="n">
        <v>46154</v>
      </c>
      <c r="F2920" s="3" t="s">
        <v>20</v>
      </c>
      <c r="G2920" s="3" t="s">
        <v>39</v>
      </c>
      <c r="H2920" s="3" t="s">
        <v>44</v>
      </c>
      <c r="I2920" s="3" t="n">
        <f aca="false">YEAR(E2920)</f>
        <v>2026</v>
      </c>
      <c r="J2920" s="3" t="n">
        <f aca="false">MONTH(E2920)</f>
        <v>5</v>
      </c>
      <c r="K2920" s="3" t="n">
        <f aca="false">COUNTIFS($B$2:$B$4077,B2920,$C$2:$C$4077,C2920,$I$2:$I$4077,I2920)</f>
        <v>1</v>
      </c>
      <c r="L2920" s="3" t="n">
        <f aca="false">IF(COUNTIFS($B$2:B2920,B2920,$C$2:C2920,C2920,$I$2:I2920,I2920)=1,1,0)</f>
        <v>1</v>
      </c>
      <c r="M2920" s="3" t="n">
        <f aca="false">IF(K2920&gt;=Parametri!$B$1,1,0)</f>
        <v>0</v>
      </c>
      <c r="N2920" s="3" t="n">
        <f aca="false">L2920*M2920</f>
        <v>0</v>
      </c>
    </row>
    <row r="2921" customFormat="false" ht="15" hidden="false" customHeight="false" outlineLevel="0" collapsed="false">
      <c r="A2921" s="0" t="s">
        <v>4474</v>
      </c>
      <c r="B2921" s="0" t="s">
        <v>124</v>
      </c>
      <c r="C2921" s="0" t="s">
        <v>1311</v>
      </c>
      <c r="D2921" s="0" t="s">
        <v>66</v>
      </c>
      <c r="E2921" s="2" t="n">
        <v>45723</v>
      </c>
      <c r="F2921" s="3" t="s">
        <v>34</v>
      </c>
      <c r="G2921" s="3" t="s">
        <v>89</v>
      </c>
      <c r="H2921" s="3" t="s">
        <v>44</v>
      </c>
      <c r="I2921" s="3" t="n">
        <f aca="false">YEAR(E2921)</f>
        <v>2025</v>
      </c>
      <c r="J2921" s="3" t="n">
        <f aca="false">MONTH(E2921)</f>
        <v>3</v>
      </c>
      <c r="K2921" s="3" t="n">
        <f aca="false">COUNTIFS($B$2:$B$4077,B2921,$C$2:$C$4077,C2921,$I$2:$I$4077,I2921)</f>
        <v>1</v>
      </c>
      <c r="L2921" s="3" t="n">
        <f aca="false">IF(COUNTIFS($B$2:B2921,B2921,$C$2:C2921,C2921,$I$2:I2921,I2921)=1,1,0)</f>
        <v>1</v>
      </c>
      <c r="M2921" s="3" t="n">
        <f aca="false">IF(K2921&gt;=Parametri!$B$1,1,0)</f>
        <v>0</v>
      </c>
      <c r="N2921" s="3" t="n">
        <f aca="false">L2921*M2921</f>
        <v>0</v>
      </c>
    </row>
    <row r="2922" customFormat="false" ht="15" hidden="false" customHeight="false" outlineLevel="0" collapsed="false">
      <c r="A2922" s="0" t="s">
        <v>4475</v>
      </c>
      <c r="B2922" s="0" t="s">
        <v>50</v>
      </c>
      <c r="C2922" s="0" t="s">
        <v>4476</v>
      </c>
      <c r="D2922" s="0" t="s">
        <v>63</v>
      </c>
      <c r="E2922" s="2" t="n">
        <v>45848</v>
      </c>
      <c r="F2922" s="3" t="s">
        <v>34</v>
      </c>
      <c r="G2922" s="3" t="s">
        <v>89</v>
      </c>
      <c r="H2922" s="3" t="s">
        <v>44</v>
      </c>
      <c r="I2922" s="3" t="n">
        <f aca="false">YEAR(E2922)</f>
        <v>2025</v>
      </c>
      <c r="J2922" s="3" t="n">
        <f aca="false">MONTH(E2922)</f>
        <v>7</v>
      </c>
      <c r="K2922" s="3" t="n">
        <f aca="false">COUNTIFS($B$2:$B$4077,B2922,$C$2:$C$4077,C2922,$I$2:$I$4077,I2922)</f>
        <v>1</v>
      </c>
      <c r="L2922" s="3" t="n">
        <f aca="false">IF(COUNTIFS($B$2:B2922,B2922,$C$2:C2922,C2922,$I$2:I2922,I2922)=1,1,0)</f>
        <v>1</v>
      </c>
      <c r="M2922" s="3" t="n">
        <f aca="false">IF(K2922&gt;=Parametri!$B$1,1,0)</f>
        <v>0</v>
      </c>
      <c r="N2922" s="3" t="n">
        <f aca="false">L2922*M2922</f>
        <v>0</v>
      </c>
    </row>
    <row r="2923" customFormat="false" ht="15" hidden="false" customHeight="false" outlineLevel="0" collapsed="false">
      <c r="A2923" s="0" t="s">
        <v>4477</v>
      </c>
      <c r="B2923" s="0" t="s">
        <v>41</v>
      </c>
      <c r="C2923" s="0" t="s">
        <v>4478</v>
      </c>
      <c r="D2923" s="0" t="s">
        <v>19</v>
      </c>
      <c r="E2923" s="2" t="n">
        <v>45410</v>
      </c>
      <c r="F2923" s="3" t="s">
        <v>20</v>
      </c>
      <c r="G2923" s="3" t="s">
        <v>43</v>
      </c>
      <c r="H2923" s="3" t="s">
        <v>22</v>
      </c>
      <c r="I2923" s="3" t="n">
        <f aca="false">YEAR(E2923)</f>
        <v>2024</v>
      </c>
      <c r="J2923" s="3" t="n">
        <f aca="false">MONTH(E2923)</f>
        <v>4</v>
      </c>
      <c r="K2923" s="3" t="n">
        <f aca="false">COUNTIFS($B$2:$B$4077,B2923,$C$2:$C$4077,C2923,$I$2:$I$4077,I2923)</f>
        <v>1</v>
      </c>
      <c r="L2923" s="3" t="n">
        <f aca="false">IF(COUNTIFS($B$2:B2923,B2923,$C$2:C2923,C2923,$I$2:I2923,I2923)=1,1,0)</f>
        <v>1</v>
      </c>
      <c r="M2923" s="3" t="n">
        <f aca="false">IF(K2923&gt;=Parametri!$B$1,1,0)</f>
        <v>0</v>
      </c>
      <c r="N2923" s="3" t="n">
        <f aca="false">L2923*M2923</f>
        <v>0</v>
      </c>
    </row>
    <row r="2924" customFormat="false" ht="15" hidden="false" customHeight="false" outlineLevel="0" collapsed="false">
      <c r="A2924" s="0" t="s">
        <v>4479</v>
      </c>
      <c r="B2924" s="0" t="s">
        <v>31</v>
      </c>
      <c r="C2924" s="0" t="s">
        <v>3083</v>
      </c>
      <c r="D2924" s="0" t="s">
        <v>19</v>
      </c>
      <c r="E2924" s="2" t="n">
        <v>46009</v>
      </c>
      <c r="F2924" s="3" t="s">
        <v>20</v>
      </c>
      <c r="G2924" s="3" t="s">
        <v>89</v>
      </c>
      <c r="H2924" s="3" t="s">
        <v>44</v>
      </c>
      <c r="I2924" s="3" t="n">
        <f aca="false">YEAR(E2924)</f>
        <v>2025</v>
      </c>
      <c r="J2924" s="3" t="n">
        <f aca="false">MONTH(E2924)</f>
        <v>12</v>
      </c>
      <c r="K2924" s="3" t="n">
        <f aca="false">COUNTIFS($B$2:$B$4077,B2924,$C$2:$C$4077,C2924,$I$2:$I$4077,I2924)</f>
        <v>2</v>
      </c>
      <c r="L2924" s="3" t="n">
        <f aca="false">IF(COUNTIFS($B$2:B2924,B2924,$C$2:C2924,C2924,$I$2:I2924,I2924)=1,1,0)</f>
        <v>0</v>
      </c>
      <c r="M2924" s="3" t="n">
        <f aca="false">IF(K2924&gt;=Parametri!$B$1,1,0)</f>
        <v>1</v>
      </c>
      <c r="N2924" s="3" t="n">
        <f aca="false">L2924*M2924</f>
        <v>0</v>
      </c>
    </row>
    <row r="2925" customFormat="false" ht="15" hidden="false" customHeight="false" outlineLevel="0" collapsed="false">
      <c r="A2925" s="0" t="s">
        <v>4480</v>
      </c>
      <c r="B2925" s="0" t="s">
        <v>24</v>
      </c>
      <c r="C2925" s="0" t="s">
        <v>3889</v>
      </c>
      <c r="D2925" s="0" t="s">
        <v>19</v>
      </c>
      <c r="E2925" s="2" t="n">
        <v>46186</v>
      </c>
      <c r="F2925" s="3" t="s">
        <v>34</v>
      </c>
      <c r="G2925" s="3" t="s">
        <v>39</v>
      </c>
      <c r="H2925" s="3" t="s">
        <v>29</v>
      </c>
      <c r="I2925" s="3" t="n">
        <f aca="false">YEAR(E2925)</f>
        <v>2026</v>
      </c>
      <c r="J2925" s="3" t="n">
        <f aca="false">MONTH(E2925)</f>
        <v>6</v>
      </c>
      <c r="K2925" s="3" t="n">
        <f aca="false">COUNTIFS($B$2:$B$4077,B2925,$C$2:$C$4077,C2925,$I$2:$I$4077,I2925)</f>
        <v>2</v>
      </c>
      <c r="L2925" s="3" t="n">
        <f aca="false">IF(COUNTIFS($B$2:B2925,B2925,$C$2:C2925,C2925,$I$2:I2925,I2925)=1,1,0)</f>
        <v>0</v>
      </c>
      <c r="M2925" s="3" t="n">
        <f aca="false">IF(K2925&gt;=Parametri!$B$1,1,0)</f>
        <v>1</v>
      </c>
      <c r="N2925" s="3" t="n">
        <f aca="false">L2925*M2925</f>
        <v>0</v>
      </c>
    </row>
    <row r="2926" customFormat="false" ht="15" hidden="false" customHeight="false" outlineLevel="0" collapsed="false">
      <c r="A2926" s="0" t="s">
        <v>4481</v>
      </c>
      <c r="B2926" s="0" t="s">
        <v>46</v>
      </c>
      <c r="C2926" s="0" t="s">
        <v>4482</v>
      </c>
      <c r="D2926" s="0" t="s">
        <v>54</v>
      </c>
      <c r="E2926" s="2" t="n">
        <v>46005</v>
      </c>
      <c r="F2926" s="3" t="s">
        <v>34</v>
      </c>
      <c r="G2926" s="3" t="s">
        <v>55</v>
      </c>
      <c r="H2926" s="3" t="s">
        <v>29</v>
      </c>
      <c r="I2926" s="3" t="n">
        <f aca="false">YEAR(E2926)</f>
        <v>2025</v>
      </c>
      <c r="J2926" s="3" t="n">
        <f aca="false">MONTH(E2926)</f>
        <v>12</v>
      </c>
      <c r="K2926" s="3" t="n">
        <f aca="false">COUNTIFS($B$2:$B$4077,B2926,$C$2:$C$4077,C2926,$I$2:$I$4077,I2926)</f>
        <v>1</v>
      </c>
      <c r="L2926" s="3" t="n">
        <f aca="false">IF(COUNTIFS($B$2:B2926,B2926,$C$2:C2926,C2926,$I$2:I2926,I2926)=1,1,0)</f>
        <v>1</v>
      </c>
      <c r="M2926" s="3" t="n">
        <f aca="false">IF(K2926&gt;=Parametri!$B$1,1,0)</f>
        <v>0</v>
      </c>
      <c r="N2926" s="3" t="n">
        <f aca="false">L2926*M2926</f>
        <v>0</v>
      </c>
    </row>
    <row r="2927" customFormat="false" ht="15" hidden="false" customHeight="false" outlineLevel="0" collapsed="false">
      <c r="A2927" s="0" t="s">
        <v>4483</v>
      </c>
      <c r="B2927" s="0" t="s">
        <v>68</v>
      </c>
      <c r="C2927" s="0" t="s">
        <v>243</v>
      </c>
      <c r="D2927" s="0" t="s">
        <v>63</v>
      </c>
      <c r="E2927" s="2" t="n">
        <v>45980</v>
      </c>
      <c r="F2927" s="3" t="s">
        <v>20</v>
      </c>
      <c r="G2927" s="3" t="s">
        <v>89</v>
      </c>
      <c r="H2927" s="3" t="s">
        <v>22</v>
      </c>
      <c r="I2927" s="3" t="n">
        <f aca="false">YEAR(E2927)</f>
        <v>2025</v>
      </c>
      <c r="J2927" s="3" t="n">
        <f aca="false">MONTH(E2927)</f>
        <v>11</v>
      </c>
      <c r="K2927" s="3" t="n">
        <f aca="false">COUNTIFS($B$2:$B$4077,B2927,$C$2:$C$4077,C2927,$I$2:$I$4077,I2927)</f>
        <v>4</v>
      </c>
      <c r="L2927" s="3" t="n">
        <f aca="false">IF(COUNTIFS($B$2:B2927,B2927,$C$2:C2927,C2927,$I$2:I2927,I2927)=1,1,0)</f>
        <v>0</v>
      </c>
      <c r="M2927" s="3" t="n">
        <f aca="false">IF(K2927&gt;=Parametri!$B$1,1,0)</f>
        <v>1</v>
      </c>
      <c r="N2927" s="3" t="n">
        <f aca="false">L2927*M2927</f>
        <v>0</v>
      </c>
    </row>
    <row r="2928" customFormat="false" ht="15" hidden="false" customHeight="false" outlineLevel="0" collapsed="false">
      <c r="A2928" s="0" t="s">
        <v>4484</v>
      </c>
      <c r="B2928" s="0" t="s">
        <v>24</v>
      </c>
      <c r="C2928" s="0" t="s">
        <v>1693</v>
      </c>
      <c r="D2928" s="0" t="s">
        <v>63</v>
      </c>
      <c r="E2928" s="2" t="n">
        <v>45476</v>
      </c>
      <c r="F2928" s="3" t="s">
        <v>27</v>
      </c>
      <c r="G2928" s="3" t="s">
        <v>28</v>
      </c>
      <c r="H2928" s="3" t="s">
        <v>48</v>
      </c>
      <c r="I2928" s="3" t="n">
        <f aca="false">YEAR(E2928)</f>
        <v>2024</v>
      </c>
      <c r="J2928" s="3" t="n">
        <f aca="false">MONTH(E2928)</f>
        <v>7</v>
      </c>
      <c r="K2928" s="3" t="n">
        <f aca="false">COUNTIFS($B$2:$B$4077,B2928,$C$2:$C$4077,C2928,$I$2:$I$4077,I2928)</f>
        <v>1</v>
      </c>
      <c r="L2928" s="3" t="n">
        <f aca="false">IF(COUNTIFS($B$2:B2928,B2928,$C$2:C2928,C2928,$I$2:I2928,I2928)=1,1,0)</f>
        <v>1</v>
      </c>
      <c r="M2928" s="3" t="n">
        <f aca="false">IF(K2928&gt;=Parametri!$B$1,1,0)</f>
        <v>0</v>
      </c>
      <c r="N2928" s="3" t="n">
        <f aca="false">L2928*M2928</f>
        <v>0</v>
      </c>
    </row>
    <row r="2929" customFormat="false" ht="15" hidden="false" customHeight="false" outlineLevel="0" collapsed="false">
      <c r="A2929" s="0" t="s">
        <v>4485</v>
      </c>
      <c r="B2929" s="0" t="s">
        <v>24</v>
      </c>
      <c r="C2929" s="0" t="s">
        <v>3437</v>
      </c>
      <c r="D2929" s="0" t="s">
        <v>66</v>
      </c>
      <c r="E2929" s="2" t="n">
        <v>45908</v>
      </c>
      <c r="F2929" s="3" t="s">
        <v>20</v>
      </c>
      <c r="G2929" s="3" t="s">
        <v>43</v>
      </c>
      <c r="H2929" s="3" t="s">
        <v>22</v>
      </c>
      <c r="I2929" s="3" t="n">
        <f aca="false">YEAR(E2929)</f>
        <v>2025</v>
      </c>
      <c r="J2929" s="3" t="n">
        <f aca="false">MONTH(E2929)</f>
        <v>9</v>
      </c>
      <c r="K2929" s="3" t="n">
        <f aca="false">COUNTIFS($B$2:$B$4077,B2929,$C$2:$C$4077,C2929,$I$2:$I$4077,I2929)</f>
        <v>2</v>
      </c>
      <c r="L2929" s="3" t="n">
        <f aca="false">IF(COUNTIFS($B$2:B2929,B2929,$C$2:C2929,C2929,$I$2:I2929,I2929)=1,1,0)</f>
        <v>0</v>
      </c>
      <c r="M2929" s="3" t="n">
        <f aca="false">IF(K2929&gt;=Parametri!$B$1,1,0)</f>
        <v>1</v>
      </c>
      <c r="N2929" s="3" t="n">
        <f aca="false">L2929*M2929</f>
        <v>0</v>
      </c>
    </row>
    <row r="2930" customFormat="false" ht="15" hidden="false" customHeight="false" outlineLevel="0" collapsed="false">
      <c r="A2930" s="0" t="s">
        <v>4486</v>
      </c>
      <c r="B2930" s="0" t="s">
        <v>57</v>
      </c>
      <c r="C2930" s="0" t="s">
        <v>832</v>
      </c>
      <c r="D2930" s="0" t="s">
        <v>38</v>
      </c>
      <c r="E2930" s="2" t="n">
        <v>45834</v>
      </c>
      <c r="F2930" s="3" t="s">
        <v>27</v>
      </c>
      <c r="G2930" s="3" t="s">
        <v>89</v>
      </c>
      <c r="H2930" s="3" t="s">
        <v>22</v>
      </c>
      <c r="I2930" s="3" t="n">
        <f aca="false">YEAR(E2930)</f>
        <v>2025</v>
      </c>
      <c r="J2930" s="3" t="n">
        <f aca="false">MONTH(E2930)</f>
        <v>6</v>
      </c>
      <c r="K2930" s="3" t="n">
        <f aca="false">COUNTIFS($B$2:$B$4077,B2930,$C$2:$C$4077,C2930,$I$2:$I$4077,I2930)</f>
        <v>1</v>
      </c>
      <c r="L2930" s="3" t="n">
        <f aca="false">IF(COUNTIFS($B$2:B2930,B2930,$C$2:C2930,C2930,$I$2:I2930,I2930)=1,1,0)</f>
        <v>1</v>
      </c>
      <c r="M2930" s="3" t="n">
        <f aca="false">IF(K2930&gt;=Parametri!$B$1,1,0)</f>
        <v>0</v>
      </c>
      <c r="N2930" s="3" t="n">
        <f aca="false">L2930*M2930</f>
        <v>0</v>
      </c>
    </row>
    <row r="2931" customFormat="false" ht="15" hidden="false" customHeight="false" outlineLevel="0" collapsed="false">
      <c r="A2931" s="0" t="s">
        <v>4487</v>
      </c>
      <c r="B2931" s="0" t="s">
        <v>46</v>
      </c>
      <c r="C2931" s="0" t="s">
        <v>3988</v>
      </c>
      <c r="D2931" s="0" t="s">
        <v>63</v>
      </c>
      <c r="E2931" s="2" t="n">
        <v>46236</v>
      </c>
      <c r="F2931" s="3" t="s">
        <v>34</v>
      </c>
      <c r="G2931" s="3" t="s">
        <v>89</v>
      </c>
      <c r="H2931" s="3" t="s">
        <v>22</v>
      </c>
      <c r="I2931" s="3" t="n">
        <f aca="false">YEAR(E2931)</f>
        <v>2026</v>
      </c>
      <c r="J2931" s="3" t="n">
        <f aca="false">MONTH(E2931)</f>
        <v>8</v>
      </c>
      <c r="K2931" s="3" t="n">
        <f aca="false">COUNTIFS($B$2:$B$4077,B2931,$C$2:$C$4077,C2931,$I$2:$I$4077,I2931)</f>
        <v>1</v>
      </c>
      <c r="L2931" s="3" t="n">
        <f aca="false">IF(COUNTIFS($B$2:B2931,B2931,$C$2:C2931,C2931,$I$2:I2931,I2931)=1,1,0)</f>
        <v>1</v>
      </c>
      <c r="M2931" s="3" t="n">
        <f aca="false">IF(K2931&gt;=Parametri!$B$1,1,0)</f>
        <v>0</v>
      </c>
      <c r="N2931" s="3" t="n">
        <f aca="false">L2931*M2931</f>
        <v>0</v>
      </c>
    </row>
    <row r="2932" customFormat="false" ht="15" hidden="false" customHeight="false" outlineLevel="0" collapsed="false">
      <c r="A2932" s="0" t="s">
        <v>4488</v>
      </c>
      <c r="B2932" s="0" t="s">
        <v>41</v>
      </c>
      <c r="C2932" s="0" t="s">
        <v>343</v>
      </c>
      <c r="D2932" s="0" t="s">
        <v>38</v>
      </c>
      <c r="E2932" s="2" t="n">
        <v>45740</v>
      </c>
      <c r="F2932" s="3" t="s">
        <v>20</v>
      </c>
      <c r="G2932" s="3" t="s">
        <v>21</v>
      </c>
      <c r="H2932" s="3" t="s">
        <v>48</v>
      </c>
      <c r="I2932" s="3" t="n">
        <f aca="false">YEAR(E2932)</f>
        <v>2025</v>
      </c>
      <c r="J2932" s="3" t="n">
        <f aca="false">MONTH(E2932)</f>
        <v>3</v>
      </c>
      <c r="K2932" s="3" t="n">
        <f aca="false">COUNTIFS($B$2:$B$4077,B2932,$C$2:$C$4077,C2932,$I$2:$I$4077,I2932)</f>
        <v>7</v>
      </c>
      <c r="L2932" s="3" t="n">
        <f aca="false">IF(COUNTIFS($B$2:B2932,B2932,$C$2:C2932,C2932,$I$2:I2932,I2932)=1,1,0)</f>
        <v>0</v>
      </c>
      <c r="M2932" s="3" t="n">
        <f aca="false">IF(K2932&gt;=Parametri!$B$1,1,0)</f>
        <v>1</v>
      </c>
      <c r="N2932" s="3" t="n">
        <f aca="false">L2932*M2932</f>
        <v>0</v>
      </c>
    </row>
    <row r="2933" customFormat="false" ht="15" hidden="false" customHeight="false" outlineLevel="0" collapsed="false">
      <c r="A2933" s="0" t="s">
        <v>4489</v>
      </c>
      <c r="B2933" s="0" t="s">
        <v>50</v>
      </c>
      <c r="C2933" s="0" t="s">
        <v>4490</v>
      </c>
      <c r="D2933" s="0" t="s">
        <v>26</v>
      </c>
      <c r="E2933" s="2" t="n">
        <v>45352</v>
      </c>
      <c r="F2933" s="3" t="s">
        <v>27</v>
      </c>
      <c r="G2933" s="3" t="s">
        <v>89</v>
      </c>
      <c r="H2933" s="3" t="s">
        <v>44</v>
      </c>
      <c r="I2933" s="3" t="n">
        <f aca="false">YEAR(E2933)</f>
        <v>2024</v>
      </c>
      <c r="J2933" s="3" t="n">
        <f aca="false">MONTH(E2933)</f>
        <v>3</v>
      </c>
      <c r="K2933" s="3" t="n">
        <f aca="false">COUNTIFS($B$2:$B$4077,B2933,$C$2:$C$4077,C2933,$I$2:$I$4077,I2933)</f>
        <v>1</v>
      </c>
      <c r="L2933" s="3" t="n">
        <f aca="false">IF(COUNTIFS($B$2:B2933,B2933,$C$2:C2933,C2933,$I$2:I2933,I2933)=1,1,0)</f>
        <v>1</v>
      </c>
      <c r="M2933" s="3" t="n">
        <f aca="false">IF(K2933&gt;=Parametri!$B$1,1,0)</f>
        <v>0</v>
      </c>
      <c r="N2933" s="3" t="n">
        <f aca="false">L2933*M2933</f>
        <v>0</v>
      </c>
    </row>
    <row r="2934" customFormat="false" ht="15" hidden="false" customHeight="false" outlineLevel="0" collapsed="false">
      <c r="A2934" s="0" t="s">
        <v>4491</v>
      </c>
      <c r="B2934" s="0" t="s">
        <v>68</v>
      </c>
      <c r="C2934" s="0" t="s">
        <v>730</v>
      </c>
      <c r="D2934" s="0" t="s">
        <v>38</v>
      </c>
      <c r="E2934" s="2" t="n">
        <v>45542</v>
      </c>
      <c r="F2934" s="3" t="s">
        <v>34</v>
      </c>
      <c r="G2934" s="3" t="s">
        <v>72</v>
      </c>
      <c r="H2934" s="3" t="s">
        <v>22</v>
      </c>
      <c r="I2934" s="3" t="n">
        <f aca="false">YEAR(E2934)</f>
        <v>2024</v>
      </c>
      <c r="J2934" s="3" t="n">
        <f aca="false">MONTH(E2934)</f>
        <v>9</v>
      </c>
      <c r="K2934" s="3" t="n">
        <f aca="false">COUNTIFS($B$2:$B$4077,B2934,$C$2:$C$4077,C2934,$I$2:$I$4077,I2934)</f>
        <v>5</v>
      </c>
      <c r="L2934" s="3" t="n">
        <f aca="false">IF(COUNTIFS($B$2:B2934,B2934,$C$2:C2934,C2934,$I$2:I2934,I2934)=1,1,0)</f>
        <v>0</v>
      </c>
      <c r="M2934" s="3" t="n">
        <f aca="false">IF(K2934&gt;=Parametri!$B$1,1,0)</f>
        <v>1</v>
      </c>
      <c r="N2934" s="3" t="n">
        <f aca="false">L2934*M2934</f>
        <v>0</v>
      </c>
    </row>
    <row r="2935" customFormat="false" ht="15" hidden="false" customHeight="false" outlineLevel="0" collapsed="false">
      <c r="A2935" s="0" t="s">
        <v>4492</v>
      </c>
      <c r="B2935" s="0" t="s">
        <v>17</v>
      </c>
      <c r="C2935" s="0" t="s">
        <v>4493</v>
      </c>
      <c r="D2935" s="0" t="s">
        <v>77</v>
      </c>
      <c r="E2935" s="2" t="n">
        <v>45734</v>
      </c>
      <c r="F2935" s="3" t="s">
        <v>20</v>
      </c>
      <c r="G2935" s="3" t="s">
        <v>72</v>
      </c>
      <c r="H2935" s="3" t="s">
        <v>44</v>
      </c>
      <c r="I2935" s="3" t="n">
        <f aca="false">YEAR(E2935)</f>
        <v>2025</v>
      </c>
      <c r="J2935" s="3" t="n">
        <f aca="false">MONTH(E2935)</f>
        <v>3</v>
      </c>
      <c r="K2935" s="3" t="n">
        <f aca="false">COUNTIFS($B$2:$B$4077,B2935,$C$2:$C$4077,C2935,$I$2:$I$4077,I2935)</f>
        <v>1</v>
      </c>
      <c r="L2935" s="3" t="n">
        <f aca="false">IF(COUNTIFS($B$2:B2935,B2935,$C$2:C2935,C2935,$I$2:I2935,I2935)=1,1,0)</f>
        <v>1</v>
      </c>
      <c r="M2935" s="3" t="n">
        <f aca="false">IF(K2935&gt;=Parametri!$B$1,1,0)</f>
        <v>0</v>
      </c>
      <c r="N2935" s="3" t="n">
        <f aca="false">L2935*M2935</f>
        <v>0</v>
      </c>
    </row>
    <row r="2936" customFormat="false" ht="15" hidden="false" customHeight="false" outlineLevel="0" collapsed="false">
      <c r="A2936" s="0" t="s">
        <v>4494</v>
      </c>
      <c r="B2936" s="0" t="s">
        <v>46</v>
      </c>
      <c r="C2936" s="0" t="s">
        <v>4495</v>
      </c>
      <c r="D2936" s="0" t="s">
        <v>54</v>
      </c>
      <c r="E2936" s="2" t="n">
        <v>45692</v>
      </c>
      <c r="F2936" s="3" t="s">
        <v>34</v>
      </c>
      <c r="G2936" s="3" t="s">
        <v>43</v>
      </c>
      <c r="H2936" s="3" t="s">
        <v>48</v>
      </c>
      <c r="I2936" s="3" t="n">
        <f aca="false">YEAR(E2936)</f>
        <v>2025</v>
      </c>
      <c r="J2936" s="3" t="n">
        <f aca="false">MONTH(E2936)</f>
        <v>2</v>
      </c>
      <c r="K2936" s="3" t="n">
        <f aca="false">COUNTIFS($B$2:$B$4077,B2936,$C$2:$C$4077,C2936,$I$2:$I$4077,I2936)</f>
        <v>1</v>
      </c>
      <c r="L2936" s="3" t="n">
        <f aca="false">IF(COUNTIFS($B$2:B2936,B2936,$C$2:C2936,C2936,$I$2:I2936,I2936)=1,1,0)</f>
        <v>1</v>
      </c>
      <c r="M2936" s="3" t="n">
        <f aca="false">IF(K2936&gt;=Parametri!$B$1,1,0)</f>
        <v>0</v>
      </c>
      <c r="N2936" s="3" t="n">
        <f aca="false">L2936*M2936</f>
        <v>0</v>
      </c>
    </row>
    <row r="2937" customFormat="false" ht="15" hidden="false" customHeight="false" outlineLevel="0" collapsed="false">
      <c r="A2937" s="0" t="s">
        <v>4496</v>
      </c>
      <c r="B2937" s="0" t="s">
        <v>68</v>
      </c>
      <c r="C2937" s="0" t="s">
        <v>4497</v>
      </c>
      <c r="D2937" s="0" t="s">
        <v>19</v>
      </c>
      <c r="E2937" s="2" t="n">
        <v>45580</v>
      </c>
      <c r="F2937" s="3" t="s">
        <v>34</v>
      </c>
      <c r="G2937" s="3" t="s">
        <v>39</v>
      </c>
      <c r="H2937" s="3" t="s">
        <v>44</v>
      </c>
      <c r="I2937" s="3" t="n">
        <f aca="false">YEAR(E2937)</f>
        <v>2024</v>
      </c>
      <c r="J2937" s="3" t="n">
        <f aca="false">MONTH(E2937)</f>
        <v>10</v>
      </c>
      <c r="K2937" s="3" t="n">
        <f aca="false">COUNTIFS($B$2:$B$4077,B2937,$C$2:$C$4077,C2937,$I$2:$I$4077,I2937)</f>
        <v>1</v>
      </c>
      <c r="L2937" s="3" t="n">
        <f aca="false">IF(COUNTIFS($B$2:B2937,B2937,$C$2:C2937,C2937,$I$2:I2937,I2937)=1,1,0)</f>
        <v>1</v>
      </c>
      <c r="M2937" s="3" t="n">
        <f aca="false">IF(K2937&gt;=Parametri!$B$1,1,0)</f>
        <v>0</v>
      </c>
      <c r="N2937" s="3" t="n">
        <f aca="false">L2937*M2937</f>
        <v>0</v>
      </c>
    </row>
    <row r="2938" customFormat="false" ht="15" hidden="false" customHeight="false" outlineLevel="0" collapsed="false">
      <c r="A2938" s="0" t="s">
        <v>4498</v>
      </c>
      <c r="B2938" s="0" t="s">
        <v>68</v>
      </c>
      <c r="C2938" s="0" t="s">
        <v>4499</v>
      </c>
      <c r="D2938" s="0" t="s">
        <v>63</v>
      </c>
      <c r="E2938" s="2" t="n">
        <v>45661</v>
      </c>
      <c r="F2938" s="3" t="s">
        <v>20</v>
      </c>
      <c r="G2938" s="3" t="s">
        <v>43</v>
      </c>
      <c r="H2938" s="3" t="s">
        <v>48</v>
      </c>
      <c r="I2938" s="3" t="n">
        <f aca="false">YEAR(E2938)</f>
        <v>2025</v>
      </c>
      <c r="J2938" s="3" t="n">
        <f aca="false">MONTH(E2938)</f>
        <v>1</v>
      </c>
      <c r="K2938" s="3" t="n">
        <f aca="false">COUNTIFS($B$2:$B$4077,B2938,$C$2:$C$4077,C2938,$I$2:$I$4077,I2938)</f>
        <v>1</v>
      </c>
      <c r="L2938" s="3" t="n">
        <f aca="false">IF(COUNTIFS($B$2:B2938,B2938,$C$2:C2938,C2938,$I$2:I2938,I2938)=1,1,0)</f>
        <v>1</v>
      </c>
      <c r="M2938" s="3" t="n">
        <f aca="false">IF(K2938&gt;=Parametri!$B$1,1,0)</f>
        <v>0</v>
      </c>
      <c r="N2938" s="3" t="n">
        <f aca="false">L2938*M2938</f>
        <v>0</v>
      </c>
    </row>
    <row r="2939" customFormat="false" ht="15" hidden="false" customHeight="false" outlineLevel="0" collapsed="false">
      <c r="A2939" s="0" t="s">
        <v>4500</v>
      </c>
      <c r="B2939" s="0" t="s">
        <v>31</v>
      </c>
      <c r="C2939" s="0" t="s">
        <v>4501</v>
      </c>
      <c r="D2939" s="0" t="s">
        <v>54</v>
      </c>
      <c r="E2939" s="2" t="n">
        <v>45302</v>
      </c>
      <c r="F2939" s="3" t="s">
        <v>27</v>
      </c>
      <c r="G2939" s="3" t="s">
        <v>43</v>
      </c>
      <c r="H2939" s="3" t="s">
        <v>44</v>
      </c>
      <c r="I2939" s="3" t="n">
        <f aca="false">YEAR(E2939)</f>
        <v>2024</v>
      </c>
      <c r="J2939" s="3" t="n">
        <f aca="false">MONTH(E2939)</f>
        <v>1</v>
      </c>
      <c r="K2939" s="3" t="n">
        <f aca="false">COUNTIFS($B$2:$B$4077,B2939,$C$2:$C$4077,C2939,$I$2:$I$4077,I2939)</f>
        <v>1</v>
      </c>
      <c r="L2939" s="3" t="n">
        <f aca="false">IF(COUNTIFS($B$2:B2939,B2939,$C$2:C2939,C2939,$I$2:I2939,I2939)=1,1,0)</f>
        <v>1</v>
      </c>
      <c r="M2939" s="3" t="n">
        <f aca="false">IF(K2939&gt;=Parametri!$B$1,1,0)</f>
        <v>0</v>
      </c>
      <c r="N2939" s="3" t="n">
        <f aca="false">L2939*M2939</f>
        <v>0</v>
      </c>
    </row>
    <row r="2940" customFormat="false" ht="15" hidden="false" customHeight="false" outlineLevel="0" collapsed="false">
      <c r="A2940" s="0" t="s">
        <v>4502</v>
      </c>
      <c r="B2940" s="0" t="s">
        <v>68</v>
      </c>
      <c r="C2940" s="0" t="s">
        <v>4503</v>
      </c>
      <c r="D2940" s="0" t="s">
        <v>54</v>
      </c>
      <c r="E2940" s="2" t="n">
        <v>45718</v>
      </c>
      <c r="F2940" s="3" t="s">
        <v>27</v>
      </c>
      <c r="G2940" s="3" t="s">
        <v>43</v>
      </c>
      <c r="H2940" s="3" t="s">
        <v>48</v>
      </c>
      <c r="I2940" s="3" t="n">
        <f aca="false">YEAR(E2940)</f>
        <v>2025</v>
      </c>
      <c r="J2940" s="3" t="n">
        <f aca="false">MONTH(E2940)</f>
        <v>3</v>
      </c>
      <c r="K2940" s="3" t="n">
        <f aca="false">COUNTIFS($B$2:$B$4077,B2940,$C$2:$C$4077,C2940,$I$2:$I$4077,I2940)</f>
        <v>1</v>
      </c>
      <c r="L2940" s="3" t="n">
        <f aca="false">IF(COUNTIFS($B$2:B2940,B2940,$C$2:C2940,C2940,$I$2:I2940,I2940)=1,1,0)</f>
        <v>1</v>
      </c>
      <c r="M2940" s="3" t="n">
        <f aca="false">IF(K2940&gt;=Parametri!$B$1,1,0)</f>
        <v>0</v>
      </c>
      <c r="N2940" s="3" t="n">
        <f aca="false">L2940*M2940</f>
        <v>0</v>
      </c>
    </row>
    <row r="2941" customFormat="false" ht="15" hidden="false" customHeight="false" outlineLevel="0" collapsed="false">
      <c r="A2941" s="0" t="s">
        <v>4504</v>
      </c>
      <c r="B2941" s="0" t="s">
        <v>68</v>
      </c>
      <c r="C2941" s="0" t="s">
        <v>4505</v>
      </c>
      <c r="D2941" s="0" t="s">
        <v>63</v>
      </c>
      <c r="E2941" s="2" t="n">
        <v>45446</v>
      </c>
      <c r="F2941" s="3" t="s">
        <v>20</v>
      </c>
      <c r="G2941" s="3" t="s">
        <v>55</v>
      </c>
      <c r="H2941" s="3" t="s">
        <v>44</v>
      </c>
      <c r="I2941" s="3" t="n">
        <f aca="false">YEAR(E2941)</f>
        <v>2024</v>
      </c>
      <c r="J2941" s="3" t="n">
        <f aca="false">MONTH(E2941)</f>
        <v>6</v>
      </c>
      <c r="K2941" s="3" t="n">
        <f aca="false">COUNTIFS($B$2:$B$4077,B2941,$C$2:$C$4077,C2941,$I$2:$I$4077,I2941)</f>
        <v>1</v>
      </c>
      <c r="L2941" s="3" t="n">
        <f aca="false">IF(COUNTIFS($B$2:B2941,B2941,$C$2:C2941,C2941,$I$2:I2941,I2941)=1,1,0)</f>
        <v>1</v>
      </c>
      <c r="M2941" s="3" t="n">
        <f aca="false">IF(K2941&gt;=Parametri!$B$1,1,0)</f>
        <v>0</v>
      </c>
      <c r="N2941" s="3" t="n">
        <f aca="false">L2941*M2941</f>
        <v>0</v>
      </c>
    </row>
    <row r="2942" customFormat="false" ht="15" hidden="false" customHeight="false" outlineLevel="0" collapsed="false">
      <c r="A2942" s="0" t="s">
        <v>4506</v>
      </c>
      <c r="B2942" s="0" t="s">
        <v>17</v>
      </c>
      <c r="C2942" s="0" t="s">
        <v>18</v>
      </c>
      <c r="D2942" s="0" t="s">
        <v>19</v>
      </c>
      <c r="E2942" s="2" t="n">
        <v>46127</v>
      </c>
      <c r="F2942" s="3" t="s">
        <v>20</v>
      </c>
      <c r="G2942" s="3" t="s">
        <v>43</v>
      </c>
      <c r="H2942" s="3" t="s">
        <v>48</v>
      </c>
      <c r="I2942" s="3" t="n">
        <f aca="false">YEAR(E2942)</f>
        <v>2026</v>
      </c>
      <c r="J2942" s="3" t="n">
        <f aca="false">MONTH(E2942)</f>
        <v>4</v>
      </c>
      <c r="K2942" s="3" t="n">
        <f aca="false">COUNTIFS($B$2:$B$4077,B2942,$C$2:$C$4077,C2942,$I$2:$I$4077,I2942)</f>
        <v>3</v>
      </c>
      <c r="L2942" s="3" t="n">
        <f aca="false">IF(COUNTIFS($B$2:B2942,B2942,$C$2:C2942,C2942,$I$2:I2942,I2942)=1,1,0)</f>
        <v>0</v>
      </c>
      <c r="M2942" s="3" t="n">
        <f aca="false">IF(K2942&gt;=Parametri!$B$1,1,0)</f>
        <v>1</v>
      </c>
      <c r="N2942" s="3" t="n">
        <f aca="false">L2942*M2942</f>
        <v>0</v>
      </c>
    </row>
    <row r="2943" customFormat="false" ht="15" hidden="false" customHeight="false" outlineLevel="0" collapsed="false">
      <c r="A2943" s="0" t="s">
        <v>4507</v>
      </c>
      <c r="B2943" s="0" t="s">
        <v>24</v>
      </c>
      <c r="C2943" s="0" t="s">
        <v>1427</v>
      </c>
      <c r="D2943" s="0" t="s">
        <v>77</v>
      </c>
      <c r="E2943" s="2" t="n">
        <v>45399</v>
      </c>
      <c r="F2943" s="3" t="s">
        <v>20</v>
      </c>
      <c r="G2943" s="3" t="s">
        <v>35</v>
      </c>
      <c r="H2943" s="3" t="s">
        <v>44</v>
      </c>
      <c r="I2943" s="3" t="n">
        <f aca="false">YEAR(E2943)</f>
        <v>2024</v>
      </c>
      <c r="J2943" s="3" t="n">
        <f aca="false">MONTH(E2943)</f>
        <v>4</v>
      </c>
      <c r="K2943" s="3" t="n">
        <f aca="false">COUNTIFS($B$2:$B$4077,B2943,$C$2:$C$4077,C2943,$I$2:$I$4077,I2943)</f>
        <v>2</v>
      </c>
      <c r="L2943" s="3" t="n">
        <f aca="false">IF(COUNTIFS($B$2:B2943,B2943,$C$2:C2943,C2943,$I$2:I2943,I2943)=1,1,0)</f>
        <v>0</v>
      </c>
      <c r="M2943" s="3" t="n">
        <f aca="false">IF(K2943&gt;=Parametri!$B$1,1,0)</f>
        <v>1</v>
      </c>
      <c r="N2943" s="3" t="n">
        <f aca="false">L2943*M2943</f>
        <v>0</v>
      </c>
    </row>
    <row r="2944" customFormat="false" ht="15" hidden="false" customHeight="false" outlineLevel="0" collapsed="false">
      <c r="A2944" s="0" t="s">
        <v>4508</v>
      </c>
      <c r="B2944" s="0" t="s">
        <v>24</v>
      </c>
      <c r="C2944" s="0" t="s">
        <v>2751</v>
      </c>
      <c r="D2944" s="0" t="s">
        <v>54</v>
      </c>
      <c r="E2944" s="2" t="n">
        <v>45369</v>
      </c>
      <c r="F2944" s="3" t="s">
        <v>20</v>
      </c>
      <c r="G2944" s="3" t="s">
        <v>35</v>
      </c>
      <c r="H2944" s="3" t="s">
        <v>29</v>
      </c>
      <c r="I2944" s="3" t="n">
        <f aca="false">YEAR(E2944)</f>
        <v>2024</v>
      </c>
      <c r="J2944" s="3" t="n">
        <f aca="false">MONTH(E2944)</f>
        <v>3</v>
      </c>
      <c r="K2944" s="3" t="n">
        <f aca="false">COUNTIFS($B$2:$B$4077,B2944,$C$2:$C$4077,C2944,$I$2:$I$4077,I2944)</f>
        <v>2</v>
      </c>
      <c r="L2944" s="3" t="n">
        <f aca="false">IF(COUNTIFS($B$2:B2944,B2944,$C$2:C2944,C2944,$I$2:I2944,I2944)=1,1,0)</f>
        <v>0</v>
      </c>
      <c r="M2944" s="3" t="n">
        <f aca="false">IF(K2944&gt;=Parametri!$B$1,1,0)</f>
        <v>1</v>
      </c>
      <c r="N2944" s="3" t="n">
        <f aca="false">L2944*M2944</f>
        <v>0</v>
      </c>
    </row>
    <row r="2945" customFormat="false" ht="15" hidden="false" customHeight="false" outlineLevel="0" collapsed="false">
      <c r="A2945" s="0" t="s">
        <v>4509</v>
      </c>
      <c r="B2945" s="0" t="s">
        <v>41</v>
      </c>
      <c r="C2945" s="0" t="s">
        <v>4510</v>
      </c>
      <c r="D2945" s="0" t="s">
        <v>63</v>
      </c>
      <c r="E2945" s="2" t="n">
        <v>45736</v>
      </c>
      <c r="F2945" s="3" t="s">
        <v>20</v>
      </c>
      <c r="G2945" s="3" t="s">
        <v>35</v>
      </c>
      <c r="H2945" s="3" t="s">
        <v>48</v>
      </c>
      <c r="I2945" s="3" t="n">
        <f aca="false">YEAR(E2945)</f>
        <v>2025</v>
      </c>
      <c r="J2945" s="3" t="n">
        <f aca="false">MONTH(E2945)</f>
        <v>3</v>
      </c>
      <c r="K2945" s="3" t="n">
        <f aca="false">COUNTIFS($B$2:$B$4077,B2945,$C$2:$C$4077,C2945,$I$2:$I$4077,I2945)</f>
        <v>1</v>
      </c>
      <c r="L2945" s="3" t="n">
        <f aca="false">IF(COUNTIFS($B$2:B2945,B2945,$C$2:C2945,C2945,$I$2:I2945,I2945)=1,1,0)</f>
        <v>1</v>
      </c>
      <c r="M2945" s="3" t="n">
        <f aca="false">IF(K2945&gt;=Parametri!$B$1,1,0)</f>
        <v>0</v>
      </c>
      <c r="N2945" s="3" t="n">
        <f aca="false">L2945*M2945</f>
        <v>0</v>
      </c>
    </row>
    <row r="2946" customFormat="false" ht="15" hidden="false" customHeight="false" outlineLevel="0" collapsed="false">
      <c r="A2946" s="0" t="s">
        <v>4511</v>
      </c>
      <c r="B2946" s="0" t="s">
        <v>124</v>
      </c>
      <c r="C2946" s="0" t="s">
        <v>4512</v>
      </c>
      <c r="D2946" s="0" t="s">
        <v>66</v>
      </c>
      <c r="E2946" s="2" t="n">
        <v>45553</v>
      </c>
      <c r="F2946" s="3" t="s">
        <v>20</v>
      </c>
      <c r="G2946" s="3" t="s">
        <v>39</v>
      </c>
      <c r="H2946" s="3" t="s">
        <v>22</v>
      </c>
      <c r="I2946" s="3" t="n">
        <f aca="false">YEAR(E2946)</f>
        <v>2024</v>
      </c>
      <c r="J2946" s="3" t="n">
        <f aca="false">MONTH(E2946)</f>
        <v>9</v>
      </c>
      <c r="K2946" s="3" t="n">
        <f aca="false">COUNTIFS($B$2:$B$4077,B2946,$C$2:$C$4077,C2946,$I$2:$I$4077,I2946)</f>
        <v>1</v>
      </c>
      <c r="L2946" s="3" t="n">
        <f aca="false">IF(COUNTIFS($B$2:B2946,B2946,$C$2:C2946,C2946,$I$2:I2946,I2946)=1,1,0)</f>
        <v>1</v>
      </c>
      <c r="M2946" s="3" t="n">
        <f aca="false">IF(K2946&gt;=Parametri!$B$1,1,0)</f>
        <v>0</v>
      </c>
      <c r="N2946" s="3" t="n">
        <f aca="false">L2946*M2946</f>
        <v>0</v>
      </c>
    </row>
    <row r="2947" customFormat="false" ht="15" hidden="false" customHeight="false" outlineLevel="0" collapsed="false">
      <c r="A2947" s="0" t="s">
        <v>4513</v>
      </c>
      <c r="B2947" s="0" t="s">
        <v>17</v>
      </c>
      <c r="C2947" s="0" t="s">
        <v>4072</v>
      </c>
      <c r="D2947" s="0" t="s">
        <v>77</v>
      </c>
      <c r="E2947" s="2" t="n">
        <v>46194</v>
      </c>
      <c r="F2947" s="3" t="s">
        <v>20</v>
      </c>
      <c r="G2947" s="3" t="s">
        <v>21</v>
      </c>
      <c r="H2947" s="3" t="s">
        <v>44</v>
      </c>
      <c r="I2947" s="3" t="n">
        <f aca="false">YEAR(E2947)</f>
        <v>2026</v>
      </c>
      <c r="J2947" s="3" t="n">
        <f aca="false">MONTH(E2947)</f>
        <v>6</v>
      </c>
      <c r="K2947" s="3" t="n">
        <f aca="false">COUNTIFS($B$2:$B$4077,B2947,$C$2:$C$4077,C2947,$I$2:$I$4077,I2947)</f>
        <v>1</v>
      </c>
      <c r="L2947" s="3" t="n">
        <f aca="false">IF(COUNTIFS($B$2:B2947,B2947,$C$2:C2947,C2947,$I$2:I2947,I2947)=1,1,0)</f>
        <v>1</v>
      </c>
      <c r="M2947" s="3" t="n">
        <f aca="false">IF(K2947&gt;=Parametri!$B$1,1,0)</f>
        <v>0</v>
      </c>
      <c r="N2947" s="3" t="n">
        <f aca="false">L2947*M2947</f>
        <v>0</v>
      </c>
    </row>
    <row r="2948" customFormat="false" ht="15" hidden="false" customHeight="false" outlineLevel="0" collapsed="false">
      <c r="A2948" s="0" t="s">
        <v>4514</v>
      </c>
      <c r="B2948" s="0" t="s">
        <v>68</v>
      </c>
      <c r="C2948" s="0" t="s">
        <v>2456</v>
      </c>
      <c r="D2948" s="0" t="s">
        <v>63</v>
      </c>
      <c r="E2948" s="2" t="n">
        <v>45368</v>
      </c>
      <c r="F2948" s="3" t="s">
        <v>20</v>
      </c>
      <c r="G2948" s="3" t="s">
        <v>89</v>
      </c>
      <c r="H2948" s="3" t="s">
        <v>48</v>
      </c>
      <c r="I2948" s="3" t="n">
        <f aca="false">YEAR(E2948)</f>
        <v>2024</v>
      </c>
      <c r="J2948" s="3" t="n">
        <f aca="false">MONTH(E2948)</f>
        <v>3</v>
      </c>
      <c r="K2948" s="3" t="n">
        <f aca="false">COUNTIFS($B$2:$B$4077,B2948,$C$2:$C$4077,C2948,$I$2:$I$4077,I2948)</f>
        <v>1</v>
      </c>
      <c r="L2948" s="3" t="n">
        <f aca="false">IF(COUNTIFS($B$2:B2948,B2948,$C$2:C2948,C2948,$I$2:I2948,I2948)=1,1,0)</f>
        <v>1</v>
      </c>
      <c r="M2948" s="3" t="n">
        <f aca="false">IF(K2948&gt;=Parametri!$B$1,1,0)</f>
        <v>0</v>
      </c>
      <c r="N2948" s="3" t="n">
        <f aca="false">L2948*M2948</f>
        <v>0</v>
      </c>
    </row>
    <row r="2949" customFormat="false" ht="15" hidden="false" customHeight="false" outlineLevel="0" collapsed="false">
      <c r="A2949" s="0" t="s">
        <v>4515</v>
      </c>
      <c r="B2949" s="0" t="s">
        <v>79</v>
      </c>
      <c r="C2949" s="0" t="s">
        <v>4516</v>
      </c>
      <c r="D2949" s="0" t="s">
        <v>33</v>
      </c>
      <c r="E2949" s="2" t="n">
        <v>46229</v>
      </c>
      <c r="F2949" s="3" t="s">
        <v>20</v>
      </c>
      <c r="G2949" s="3" t="s">
        <v>39</v>
      </c>
      <c r="H2949" s="3" t="s">
        <v>22</v>
      </c>
      <c r="I2949" s="3" t="n">
        <f aca="false">YEAR(E2949)</f>
        <v>2026</v>
      </c>
      <c r="J2949" s="3" t="n">
        <f aca="false">MONTH(E2949)</f>
        <v>7</v>
      </c>
      <c r="K2949" s="3" t="n">
        <f aca="false">COUNTIFS($B$2:$B$4077,B2949,$C$2:$C$4077,C2949,$I$2:$I$4077,I2949)</f>
        <v>3</v>
      </c>
      <c r="L2949" s="3" t="n">
        <f aca="false">IF(COUNTIFS($B$2:B2949,B2949,$C$2:C2949,C2949,$I$2:I2949,I2949)=1,1,0)</f>
        <v>1</v>
      </c>
      <c r="M2949" s="3" t="n">
        <f aca="false">IF(K2949&gt;=Parametri!$B$1,1,0)</f>
        <v>1</v>
      </c>
      <c r="N2949" s="3" t="n">
        <f aca="false">L2949*M2949</f>
        <v>1</v>
      </c>
    </row>
    <row r="2950" customFormat="false" ht="15" hidden="false" customHeight="false" outlineLevel="0" collapsed="false">
      <c r="A2950" s="0" t="s">
        <v>4517</v>
      </c>
      <c r="B2950" s="0" t="s">
        <v>68</v>
      </c>
      <c r="C2950" s="0" t="s">
        <v>4518</v>
      </c>
      <c r="D2950" s="0" t="s">
        <v>19</v>
      </c>
      <c r="E2950" s="2" t="n">
        <v>45701</v>
      </c>
      <c r="F2950" s="3" t="s">
        <v>27</v>
      </c>
      <c r="G2950" s="3" t="s">
        <v>55</v>
      </c>
      <c r="H2950" s="3" t="s">
        <v>44</v>
      </c>
      <c r="I2950" s="3" t="n">
        <f aca="false">YEAR(E2950)</f>
        <v>2025</v>
      </c>
      <c r="J2950" s="3" t="n">
        <f aca="false">MONTH(E2950)</f>
        <v>2</v>
      </c>
      <c r="K2950" s="3" t="n">
        <f aca="false">COUNTIFS($B$2:$B$4077,B2950,$C$2:$C$4077,C2950,$I$2:$I$4077,I2950)</f>
        <v>1</v>
      </c>
      <c r="L2950" s="3" t="n">
        <f aca="false">IF(COUNTIFS($B$2:B2950,B2950,$C$2:C2950,C2950,$I$2:I2950,I2950)=1,1,0)</f>
        <v>1</v>
      </c>
      <c r="M2950" s="3" t="n">
        <f aca="false">IF(K2950&gt;=Parametri!$B$1,1,0)</f>
        <v>0</v>
      </c>
      <c r="N2950" s="3" t="n">
        <f aca="false">L2950*M2950</f>
        <v>0</v>
      </c>
    </row>
    <row r="2951" customFormat="false" ht="15" hidden="false" customHeight="false" outlineLevel="0" collapsed="false">
      <c r="A2951" s="0" t="s">
        <v>4519</v>
      </c>
      <c r="B2951" s="0" t="s">
        <v>46</v>
      </c>
      <c r="C2951" s="0" t="s">
        <v>4495</v>
      </c>
      <c r="D2951" s="0" t="s">
        <v>26</v>
      </c>
      <c r="E2951" s="2" t="n">
        <v>46236</v>
      </c>
      <c r="F2951" s="3" t="s">
        <v>20</v>
      </c>
      <c r="G2951" s="3" t="s">
        <v>35</v>
      </c>
      <c r="H2951" s="3" t="s">
        <v>44</v>
      </c>
      <c r="I2951" s="3" t="n">
        <f aca="false">YEAR(E2951)</f>
        <v>2026</v>
      </c>
      <c r="J2951" s="3" t="n">
        <f aca="false">MONTH(E2951)</f>
        <v>8</v>
      </c>
      <c r="K2951" s="3" t="n">
        <f aca="false">COUNTIFS($B$2:$B$4077,B2951,$C$2:$C$4077,C2951,$I$2:$I$4077,I2951)</f>
        <v>1</v>
      </c>
      <c r="L2951" s="3" t="n">
        <f aca="false">IF(COUNTIFS($B$2:B2951,B2951,$C$2:C2951,C2951,$I$2:I2951,I2951)=1,1,0)</f>
        <v>1</v>
      </c>
      <c r="M2951" s="3" t="n">
        <f aca="false">IF(K2951&gt;=Parametri!$B$1,1,0)</f>
        <v>0</v>
      </c>
      <c r="N2951" s="3" t="n">
        <f aca="false">L2951*M2951</f>
        <v>0</v>
      </c>
    </row>
    <row r="2952" customFormat="false" ht="15" hidden="false" customHeight="false" outlineLevel="0" collapsed="false">
      <c r="A2952" s="0" t="s">
        <v>4520</v>
      </c>
      <c r="B2952" s="0" t="s">
        <v>31</v>
      </c>
      <c r="C2952" s="0" t="s">
        <v>2426</v>
      </c>
      <c r="D2952" s="0" t="s">
        <v>38</v>
      </c>
      <c r="E2952" s="2" t="n">
        <v>45955</v>
      </c>
      <c r="F2952" s="3" t="s">
        <v>34</v>
      </c>
      <c r="G2952" s="3" t="s">
        <v>43</v>
      </c>
      <c r="H2952" s="3" t="s">
        <v>22</v>
      </c>
      <c r="I2952" s="3" t="n">
        <f aca="false">YEAR(E2952)</f>
        <v>2025</v>
      </c>
      <c r="J2952" s="3" t="n">
        <f aca="false">MONTH(E2952)</f>
        <v>10</v>
      </c>
      <c r="K2952" s="3" t="n">
        <f aca="false">COUNTIFS($B$2:$B$4077,B2952,$C$2:$C$4077,C2952,$I$2:$I$4077,I2952)</f>
        <v>1</v>
      </c>
      <c r="L2952" s="3" t="n">
        <f aca="false">IF(COUNTIFS($B$2:B2952,B2952,$C$2:C2952,C2952,$I$2:I2952,I2952)=1,1,0)</f>
        <v>1</v>
      </c>
      <c r="M2952" s="3" t="n">
        <f aca="false">IF(K2952&gt;=Parametri!$B$1,1,0)</f>
        <v>0</v>
      </c>
      <c r="N2952" s="3" t="n">
        <f aca="false">L2952*M2952</f>
        <v>0</v>
      </c>
    </row>
    <row r="2953" customFormat="false" ht="15" hidden="false" customHeight="false" outlineLevel="0" collapsed="false">
      <c r="A2953" s="0" t="s">
        <v>4521</v>
      </c>
      <c r="B2953" s="0" t="s">
        <v>41</v>
      </c>
      <c r="C2953" s="0" t="s">
        <v>493</v>
      </c>
      <c r="D2953" s="0" t="s">
        <v>19</v>
      </c>
      <c r="E2953" s="2" t="n">
        <v>45957</v>
      </c>
      <c r="F2953" s="3" t="s">
        <v>20</v>
      </c>
      <c r="G2953" s="3" t="s">
        <v>72</v>
      </c>
      <c r="H2953" s="3" t="s">
        <v>29</v>
      </c>
      <c r="I2953" s="3" t="n">
        <f aca="false">YEAR(E2953)</f>
        <v>2025</v>
      </c>
      <c r="J2953" s="3" t="n">
        <f aca="false">MONTH(E2953)</f>
        <v>10</v>
      </c>
      <c r="K2953" s="3" t="n">
        <f aca="false">COUNTIFS($B$2:$B$4077,B2953,$C$2:$C$4077,C2953,$I$2:$I$4077,I2953)</f>
        <v>4</v>
      </c>
      <c r="L2953" s="3" t="n">
        <f aca="false">IF(COUNTIFS($B$2:B2953,B2953,$C$2:C2953,C2953,$I$2:I2953,I2953)=1,1,0)</f>
        <v>0</v>
      </c>
      <c r="M2953" s="3" t="n">
        <f aca="false">IF(K2953&gt;=Parametri!$B$1,1,0)</f>
        <v>1</v>
      </c>
      <c r="N2953" s="3" t="n">
        <f aca="false">L2953*M2953</f>
        <v>0</v>
      </c>
    </row>
    <row r="2954" customFormat="false" ht="15" hidden="false" customHeight="false" outlineLevel="0" collapsed="false">
      <c r="A2954" s="0" t="s">
        <v>4522</v>
      </c>
      <c r="B2954" s="0" t="s">
        <v>79</v>
      </c>
      <c r="C2954" s="0" t="s">
        <v>1777</v>
      </c>
      <c r="D2954" s="0" t="s">
        <v>19</v>
      </c>
      <c r="E2954" s="2" t="n">
        <v>45714</v>
      </c>
      <c r="F2954" s="3" t="s">
        <v>20</v>
      </c>
      <c r="G2954" s="3" t="s">
        <v>72</v>
      </c>
      <c r="H2954" s="3" t="s">
        <v>48</v>
      </c>
      <c r="I2954" s="3" t="n">
        <f aca="false">YEAR(E2954)</f>
        <v>2025</v>
      </c>
      <c r="J2954" s="3" t="n">
        <f aca="false">MONTH(E2954)</f>
        <v>2</v>
      </c>
      <c r="K2954" s="3" t="n">
        <f aca="false">COUNTIFS($B$2:$B$4077,B2954,$C$2:$C$4077,C2954,$I$2:$I$4077,I2954)</f>
        <v>2</v>
      </c>
      <c r="L2954" s="3" t="n">
        <f aca="false">IF(COUNTIFS($B$2:B2954,B2954,$C$2:C2954,C2954,$I$2:I2954,I2954)=1,1,0)</f>
        <v>0</v>
      </c>
      <c r="M2954" s="3" t="n">
        <f aca="false">IF(K2954&gt;=Parametri!$B$1,1,0)</f>
        <v>1</v>
      </c>
      <c r="N2954" s="3" t="n">
        <f aca="false">L2954*M2954</f>
        <v>0</v>
      </c>
    </row>
    <row r="2955" customFormat="false" ht="15" hidden="false" customHeight="false" outlineLevel="0" collapsed="false">
      <c r="A2955" s="0" t="s">
        <v>4523</v>
      </c>
      <c r="B2955" s="0" t="s">
        <v>46</v>
      </c>
      <c r="C2955" s="0" t="s">
        <v>1215</v>
      </c>
      <c r="D2955" s="0" t="s">
        <v>77</v>
      </c>
      <c r="E2955" s="2" t="n">
        <v>45509</v>
      </c>
      <c r="F2955" s="3" t="s">
        <v>20</v>
      </c>
      <c r="G2955" s="3" t="s">
        <v>28</v>
      </c>
      <c r="H2955" s="3" t="s">
        <v>48</v>
      </c>
      <c r="I2955" s="3" t="n">
        <f aca="false">YEAR(E2955)</f>
        <v>2024</v>
      </c>
      <c r="J2955" s="3" t="n">
        <f aca="false">MONTH(E2955)</f>
        <v>8</v>
      </c>
      <c r="K2955" s="3" t="n">
        <f aca="false">COUNTIFS($B$2:$B$4077,B2955,$C$2:$C$4077,C2955,$I$2:$I$4077,I2955)</f>
        <v>1</v>
      </c>
      <c r="L2955" s="3" t="n">
        <f aca="false">IF(COUNTIFS($B$2:B2955,B2955,$C$2:C2955,C2955,$I$2:I2955,I2955)=1,1,0)</f>
        <v>1</v>
      </c>
      <c r="M2955" s="3" t="n">
        <f aca="false">IF(K2955&gt;=Parametri!$B$1,1,0)</f>
        <v>0</v>
      </c>
      <c r="N2955" s="3" t="n">
        <f aca="false">L2955*M2955</f>
        <v>0</v>
      </c>
    </row>
    <row r="2956" customFormat="false" ht="15" hidden="false" customHeight="false" outlineLevel="0" collapsed="false">
      <c r="A2956" s="0" t="s">
        <v>4524</v>
      </c>
      <c r="B2956" s="0" t="s">
        <v>17</v>
      </c>
      <c r="C2956" s="0" t="s">
        <v>3266</v>
      </c>
      <c r="D2956" s="0" t="s">
        <v>66</v>
      </c>
      <c r="E2956" s="2" t="n">
        <v>45546</v>
      </c>
      <c r="F2956" s="3" t="s">
        <v>20</v>
      </c>
      <c r="G2956" s="3" t="s">
        <v>28</v>
      </c>
      <c r="H2956" s="3" t="s">
        <v>29</v>
      </c>
      <c r="I2956" s="3" t="n">
        <f aca="false">YEAR(E2956)</f>
        <v>2024</v>
      </c>
      <c r="J2956" s="3" t="n">
        <f aca="false">MONTH(E2956)</f>
        <v>9</v>
      </c>
      <c r="K2956" s="3" t="n">
        <f aca="false">COUNTIFS($B$2:$B$4077,B2956,$C$2:$C$4077,C2956,$I$2:$I$4077,I2956)</f>
        <v>3</v>
      </c>
      <c r="L2956" s="3" t="n">
        <f aca="false">IF(COUNTIFS($B$2:B2956,B2956,$C$2:C2956,C2956,$I$2:I2956,I2956)=1,1,0)</f>
        <v>0</v>
      </c>
      <c r="M2956" s="3" t="n">
        <f aca="false">IF(K2956&gt;=Parametri!$B$1,1,0)</f>
        <v>1</v>
      </c>
      <c r="N2956" s="3" t="n">
        <f aca="false">L2956*M2956</f>
        <v>0</v>
      </c>
    </row>
    <row r="2957" customFormat="false" ht="15" hidden="false" customHeight="false" outlineLevel="0" collapsed="false">
      <c r="A2957" s="0" t="s">
        <v>4525</v>
      </c>
      <c r="B2957" s="0" t="s">
        <v>41</v>
      </c>
      <c r="C2957" s="0" t="s">
        <v>4526</v>
      </c>
      <c r="D2957" s="0" t="s">
        <v>33</v>
      </c>
      <c r="E2957" s="2" t="n">
        <v>46096</v>
      </c>
      <c r="F2957" s="3" t="s">
        <v>27</v>
      </c>
      <c r="G2957" s="3" t="s">
        <v>28</v>
      </c>
      <c r="H2957" s="3" t="s">
        <v>44</v>
      </c>
      <c r="I2957" s="3" t="n">
        <f aca="false">YEAR(E2957)</f>
        <v>2026</v>
      </c>
      <c r="J2957" s="3" t="n">
        <f aca="false">MONTH(E2957)</f>
        <v>3</v>
      </c>
      <c r="K2957" s="3" t="n">
        <f aca="false">COUNTIFS($B$2:$B$4077,B2957,$C$2:$C$4077,C2957,$I$2:$I$4077,I2957)</f>
        <v>1</v>
      </c>
      <c r="L2957" s="3" t="n">
        <f aca="false">IF(COUNTIFS($B$2:B2957,B2957,$C$2:C2957,C2957,$I$2:I2957,I2957)=1,1,0)</f>
        <v>1</v>
      </c>
      <c r="M2957" s="3" t="n">
        <f aca="false">IF(K2957&gt;=Parametri!$B$1,1,0)</f>
        <v>0</v>
      </c>
      <c r="N2957" s="3" t="n">
        <f aca="false">L2957*M2957</f>
        <v>0</v>
      </c>
    </row>
    <row r="2958" customFormat="false" ht="15" hidden="false" customHeight="false" outlineLevel="0" collapsed="false">
      <c r="A2958" s="0" t="s">
        <v>4527</v>
      </c>
      <c r="B2958" s="0" t="s">
        <v>31</v>
      </c>
      <c r="C2958" s="0" t="s">
        <v>53</v>
      </c>
      <c r="D2958" s="0" t="s">
        <v>38</v>
      </c>
      <c r="E2958" s="2" t="n">
        <v>46250</v>
      </c>
      <c r="F2958" s="3" t="s">
        <v>27</v>
      </c>
      <c r="G2958" s="3" t="s">
        <v>28</v>
      </c>
      <c r="H2958" s="3" t="s">
        <v>22</v>
      </c>
      <c r="I2958" s="3" t="n">
        <f aca="false">YEAR(E2958)</f>
        <v>2026</v>
      </c>
      <c r="J2958" s="3" t="n">
        <f aca="false">MONTH(E2958)</f>
        <v>8</v>
      </c>
      <c r="K2958" s="3" t="n">
        <f aca="false">COUNTIFS($B$2:$B$4077,B2958,$C$2:$C$4077,C2958,$I$2:$I$4077,I2958)</f>
        <v>2</v>
      </c>
      <c r="L2958" s="3" t="n">
        <f aca="false">IF(COUNTIFS($B$2:B2958,B2958,$C$2:C2958,C2958,$I$2:I2958,I2958)=1,1,0)</f>
        <v>0</v>
      </c>
      <c r="M2958" s="3" t="n">
        <f aca="false">IF(K2958&gt;=Parametri!$B$1,1,0)</f>
        <v>1</v>
      </c>
      <c r="N2958" s="3" t="n">
        <f aca="false">L2958*M2958</f>
        <v>0</v>
      </c>
    </row>
    <row r="2959" customFormat="false" ht="15" hidden="false" customHeight="false" outlineLevel="0" collapsed="false">
      <c r="A2959" s="0" t="s">
        <v>4528</v>
      </c>
      <c r="B2959" s="0" t="s">
        <v>46</v>
      </c>
      <c r="C2959" s="0" t="s">
        <v>4529</v>
      </c>
      <c r="D2959" s="0" t="s">
        <v>77</v>
      </c>
      <c r="E2959" s="2" t="n">
        <v>45541</v>
      </c>
      <c r="F2959" s="3" t="s">
        <v>20</v>
      </c>
      <c r="G2959" s="3" t="s">
        <v>35</v>
      </c>
      <c r="H2959" s="3" t="s">
        <v>48</v>
      </c>
      <c r="I2959" s="3" t="n">
        <f aca="false">YEAR(E2959)</f>
        <v>2024</v>
      </c>
      <c r="J2959" s="3" t="n">
        <f aca="false">MONTH(E2959)</f>
        <v>9</v>
      </c>
      <c r="K2959" s="3" t="n">
        <f aca="false">COUNTIFS($B$2:$B$4077,B2959,$C$2:$C$4077,C2959,$I$2:$I$4077,I2959)</f>
        <v>1</v>
      </c>
      <c r="L2959" s="3" t="n">
        <f aca="false">IF(COUNTIFS($B$2:B2959,B2959,$C$2:C2959,C2959,$I$2:I2959,I2959)=1,1,0)</f>
        <v>1</v>
      </c>
      <c r="M2959" s="3" t="n">
        <f aca="false">IF(K2959&gt;=Parametri!$B$1,1,0)</f>
        <v>0</v>
      </c>
      <c r="N2959" s="3" t="n">
        <f aca="false">L2959*M2959</f>
        <v>0</v>
      </c>
    </row>
    <row r="2960" customFormat="false" ht="15" hidden="false" customHeight="false" outlineLevel="0" collapsed="false">
      <c r="A2960" s="0" t="s">
        <v>4530</v>
      </c>
      <c r="B2960" s="0" t="s">
        <v>46</v>
      </c>
      <c r="C2960" s="0" t="s">
        <v>962</v>
      </c>
      <c r="D2960" s="0" t="s">
        <v>54</v>
      </c>
      <c r="E2960" s="2" t="n">
        <v>45916</v>
      </c>
      <c r="F2960" s="3" t="s">
        <v>34</v>
      </c>
      <c r="G2960" s="3" t="s">
        <v>55</v>
      </c>
      <c r="H2960" s="3" t="s">
        <v>48</v>
      </c>
      <c r="I2960" s="3" t="n">
        <f aca="false">YEAR(E2960)</f>
        <v>2025</v>
      </c>
      <c r="J2960" s="3" t="n">
        <f aca="false">MONTH(E2960)</f>
        <v>9</v>
      </c>
      <c r="K2960" s="3" t="n">
        <f aca="false">COUNTIFS($B$2:$B$4077,B2960,$C$2:$C$4077,C2960,$I$2:$I$4077,I2960)</f>
        <v>5</v>
      </c>
      <c r="L2960" s="3" t="n">
        <f aca="false">IF(COUNTIFS($B$2:B2960,B2960,$C$2:C2960,C2960,$I$2:I2960,I2960)=1,1,0)</f>
        <v>0</v>
      </c>
      <c r="M2960" s="3" t="n">
        <f aca="false">IF(K2960&gt;=Parametri!$B$1,1,0)</f>
        <v>1</v>
      </c>
      <c r="N2960" s="3" t="n">
        <f aca="false">L2960*M2960</f>
        <v>0</v>
      </c>
    </row>
    <row r="2961" customFormat="false" ht="15" hidden="false" customHeight="false" outlineLevel="0" collapsed="false">
      <c r="A2961" s="0" t="s">
        <v>4531</v>
      </c>
      <c r="B2961" s="0" t="s">
        <v>46</v>
      </c>
      <c r="C2961" s="0" t="s">
        <v>4532</v>
      </c>
      <c r="D2961" s="0" t="s">
        <v>26</v>
      </c>
      <c r="E2961" s="2" t="n">
        <v>45757</v>
      </c>
      <c r="F2961" s="3" t="s">
        <v>27</v>
      </c>
      <c r="G2961" s="3" t="s">
        <v>43</v>
      </c>
      <c r="H2961" s="3" t="s">
        <v>48</v>
      </c>
      <c r="I2961" s="3" t="n">
        <f aca="false">YEAR(E2961)</f>
        <v>2025</v>
      </c>
      <c r="J2961" s="3" t="n">
        <f aca="false">MONTH(E2961)</f>
        <v>4</v>
      </c>
      <c r="K2961" s="3" t="n">
        <f aca="false">COUNTIFS($B$2:$B$4077,B2961,$C$2:$C$4077,C2961,$I$2:$I$4077,I2961)</f>
        <v>1</v>
      </c>
      <c r="L2961" s="3" t="n">
        <f aca="false">IF(COUNTIFS($B$2:B2961,B2961,$C$2:C2961,C2961,$I$2:I2961,I2961)=1,1,0)</f>
        <v>1</v>
      </c>
      <c r="M2961" s="3" t="n">
        <f aca="false">IF(K2961&gt;=Parametri!$B$1,1,0)</f>
        <v>0</v>
      </c>
      <c r="N2961" s="3" t="n">
        <f aca="false">L2961*M2961</f>
        <v>0</v>
      </c>
    </row>
    <row r="2962" customFormat="false" ht="15" hidden="false" customHeight="false" outlineLevel="0" collapsed="false">
      <c r="A2962" s="0" t="s">
        <v>4533</v>
      </c>
      <c r="B2962" s="0" t="s">
        <v>41</v>
      </c>
      <c r="C2962" s="0" t="s">
        <v>742</v>
      </c>
      <c r="D2962" s="0" t="s">
        <v>26</v>
      </c>
      <c r="E2962" s="2" t="n">
        <v>45612</v>
      </c>
      <c r="F2962" s="3" t="s">
        <v>20</v>
      </c>
      <c r="G2962" s="3" t="s">
        <v>89</v>
      </c>
      <c r="H2962" s="3" t="s">
        <v>48</v>
      </c>
      <c r="I2962" s="3" t="n">
        <f aca="false">YEAR(E2962)</f>
        <v>2024</v>
      </c>
      <c r="J2962" s="3" t="n">
        <f aca="false">MONTH(E2962)</f>
        <v>11</v>
      </c>
      <c r="K2962" s="3" t="n">
        <f aca="false">COUNTIFS($B$2:$B$4077,B2962,$C$2:$C$4077,C2962,$I$2:$I$4077,I2962)</f>
        <v>2</v>
      </c>
      <c r="L2962" s="3" t="n">
        <f aca="false">IF(COUNTIFS($B$2:B2962,B2962,$C$2:C2962,C2962,$I$2:I2962,I2962)=1,1,0)</f>
        <v>0</v>
      </c>
      <c r="M2962" s="3" t="n">
        <f aca="false">IF(K2962&gt;=Parametri!$B$1,1,0)</f>
        <v>1</v>
      </c>
      <c r="N2962" s="3" t="n">
        <f aca="false">L2962*M2962</f>
        <v>0</v>
      </c>
    </row>
    <row r="2963" customFormat="false" ht="15" hidden="false" customHeight="false" outlineLevel="0" collapsed="false">
      <c r="A2963" s="0" t="s">
        <v>4534</v>
      </c>
      <c r="B2963" s="0" t="s">
        <v>46</v>
      </c>
      <c r="C2963" s="0" t="s">
        <v>4535</v>
      </c>
      <c r="D2963" s="0" t="s">
        <v>66</v>
      </c>
      <c r="E2963" s="2" t="n">
        <v>46110</v>
      </c>
      <c r="F2963" s="3" t="s">
        <v>34</v>
      </c>
      <c r="G2963" s="3" t="s">
        <v>35</v>
      </c>
      <c r="H2963" s="3" t="s">
        <v>44</v>
      </c>
      <c r="I2963" s="3" t="n">
        <f aca="false">YEAR(E2963)</f>
        <v>2026</v>
      </c>
      <c r="J2963" s="3" t="n">
        <f aca="false">MONTH(E2963)</f>
        <v>3</v>
      </c>
      <c r="K2963" s="3" t="n">
        <f aca="false">COUNTIFS($B$2:$B$4077,B2963,$C$2:$C$4077,C2963,$I$2:$I$4077,I2963)</f>
        <v>1</v>
      </c>
      <c r="L2963" s="3" t="n">
        <f aca="false">IF(COUNTIFS($B$2:B2963,B2963,$C$2:C2963,C2963,$I$2:I2963,I2963)=1,1,0)</f>
        <v>1</v>
      </c>
      <c r="M2963" s="3" t="n">
        <f aca="false">IF(K2963&gt;=Parametri!$B$1,1,0)</f>
        <v>0</v>
      </c>
      <c r="N2963" s="3" t="n">
        <f aca="false">L2963*M2963</f>
        <v>0</v>
      </c>
    </row>
    <row r="2964" customFormat="false" ht="15" hidden="false" customHeight="false" outlineLevel="0" collapsed="false">
      <c r="A2964" s="0" t="s">
        <v>4536</v>
      </c>
      <c r="B2964" s="0" t="s">
        <v>24</v>
      </c>
      <c r="C2964" s="0" t="s">
        <v>204</v>
      </c>
      <c r="D2964" s="0" t="s">
        <v>66</v>
      </c>
      <c r="E2964" s="2" t="n">
        <v>45328</v>
      </c>
      <c r="F2964" s="3" t="s">
        <v>27</v>
      </c>
      <c r="G2964" s="3" t="s">
        <v>28</v>
      </c>
      <c r="H2964" s="3" t="s">
        <v>29</v>
      </c>
      <c r="I2964" s="3" t="n">
        <f aca="false">YEAR(E2964)</f>
        <v>2024</v>
      </c>
      <c r="J2964" s="3" t="n">
        <f aca="false">MONTH(E2964)</f>
        <v>2</v>
      </c>
      <c r="K2964" s="3" t="n">
        <f aca="false">COUNTIFS($B$2:$B$4077,B2964,$C$2:$C$4077,C2964,$I$2:$I$4077,I2964)</f>
        <v>5</v>
      </c>
      <c r="L2964" s="3" t="n">
        <f aca="false">IF(COUNTIFS($B$2:B2964,B2964,$C$2:C2964,C2964,$I$2:I2964,I2964)=1,1,0)</f>
        <v>0</v>
      </c>
      <c r="M2964" s="3" t="n">
        <f aca="false">IF(K2964&gt;=Parametri!$B$1,1,0)</f>
        <v>1</v>
      </c>
      <c r="N2964" s="3" t="n">
        <f aca="false">L2964*M2964</f>
        <v>0</v>
      </c>
    </row>
    <row r="2965" customFormat="false" ht="15" hidden="false" customHeight="false" outlineLevel="0" collapsed="false">
      <c r="A2965" s="0" t="s">
        <v>4537</v>
      </c>
      <c r="B2965" s="0" t="s">
        <v>79</v>
      </c>
      <c r="C2965" s="0" t="s">
        <v>4538</v>
      </c>
      <c r="D2965" s="0" t="s">
        <v>38</v>
      </c>
      <c r="E2965" s="2" t="n">
        <v>46265</v>
      </c>
      <c r="F2965" s="3" t="s">
        <v>27</v>
      </c>
      <c r="G2965" s="3" t="s">
        <v>39</v>
      </c>
      <c r="H2965" s="3" t="s">
        <v>29</v>
      </c>
      <c r="I2965" s="3" t="n">
        <f aca="false">YEAR(E2965)</f>
        <v>2026</v>
      </c>
      <c r="J2965" s="3" t="n">
        <f aca="false">MONTH(E2965)</f>
        <v>8</v>
      </c>
      <c r="K2965" s="3" t="n">
        <f aca="false">COUNTIFS($B$2:$B$4077,B2965,$C$2:$C$4077,C2965,$I$2:$I$4077,I2965)</f>
        <v>1</v>
      </c>
      <c r="L2965" s="3" t="n">
        <f aca="false">IF(COUNTIFS($B$2:B2965,B2965,$C$2:C2965,C2965,$I$2:I2965,I2965)=1,1,0)</f>
        <v>1</v>
      </c>
      <c r="M2965" s="3" t="n">
        <f aca="false">IF(K2965&gt;=Parametri!$B$1,1,0)</f>
        <v>0</v>
      </c>
      <c r="N2965" s="3" t="n">
        <f aca="false">L2965*M2965</f>
        <v>0</v>
      </c>
    </row>
    <row r="2966" customFormat="false" ht="15" hidden="false" customHeight="false" outlineLevel="0" collapsed="false">
      <c r="A2966" s="0" t="s">
        <v>4539</v>
      </c>
      <c r="B2966" s="0" t="s">
        <v>41</v>
      </c>
      <c r="C2966" s="0" t="s">
        <v>598</v>
      </c>
      <c r="D2966" s="0" t="s">
        <v>19</v>
      </c>
      <c r="E2966" s="2" t="n">
        <v>45369</v>
      </c>
      <c r="F2966" s="3" t="s">
        <v>20</v>
      </c>
      <c r="G2966" s="3" t="s">
        <v>89</v>
      </c>
      <c r="H2966" s="3" t="s">
        <v>22</v>
      </c>
      <c r="I2966" s="3" t="n">
        <f aca="false">YEAR(E2966)</f>
        <v>2024</v>
      </c>
      <c r="J2966" s="3" t="n">
        <f aca="false">MONTH(E2966)</f>
        <v>3</v>
      </c>
      <c r="K2966" s="3" t="n">
        <f aca="false">COUNTIFS($B$2:$B$4077,B2966,$C$2:$C$4077,C2966,$I$2:$I$4077,I2966)</f>
        <v>3</v>
      </c>
      <c r="L2966" s="3" t="n">
        <f aca="false">IF(COUNTIFS($B$2:B2966,B2966,$C$2:C2966,C2966,$I$2:I2966,I2966)=1,1,0)</f>
        <v>0</v>
      </c>
      <c r="M2966" s="3" t="n">
        <f aca="false">IF(K2966&gt;=Parametri!$B$1,1,0)</f>
        <v>1</v>
      </c>
      <c r="N2966" s="3" t="n">
        <f aca="false">L2966*M2966</f>
        <v>0</v>
      </c>
    </row>
    <row r="2967" customFormat="false" ht="15" hidden="false" customHeight="false" outlineLevel="0" collapsed="false">
      <c r="A2967" s="0" t="s">
        <v>4540</v>
      </c>
      <c r="B2967" s="0" t="s">
        <v>124</v>
      </c>
      <c r="C2967" s="0" t="s">
        <v>3840</v>
      </c>
      <c r="D2967" s="0" t="s">
        <v>33</v>
      </c>
      <c r="E2967" s="2" t="n">
        <v>45322</v>
      </c>
      <c r="F2967" s="3" t="s">
        <v>34</v>
      </c>
      <c r="G2967" s="3" t="s">
        <v>21</v>
      </c>
      <c r="H2967" s="3" t="s">
        <v>44</v>
      </c>
      <c r="I2967" s="3" t="n">
        <f aca="false">YEAR(E2967)</f>
        <v>2024</v>
      </c>
      <c r="J2967" s="3" t="n">
        <f aca="false">MONTH(E2967)</f>
        <v>1</v>
      </c>
      <c r="K2967" s="3" t="n">
        <f aca="false">COUNTIFS($B$2:$B$4077,B2967,$C$2:$C$4077,C2967,$I$2:$I$4077,I2967)</f>
        <v>1</v>
      </c>
      <c r="L2967" s="3" t="n">
        <f aca="false">IF(COUNTIFS($B$2:B2967,B2967,$C$2:C2967,C2967,$I$2:I2967,I2967)=1,1,0)</f>
        <v>1</v>
      </c>
      <c r="M2967" s="3" t="n">
        <f aca="false">IF(K2967&gt;=Parametri!$B$1,1,0)</f>
        <v>0</v>
      </c>
      <c r="N2967" s="3" t="n">
        <f aca="false">L2967*M2967</f>
        <v>0</v>
      </c>
    </row>
    <row r="2968" customFormat="false" ht="15" hidden="false" customHeight="false" outlineLevel="0" collapsed="false">
      <c r="A2968" s="0" t="s">
        <v>4541</v>
      </c>
      <c r="B2968" s="0" t="s">
        <v>46</v>
      </c>
      <c r="C2968" s="0" t="s">
        <v>4542</v>
      </c>
      <c r="D2968" s="0" t="s">
        <v>63</v>
      </c>
      <c r="E2968" s="2" t="n">
        <v>45611</v>
      </c>
      <c r="F2968" s="3" t="s">
        <v>34</v>
      </c>
      <c r="G2968" s="3" t="s">
        <v>72</v>
      </c>
      <c r="H2968" s="3" t="s">
        <v>44</v>
      </c>
      <c r="I2968" s="3" t="n">
        <f aca="false">YEAR(E2968)</f>
        <v>2024</v>
      </c>
      <c r="J2968" s="3" t="n">
        <f aca="false">MONTH(E2968)</f>
        <v>11</v>
      </c>
      <c r="K2968" s="3" t="n">
        <f aca="false">COUNTIFS($B$2:$B$4077,B2968,$C$2:$C$4077,C2968,$I$2:$I$4077,I2968)</f>
        <v>1</v>
      </c>
      <c r="L2968" s="3" t="n">
        <f aca="false">IF(COUNTIFS($B$2:B2968,B2968,$C$2:C2968,C2968,$I$2:I2968,I2968)=1,1,0)</f>
        <v>1</v>
      </c>
      <c r="M2968" s="3" t="n">
        <f aca="false">IF(K2968&gt;=Parametri!$B$1,1,0)</f>
        <v>0</v>
      </c>
      <c r="N2968" s="3" t="n">
        <f aca="false">L2968*M2968</f>
        <v>0</v>
      </c>
    </row>
    <row r="2969" customFormat="false" ht="15" hidden="false" customHeight="false" outlineLevel="0" collapsed="false">
      <c r="A2969" s="0" t="s">
        <v>4543</v>
      </c>
      <c r="B2969" s="0" t="s">
        <v>50</v>
      </c>
      <c r="C2969" s="0" t="s">
        <v>4544</v>
      </c>
      <c r="D2969" s="0" t="s">
        <v>33</v>
      </c>
      <c r="E2969" s="2" t="n">
        <v>45967</v>
      </c>
      <c r="F2969" s="3" t="s">
        <v>20</v>
      </c>
      <c r="G2969" s="3" t="s">
        <v>39</v>
      </c>
      <c r="H2969" s="3" t="s">
        <v>22</v>
      </c>
      <c r="I2969" s="3" t="n">
        <f aca="false">YEAR(E2969)</f>
        <v>2025</v>
      </c>
      <c r="J2969" s="3" t="n">
        <f aca="false">MONTH(E2969)</f>
        <v>11</v>
      </c>
      <c r="K2969" s="3" t="n">
        <f aca="false">COUNTIFS($B$2:$B$4077,B2969,$C$2:$C$4077,C2969,$I$2:$I$4077,I2969)</f>
        <v>1</v>
      </c>
      <c r="L2969" s="3" t="n">
        <f aca="false">IF(COUNTIFS($B$2:B2969,B2969,$C$2:C2969,C2969,$I$2:I2969,I2969)=1,1,0)</f>
        <v>1</v>
      </c>
      <c r="M2969" s="3" t="n">
        <f aca="false">IF(K2969&gt;=Parametri!$B$1,1,0)</f>
        <v>0</v>
      </c>
      <c r="N2969" s="3" t="n">
        <f aca="false">L2969*M2969</f>
        <v>0</v>
      </c>
    </row>
    <row r="2970" customFormat="false" ht="15" hidden="false" customHeight="false" outlineLevel="0" collapsed="false">
      <c r="A2970" s="0" t="s">
        <v>4545</v>
      </c>
      <c r="B2970" s="0" t="s">
        <v>50</v>
      </c>
      <c r="C2970" s="0" t="s">
        <v>1436</v>
      </c>
      <c r="D2970" s="0" t="s">
        <v>54</v>
      </c>
      <c r="E2970" s="2" t="n">
        <v>45712</v>
      </c>
      <c r="F2970" s="3" t="s">
        <v>34</v>
      </c>
      <c r="G2970" s="3" t="s">
        <v>35</v>
      </c>
      <c r="H2970" s="3" t="s">
        <v>29</v>
      </c>
      <c r="I2970" s="3" t="n">
        <f aca="false">YEAR(E2970)</f>
        <v>2025</v>
      </c>
      <c r="J2970" s="3" t="n">
        <f aca="false">MONTH(E2970)</f>
        <v>2</v>
      </c>
      <c r="K2970" s="3" t="n">
        <f aca="false">COUNTIFS($B$2:$B$4077,B2970,$C$2:$C$4077,C2970,$I$2:$I$4077,I2970)</f>
        <v>4</v>
      </c>
      <c r="L2970" s="3" t="n">
        <f aca="false">IF(COUNTIFS($B$2:B2970,B2970,$C$2:C2970,C2970,$I$2:I2970,I2970)=1,1,0)</f>
        <v>0</v>
      </c>
      <c r="M2970" s="3" t="n">
        <f aca="false">IF(K2970&gt;=Parametri!$B$1,1,0)</f>
        <v>1</v>
      </c>
      <c r="N2970" s="3" t="n">
        <f aca="false">L2970*M2970</f>
        <v>0</v>
      </c>
    </row>
    <row r="2971" customFormat="false" ht="15" hidden="false" customHeight="false" outlineLevel="0" collapsed="false">
      <c r="A2971" s="0" t="s">
        <v>4546</v>
      </c>
      <c r="B2971" s="0" t="s">
        <v>41</v>
      </c>
      <c r="C2971" s="0" t="s">
        <v>4547</v>
      </c>
      <c r="D2971" s="0" t="s">
        <v>63</v>
      </c>
      <c r="E2971" s="2" t="n">
        <v>45940</v>
      </c>
      <c r="F2971" s="3" t="s">
        <v>27</v>
      </c>
      <c r="G2971" s="3" t="s">
        <v>28</v>
      </c>
      <c r="H2971" s="3" t="s">
        <v>44</v>
      </c>
      <c r="I2971" s="3" t="n">
        <f aca="false">YEAR(E2971)</f>
        <v>2025</v>
      </c>
      <c r="J2971" s="3" t="n">
        <f aca="false">MONTH(E2971)</f>
        <v>10</v>
      </c>
      <c r="K2971" s="3" t="n">
        <f aca="false">COUNTIFS($B$2:$B$4077,B2971,$C$2:$C$4077,C2971,$I$2:$I$4077,I2971)</f>
        <v>1</v>
      </c>
      <c r="L2971" s="3" t="n">
        <f aca="false">IF(COUNTIFS($B$2:B2971,B2971,$C$2:C2971,C2971,$I$2:I2971,I2971)=1,1,0)</f>
        <v>1</v>
      </c>
      <c r="M2971" s="3" t="n">
        <f aca="false">IF(K2971&gt;=Parametri!$B$1,1,0)</f>
        <v>0</v>
      </c>
      <c r="N2971" s="3" t="n">
        <f aca="false">L2971*M2971</f>
        <v>0</v>
      </c>
    </row>
    <row r="2972" customFormat="false" ht="15" hidden="false" customHeight="false" outlineLevel="0" collapsed="false">
      <c r="A2972" s="0" t="s">
        <v>4548</v>
      </c>
      <c r="B2972" s="0" t="s">
        <v>50</v>
      </c>
      <c r="C2972" s="0" t="s">
        <v>241</v>
      </c>
      <c r="D2972" s="0" t="s">
        <v>54</v>
      </c>
      <c r="E2972" s="2" t="n">
        <v>45856</v>
      </c>
      <c r="F2972" s="3" t="s">
        <v>20</v>
      </c>
      <c r="G2972" s="3" t="s">
        <v>55</v>
      </c>
      <c r="H2972" s="3" t="s">
        <v>22</v>
      </c>
      <c r="I2972" s="3" t="n">
        <f aca="false">YEAR(E2972)</f>
        <v>2025</v>
      </c>
      <c r="J2972" s="3" t="n">
        <f aca="false">MONTH(E2972)</f>
        <v>7</v>
      </c>
      <c r="K2972" s="3" t="n">
        <f aca="false">COUNTIFS($B$2:$B$4077,B2972,$C$2:$C$4077,C2972,$I$2:$I$4077,I2972)</f>
        <v>1</v>
      </c>
      <c r="L2972" s="3" t="n">
        <f aca="false">IF(COUNTIFS($B$2:B2972,B2972,$C$2:C2972,C2972,$I$2:I2972,I2972)=1,1,0)</f>
        <v>1</v>
      </c>
      <c r="M2972" s="3" t="n">
        <f aca="false">IF(K2972&gt;=Parametri!$B$1,1,0)</f>
        <v>0</v>
      </c>
      <c r="N2972" s="3" t="n">
        <f aca="false">L2972*M2972</f>
        <v>0</v>
      </c>
    </row>
    <row r="2973" customFormat="false" ht="15" hidden="false" customHeight="false" outlineLevel="0" collapsed="false">
      <c r="A2973" s="0" t="s">
        <v>4549</v>
      </c>
      <c r="B2973" s="0" t="s">
        <v>24</v>
      </c>
      <c r="C2973" s="0" t="s">
        <v>1335</v>
      </c>
      <c r="D2973" s="0" t="s">
        <v>77</v>
      </c>
      <c r="E2973" s="2" t="n">
        <v>45632</v>
      </c>
      <c r="F2973" s="3" t="s">
        <v>20</v>
      </c>
      <c r="G2973" s="3" t="s">
        <v>89</v>
      </c>
      <c r="H2973" s="3" t="s">
        <v>29</v>
      </c>
      <c r="I2973" s="3" t="n">
        <f aca="false">YEAR(E2973)</f>
        <v>2024</v>
      </c>
      <c r="J2973" s="3" t="n">
        <f aca="false">MONTH(E2973)</f>
        <v>12</v>
      </c>
      <c r="K2973" s="3" t="n">
        <f aca="false">COUNTIFS($B$2:$B$4077,B2973,$C$2:$C$4077,C2973,$I$2:$I$4077,I2973)</f>
        <v>1</v>
      </c>
      <c r="L2973" s="3" t="n">
        <f aca="false">IF(COUNTIFS($B$2:B2973,B2973,$C$2:C2973,C2973,$I$2:I2973,I2973)=1,1,0)</f>
        <v>1</v>
      </c>
      <c r="M2973" s="3" t="n">
        <f aca="false">IF(K2973&gt;=Parametri!$B$1,1,0)</f>
        <v>0</v>
      </c>
      <c r="N2973" s="3" t="n">
        <f aca="false">L2973*M2973</f>
        <v>0</v>
      </c>
    </row>
    <row r="2974" customFormat="false" ht="15" hidden="false" customHeight="false" outlineLevel="0" collapsed="false">
      <c r="A2974" s="0" t="s">
        <v>4550</v>
      </c>
      <c r="B2974" s="0" t="s">
        <v>68</v>
      </c>
      <c r="C2974" s="0" t="s">
        <v>1260</v>
      </c>
      <c r="D2974" s="0" t="s">
        <v>38</v>
      </c>
      <c r="E2974" s="2" t="n">
        <v>45637</v>
      </c>
      <c r="F2974" s="3" t="s">
        <v>34</v>
      </c>
      <c r="G2974" s="3" t="s">
        <v>89</v>
      </c>
      <c r="H2974" s="3" t="s">
        <v>29</v>
      </c>
      <c r="I2974" s="3" t="n">
        <f aca="false">YEAR(E2974)</f>
        <v>2024</v>
      </c>
      <c r="J2974" s="3" t="n">
        <f aca="false">MONTH(E2974)</f>
        <v>12</v>
      </c>
      <c r="K2974" s="3" t="n">
        <f aca="false">COUNTIFS($B$2:$B$4077,B2974,$C$2:$C$4077,C2974,$I$2:$I$4077,I2974)</f>
        <v>2</v>
      </c>
      <c r="L2974" s="3" t="n">
        <f aca="false">IF(COUNTIFS($B$2:B2974,B2974,$C$2:C2974,C2974,$I$2:I2974,I2974)=1,1,0)</f>
        <v>1</v>
      </c>
      <c r="M2974" s="3" t="n">
        <f aca="false">IF(K2974&gt;=Parametri!$B$1,1,0)</f>
        <v>1</v>
      </c>
      <c r="N2974" s="3" t="n">
        <f aca="false">L2974*M2974</f>
        <v>1</v>
      </c>
    </row>
    <row r="2975" customFormat="false" ht="15" hidden="false" customHeight="false" outlineLevel="0" collapsed="false">
      <c r="A2975" s="0" t="s">
        <v>4551</v>
      </c>
      <c r="B2975" s="0" t="s">
        <v>68</v>
      </c>
      <c r="C2975" s="0" t="s">
        <v>4552</v>
      </c>
      <c r="D2975" s="0" t="s">
        <v>19</v>
      </c>
      <c r="E2975" s="2" t="n">
        <v>45615</v>
      </c>
      <c r="F2975" s="3" t="s">
        <v>27</v>
      </c>
      <c r="G2975" s="3" t="s">
        <v>39</v>
      </c>
      <c r="H2975" s="3" t="s">
        <v>22</v>
      </c>
      <c r="I2975" s="3" t="n">
        <f aca="false">YEAR(E2975)</f>
        <v>2024</v>
      </c>
      <c r="J2975" s="3" t="n">
        <f aca="false">MONTH(E2975)</f>
        <v>11</v>
      </c>
      <c r="K2975" s="3" t="n">
        <f aca="false">COUNTIFS($B$2:$B$4077,B2975,$C$2:$C$4077,C2975,$I$2:$I$4077,I2975)</f>
        <v>1</v>
      </c>
      <c r="L2975" s="3" t="n">
        <f aca="false">IF(COUNTIFS($B$2:B2975,B2975,$C$2:C2975,C2975,$I$2:I2975,I2975)=1,1,0)</f>
        <v>1</v>
      </c>
      <c r="M2975" s="3" t="n">
        <f aca="false">IF(K2975&gt;=Parametri!$B$1,1,0)</f>
        <v>0</v>
      </c>
      <c r="N2975" s="3" t="n">
        <f aca="false">L2975*M2975</f>
        <v>0</v>
      </c>
    </row>
    <row r="2976" customFormat="false" ht="15" hidden="false" customHeight="false" outlineLevel="0" collapsed="false">
      <c r="A2976" s="0" t="s">
        <v>4553</v>
      </c>
      <c r="B2976" s="0" t="s">
        <v>41</v>
      </c>
      <c r="C2976" s="0" t="s">
        <v>4554</v>
      </c>
      <c r="D2976" s="0" t="s">
        <v>33</v>
      </c>
      <c r="E2976" s="2" t="n">
        <v>45738</v>
      </c>
      <c r="F2976" s="3" t="s">
        <v>34</v>
      </c>
      <c r="G2976" s="3" t="s">
        <v>72</v>
      </c>
      <c r="H2976" s="3" t="s">
        <v>48</v>
      </c>
      <c r="I2976" s="3" t="n">
        <f aca="false">YEAR(E2976)</f>
        <v>2025</v>
      </c>
      <c r="J2976" s="3" t="n">
        <f aca="false">MONTH(E2976)</f>
        <v>3</v>
      </c>
      <c r="K2976" s="3" t="n">
        <f aca="false">COUNTIFS($B$2:$B$4077,B2976,$C$2:$C$4077,C2976,$I$2:$I$4077,I2976)</f>
        <v>1</v>
      </c>
      <c r="L2976" s="3" t="n">
        <f aca="false">IF(COUNTIFS($B$2:B2976,B2976,$C$2:C2976,C2976,$I$2:I2976,I2976)=1,1,0)</f>
        <v>1</v>
      </c>
      <c r="M2976" s="3" t="n">
        <f aca="false">IF(K2976&gt;=Parametri!$B$1,1,0)</f>
        <v>0</v>
      </c>
      <c r="N2976" s="3" t="n">
        <f aca="false">L2976*M2976</f>
        <v>0</v>
      </c>
    </row>
    <row r="2977" customFormat="false" ht="15" hidden="false" customHeight="false" outlineLevel="0" collapsed="false">
      <c r="A2977" s="0" t="s">
        <v>4555</v>
      </c>
      <c r="B2977" s="0" t="s">
        <v>50</v>
      </c>
      <c r="C2977" s="0" t="s">
        <v>4556</v>
      </c>
      <c r="D2977" s="0" t="s">
        <v>54</v>
      </c>
      <c r="E2977" s="2" t="n">
        <v>45942</v>
      </c>
      <c r="F2977" s="3" t="s">
        <v>34</v>
      </c>
      <c r="G2977" s="3" t="s">
        <v>39</v>
      </c>
      <c r="H2977" s="3" t="s">
        <v>29</v>
      </c>
      <c r="I2977" s="3" t="n">
        <f aca="false">YEAR(E2977)</f>
        <v>2025</v>
      </c>
      <c r="J2977" s="3" t="n">
        <f aca="false">MONTH(E2977)</f>
        <v>10</v>
      </c>
      <c r="K2977" s="3" t="n">
        <f aca="false">COUNTIFS($B$2:$B$4077,B2977,$C$2:$C$4077,C2977,$I$2:$I$4077,I2977)</f>
        <v>1</v>
      </c>
      <c r="L2977" s="3" t="n">
        <f aca="false">IF(COUNTIFS($B$2:B2977,B2977,$C$2:C2977,C2977,$I$2:I2977,I2977)=1,1,0)</f>
        <v>1</v>
      </c>
      <c r="M2977" s="3" t="n">
        <f aca="false">IF(K2977&gt;=Parametri!$B$1,1,0)</f>
        <v>0</v>
      </c>
      <c r="N2977" s="3" t="n">
        <f aca="false">L2977*M2977</f>
        <v>0</v>
      </c>
    </row>
    <row r="2978" customFormat="false" ht="15" hidden="false" customHeight="false" outlineLevel="0" collapsed="false">
      <c r="A2978" s="0" t="s">
        <v>4557</v>
      </c>
      <c r="B2978" s="0" t="s">
        <v>57</v>
      </c>
      <c r="C2978" s="0" t="s">
        <v>210</v>
      </c>
      <c r="D2978" s="0" t="s">
        <v>54</v>
      </c>
      <c r="E2978" s="2" t="n">
        <v>45585</v>
      </c>
      <c r="F2978" s="3" t="s">
        <v>27</v>
      </c>
      <c r="G2978" s="3" t="s">
        <v>55</v>
      </c>
      <c r="H2978" s="3" t="s">
        <v>44</v>
      </c>
      <c r="I2978" s="3" t="n">
        <f aca="false">YEAR(E2978)</f>
        <v>2024</v>
      </c>
      <c r="J2978" s="3" t="n">
        <f aca="false">MONTH(E2978)</f>
        <v>10</v>
      </c>
      <c r="K2978" s="3" t="n">
        <f aca="false">COUNTIFS($B$2:$B$4077,B2978,$C$2:$C$4077,C2978,$I$2:$I$4077,I2978)</f>
        <v>5</v>
      </c>
      <c r="L2978" s="3" t="n">
        <f aca="false">IF(COUNTIFS($B$2:B2978,B2978,$C$2:C2978,C2978,$I$2:I2978,I2978)=1,1,0)</f>
        <v>0</v>
      </c>
      <c r="M2978" s="3" t="n">
        <f aca="false">IF(K2978&gt;=Parametri!$B$1,1,0)</f>
        <v>1</v>
      </c>
      <c r="N2978" s="3" t="n">
        <f aca="false">L2978*M2978</f>
        <v>0</v>
      </c>
    </row>
    <row r="2979" customFormat="false" ht="15" hidden="false" customHeight="false" outlineLevel="0" collapsed="false">
      <c r="A2979" s="0" t="s">
        <v>4558</v>
      </c>
      <c r="B2979" s="0" t="s">
        <v>57</v>
      </c>
      <c r="C2979" s="0" t="s">
        <v>2434</v>
      </c>
      <c r="D2979" s="0" t="s">
        <v>38</v>
      </c>
      <c r="E2979" s="2" t="n">
        <v>45422</v>
      </c>
      <c r="F2979" s="3" t="s">
        <v>20</v>
      </c>
      <c r="G2979" s="3" t="s">
        <v>35</v>
      </c>
      <c r="H2979" s="3" t="s">
        <v>22</v>
      </c>
      <c r="I2979" s="3" t="n">
        <f aca="false">YEAR(E2979)</f>
        <v>2024</v>
      </c>
      <c r="J2979" s="3" t="n">
        <f aca="false">MONTH(E2979)</f>
        <v>5</v>
      </c>
      <c r="K2979" s="3" t="n">
        <f aca="false">COUNTIFS($B$2:$B$4077,B2979,$C$2:$C$4077,C2979,$I$2:$I$4077,I2979)</f>
        <v>2</v>
      </c>
      <c r="L2979" s="3" t="n">
        <f aca="false">IF(COUNTIFS($B$2:B2979,B2979,$C$2:C2979,C2979,$I$2:I2979,I2979)=1,1,0)</f>
        <v>0</v>
      </c>
      <c r="M2979" s="3" t="n">
        <f aca="false">IF(K2979&gt;=Parametri!$B$1,1,0)</f>
        <v>1</v>
      </c>
      <c r="N2979" s="3" t="n">
        <f aca="false">L2979*M2979</f>
        <v>0</v>
      </c>
    </row>
    <row r="2980" customFormat="false" ht="15" hidden="false" customHeight="false" outlineLevel="0" collapsed="false">
      <c r="A2980" s="0" t="s">
        <v>4559</v>
      </c>
      <c r="B2980" s="0" t="s">
        <v>24</v>
      </c>
      <c r="C2980" s="0" t="s">
        <v>397</v>
      </c>
      <c r="D2980" s="0" t="s">
        <v>66</v>
      </c>
      <c r="E2980" s="2" t="n">
        <v>46050</v>
      </c>
      <c r="F2980" s="3" t="s">
        <v>20</v>
      </c>
      <c r="G2980" s="3" t="s">
        <v>35</v>
      </c>
      <c r="H2980" s="3" t="s">
        <v>22</v>
      </c>
      <c r="I2980" s="3" t="n">
        <f aca="false">YEAR(E2980)</f>
        <v>2026</v>
      </c>
      <c r="J2980" s="3" t="n">
        <f aca="false">MONTH(E2980)</f>
        <v>1</v>
      </c>
      <c r="K2980" s="3" t="n">
        <f aca="false">COUNTIFS($B$2:$B$4077,B2980,$C$2:$C$4077,C2980,$I$2:$I$4077,I2980)</f>
        <v>2</v>
      </c>
      <c r="L2980" s="3" t="n">
        <f aca="false">IF(COUNTIFS($B$2:B2980,B2980,$C$2:C2980,C2980,$I$2:I2980,I2980)=1,1,0)</f>
        <v>0</v>
      </c>
      <c r="M2980" s="3" t="n">
        <f aca="false">IF(K2980&gt;=Parametri!$B$1,1,0)</f>
        <v>1</v>
      </c>
      <c r="N2980" s="3" t="n">
        <f aca="false">L2980*M2980</f>
        <v>0</v>
      </c>
    </row>
    <row r="2981" customFormat="false" ht="15" hidden="false" customHeight="false" outlineLevel="0" collapsed="false">
      <c r="A2981" s="0" t="s">
        <v>4560</v>
      </c>
      <c r="B2981" s="0" t="s">
        <v>124</v>
      </c>
      <c r="C2981" s="0" t="s">
        <v>4561</v>
      </c>
      <c r="D2981" s="0" t="s">
        <v>54</v>
      </c>
      <c r="E2981" s="2" t="n">
        <v>45866</v>
      </c>
      <c r="F2981" s="3" t="s">
        <v>34</v>
      </c>
      <c r="G2981" s="3" t="s">
        <v>43</v>
      </c>
      <c r="H2981" s="3" t="s">
        <v>44</v>
      </c>
      <c r="I2981" s="3" t="n">
        <f aca="false">YEAR(E2981)</f>
        <v>2025</v>
      </c>
      <c r="J2981" s="3" t="n">
        <f aca="false">MONTH(E2981)</f>
        <v>7</v>
      </c>
      <c r="K2981" s="3" t="n">
        <f aca="false">COUNTIFS($B$2:$B$4077,B2981,$C$2:$C$4077,C2981,$I$2:$I$4077,I2981)</f>
        <v>1</v>
      </c>
      <c r="L2981" s="3" t="n">
        <f aca="false">IF(COUNTIFS($B$2:B2981,B2981,$C$2:C2981,C2981,$I$2:I2981,I2981)=1,1,0)</f>
        <v>1</v>
      </c>
      <c r="M2981" s="3" t="n">
        <f aca="false">IF(K2981&gt;=Parametri!$B$1,1,0)</f>
        <v>0</v>
      </c>
      <c r="N2981" s="3" t="n">
        <f aca="false">L2981*M2981</f>
        <v>0</v>
      </c>
    </row>
    <row r="2982" customFormat="false" ht="15" hidden="false" customHeight="false" outlineLevel="0" collapsed="false">
      <c r="A2982" s="0" t="s">
        <v>4562</v>
      </c>
      <c r="B2982" s="0" t="s">
        <v>57</v>
      </c>
      <c r="C2982" s="0" t="s">
        <v>2896</v>
      </c>
      <c r="D2982" s="0" t="s">
        <v>26</v>
      </c>
      <c r="E2982" s="2" t="n">
        <v>45524</v>
      </c>
      <c r="F2982" s="3" t="s">
        <v>20</v>
      </c>
      <c r="G2982" s="3" t="s">
        <v>43</v>
      </c>
      <c r="H2982" s="3" t="s">
        <v>48</v>
      </c>
      <c r="I2982" s="3" t="n">
        <f aca="false">YEAR(E2982)</f>
        <v>2024</v>
      </c>
      <c r="J2982" s="3" t="n">
        <f aca="false">MONTH(E2982)</f>
        <v>8</v>
      </c>
      <c r="K2982" s="3" t="n">
        <f aca="false">COUNTIFS($B$2:$B$4077,B2982,$C$2:$C$4077,C2982,$I$2:$I$4077,I2982)</f>
        <v>1</v>
      </c>
      <c r="L2982" s="3" t="n">
        <f aca="false">IF(COUNTIFS($B$2:B2982,B2982,$C$2:C2982,C2982,$I$2:I2982,I2982)=1,1,0)</f>
        <v>1</v>
      </c>
      <c r="M2982" s="3" t="n">
        <f aca="false">IF(K2982&gt;=Parametri!$B$1,1,0)</f>
        <v>0</v>
      </c>
      <c r="N2982" s="3" t="n">
        <f aca="false">L2982*M2982</f>
        <v>0</v>
      </c>
    </row>
    <row r="2983" customFormat="false" ht="15" hidden="false" customHeight="false" outlineLevel="0" collapsed="false">
      <c r="A2983" s="0" t="s">
        <v>4563</v>
      </c>
      <c r="B2983" s="0" t="s">
        <v>57</v>
      </c>
      <c r="C2983" s="0" t="s">
        <v>4564</v>
      </c>
      <c r="D2983" s="0" t="s">
        <v>33</v>
      </c>
      <c r="E2983" s="2" t="n">
        <v>45307</v>
      </c>
      <c r="F2983" s="3" t="s">
        <v>27</v>
      </c>
      <c r="G2983" s="3" t="s">
        <v>104</v>
      </c>
      <c r="H2983" s="3" t="s">
        <v>104</v>
      </c>
      <c r="I2983" s="3" t="n">
        <f aca="false">YEAR(E2983)</f>
        <v>2024</v>
      </c>
      <c r="J2983" s="3" t="n">
        <f aca="false">MONTH(E2983)</f>
        <v>1</v>
      </c>
      <c r="K2983" s="3" t="n">
        <f aca="false">COUNTIFS($B$2:$B$4077,B2983,$C$2:$C$4077,C2983,$I$2:$I$4077,I2983)</f>
        <v>2</v>
      </c>
      <c r="L2983" s="3" t="n">
        <f aca="false">IF(COUNTIFS($B$2:B2983,B2983,$C$2:C2983,C2983,$I$2:I2983,I2983)=1,1,0)</f>
        <v>1</v>
      </c>
      <c r="M2983" s="3" t="n">
        <f aca="false">IF(K2983&gt;=Parametri!$B$1,1,0)</f>
        <v>1</v>
      </c>
      <c r="N2983" s="3" t="n">
        <f aca="false">L2983*M2983</f>
        <v>1</v>
      </c>
    </row>
    <row r="2984" customFormat="false" ht="15" hidden="false" customHeight="false" outlineLevel="0" collapsed="false">
      <c r="A2984" s="0" t="s">
        <v>4565</v>
      </c>
      <c r="B2984" s="0" t="s">
        <v>24</v>
      </c>
      <c r="C2984" s="0" t="s">
        <v>721</v>
      </c>
      <c r="D2984" s="0" t="s">
        <v>19</v>
      </c>
      <c r="E2984" s="2" t="n">
        <v>46198</v>
      </c>
      <c r="F2984" s="3" t="s">
        <v>27</v>
      </c>
      <c r="G2984" s="3" t="s">
        <v>21</v>
      </c>
      <c r="H2984" s="3" t="s">
        <v>48</v>
      </c>
      <c r="I2984" s="3" t="n">
        <f aca="false">YEAR(E2984)</f>
        <v>2026</v>
      </c>
      <c r="J2984" s="3" t="n">
        <f aca="false">MONTH(E2984)</f>
        <v>6</v>
      </c>
      <c r="K2984" s="3" t="n">
        <f aca="false">COUNTIFS($B$2:$B$4077,B2984,$C$2:$C$4077,C2984,$I$2:$I$4077,I2984)</f>
        <v>1</v>
      </c>
      <c r="L2984" s="3" t="n">
        <f aca="false">IF(COUNTIFS($B$2:B2984,B2984,$C$2:C2984,C2984,$I$2:I2984,I2984)=1,1,0)</f>
        <v>1</v>
      </c>
      <c r="M2984" s="3" t="n">
        <f aca="false">IF(K2984&gt;=Parametri!$B$1,1,0)</f>
        <v>0</v>
      </c>
      <c r="N2984" s="3" t="n">
        <f aca="false">L2984*M2984</f>
        <v>0</v>
      </c>
    </row>
    <row r="2985" customFormat="false" ht="15" hidden="false" customHeight="false" outlineLevel="0" collapsed="false">
      <c r="A2985" s="0" t="s">
        <v>4566</v>
      </c>
      <c r="B2985" s="0" t="s">
        <v>50</v>
      </c>
      <c r="C2985" s="0" t="s">
        <v>4567</v>
      </c>
      <c r="D2985" s="0" t="s">
        <v>19</v>
      </c>
      <c r="E2985" s="2" t="n">
        <v>45595</v>
      </c>
      <c r="F2985" s="3" t="s">
        <v>27</v>
      </c>
      <c r="G2985" s="3" t="s">
        <v>72</v>
      </c>
      <c r="H2985" s="3" t="s">
        <v>48</v>
      </c>
      <c r="I2985" s="3" t="n">
        <f aca="false">YEAR(E2985)</f>
        <v>2024</v>
      </c>
      <c r="J2985" s="3" t="n">
        <f aca="false">MONTH(E2985)</f>
        <v>10</v>
      </c>
      <c r="K2985" s="3" t="n">
        <f aca="false">COUNTIFS($B$2:$B$4077,B2985,$C$2:$C$4077,C2985,$I$2:$I$4077,I2985)</f>
        <v>1</v>
      </c>
      <c r="L2985" s="3" t="n">
        <f aca="false">IF(COUNTIFS($B$2:B2985,B2985,$C$2:C2985,C2985,$I$2:I2985,I2985)=1,1,0)</f>
        <v>1</v>
      </c>
      <c r="M2985" s="3" t="n">
        <f aca="false">IF(K2985&gt;=Parametri!$B$1,1,0)</f>
        <v>0</v>
      </c>
      <c r="N2985" s="3" t="n">
        <f aca="false">L2985*M2985</f>
        <v>0</v>
      </c>
    </row>
    <row r="2986" customFormat="false" ht="15" hidden="false" customHeight="false" outlineLevel="0" collapsed="false">
      <c r="A2986" s="0" t="s">
        <v>4568</v>
      </c>
      <c r="B2986" s="0" t="s">
        <v>46</v>
      </c>
      <c r="C2986" s="0" t="s">
        <v>4569</v>
      </c>
      <c r="D2986" s="0" t="s">
        <v>38</v>
      </c>
      <c r="E2986" s="2" t="n">
        <v>45335</v>
      </c>
      <c r="F2986" s="3" t="s">
        <v>20</v>
      </c>
      <c r="G2986" s="3" t="s">
        <v>28</v>
      </c>
      <c r="H2986" s="3" t="s">
        <v>22</v>
      </c>
      <c r="I2986" s="3" t="n">
        <f aca="false">YEAR(E2986)</f>
        <v>2024</v>
      </c>
      <c r="J2986" s="3" t="n">
        <f aca="false">MONTH(E2986)</f>
        <v>2</v>
      </c>
      <c r="K2986" s="3" t="n">
        <f aca="false">COUNTIFS($B$2:$B$4077,B2986,$C$2:$C$4077,C2986,$I$2:$I$4077,I2986)</f>
        <v>2</v>
      </c>
      <c r="L2986" s="3" t="n">
        <f aca="false">IF(COUNTIFS($B$2:B2986,B2986,$C$2:C2986,C2986,$I$2:I2986,I2986)=1,1,0)</f>
        <v>1</v>
      </c>
      <c r="M2986" s="3" t="n">
        <f aca="false">IF(K2986&gt;=Parametri!$B$1,1,0)</f>
        <v>1</v>
      </c>
      <c r="N2986" s="3" t="n">
        <f aca="false">L2986*M2986</f>
        <v>1</v>
      </c>
    </row>
    <row r="2987" customFormat="false" ht="15" hidden="false" customHeight="false" outlineLevel="0" collapsed="false">
      <c r="A2987" s="0" t="s">
        <v>4570</v>
      </c>
      <c r="B2987" s="0" t="s">
        <v>68</v>
      </c>
      <c r="C2987" s="0" t="s">
        <v>438</v>
      </c>
      <c r="D2987" s="0" t="s">
        <v>38</v>
      </c>
      <c r="E2987" s="2" t="n">
        <v>46233</v>
      </c>
      <c r="F2987" s="3" t="s">
        <v>27</v>
      </c>
      <c r="G2987" s="3" t="s">
        <v>35</v>
      </c>
      <c r="H2987" s="3" t="s">
        <v>29</v>
      </c>
      <c r="I2987" s="3" t="n">
        <f aca="false">YEAR(E2987)</f>
        <v>2026</v>
      </c>
      <c r="J2987" s="3" t="n">
        <f aca="false">MONTH(E2987)</f>
        <v>7</v>
      </c>
      <c r="K2987" s="3" t="n">
        <f aca="false">COUNTIFS($B$2:$B$4077,B2987,$C$2:$C$4077,C2987,$I$2:$I$4077,I2987)</f>
        <v>3</v>
      </c>
      <c r="L2987" s="3" t="n">
        <f aca="false">IF(COUNTIFS($B$2:B2987,B2987,$C$2:C2987,C2987,$I$2:I2987,I2987)=1,1,0)</f>
        <v>0</v>
      </c>
      <c r="M2987" s="3" t="n">
        <f aca="false">IF(K2987&gt;=Parametri!$B$1,1,0)</f>
        <v>1</v>
      </c>
      <c r="N2987" s="3" t="n">
        <f aca="false">L2987*M2987</f>
        <v>0</v>
      </c>
    </row>
    <row r="2988" customFormat="false" ht="15" hidden="false" customHeight="false" outlineLevel="0" collapsed="false">
      <c r="A2988" s="0" t="s">
        <v>4571</v>
      </c>
      <c r="B2988" s="0" t="s">
        <v>31</v>
      </c>
      <c r="C2988" s="0" t="s">
        <v>1486</v>
      </c>
      <c r="D2988" s="0" t="s">
        <v>19</v>
      </c>
      <c r="E2988" s="2" t="n">
        <v>45651</v>
      </c>
      <c r="F2988" s="3" t="s">
        <v>104</v>
      </c>
      <c r="G2988" s="3" t="s">
        <v>104</v>
      </c>
      <c r="H2988" s="3" t="s">
        <v>104</v>
      </c>
      <c r="I2988" s="3" t="n">
        <f aca="false">YEAR(E2988)</f>
        <v>2024</v>
      </c>
      <c r="J2988" s="3" t="n">
        <f aca="false">MONTH(E2988)</f>
        <v>12</v>
      </c>
      <c r="K2988" s="3" t="n">
        <f aca="false">COUNTIFS($B$2:$B$4077,B2988,$C$2:$C$4077,C2988,$I$2:$I$4077,I2988)</f>
        <v>3</v>
      </c>
      <c r="L2988" s="3" t="n">
        <f aca="false">IF(COUNTIFS($B$2:B2988,B2988,$C$2:C2988,C2988,$I$2:I2988,I2988)=1,1,0)</f>
        <v>0</v>
      </c>
      <c r="M2988" s="3" t="n">
        <f aca="false">IF(K2988&gt;=Parametri!$B$1,1,0)</f>
        <v>1</v>
      </c>
      <c r="N2988" s="3" t="n">
        <f aca="false">L2988*M2988</f>
        <v>0</v>
      </c>
    </row>
    <row r="2989" customFormat="false" ht="15" hidden="false" customHeight="false" outlineLevel="0" collapsed="false">
      <c r="A2989" s="0" t="s">
        <v>4572</v>
      </c>
      <c r="B2989" s="0" t="s">
        <v>68</v>
      </c>
      <c r="C2989" s="0" t="s">
        <v>3557</v>
      </c>
      <c r="D2989" s="0" t="s">
        <v>19</v>
      </c>
      <c r="E2989" s="2" t="n">
        <v>45735</v>
      </c>
      <c r="F2989" s="3" t="s">
        <v>27</v>
      </c>
      <c r="G2989" s="3" t="s">
        <v>104</v>
      </c>
      <c r="H2989" s="3" t="s">
        <v>29</v>
      </c>
      <c r="I2989" s="3" t="n">
        <f aca="false">YEAR(E2989)</f>
        <v>2025</v>
      </c>
      <c r="J2989" s="3" t="n">
        <f aca="false">MONTH(E2989)</f>
        <v>3</v>
      </c>
      <c r="K2989" s="3" t="n">
        <f aca="false">COUNTIFS($B$2:$B$4077,B2989,$C$2:$C$4077,C2989,$I$2:$I$4077,I2989)</f>
        <v>1</v>
      </c>
      <c r="L2989" s="3" t="n">
        <f aca="false">IF(COUNTIFS($B$2:B2989,B2989,$C$2:C2989,C2989,$I$2:I2989,I2989)=1,1,0)</f>
        <v>1</v>
      </c>
      <c r="M2989" s="3" t="n">
        <f aca="false">IF(K2989&gt;=Parametri!$B$1,1,0)</f>
        <v>0</v>
      </c>
      <c r="N2989" s="3" t="n">
        <f aca="false">L2989*M2989</f>
        <v>0</v>
      </c>
    </row>
    <row r="2990" customFormat="false" ht="15" hidden="false" customHeight="false" outlineLevel="0" collapsed="false">
      <c r="A2990" s="0" t="s">
        <v>4573</v>
      </c>
      <c r="B2990" s="0" t="s">
        <v>79</v>
      </c>
      <c r="C2990" s="0" t="s">
        <v>1366</v>
      </c>
      <c r="D2990" s="0" t="s">
        <v>38</v>
      </c>
      <c r="E2990" s="2" t="n">
        <v>45410</v>
      </c>
      <c r="F2990" s="3" t="s">
        <v>20</v>
      </c>
      <c r="G2990" s="3" t="s">
        <v>55</v>
      </c>
      <c r="H2990" s="3" t="s">
        <v>22</v>
      </c>
      <c r="I2990" s="3" t="n">
        <f aca="false">YEAR(E2990)</f>
        <v>2024</v>
      </c>
      <c r="J2990" s="3" t="n">
        <f aca="false">MONTH(E2990)</f>
        <v>4</v>
      </c>
      <c r="K2990" s="3" t="n">
        <f aca="false">COUNTIFS($B$2:$B$4077,B2990,$C$2:$C$4077,C2990,$I$2:$I$4077,I2990)</f>
        <v>3</v>
      </c>
      <c r="L2990" s="3" t="n">
        <f aca="false">IF(COUNTIFS($B$2:B2990,B2990,$C$2:C2990,C2990,$I$2:I2990,I2990)=1,1,0)</f>
        <v>1</v>
      </c>
      <c r="M2990" s="3" t="n">
        <f aca="false">IF(K2990&gt;=Parametri!$B$1,1,0)</f>
        <v>1</v>
      </c>
      <c r="N2990" s="3" t="n">
        <f aca="false">L2990*M2990</f>
        <v>1</v>
      </c>
    </row>
    <row r="2991" customFormat="false" ht="15" hidden="false" customHeight="false" outlineLevel="0" collapsed="false">
      <c r="A2991" s="0" t="s">
        <v>4574</v>
      </c>
      <c r="B2991" s="0" t="s">
        <v>50</v>
      </c>
      <c r="C2991" s="0" t="s">
        <v>4575</v>
      </c>
      <c r="D2991" s="0" t="s">
        <v>26</v>
      </c>
      <c r="E2991" s="2" t="n">
        <v>45307</v>
      </c>
      <c r="F2991" s="3" t="s">
        <v>20</v>
      </c>
      <c r="G2991" s="3" t="s">
        <v>21</v>
      </c>
      <c r="H2991" s="3" t="s">
        <v>22</v>
      </c>
      <c r="I2991" s="3" t="n">
        <f aca="false">YEAR(E2991)</f>
        <v>2024</v>
      </c>
      <c r="J2991" s="3" t="n">
        <f aca="false">MONTH(E2991)</f>
        <v>1</v>
      </c>
      <c r="K2991" s="3" t="n">
        <f aca="false">COUNTIFS($B$2:$B$4077,B2991,$C$2:$C$4077,C2991,$I$2:$I$4077,I2991)</f>
        <v>1</v>
      </c>
      <c r="L2991" s="3" t="n">
        <f aca="false">IF(COUNTIFS($B$2:B2991,B2991,$C$2:C2991,C2991,$I$2:I2991,I2991)=1,1,0)</f>
        <v>1</v>
      </c>
      <c r="M2991" s="3" t="n">
        <f aca="false">IF(K2991&gt;=Parametri!$B$1,1,0)</f>
        <v>0</v>
      </c>
      <c r="N2991" s="3" t="n">
        <f aca="false">L2991*M2991</f>
        <v>0</v>
      </c>
    </row>
    <row r="2992" customFormat="false" ht="15" hidden="false" customHeight="false" outlineLevel="0" collapsed="false">
      <c r="A2992" s="0" t="s">
        <v>4576</v>
      </c>
      <c r="B2992" s="0" t="s">
        <v>57</v>
      </c>
      <c r="C2992" s="0" t="s">
        <v>1338</v>
      </c>
      <c r="D2992" s="0" t="s">
        <v>26</v>
      </c>
      <c r="E2992" s="2" t="n">
        <v>45662</v>
      </c>
      <c r="F2992" s="3" t="s">
        <v>20</v>
      </c>
      <c r="G2992" s="3" t="s">
        <v>43</v>
      </c>
      <c r="H2992" s="3" t="s">
        <v>48</v>
      </c>
      <c r="I2992" s="3" t="n">
        <f aca="false">YEAR(E2992)</f>
        <v>2025</v>
      </c>
      <c r="J2992" s="3" t="n">
        <f aca="false">MONTH(E2992)</f>
        <v>1</v>
      </c>
      <c r="K2992" s="3" t="n">
        <f aca="false">COUNTIFS($B$2:$B$4077,B2992,$C$2:$C$4077,C2992,$I$2:$I$4077,I2992)</f>
        <v>1</v>
      </c>
      <c r="L2992" s="3" t="n">
        <f aca="false">IF(COUNTIFS($B$2:B2992,B2992,$C$2:C2992,C2992,$I$2:I2992,I2992)=1,1,0)</f>
        <v>1</v>
      </c>
      <c r="M2992" s="3" t="n">
        <f aca="false">IF(K2992&gt;=Parametri!$B$1,1,0)</f>
        <v>0</v>
      </c>
      <c r="N2992" s="3" t="n">
        <f aca="false">L2992*M2992</f>
        <v>0</v>
      </c>
    </row>
    <row r="2993" customFormat="false" ht="15" hidden="false" customHeight="false" outlineLevel="0" collapsed="false">
      <c r="A2993" s="0" t="s">
        <v>4577</v>
      </c>
      <c r="B2993" s="0" t="s">
        <v>124</v>
      </c>
      <c r="C2993" s="0" t="s">
        <v>2292</v>
      </c>
      <c r="D2993" s="0" t="s">
        <v>54</v>
      </c>
      <c r="E2993" s="2" t="n">
        <v>45430</v>
      </c>
      <c r="F2993" s="3" t="s">
        <v>27</v>
      </c>
      <c r="G2993" s="3" t="s">
        <v>43</v>
      </c>
      <c r="H2993" s="3" t="s">
        <v>29</v>
      </c>
      <c r="I2993" s="3" t="n">
        <f aca="false">YEAR(E2993)</f>
        <v>2024</v>
      </c>
      <c r="J2993" s="3" t="n">
        <f aca="false">MONTH(E2993)</f>
        <v>5</v>
      </c>
      <c r="K2993" s="3" t="n">
        <f aca="false">COUNTIFS($B$2:$B$4077,B2993,$C$2:$C$4077,C2993,$I$2:$I$4077,I2993)</f>
        <v>2</v>
      </c>
      <c r="L2993" s="3" t="n">
        <f aca="false">IF(COUNTIFS($B$2:B2993,B2993,$C$2:C2993,C2993,$I$2:I2993,I2993)=1,1,0)</f>
        <v>0</v>
      </c>
      <c r="M2993" s="3" t="n">
        <f aca="false">IF(K2993&gt;=Parametri!$B$1,1,0)</f>
        <v>1</v>
      </c>
      <c r="N2993" s="3" t="n">
        <f aca="false">L2993*M2993</f>
        <v>0</v>
      </c>
    </row>
    <row r="2994" customFormat="false" ht="15" hidden="false" customHeight="false" outlineLevel="0" collapsed="false">
      <c r="A2994" s="0" t="s">
        <v>4578</v>
      </c>
      <c r="B2994" s="0" t="s">
        <v>24</v>
      </c>
      <c r="C2994" s="0" t="s">
        <v>1693</v>
      </c>
      <c r="D2994" s="0" t="s">
        <v>66</v>
      </c>
      <c r="E2994" s="2" t="n">
        <v>46100</v>
      </c>
      <c r="F2994" s="3" t="s">
        <v>27</v>
      </c>
      <c r="G2994" s="3" t="s">
        <v>72</v>
      </c>
      <c r="H2994" s="3" t="s">
        <v>29</v>
      </c>
      <c r="I2994" s="3" t="n">
        <f aca="false">YEAR(E2994)</f>
        <v>2026</v>
      </c>
      <c r="J2994" s="3" t="n">
        <f aca="false">MONTH(E2994)</f>
        <v>3</v>
      </c>
      <c r="K2994" s="3" t="n">
        <f aca="false">COUNTIFS($B$2:$B$4077,B2994,$C$2:$C$4077,C2994,$I$2:$I$4077,I2994)</f>
        <v>2</v>
      </c>
      <c r="L2994" s="3" t="n">
        <f aca="false">IF(COUNTIFS($B$2:B2994,B2994,$C$2:C2994,C2994,$I$2:I2994,I2994)=1,1,0)</f>
        <v>0</v>
      </c>
      <c r="M2994" s="3" t="n">
        <f aca="false">IF(K2994&gt;=Parametri!$B$1,1,0)</f>
        <v>1</v>
      </c>
      <c r="N2994" s="3" t="n">
        <f aca="false">L2994*M2994</f>
        <v>0</v>
      </c>
    </row>
    <row r="2995" customFormat="false" ht="15" hidden="false" customHeight="false" outlineLevel="0" collapsed="false">
      <c r="A2995" s="0" t="s">
        <v>4579</v>
      </c>
      <c r="B2995" s="0" t="s">
        <v>79</v>
      </c>
      <c r="C2995" s="0" t="s">
        <v>116</v>
      </c>
      <c r="D2995" s="0" t="s">
        <v>77</v>
      </c>
      <c r="E2995" s="2" t="n">
        <v>46136</v>
      </c>
      <c r="F2995" s="3" t="s">
        <v>20</v>
      </c>
      <c r="G2995" s="3" t="s">
        <v>72</v>
      </c>
      <c r="H2995" s="3" t="s">
        <v>48</v>
      </c>
      <c r="I2995" s="3" t="n">
        <f aca="false">YEAR(E2995)</f>
        <v>2026</v>
      </c>
      <c r="J2995" s="3" t="n">
        <f aca="false">MONTH(E2995)</f>
        <v>4</v>
      </c>
      <c r="K2995" s="3" t="n">
        <f aca="false">COUNTIFS($B$2:$B$4077,B2995,$C$2:$C$4077,C2995,$I$2:$I$4077,I2995)</f>
        <v>2</v>
      </c>
      <c r="L2995" s="3" t="n">
        <f aca="false">IF(COUNTIFS($B$2:B2995,B2995,$C$2:C2995,C2995,$I$2:I2995,I2995)=1,1,0)</f>
        <v>0</v>
      </c>
      <c r="M2995" s="3" t="n">
        <f aca="false">IF(K2995&gt;=Parametri!$B$1,1,0)</f>
        <v>1</v>
      </c>
      <c r="N2995" s="3" t="n">
        <f aca="false">L2995*M2995</f>
        <v>0</v>
      </c>
    </row>
    <row r="2996" customFormat="false" ht="15" hidden="false" customHeight="false" outlineLevel="0" collapsed="false">
      <c r="A2996" s="0" t="s">
        <v>4580</v>
      </c>
      <c r="B2996" s="0" t="s">
        <v>68</v>
      </c>
      <c r="C2996" s="0" t="s">
        <v>4581</v>
      </c>
      <c r="D2996" s="0" t="s">
        <v>33</v>
      </c>
      <c r="E2996" s="2" t="n">
        <v>45763</v>
      </c>
      <c r="F2996" s="3" t="s">
        <v>20</v>
      </c>
      <c r="G2996" s="3" t="s">
        <v>72</v>
      </c>
      <c r="H2996" s="3" t="s">
        <v>44</v>
      </c>
      <c r="I2996" s="3" t="n">
        <f aca="false">YEAR(E2996)</f>
        <v>2025</v>
      </c>
      <c r="J2996" s="3" t="n">
        <f aca="false">MONTH(E2996)</f>
        <v>4</v>
      </c>
      <c r="K2996" s="3" t="n">
        <f aca="false">COUNTIFS($B$2:$B$4077,B2996,$C$2:$C$4077,C2996,$I$2:$I$4077,I2996)</f>
        <v>1</v>
      </c>
      <c r="L2996" s="3" t="n">
        <f aca="false">IF(COUNTIFS($B$2:B2996,B2996,$C$2:C2996,C2996,$I$2:I2996,I2996)=1,1,0)</f>
        <v>1</v>
      </c>
      <c r="M2996" s="3" t="n">
        <f aca="false">IF(K2996&gt;=Parametri!$B$1,1,0)</f>
        <v>0</v>
      </c>
      <c r="N2996" s="3" t="n">
        <f aca="false">L2996*M2996</f>
        <v>0</v>
      </c>
    </row>
    <row r="2997" customFormat="false" ht="15" hidden="false" customHeight="false" outlineLevel="0" collapsed="false">
      <c r="A2997" s="0" t="s">
        <v>4582</v>
      </c>
      <c r="B2997" s="0" t="s">
        <v>57</v>
      </c>
      <c r="C2997" s="0" t="s">
        <v>3549</v>
      </c>
      <c r="D2997" s="0" t="s">
        <v>66</v>
      </c>
      <c r="E2997" s="2" t="n">
        <v>45707</v>
      </c>
      <c r="F2997" s="3" t="s">
        <v>20</v>
      </c>
      <c r="G2997" s="3" t="s">
        <v>72</v>
      </c>
      <c r="H2997" s="3" t="s">
        <v>48</v>
      </c>
      <c r="I2997" s="3" t="n">
        <f aca="false">YEAR(E2997)</f>
        <v>2025</v>
      </c>
      <c r="J2997" s="3" t="n">
        <f aca="false">MONTH(E2997)</f>
        <v>2</v>
      </c>
      <c r="K2997" s="3" t="n">
        <f aca="false">COUNTIFS($B$2:$B$4077,B2997,$C$2:$C$4077,C2997,$I$2:$I$4077,I2997)</f>
        <v>4</v>
      </c>
      <c r="L2997" s="3" t="n">
        <f aca="false">IF(COUNTIFS($B$2:B2997,B2997,$C$2:C2997,C2997,$I$2:I2997,I2997)=1,1,0)</f>
        <v>0</v>
      </c>
      <c r="M2997" s="3" t="n">
        <f aca="false">IF(K2997&gt;=Parametri!$B$1,1,0)</f>
        <v>1</v>
      </c>
      <c r="N2997" s="3" t="n">
        <f aca="false">L2997*M2997</f>
        <v>0</v>
      </c>
    </row>
    <row r="2998" customFormat="false" ht="15" hidden="false" customHeight="false" outlineLevel="0" collapsed="false">
      <c r="A2998" s="0" t="s">
        <v>4583</v>
      </c>
      <c r="B2998" s="0" t="s">
        <v>17</v>
      </c>
      <c r="C2998" s="0" t="s">
        <v>985</v>
      </c>
      <c r="D2998" s="0" t="s">
        <v>77</v>
      </c>
      <c r="E2998" s="2" t="n">
        <v>45305</v>
      </c>
      <c r="F2998" s="3" t="s">
        <v>20</v>
      </c>
      <c r="G2998" s="3" t="s">
        <v>89</v>
      </c>
      <c r="H2998" s="3" t="s">
        <v>29</v>
      </c>
      <c r="I2998" s="3" t="n">
        <f aca="false">YEAR(E2998)</f>
        <v>2024</v>
      </c>
      <c r="J2998" s="3" t="n">
        <f aca="false">MONTH(E2998)</f>
        <v>1</v>
      </c>
      <c r="K2998" s="3" t="n">
        <f aca="false">COUNTIFS($B$2:$B$4077,B2998,$C$2:$C$4077,C2998,$I$2:$I$4077,I2998)</f>
        <v>3</v>
      </c>
      <c r="L2998" s="3" t="n">
        <f aca="false">IF(COUNTIFS($B$2:B2998,B2998,$C$2:C2998,C2998,$I$2:I2998,I2998)=1,1,0)</f>
        <v>0</v>
      </c>
      <c r="M2998" s="3" t="n">
        <f aca="false">IF(K2998&gt;=Parametri!$B$1,1,0)</f>
        <v>1</v>
      </c>
      <c r="N2998" s="3" t="n">
        <f aca="false">L2998*M2998</f>
        <v>0</v>
      </c>
    </row>
    <row r="2999" customFormat="false" ht="15" hidden="false" customHeight="false" outlineLevel="0" collapsed="false">
      <c r="A2999" s="0" t="s">
        <v>4584</v>
      </c>
      <c r="B2999" s="0" t="s">
        <v>41</v>
      </c>
      <c r="C2999" s="0" t="s">
        <v>2308</v>
      </c>
      <c r="D2999" s="0" t="s">
        <v>19</v>
      </c>
      <c r="E2999" s="2" t="n">
        <v>46241</v>
      </c>
      <c r="F2999" s="3" t="s">
        <v>20</v>
      </c>
      <c r="G2999" s="3" t="s">
        <v>28</v>
      </c>
      <c r="H2999" s="3" t="s">
        <v>44</v>
      </c>
      <c r="I2999" s="3" t="n">
        <f aca="false">YEAR(E2999)</f>
        <v>2026</v>
      </c>
      <c r="J2999" s="3" t="n">
        <f aca="false">MONTH(E2999)</f>
        <v>8</v>
      </c>
      <c r="K2999" s="3" t="n">
        <f aca="false">COUNTIFS($B$2:$B$4077,B2999,$C$2:$C$4077,C2999,$I$2:$I$4077,I2999)</f>
        <v>1</v>
      </c>
      <c r="L2999" s="3" t="n">
        <f aca="false">IF(COUNTIFS($B$2:B2999,B2999,$C$2:C2999,C2999,$I$2:I2999,I2999)=1,1,0)</f>
        <v>1</v>
      </c>
      <c r="M2999" s="3" t="n">
        <f aca="false">IF(K2999&gt;=Parametri!$B$1,1,0)</f>
        <v>0</v>
      </c>
      <c r="N2999" s="3" t="n">
        <f aca="false">L2999*M2999</f>
        <v>0</v>
      </c>
    </row>
    <row r="3000" customFormat="false" ht="15" hidden="false" customHeight="false" outlineLevel="0" collapsed="false">
      <c r="A3000" s="0" t="s">
        <v>4585</v>
      </c>
      <c r="B3000" s="0" t="s">
        <v>24</v>
      </c>
      <c r="C3000" s="0" t="s">
        <v>4586</v>
      </c>
      <c r="D3000" s="0" t="s">
        <v>66</v>
      </c>
      <c r="E3000" s="2" t="n">
        <v>45571</v>
      </c>
      <c r="F3000" s="3" t="s">
        <v>20</v>
      </c>
      <c r="G3000" s="3" t="s">
        <v>35</v>
      </c>
      <c r="H3000" s="3" t="s">
        <v>44</v>
      </c>
      <c r="I3000" s="3" t="n">
        <f aca="false">YEAR(E3000)</f>
        <v>2024</v>
      </c>
      <c r="J3000" s="3" t="n">
        <f aca="false">MONTH(E3000)</f>
        <v>10</v>
      </c>
      <c r="K3000" s="3" t="n">
        <f aca="false">COUNTIFS($B$2:$B$4077,B3000,$C$2:$C$4077,C3000,$I$2:$I$4077,I3000)</f>
        <v>1</v>
      </c>
      <c r="L3000" s="3" t="n">
        <f aca="false">IF(COUNTIFS($B$2:B3000,B3000,$C$2:C3000,C3000,$I$2:I3000,I3000)=1,1,0)</f>
        <v>1</v>
      </c>
      <c r="M3000" s="3" t="n">
        <f aca="false">IF(K3000&gt;=Parametri!$B$1,1,0)</f>
        <v>0</v>
      </c>
      <c r="N3000" s="3" t="n">
        <f aca="false">L3000*M3000</f>
        <v>0</v>
      </c>
    </row>
    <row r="3001" customFormat="false" ht="15" hidden="false" customHeight="false" outlineLevel="0" collapsed="false">
      <c r="A3001" s="0" t="s">
        <v>4587</v>
      </c>
      <c r="B3001" s="0" t="s">
        <v>124</v>
      </c>
      <c r="C3001" s="0" t="s">
        <v>2966</v>
      </c>
      <c r="D3001" s="0" t="s">
        <v>33</v>
      </c>
      <c r="E3001" s="2" t="n">
        <v>46217</v>
      </c>
      <c r="F3001" s="3" t="s">
        <v>20</v>
      </c>
      <c r="G3001" s="3" t="s">
        <v>55</v>
      </c>
      <c r="H3001" s="3" t="s">
        <v>29</v>
      </c>
      <c r="I3001" s="3" t="n">
        <f aca="false">YEAR(E3001)</f>
        <v>2026</v>
      </c>
      <c r="J3001" s="3" t="n">
        <f aca="false">MONTH(E3001)</f>
        <v>7</v>
      </c>
      <c r="K3001" s="3" t="n">
        <f aca="false">COUNTIFS($B$2:$B$4077,B3001,$C$2:$C$4077,C3001,$I$2:$I$4077,I3001)</f>
        <v>3</v>
      </c>
      <c r="L3001" s="3" t="n">
        <f aca="false">IF(COUNTIFS($B$2:B3001,B3001,$C$2:C3001,C3001,$I$2:I3001,I3001)=1,1,0)</f>
        <v>0</v>
      </c>
      <c r="M3001" s="3" t="n">
        <f aca="false">IF(K3001&gt;=Parametri!$B$1,1,0)</f>
        <v>1</v>
      </c>
      <c r="N3001" s="3" t="n">
        <f aca="false">L3001*M3001</f>
        <v>0</v>
      </c>
    </row>
    <row r="3002" customFormat="false" ht="15" hidden="false" customHeight="false" outlineLevel="0" collapsed="false">
      <c r="A3002" s="0" t="s">
        <v>4588</v>
      </c>
      <c r="B3002" s="0" t="s">
        <v>46</v>
      </c>
      <c r="C3002" s="0" t="s">
        <v>2848</v>
      </c>
      <c r="D3002" s="0" t="s">
        <v>19</v>
      </c>
      <c r="E3002" s="2" t="n">
        <v>45963</v>
      </c>
      <c r="F3002" s="3" t="s">
        <v>20</v>
      </c>
      <c r="G3002" s="3" t="s">
        <v>39</v>
      </c>
      <c r="H3002" s="3" t="s">
        <v>44</v>
      </c>
      <c r="I3002" s="3" t="n">
        <f aca="false">YEAR(E3002)</f>
        <v>2025</v>
      </c>
      <c r="J3002" s="3" t="n">
        <f aca="false">MONTH(E3002)</f>
        <v>11</v>
      </c>
      <c r="K3002" s="3" t="n">
        <f aca="false">COUNTIFS($B$2:$B$4077,B3002,$C$2:$C$4077,C3002,$I$2:$I$4077,I3002)</f>
        <v>2</v>
      </c>
      <c r="L3002" s="3" t="n">
        <f aca="false">IF(COUNTIFS($B$2:B3002,B3002,$C$2:C3002,C3002,$I$2:I3002,I3002)=1,1,0)</f>
        <v>0</v>
      </c>
      <c r="M3002" s="3" t="n">
        <f aca="false">IF(K3002&gt;=Parametri!$B$1,1,0)</f>
        <v>1</v>
      </c>
      <c r="N3002" s="3" t="n">
        <f aca="false">L3002*M3002</f>
        <v>0</v>
      </c>
    </row>
    <row r="3003" customFormat="false" ht="15" hidden="false" customHeight="false" outlineLevel="0" collapsed="false">
      <c r="A3003" s="0" t="s">
        <v>4589</v>
      </c>
      <c r="B3003" s="0" t="s">
        <v>17</v>
      </c>
      <c r="C3003" s="0" t="s">
        <v>62</v>
      </c>
      <c r="D3003" s="0" t="s">
        <v>26</v>
      </c>
      <c r="E3003" s="2" t="n">
        <v>45631</v>
      </c>
      <c r="F3003" s="3" t="s">
        <v>20</v>
      </c>
      <c r="G3003" s="3" t="s">
        <v>39</v>
      </c>
      <c r="H3003" s="3" t="s">
        <v>29</v>
      </c>
      <c r="I3003" s="3" t="n">
        <f aca="false">YEAR(E3003)</f>
        <v>2024</v>
      </c>
      <c r="J3003" s="3" t="n">
        <f aca="false">MONTH(E3003)</f>
        <v>12</v>
      </c>
      <c r="K3003" s="3" t="n">
        <f aca="false">COUNTIFS($B$2:$B$4077,B3003,$C$2:$C$4077,C3003,$I$2:$I$4077,I3003)</f>
        <v>2</v>
      </c>
      <c r="L3003" s="3" t="n">
        <f aca="false">IF(COUNTIFS($B$2:B3003,B3003,$C$2:C3003,C3003,$I$2:I3003,I3003)=1,1,0)</f>
        <v>1</v>
      </c>
      <c r="M3003" s="3" t="n">
        <f aca="false">IF(K3003&gt;=Parametri!$B$1,1,0)</f>
        <v>1</v>
      </c>
      <c r="N3003" s="3" t="n">
        <f aca="false">L3003*M3003</f>
        <v>1</v>
      </c>
    </row>
    <row r="3004" customFormat="false" ht="15" hidden="false" customHeight="false" outlineLevel="0" collapsed="false">
      <c r="A3004" s="0" t="s">
        <v>4590</v>
      </c>
      <c r="B3004" s="0" t="s">
        <v>24</v>
      </c>
      <c r="C3004" s="0" t="s">
        <v>1304</v>
      </c>
      <c r="D3004" s="0" t="s">
        <v>66</v>
      </c>
      <c r="E3004" s="2" t="n">
        <v>45407</v>
      </c>
      <c r="F3004" s="3" t="s">
        <v>20</v>
      </c>
      <c r="G3004" s="3" t="s">
        <v>39</v>
      </c>
      <c r="H3004" s="3" t="s">
        <v>22</v>
      </c>
      <c r="I3004" s="3" t="n">
        <f aca="false">YEAR(E3004)</f>
        <v>2024</v>
      </c>
      <c r="J3004" s="3" t="n">
        <f aca="false">MONTH(E3004)</f>
        <v>4</v>
      </c>
      <c r="K3004" s="3" t="n">
        <f aca="false">COUNTIFS($B$2:$B$4077,B3004,$C$2:$C$4077,C3004,$I$2:$I$4077,I3004)</f>
        <v>3</v>
      </c>
      <c r="L3004" s="3" t="n">
        <f aca="false">IF(COUNTIFS($B$2:B3004,B3004,$C$2:C3004,C3004,$I$2:I3004,I3004)=1,1,0)</f>
        <v>0</v>
      </c>
      <c r="M3004" s="3" t="n">
        <f aca="false">IF(K3004&gt;=Parametri!$B$1,1,0)</f>
        <v>1</v>
      </c>
      <c r="N3004" s="3" t="n">
        <f aca="false">L3004*M3004</f>
        <v>0</v>
      </c>
    </row>
    <row r="3005" customFormat="false" ht="15" hidden="false" customHeight="false" outlineLevel="0" collapsed="false">
      <c r="A3005" s="0" t="s">
        <v>4591</v>
      </c>
      <c r="B3005" s="0" t="s">
        <v>68</v>
      </c>
      <c r="C3005" s="0" t="s">
        <v>4310</v>
      </c>
      <c r="D3005" s="0" t="s">
        <v>54</v>
      </c>
      <c r="E3005" s="2" t="n">
        <v>46120</v>
      </c>
      <c r="F3005" s="3" t="s">
        <v>20</v>
      </c>
      <c r="G3005" s="3" t="s">
        <v>28</v>
      </c>
      <c r="H3005" s="3" t="s">
        <v>29</v>
      </c>
      <c r="I3005" s="3" t="n">
        <f aca="false">YEAR(E3005)</f>
        <v>2026</v>
      </c>
      <c r="J3005" s="3" t="n">
        <f aca="false">MONTH(E3005)</f>
        <v>4</v>
      </c>
      <c r="K3005" s="3" t="n">
        <f aca="false">COUNTIFS($B$2:$B$4077,B3005,$C$2:$C$4077,C3005,$I$2:$I$4077,I3005)</f>
        <v>1</v>
      </c>
      <c r="L3005" s="3" t="n">
        <f aca="false">IF(COUNTIFS($B$2:B3005,B3005,$C$2:C3005,C3005,$I$2:I3005,I3005)=1,1,0)</f>
        <v>1</v>
      </c>
      <c r="M3005" s="3" t="n">
        <f aca="false">IF(K3005&gt;=Parametri!$B$1,1,0)</f>
        <v>0</v>
      </c>
      <c r="N3005" s="3" t="n">
        <f aca="false">L3005*M3005</f>
        <v>0</v>
      </c>
    </row>
    <row r="3006" customFormat="false" ht="15" hidden="false" customHeight="false" outlineLevel="0" collapsed="false">
      <c r="A3006" s="0" t="s">
        <v>4592</v>
      </c>
      <c r="B3006" s="0" t="s">
        <v>31</v>
      </c>
      <c r="C3006" s="0" t="s">
        <v>4593</v>
      </c>
      <c r="D3006" s="0" t="s">
        <v>63</v>
      </c>
      <c r="E3006" s="2" t="n">
        <v>45810</v>
      </c>
      <c r="F3006" s="3" t="s">
        <v>34</v>
      </c>
      <c r="G3006" s="3" t="s">
        <v>89</v>
      </c>
      <c r="H3006" s="3" t="s">
        <v>48</v>
      </c>
      <c r="I3006" s="3" t="n">
        <f aca="false">YEAR(E3006)</f>
        <v>2025</v>
      </c>
      <c r="J3006" s="3" t="n">
        <f aca="false">MONTH(E3006)</f>
        <v>6</v>
      </c>
      <c r="K3006" s="3" t="n">
        <f aca="false">COUNTIFS($B$2:$B$4077,B3006,$C$2:$C$4077,C3006,$I$2:$I$4077,I3006)</f>
        <v>1</v>
      </c>
      <c r="L3006" s="3" t="n">
        <f aca="false">IF(COUNTIFS($B$2:B3006,B3006,$C$2:C3006,C3006,$I$2:I3006,I3006)=1,1,0)</f>
        <v>1</v>
      </c>
      <c r="M3006" s="3" t="n">
        <f aca="false">IF(K3006&gt;=Parametri!$B$1,1,0)</f>
        <v>0</v>
      </c>
      <c r="N3006" s="3" t="n">
        <f aca="false">L3006*M3006</f>
        <v>0</v>
      </c>
    </row>
    <row r="3007" customFormat="false" ht="15" hidden="false" customHeight="false" outlineLevel="0" collapsed="false">
      <c r="A3007" s="0" t="s">
        <v>4594</v>
      </c>
      <c r="B3007" s="0" t="s">
        <v>17</v>
      </c>
      <c r="C3007" s="0" t="s">
        <v>4072</v>
      </c>
      <c r="D3007" s="0" t="s">
        <v>38</v>
      </c>
      <c r="E3007" s="2" t="n">
        <v>45661</v>
      </c>
      <c r="F3007" s="3" t="s">
        <v>34</v>
      </c>
      <c r="G3007" s="3" t="s">
        <v>21</v>
      </c>
      <c r="H3007" s="3" t="s">
        <v>44</v>
      </c>
      <c r="I3007" s="3" t="n">
        <f aca="false">YEAR(E3007)</f>
        <v>2025</v>
      </c>
      <c r="J3007" s="3" t="n">
        <f aca="false">MONTH(E3007)</f>
        <v>1</v>
      </c>
      <c r="K3007" s="3" t="n">
        <f aca="false">COUNTIFS($B$2:$B$4077,B3007,$C$2:$C$4077,C3007,$I$2:$I$4077,I3007)</f>
        <v>2</v>
      </c>
      <c r="L3007" s="3" t="n">
        <f aca="false">IF(COUNTIFS($B$2:B3007,B3007,$C$2:C3007,C3007,$I$2:I3007,I3007)=1,1,0)</f>
        <v>1</v>
      </c>
      <c r="M3007" s="3" t="n">
        <f aca="false">IF(K3007&gt;=Parametri!$B$1,1,0)</f>
        <v>1</v>
      </c>
      <c r="N3007" s="3" t="n">
        <f aca="false">L3007*M3007</f>
        <v>1</v>
      </c>
    </row>
    <row r="3008" customFormat="false" ht="15" hidden="false" customHeight="false" outlineLevel="0" collapsed="false">
      <c r="A3008" s="0" t="s">
        <v>4595</v>
      </c>
      <c r="B3008" s="0" t="s">
        <v>46</v>
      </c>
      <c r="C3008" s="0" t="s">
        <v>1987</v>
      </c>
      <c r="D3008" s="0" t="s">
        <v>38</v>
      </c>
      <c r="E3008" s="2" t="n">
        <v>45345</v>
      </c>
      <c r="F3008" s="3" t="s">
        <v>27</v>
      </c>
      <c r="G3008" s="3" t="s">
        <v>89</v>
      </c>
      <c r="H3008" s="3" t="s">
        <v>48</v>
      </c>
      <c r="I3008" s="3" t="n">
        <f aca="false">YEAR(E3008)</f>
        <v>2024</v>
      </c>
      <c r="J3008" s="3" t="n">
        <f aca="false">MONTH(E3008)</f>
        <v>2</v>
      </c>
      <c r="K3008" s="3" t="n">
        <f aca="false">COUNTIFS($B$2:$B$4077,B3008,$C$2:$C$4077,C3008,$I$2:$I$4077,I3008)</f>
        <v>1</v>
      </c>
      <c r="L3008" s="3" t="n">
        <f aca="false">IF(COUNTIFS($B$2:B3008,B3008,$C$2:C3008,C3008,$I$2:I3008,I3008)=1,1,0)</f>
        <v>1</v>
      </c>
      <c r="M3008" s="3" t="n">
        <f aca="false">IF(K3008&gt;=Parametri!$B$1,1,0)</f>
        <v>0</v>
      </c>
      <c r="N3008" s="3" t="n">
        <f aca="false">L3008*M3008</f>
        <v>0</v>
      </c>
    </row>
    <row r="3009" customFormat="false" ht="15" hidden="false" customHeight="false" outlineLevel="0" collapsed="false">
      <c r="A3009" s="0" t="s">
        <v>4596</v>
      </c>
      <c r="B3009" s="0" t="s">
        <v>124</v>
      </c>
      <c r="C3009" s="0" t="s">
        <v>806</v>
      </c>
      <c r="D3009" s="0" t="s">
        <v>38</v>
      </c>
      <c r="E3009" s="2" t="n">
        <v>45552</v>
      </c>
      <c r="F3009" s="3" t="s">
        <v>27</v>
      </c>
      <c r="G3009" s="3" t="s">
        <v>28</v>
      </c>
      <c r="H3009" s="3" t="s">
        <v>48</v>
      </c>
      <c r="I3009" s="3" t="n">
        <f aca="false">YEAR(E3009)</f>
        <v>2024</v>
      </c>
      <c r="J3009" s="3" t="n">
        <f aca="false">MONTH(E3009)</f>
        <v>9</v>
      </c>
      <c r="K3009" s="3" t="n">
        <f aca="false">COUNTIFS($B$2:$B$4077,B3009,$C$2:$C$4077,C3009,$I$2:$I$4077,I3009)</f>
        <v>1</v>
      </c>
      <c r="L3009" s="3" t="n">
        <f aca="false">IF(COUNTIFS($B$2:B3009,B3009,$C$2:C3009,C3009,$I$2:I3009,I3009)=1,1,0)</f>
        <v>1</v>
      </c>
      <c r="M3009" s="3" t="n">
        <f aca="false">IF(K3009&gt;=Parametri!$B$1,1,0)</f>
        <v>0</v>
      </c>
      <c r="N3009" s="3" t="n">
        <f aca="false">L3009*M3009</f>
        <v>0</v>
      </c>
    </row>
    <row r="3010" customFormat="false" ht="15" hidden="false" customHeight="false" outlineLevel="0" collapsed="false">
      <c r="A3010" s="0" t="s">
        <v>4597</v>
      </c>
      <c r="B3010" s="0" t="s">
        <v>50</v>
      </c>
      <c r="C3010" s="0" t="s">
        <v>4544</v>
      </c>
      <c r="D3010" s="0" t="s">
        <v>66</v>
      </c>
      <c r="E3010" s="2" t="n">
        <v>45648</v>
      </c>
      <c r="F3010" s="3" t="s">
        <v>27</v>
      </c>
      <c r="G3010" s="3" t="s">
        <v>89</v>
      </c>
      <c r="H3010" s="3" t="s">
        <v>48</v>
      </c>
      <c r="I3010" s="3" t="n">
        <f aca="false">YEAR(E3010)</f>
        <v>2024</v>
      </c>
      <c r="J3010" s="3" t="n">
        <f aca="false">MONTH(E3010)</f>
        <v>12</v>
      </c>
      <c r="K3010" s="3" t="n">
        <f aca="false">COUNTIFS($B$2:$B$4077,B3010,$C$2:$C$4077,C3010,$I$2:$I$4077,I3010)</f>
        <v>2</v>
      </c>
      <c r="L3010" s="3" t="n">
        <f aca="false">IF(COUNTIFS($B$2:B3010,B3010,$C$2:C3010,C3010,$I$2:I3010,I3010)=1,1,0)</f>
        <v>1</v>
      </c>
      <c r="M3010" s="3" t="n">
        <f aca="false">IF(K3010&gt;=Parametri!$B$1,1,0)</f>
        <v>1</v>
      </c>
      <c r="N3010" s="3" t="n">
        <f aca="false">L3010*M3010</f>
        <v>1</v>
      </c>
    </row>
    <row r="3011" customFormat="false" ht="15" hidden="false" customHeight="false" outlineLevel="0" collapsed="false">
      <c r="A3011" s="0" t="s">
        <v>4598</v>
      </c>
      <c r="B3011" s="0" t="s">
        <v>57</v>
      </c>
      <c r="C3011" s="0" t="s">
        <v>1267</v>
      </c>
      <c r="D3011" s="0" t="s">
        <v>33</v>
      </c>
      <c r="E3011" s="2" t="n">
        <v>45869</v>
      </c>
      <c r="F3011" s="3" t="s">
        <v>20</v>
      </c>
      <c r="G3011" s="3" t="s">
        <v>55</v>
      </c>
      <c r="H3011" s="3" t="s">
        <v>48</v>
      </c>
      <c r="I3011" s="3" t="n">
        <f aca="false">YEAR(E3011)</f>
        <v>2025</v>
      </c>
      <c r="J3011" s="3" t="n">
        <f aca="false">MONTH(E3011)</f>
        <v>7</v>
      </c>
      <c r="K3011" s="3" t="n">
        <f aca="false">COUNTIFS($B$2:$B$4077,B3011,$C$2:$C$4077,C3011,$I$2:$I$4077,I3011)</f>
        <v>2</v>
      </c>
      <c r="L3011" s="3" t="n">
        <f aca="false">IF(COUNTIFS($B$2:B3011,B3011,$C$2:C3011,C3011,$I$2:I3011,I3011)=1,1,0)</f>
        <v>0</v>
      </c>
      <c r="M3011" s="3" t="n">
        <f aca="false">IF(K3011&gt;=Parametri!$B$1,1,0)</f>
        <v>1</v>
      </c>
      <c r="N3011" s="3" t="n">
        <f aca="false">L3011*M3011</f>
        <v>0</v>
      </c>
    </row>
    <row r="3012" customFormat="false" ht="15" hidden="false" customHeight="false" outlineLevel="0" collapsed="false">
      <c r="A3012" s="0" t="s">
        <v>4599</v>
      </c>
      <c r="B3012" s="0" t="s">
        <v>57</v>
      </c>
      <c r="C3012" s="0" t="s">
        <v>1299</v>
      </c>
      <c r="D3012" s="0" t="s">
        <v>54</v>
      </c>
      <c r="E3012" s="2" t="n">
        <v>46004</v>
      </c>
      <c r="F3012" s="3" t="s">
        <v>27</v>
      </c>
      <c r="G3012" s="3" t="s">
        <v>39</v>
      </c>
      <c r="H3012" s="3" t="s">
        <v>22</v>
      </c>
      <c r="I3012" s="3" t="n">
        <f aca="false">YEAR(E3012)</f>
        <v>2025</v>
      </c>
      <c r="J3012" s="3" t="n">
        <f aca="false">MONTH(E3012)</f>
        <v>12</v>
      </c>
      <c r="K3012" s="3" t="n">
        <f aca="false">COUNTIFS($B$2:$B$4077,B3012,$C$2:$C$4077,C3012,$I$2:$I$4077,I3012)</f>
        <v>2</v>
      </c>
      <c r="L3012" s="3" t="n">
        <f aca="false">IF(COUNTIFS($B$2:B3012,B3012,$C$2:C3012,C3012,$I$2:I3012,I3012)=1,1,0)</f>
        <v>0</v>
      </c>
      <c r="M3012" s="3" t="n">
        <f aca="false">IF(K3012&gt;=Parametri!$B$1,1,0)</f>
        <v>1</v>
      </c>
      <c r="N3012" s="3" t="n">
        <f aca="false">L3012*M3012</f>
        <v>0</v>
      </c>
    </row>
    <row r="3013" customFormat="false" ht="15" hidden="false" customHeight="false" outlineLevel="0" collapsed="false">
      <c r="A3013" s="0" t="s">
        <v>4600</v>
      </c>
      <c r="B3013" s="0" t="s">
        <v>79</v>
      </c>
      <c r="C3013" s="0" t="s">
        <v>4601</v>
      </c>
      <c r="D3013" s="0" t="s">
        <v>33</v>
      </c>
      <c r="E3013" s="2" t="n">
        <v>45754</v>
      </c>
      <c r="F3013" s="3" t="s">
        <v>104</v>
      </c>
      <c r="G3013" s="3" t="s">
        <v>104</v>
      </c>
      <c r="H3013" s="3" t="s">
        <v>104</v>
      </c>
      <c r="I3013" s="3" t="n">
        <f aca="false">YEAR(E3013)</f>
        <v>2025</v>
      </c>
      <c r="J3013" s="3" t="n">
        <f aca="false">MONTH(E3013)</f>
        <v>4</v>
      </c>
      <c r="K3013" s="3" t="n">
        <f aca="false">COUNTIFS($B$2:$B$4077,B3013,$C$2:$C$4077,C3013,$I$2:$I$4077,I3013)</f>
        <v>1</v>
      </c>
      <c r="L3013" s="3" t="n">
        <f aca="false">IF(COUNTIFS($B$2:B3013,B3013,$C$2:C3013,C3013,$I$2:I3013,I3013)=1,1,0)</f>
        <v>1</v>
      </c>
      <c r="M3013" s="3" t="n">
        <f aca="false">IF(K3013&gt;=Parametri!$B$1,1,0)</f>
        <v>0</v>
      </c>
      <c r="N3013" s="3" t="n">
        <f aca="false">L3013*M3013</f>
        <v>0</v>
      </c>
    </row>
    <row r="3014" customFormat="false" ht="15" hidden="false" customHeight="false" outlineLevel="0" collapsed="false">
      <c r="A3014" s="0" t="s">
        <v>4602</v>
      </c>
      <c r="B3014" s="0" t="s">
        <v>68</v>
      </c>
      <c r="C3014" s="0" t="s">
        <v>1457</v>
      </c>
      <c r="D3014" s="0" t="s">
        <v>66</v>
      </c>
      <c r="E3014" s="2" t="n">
        <v>45575</v>
      </c>
      <c r="F3014" s="3" t="s">
        <v>20</v>
      </c>
      <c r="G3014" s="3" t="s">
        <v>21</v>
      </c>
      <c r="H3014" s="3" t="s">
        <v>48</v>
      </c>
      <c r="I3014" s="3" t="n">
        <f aca="false">YEAR(E3014)</f>
        <v>2024</v>
      </c>
      <c r="J3014" s="3" t="n">
        <f aca="false">MONTH(E3014)</f>
        <v>10</v>
      </c>
      <c r="K3014" s="3" t="n">
        <f aca="false">COUNTIFS($B$2:$B$4077,B3014,$C$2:$C$4077,C3014,$I$2:$I$4077,I3014)</f>
        <v>6</v>
      </c>
      <c r="L3014" s="3" t="n">
        <f aca="false">IF(COUNTIFS($B$2:B3014,B3014,$C$2:C3014,C3014,$I$2:I3014,I3014)=1,1,0)</f>
        <v>0</v>
      </c>
      <c r="M3014" s="3" t="n">
        <f aca="false">IF(K3014&gt;=Parametri!$B$1,1,0)</f>
        <v>1</v>
      </c>
      <c r="N3014" s="3" t="n">
        <f aca="false">L3014*M3014</f>
        <v>0</v>
      </c>
    </row>
    <row r="3015" customFormat="false" ht="15" hidden="false" customHeight="false" outlineLevel="0" collapsed="false">
      <c r="A3015" s="0" t="s">
        <v>4603</v>
      </c>
      <c r="B3015" s="0" t="s">
        <v>124</v>
      </c>
      <c r="C3015" s="0" t="s">
        <v>483</v>
      </c>
      <c r="D3015" s="0" t="s">
        <v>33</v>
      </c>
      <c r="E3015" s="2" t="n">
        <v>45468</v>
      </c>
      <c r="F3015" s="3" t="s">
        <v>20</v>
      </c>
      <c r="G3015" s="3" t="s">
        <v>28</v>
      </c>
      <c r="H3015" s="3" t="s">
        <v>44</v>
      </c>
      <c r="I3015" s="3" t="n">
        <f aca="false">YEAR(E3015)</f>
        <v>2024</v>
      </c>
      <c r="J3015" s="3" t="n">
        <f aca="false">MONTH(E3015)</f>
        <v>6</v>
      </c>
      <c r="K3015" s="3" t="n">
        <f aca="false">COUNTIFS($B$2:$B$4077,B3015,$C$2:$C$4077,C3015,$I$2:$I$4077,I3015)</f>
        <v>3</v>
      </c>
      <c r="L3015" s="3" t="n">
        <f aca="false">IF(COUNTIFS($B$2:B3015,B3015,$C$2:C3015,C3015,$I$2:I3015,I3015)=1,1,0)</f>
        <v>0</v>
      </c>
      <c r="M3015" s="3" t="n">
        <f aca="false">IF(K3015&gt;=Parametri!$B$1,1,0)</f>
        <v>1</v>
      </c>
      <c r="N3015" s="3" t="n">
        <f aca="false">L3015*M3015</f>
        <v>0</v>
      </c>
    </row>
    <row r="3016" customFormat="false" ht="15" hidden="false" customHeight="false" outlineLevel="0" collapsed="false">
      <c r="A3016" s="0" t="s">
        <v>4604</v>
      </c>
      <c r="B3016" s="0" t="s">
        <v>124</v>
      </c>
      <c r="C3016" s="0" t="s">
        <v>4605</v>
      </c>
      <c r="D3016" s="0" t="s">
        <v>63</v>
      </c>
      <c r="E3016" s="2" t="n">
        <v>45428</v>
      </c>
      <c r="F3016" s="3" t="s">
        <v>20</v>
      </c>
      <c r="G3016" s="3" t="s">
        <v>72</v>
      </c>
      <c r="H3016" s="3" t="s">
        <v>44</v>
      </c>
      <c r="I3016" s="3" t="n">
        <f aca="false">YEAR(E3016)</f>
        <v>2024</v>
      </c>
      <c r="J3016" s="3" t="n">
        <f aca="false">MONTH(E3016)</f>
        <v>5</v>
      </c>
      <c r="K3016" s="3" t="n">
        <f aca="false">COUNTIFS($B$2:$B$4077,B3016,$C$2:$C$4077,C3016,$I$2:$I$4077,I3016)</f>
        <v>1</v>
      </c>
      <c r="L3016" s="3" t="n">
        <f aca="false">IF(COUNTIFS($B$2:B3016,B3016,$C$2:C3016,C3016,$I$2:I3016,I3016)=1,1,0)</f>
        <v>1</v>
      </c>
      <c r="M3016" s="3" t="n">
        <f aca="false">IF(K3016&gt;=Parametri!$B$1,1,0)</f>
        <v>0</v>
      </c>
      <c r="N3016" s="3" t="n">
        <f aca="false">L3016*M3016</f>
        <v>0</v>
      </c>
    </row>
    <row r="3017" customFormat="false" ht="15" hidden="false" customHeight="false" outlineLevel="0" collapsed="false">
      <c r="A3017" s="0" t="s">
        <v>4606</v>
      </c>
      <c r="B3017" s="0" t="s">
        <v>17</v>
      </c>
      <c r="C3017" s="0" t="s">
        <v>4607</v>
      </c>
      <c r="D3017" s="0" t="s">
        <v>63</v>
      </c>
      <c r="E3017" s="2" t="n">
        <v>45785</v>
      </c>
      <c r="F3017" s="3" t="s">
        <v>27</v>
      </c>
      <c r="G3017" s="3" t="s">
        <v>43</v>
      </c>
      <c r="H3017" s="3" t="s">
        <v>44</v>
      </c>
      <c r="I3017" s="3" t="n">
        <f aca="false">YEAR(E3017)</f>
        <v>2025</v>
      </c>
      <c r="J3017" s="3" t="n">
        <f aca="false">MONTH(E3017)</f>
        <v>5</v>
      </c>
      <c r="K3017" s="3" t="n">
        <f aca="false">COUNTIFS($B$2:$B$4077,B3017,$C$2:$C$4077,C3017,$I$2:$I$4077,I3017)</f>
        <v>1</v>
      </c>
      <c r="L3017" s="3" t="n">
        <f aca="false">IF(COUNTIFS($B$2:B3017,B3017,$C$2:C3017,C3017,$I$2:I3017,I3017)=1,1,0)</f>
        <v>1</v>
      </c>
      <c r="M3017" s="3" t="n">
        <f aca="false">IF(K3017&gt;=Parametri!$B$1,1,0)</f>
        <v>0</v>
      </c>
      <c r="N3017" s="3" t="n">
        <f aca="false">L3017*M3017</f>
        <v>0</v>
      </c>
    </row>
    <row r="3018" customFormat="false" ht="15" hidden="false" customHeight="false" outlineLevel="0" collapsed="false">
      <c r="A3018" s="0" t="s">
        <v>4608</v>
      </c>
      <c r="B3018" s="0" t="s">
        <v>68</v>
      </c>
      <c r="C3018" s="0" t="s">
        <v>828</v>
      </c>
      <c r="D3018" s="0" t="s">
        <v>19</v>
      </c>
      <c r="E3018" s="2" t="n">
        <v>45896</v>
      </c>
      <c r="F3018" s="3" t="s">
        <v>27</v>
      </c>
      <c r="G3018" s="3" t="s">
        <v>89</v>
      </c>
      <c r="H3018" s="3" t="s">
        <v>48</v>
      </c>
      <c r="I3018" s="3" t="n">
        <f aca="false">YEAR(E3018)</f>
        <v>2025</v>
      </c>
      <c r="J3018" s="3" t="n">
        <f aca="false">MONTH(E3018)</f>
        <v>8</v>
      </c>
      <c r="K3018" s="3" t="n">
        <f aca="false">COUNTIFS($B$2:$B$4077,B3018,$C$2:$C$4077,C3018,$I$2:$I$4077,I3018)</f>
        <v>2</v>
      </c>
      <c r="L3018" s="3" t="n">
        <f aca="false">IF(COUNTIFS($B$2:B3018,B3018,$C$2:C3018,C3018,$I$2:I3018,I3018)=1,1,0)</f>
        <v>0</v>
      </c>
      <c r="M3018" s="3" t="n">
        <f aca="false">IF(K3018&gt;=Parametri!$B$1,1,0)</f>
        <v>1</v>
      </c>
      <c r="N3018" s="3" t="n">
        <f aca="false">L3018*M3018</f>
        <v>0</v>
      </c>
    </row>
    <row r="3019" customFormat="false" ht="15" hidden="false" customHeight="false" outlineLevel="0" collapsed="false">
      <c r="A3019" s="0" t="s">
        <v>4609</v>
      </c>
      <c r="B3019" s="0" t="s">
        <v>17</v>
      </c>
      <c r="C3019" s="0" t="s">
        <v>546</v>
      </c>
      <c r="D3019" s="0" t="s">
        <v>63</v>
      </c>
      <c r="E3019" s="2" t="n">
        <v>45963</v>
      </c>
      <c r="F3019" s="3" t="s">
        <v>20</v>
      </c>
      <c r="G3019" s="3" t="s">
        <v>35</v>
      </c>
      <c r="H3019" s="3" t="s">
        <v>48</v>
      </c>
      <c r="I3019" s="3" t="n">
        <f aca="false">YEAR(E3019)</f>
        <v>2025</v>
      </c>
      <c r="J3019" s="3" t="n">
        <f aca="false">MONTH(E3019)</f>
        <v>11</v>
      </c>
      <c r="K3019" s="3" t="n">
        <f aca="false">COUNTIFS($B$2:$B$4077,B3019,$C$2:$C$4077,C3019,$I$2:$I$4077,I3019)</f>
        <v>2</v>
      </c>
      <c r="L3019" s="3" t="n">
        <f aca="false">IF(COUNTIFS($B$2:B3019,B3019,$C$2:C3019,C3019,$I$2:I3019,I3019)=1,1,0)</f>
        <v>0</v>
      </c>
      <c r="M3019" s="3" t="n">
        <f aca="false">IF(K3019&gt;=Parametri!$B$1,1,0)</f>
        <v>1</v>
      </c>
      <c r="N3019" s="3" t="n">
        <f aca="false">L3019*M3019</f>
        <v>0</v>
      </c>
    </row>
    <row r="3020" customFormat="false" ht="15" hidden="false" customHeight="false" outlineLevel="0" collapsed="false">
      <c r="A3020" s="0" t="s">
        <v>4610</v>
      </c>
      <c r="B3020" s="0" t="s">
        <v>79</v>
      </c>
      <c r="C3020" s="0" t="s">
        <v>931</v>
      </c>
      <c r="D3020" s="0" t="s">
        <v>19</v>
      </c>
      <c r="E3020" s="2" t="n">
        <v>45542</v>
      </c>
      <c r="F3020" s="3" t="s">
        <v>20</v>
      </c>
      <c r="G3020" s="3" t="s">
        <v>89</v>
      </c>
      <c r="H3020" s="3" t="s">
        <v>29</v>
      </c>
      <c r="I3020" s="3" t="n">
        <f aca="false">YEAR(E3020)</f>
        <v>2024</v>
      </c>
      <c r="J3020" s="3" t="n">
        <f aca="false">MONTH(E3020)</f>
        <v>9</v>
      </c>
      <c r="K3020" s="3" t="n">
        <f aca="false">COUNTIFS($B$2:$B$4077,B3020,$C$2:$C$4077,C3020,$I$2:$I$4077,I3020)</f>
        <v>3</v>
      </c>
      <c r="L3020" s="3" t="n">
        <f aca="false">IF(COUNTIFS($B$2:B3020,B3020,$C$2:C3020,C3020,$I$2:I3020,I3020)=1,1,0)</f>
        <v>0</v>
      </c>
      <c r="M3020" s="3" t="n">
        <f aca="false">IF(K3020&gt;=Parametri!$B$1,1,0)</f>
        <v>1</v>
      </c>
      <c r="N3020" s="3" t="n">
        <f aca="false">L3020*M3020</f>
        <v>0</v>
      </c>
    </row>
    <row r="3021" customFormat="false" ht="15" hidden="false" customHeight="false" outlineLevel="0" collapsed="false">
      <c r="A3021" s="0" t="s">
        <v>4611</v>
      </c>
      <c r="B3021" s="0" t="s">
        <v>50</v>
      </c>
      <c r="C3021" s="0" t="s">
        <v>3356</v>
      </c>
      <c r="D3021" s="0" t="s">
        <v>33</v>
      </c>
      <c r="E3021" s="2" t="n">
        <v>45309</v>
      </c>
      <c r="F3021" s="3" t="s">
        <v>20</v>
      </c>
      <c r="G3021" s="3" t="s">
        <v>55</v>
      </c>
      <c r="H3021" s="3" t="s">
        <v>48</v>
      </c>
      <c r="I3021" s="3" t="n">
        <f aca="false">YEAR(E3021)</f>
        <v>2024</v>
      </c>
      <c r="J3021" s="3" t="n">
        <f aca="false">MONTH(E3021)</f>
        <v>1</v>
      </c>
      <c r="K3021" s="3" t="n">
        <f aca="false">COUNTIFS($B$2:$B$4077,B3021,$C$2:$C$4077,C3021,$I$2:$I$4077,I3021)</f>
        <v>2</v>
      </c>
      <c r="L3021" s="3" t="n">
        <f aca="false">IF(COUNTIFS($B$2:B3021,B3021,$C$2:C3021,C3021,$I$2:I3021,I3021)=1,1,0)</f>
        <v>0</v>
      </c>
      <c r="M3021" s="3" t="n">
        <f aca="false">IF(K3021&gt;=Parametri!$B$1,1,0)</f>
        <v>1</v>
      </c>
      <c r="N3021" s="3" t="n">
        <f aca="false">L3021*M3021</f>
        <v>0</v>
      </c>
    </row>
    <row r="3022" customFormat="false" ht="15" hidden="false" customHeight="false" outlineLevel="0" collapsed="false">
      <c r="A3022" s="0" t="s">
        <v>4612</v>
      </c>
      <c r="B3022" s="0" t="s">
        <v>41</v>
      </c>
      <c r="C3022" s="0" t="s">
        <v>42</v>
      </c>
      <c r="D3022" s="0" t="s">
        <v>26</v>
      </c>
      <c r="E3022" s="2" t="n">
        <v>45653</v>
      </c>
      <c r="F3022" s="3" t="s">
        <v>27</v>
      </c>
      <c r="G3022" s="3" t="s">
        <v>39</v>
      </c>
      <c r="H3022" s="3" t="s">
        <v>44</v>
      </c>
      <c r="I3022" s="3" t="n">
        <f aca="false">YEAR(E3022)</f>
        <v>2024</v>
      </c>
      <c r="J3022" s="3" t="n">
        <f aca="false">MONTH(E3022)</f>
        <v>12</v>
      </c>
      <c r="K3022" s="3" t="n">
        <f aca="false">COUNTIFS($B$2:$B$4077,B3022,$C$2:$C$4077,C3022,$I$2:$I$4077,I3022)</f>
        <v>2</v>
      </c>
      <c r="L3022" s="3" t="n">
        <f aca="false">IF(COUNTIFS($B$2:B3022,B3022,$C$2:C3022,C3022,$I$2:I3022,I3022)=1,1,0)</f>
        <v>0</v>
      </c>
      <c r="M3022" s="3" t="n">
        <f aca="false">IF(K3022&gt;=Parametri!$B$1,1,0)</f>
        <v>1</v>
      </c>
      <c r="N3022" s="3" t="n">
        <f aca="false">L3022*M3022</f>
        <v>0</v>
      </c>
    </row>
    <row r="3023" customFormat="false" ht="15" hidden="false" customHeight="false" outlineLevel="0" collapsed="false">
      <c r="A3023" s="0" t="s">
        <v>4613</v>
      </c>
      <c r="B3023" s="0" t="s">
        <v>24</v>
      </c>
      <c r="C3023" s="0" t="s">
        <v>4614</v>
      </c>
      <c r="D3023" s="0" t="s">
        <v>63</v>
      </c>
      <c r="E3023" s="2" t="n">
        <v>46067</v>
      </c>
      <c r="F3023" s="3" t="s">
        <v>20</v>
      </c>
      <c r="G3023" s="3" t="s">
        <v>55</v>
      </c>
      <c r="H3023" s="3" t="s">
        <v>29</v>
      </c>
      <c r="I3023" s="3" t="n">
        <f aca="false">YEAR(E3023)</f>
        <v>2026</v>
      </c>
      <c r="J3023" s="3" t="n">
        <f aca="false">MONTH(E3023)</f>
        <v>2</v>
      </c>
      <c r="K3023" s="3" t="n">
        <f aca="false">COUNTIFS($B$2:$B$4077,B3023,$C$2:$C$4077,C3023,$I$2:$I$4077,I3023)</f>
        <v>1</v>
      </c>
      <c r="L3023" s="3" t="n">
        <f aca="false">IF(COUNTIFS($B$2:B3023,B3023,$C$2:C3023,C3023,$I$2:I3023,I3023)=1,1,0)</f>
        <v>1</v>
      </c>
      <c r="M3023" s="3" t="n">
        <f aca="false">IF(K3023&gt;=Parametri!$B$1,1,0)</f>
        <v>0</v>
      </c>
      <c r="N3023" s="3" t="n">
        <f aca="false">L3023*M3023</f>
        <v>0</v>
      </c>
    </row>
    <row r="3024" customFormat="false" ht="15" hidden="false" customHeight="false" outlineLevel="0" collapsed="false">
      <c r="A3024" s="0" t="s">
        <v>4615</v>
      </c>
      <c r="B3024" s="0" t="s">
        <v>24</v>
      </c>
      <c r="C3024" s="0" t="s">
        <v>4616</v>
      </c>
      <c r="D3024" s="0" t="s">
        <v>26</v>
      </c>
      <c r="E3024" s="2" t="n">
        <v>46074</v>
      </c>
      <c r="F3024" s="3" t="s">
        <v>20</v>
      </c>
      <c r="G3024" s="3" t="s">
        <v>43</v>
      </c>
      <c r="H3024" s="3" t="s">
        <v>48</v>
      </c>
      <c r="I3024" s="3" t="n">
        <f aca="false">YEAR(E3024)</f>
        <v>2026</v>
      </c>
      <c r="J3024" s="3" t="n">
        <f aca="false">MONTH(E3024)</f>
        <v>2</v>
      </c>
      <c r="K3024" s="3" t="n">
        <f aca="false">COUNTIFS($B$2:$B$4077,B3024,$C$2:$C$4077,C3024,$I$2:$I$4077,I3024)</f>
        <v>1</v>
      </c>
      <c r="L3024" s="3" t="n">
        <f aca="false">IF(COUNTIFS($B$2:B3024,B3024,$C$2:C3024,C3024,$I$2:I3024,I3024)=1,1,0)</f>
        <v>1</v>
      </c>
      <c r="M3024" s="3" t="n">
        <f aca="false">IF(K3024&gt;=Parametri!$B$1,1,0)</f>
        <v>0</v>
      </c>
      <c r="N3024" s="3" t="n">
        <f aca="false">L3024*M3024</f>
        <v>0</v>
      </c>
    </row>
    <row r="3025" customFormat="false" ht="15" hidden="false" customHeight="false" outlineLevel="0" collapsed="false">
      <c r="A3025" s="0" t="s">
        <v>4617</v>
      </c>
      <c r="B3025" s="0" t="s">
        <v>68</v>
      </c>
      <c r="C3025" s="0" t="s">
        <v>1556</v>
      </c>
      <c r="D3025" s="0" t="s">
        <v>54</v>
      </c>
      <c r="E3025" s="2" t="n">
        <v>45638</v>
      </c>
      <c r="F3025" s="3" t="s">
        <v>20</v>
      </c>
      <c r="G3025" s="3" t="s">
        <v>72</v>
      </c>
      <c r="H3025" s="3" t="s">
        <v>22</v>
      </c>
      <c r="I3025" s="3" t="n">
        <f aca="false">YEAR(E3025)</f>
        <v>2024</v>
      </c>
      <c r="J3025" s="3" t="n">
        <f aca="false">MONTH(E3025)</f>
        <v>12</v>
      </c>
      <c r="K3025" s="3" t="n">
        <f aca="false">COUNTIFS($B$2:$B$4077,B3025,$C$2:$C$4077,C3025,$I$2:$I$4077,I3025)</f>
        <v>1</v>
      </c>
      <c r="L3025" s="3" t="n">
        <f aca="false">IF(COUNTIFS($B$2:B3025,B3025,$C$2:C3025,C3025,$I$2:I3025,I3025)=1,1,0)</f>
        <v>1</v>
      </c>
      <c r="M3025" s="3" t="n">
        <f aca="false">IF(K3025&gt;=Parametri!$B$1,1,0)</f>
        <v>0</v>
      </c>
      <c r="N3025" s="3" t="n">
        <f aca="false">L3025*M3025</f>
        <v>0</v>
      </c>
    </row>
    <row r="3026" customFormat="false" ht="15" hidden="false" customHeight="false" outlineLevel="0" collapsed="false">
      <c r="A3026" s="0" t="s">
        <v>4618</v>
      </c>
      <c r="B3026" s="0" t="s">
        <v>31</v>
      </c>
      <c r="C3026" s="0" t="s">
        <v>2267</v>
      </c>
      <c r="D3026" s="0" t="s">
        <v>66</v>
      </c>
      <c r="E3026" s="2" t="n">
        <v>45495</v>
      </c>
      <c r="F3026" s="3" t="s">
        <v>34</v>
      </c>
      <c r="G3026" s="3" t="s">
        <v>21</v>
      </c>
      <c r="H3026" s="3" t="s">
        <v>22</v>
      </c>
      <c r="I3026" s="3" t="n">
        <f aca="false">YEAR(E3026)</f>
        <v>2024</v>
      </c>
      <c r="J3026" s="3" t="n">
        <f aca="false">MONTH(E3026)</f>
        <v>7</v>
      </c>
      <c r="K3026" s="3" t="n">
        <f aca="false">COUNTIFS($B$2:$B$4077,B3026,$C$2:$C$4077,C3026,$I$2:$I$4077,I3026)</f>
        <v>2</v>
      </c>
      <c r="L3026" s="3" t="n">
        <f aca="false">IF(COUNTIFS($B$2:B3026,B3026,$C$2:C3026,C3026,$I$2:I3026,I3026)=1,1,0)</f>
        <v>0</v>
      </c>
      <c r="M3026" s="3" t="n">
        <f aca="false">IF(K3026&gt;=Parametri!$B$1,1,0)</f>
        <v>1</v>
      </c>
      <c r="N3026" s="3" t="n">
        <f aca="false">L3026*M3026</f>
        <v>0</v>
      </c>
    </row>
    <row r="3027" customFormat="false" ht="15" hidden="false" customHeight="false" outlineLevel="0" collapsed="false">
      <c r="A3027" s="0" t="s">
        <v>4619</v>
      </c>
      <c r="B3027" s="0" t="s">
        <v>31</v>
      </c>
      <c r="C3027" s="0" t="s">
        <v>2150</v>
      </c>
      <c r="D3027" s="0" t="s">
        <v>26</v>
      </c>
      <c r="E3027" s="2" t="n">
        <v>45514</v>
      </c>
      <c r="F3027" s="3" t="s">
        <v>34</v>
      </c>
      <c r="G3027" s="3" t="s">
        <v>89</v>
      </c>
      <c r="H3027" s="3" t="s">
        <v>44</v>
      </c>
      <c r="I3027" s="3" t="n">
        <f aca="false">YEAR(E3027)</f>
        <v>2024</v>
      </c>
      <c r="J3027" s="3" t="n">
        <f aca="false">MONTH(E3027)</f>
        <v>8</v>
      </c>
      <c r="K3027" s="3" t="n">
        <f aca="false">COUNTIFS($B$2:$B$4077,B3027,$C$2:$C$4077,C3027,$I$2:$I$4077,I3027)</f>
        <v>2</v>
      </c>
      <c r="L3027" s="3" t="n">
        <f aca="false">IF(COUNTIFS($B$2:B3027,B3027,$C$2:C3027,C3027,$I$2:I3027,I3027)=1,1,0)</f>
        <v>0</v>
      </c>
      <c r="M3027" s="3" t="n">
        <f aca="false">IF(K3027&gt;=Parametri!$B$1,1,0)</f>
        <v>1</v>
      </c>
      <c r="N3027" s="3" t="n">
        <f aca="false">L3027*M3027</f>
        <v>0</v>
      </c>
    </row>
    <row r="3028" customFormat="false" ht="15" hidden="false" customHeight="false" outlineLevel="0" collapsed="false">
      <c r="A3028" s="0" t="s">
        <v>4620</v>
      </c>
      <c r="B3028" s="0" t="s">
        <v>68</v>
      </c>
      <c r="C3028" s="0" t="s">
        <v>3529</v>
      </c>
      <c r="D3028" s="0" t="s">
        <v>66</v>
      </c>
      <c r="E3028" s="2" t="n">
        <v>45420</v>
      </c>
      <c r="F3028" s="3" t="s">
        <v>34</v>
      </c>
      <c r="G3028" s="3" t="s">
        <v>35</v>
      </c>
      <c r="H3028" s="3" t="s">
        <v>48</v>
      </c>
      <c r="I3028" s="3" t="n">
        <f aca="false">YEAR(E3028)</f>
        <v>2024</v>
      </c>
      <c r="J3028" s="3" t="n">
        <f aca="false">MONTH(E3028)</f>
        <v>5</v>
      </c>
      <c r="K3028" s="3" t="n">
        <f aca="false">COUNTIFS($B$2:$B$4077,B3028,$C$2:$C$4077,C3028,$I$2:$I$4077,I3028)</f>
        <v>2</v>
      </c>
      <c r="L3028" s="3" t="n">
        <f aca="false">IF(COUNTIFS($B$2:B3028,B3028,$C$2:C3028,C3028,$I$2:I3028,I3028)=1,1,0)</f>
        <v>0</v>
      </c>
      <c r="M3028" s="3" t="n">
        <f aca="false">IF(K3028&gt;=Parametri!$B$1,1,0)</f>
        <v>1</v>
      </c>
      <c r="N3028" s="3" t="n">
        <f aca="false">L3028*M3028</f>
        <v>0</v>
      </c>
    </row>
    <row r="3029" customFormat="false" ht="15" hidden="false" customHeight="false" outlineLevel="0" collapsed="false">
      <c r="A3029" s="0" t="s">
        <v>4621</v>
      </c>
      <c r="B3029" s="0" t="s">
        <v>31</v>
      </c>
      <c r="C3029" s="0" t="s">
        <v>2441</v>
      </c>
      <c r="D3029" s="0" t="s">
        <v>19</v>
      </c>
      <c r="E3029" s="2" t="n">
        <v>45717</v>
      </c>
      <c r="F3029" s="3" t="s">
        <v>20</v>
      </c>
      <c r="G3029" s="3" t="s">
        <v>43</v>
      </c>
      <c r="H3029" s="3" t="s">
        <v>29</v>
      </c>
      <c r="I3029" s="3" t="n">
        <f aca="false">YEAR(E3029)</f>
        <v>2025</v>
      </c>
      <c r="J3029" s="3" t="n">
        <f aca="false">MONTH(E3029)</f>
        <v>3</v>
      </c>
      <c r="K3029" s="3" t="n">
        <f aca="false">COUNTIFS($B$2:$B$4077,B3029,$C$2:$C$4077,C3029,$I$2:$I$4077,I3029)</f>
        <v>2</v>
      </c>
      <c r="L3029" s="3" t="n">
        <f aca="false">IF(COUNTIFS($B$2:B3029,B3029,$C$2:C3029,C3029,$I$2:I3029,I3029)=1,1,0)</f>
        <v>0</v>
      </c>
      <c r="M3029" s="3" t="n">
        <f aca="false">IF(K3029&gt;=Parametri!$B$1,1,0)</f>
        <v>1</v>
      </c>
      <c r="N3029" s="3" t="n">
        <f aca="false">L3029*M3029</f>
        <v>0</v>
      </c>
    </row>
    <row r="3030" customFormat="false" ht="15" hidden="false" customHeight="false" outlineLevel="0" collapsed="false">
      <c r="A3030" s="0" t="s">
        <v>4622</v>
      </c>
      <c r="B3030" s="0" t="s">
        <v>46</v>
      </c>
      <c r="C3030" s="0" t="s">
        <v>4623</v>
      </c>
      <c r="D3030" s="0" t="s">
        <v>33</v>
      </c>
      <c r="E3030" s="2" t="n">
        <v>45876</v>
      </c>
      <c r="F3030" s="3" t="s">
        <v>20</v>
      </c>
      <c r="G3030" s="3" t="s">
        <v>21</v>
      </c>
      <c r="H3030" s="3" t="s">
        <v>44</v>
      </c>
      <c r="I3030" s="3" t="n">
        <f aca="false">YEAR(E3030)</f>
        <v>2025</v>
      </c>
      <c r="J3030" s="3" t="n">
        <f aca="false">MONTH(E3030)</f>
        <v>8</v>
      </c>
      <c r="K3030" s="3" t="n">
        <f aca="false">COUNTIFS($B$2:$B$4077,B3030,$C$2:$C$4077,C3030,$I$2:$I$4077,I3030)</f>
        <v>2</v>
      </c>
      <c r="L3030" s="3" t="n">
        <f aca="false">IF(COUNTIFS($B$2:B3030,B3030,$C$2:C3030,C3030,$I$2:I3030,I3030)=1,1,0)</f>
        <v>1</v>
      </c>
      <c r="M3030" s="3" t="n">
        <f aca="false">IF(K3030&gt;=Parametri!$B$1,1,0)</f>
        <v>1</v>
      </c>
      <c r="N3030" s="3" t="n">
        <f aca="false">L3030*M3030</f>
        <v>1</v>
      </c>
    </row>
    <row r="3031" customFormat="false" ht="15" hidden="false" customHeight="false" outlineLevel="0" collapsed="false">
      <c r="A3031" s="0" t="s">
        <v>4624</v>
      </c>
      <c r="B3031" s="0" t="s">
        <v>17</v>
      </c>
      <c r="C3031" s="0" t="s">
        <v>3266</v>
      </c>
      <c r="D3031" s="0" t="s">
        <v>38</v>
      </c>
      <c r="E3031" s="2" t="n">
        <v>45577</v>
      </c>
      <c r="F3031" s="3" t="s">
        <v>20</v>
      </c>
      <c r="G3031" s="3" t="s">
        <v>55</v>
      </c>
      <c r="H3031" s="3" t="s">
        <v>48</v>
      </c>
      <c r="I3031" s="3" t="n">
        <f aca="false">YEAR(E3031)</f>
        <v>2024</v>
      </c>
      <c r="J3031" s="3" t="n">
        <f aca="false">MONTH(E3031)</f>
        <v>10</v>
      </c>
      <c r="K3031" s="3" t="n">
        <f aca="false">COUNTIFS($B$2:$B$4077,B3031,$C$2:$C$4077,C3031,$I$2:$I$4077,I3031)</f>
        <v>3</v>
      </c>
      <c r="L3031" s="3" t="n">
        <f aca="false">IF(COUNTIFS($B$2:B3031,B3031,$C$2:C3031,C3031,$I$2:I3031,I3031)=1,1,0)</f>
        <v>0</v>
      </c>
      <c r="M3031" s="3" t="n">
        <f aca="false">IF(K3031&gt;=Parametri!$B$1,1,0)</f>
        <v>1</v>
      </c>
      <c r="N3031" s="3" t="n">
        <f aca="false">L3031*M3031</f>
        <v>0</v>
      </c>
    </row>
    <row r="3032" customFormat="false" ht="15" hidden="false" customHeight="false" outlineLevel="0" collapsed="false">
      <c r="A3032" s="0" t="s">
        <v>4625</v>
      </c>
      <c r="B3032" s="0" t="s">
        <v>68</v>
      </c>
      <c r="C3032" s="0" t="s">
        <v>4552</v>
      </c>
      <c r="D3032" s="0" t="s">
        <v>19</v>
      </c>
      <c r="E3032" s="2" t="n">
        <v>45906</v>
      </c>
      <c r="F3032" s="3" t="s">
        <v>20</v>
      </c>
      <c r="G3032" s="3" t="s">
        <v>39</v>
      </c>
      <c r="H3032" s="3" t="s">
        <v>48</v>
      </c>
      <c r="I3032" s="3" t="n">
        <f aca="false">YEAR(E3032)</f>
        <v>2025</v>
      </c>
      <c r="J3032" s="3" t="n">
        <f aca="false">MONTH(E3032)</f>
        <v>9</v>
      </c>
      <c r="K3032" s="3" t="n">
        <f aca="false">COUNTIFS($B$2:$B$4077,B3032,$C$2:$C$4077,C3032,$I$2:$I$4077,I3032)</f>
        <v>1</v>
      </c>
      <c r="L3032" s="3" t="n">
        <f aca="false">IF(COUNTIFS($B$2:B3032,B3032,$C$2:C3032,C3032,$I$2:I3032,I3032)=1,1,0)</f>
        <v>1</v>
      </c>
      <c r="M3032" s="3" t="n">
        <f aca="false">IF(K3032&gt;=Parametri!$B$1,1,0)</f>
        <v>0</v>
      </c>
      <c r="N3032" s="3" t="n">
        <f aca="false">L3032*M3032</f>
        <v>0</v>
      </c>
    </row>
    <row r="3033" customFormat="false" ht="15" hidden="false" customHeight="false" outlineLevel="0" collapsed="false">
      <c r="A3033" s="0" t="s">
        <v>4626</v>
      </c>
      <c r="B3033" s="0" t="s">
        <v>31</v>
      </c>
      <c r="C3033" s="0" t="s">
        <v>2581</v>
      </c>
      <c r="D3033" s="0" t="s">
        <v>38</v>
      </c>
      <c r="E3033" s="2" t="n">
        <v>45681</v>
      </c>
      <c r="F3033" s="3" t="s">
        <v>20</v>
      </c>
      <c r="G3033" s="3" t="s">
        <v>89</v>
      </c>
      <c r="H3033" s="3" t="s">
        <v>22</v>
      </c>
      <c r="I3033" s="3" t="n">
        <f aca="false">YEAR(E3033)</f>
        <v>2025</v>
      </c>
      <c r="J3033" s="3" t="n">
        <f aca="false">MONTH(E3033)</f>
        <v>1</v>
      </c>
      <c r="K3033" s="3" t="n">
        <f aca="false">COUNTIFS($B$2:$B$4077,B3033,$C$2:$C$4077,C3033,$I$2:$I$4077,I3033)</f>
        <v>3</v>
      </c>
      <c r="L3033" s="3" t="n">
        <f aca="false">IF(COUNTIFS($B$2:B3033,B3033,$C$2:C3033,C3033,$I$2:I3033,I3033)=1,1,0)</f>
        <v>0</v>
      </c>
      <c r="M3033" s="3" t="n">
        <f aca="false">IF(K3033&gt;=Parametri!$B$1,1,0)</f>
        <v>1</v>
      </c>
      <c r="N3033" s="3" t="n">
        <f aca="false">L3033*M3033</f>
        <v>0</v>
      </c>
    </row>
    <row r="3034" customFormat="false" ht="15" hidden="false" customHeight="false" outlineLevel="0" collapsed="false">
      <c r="A3034" s="0" t="s">
        <v>4627</v>
      </c>
      <c r="B3034" s="0" t="s">
        <v>24</v>
      </c>
      <c r="C3034" s="0" t="s">
        <v>1718</v>
      </c>
      <c r="D3034" s="0" t="s">
        <v>66</v>
      </c>
      <c r="E3034" s="2" t="n">
        <v>45634</v>
      </c>
      <c r="F3034" s="3" t="s">
        <v>27</v>
      </c>
      <c r="G3034" s="3" t="s">
        <v>35</v>
      </c>
      <c r="H3034" s="3" t="s">
        <v>29</v>
      </c>
      <c r="I3034" s="3" t="n">
        <f aca="false">YEAR(E3034)</f>
        <v>2024</v>
      </c>
      <c r="J3034" s="3" t="n">
        <f aca="false">MONTH(E3034)</f>
        <v>12</v>
      </c>
      <c r="K3034" s="3" t="n">
        <f aca="false">COUNTIFS($B$2:$B$4077,B3034,$C$2:$C$4077,C3034,$I$2:$I$4077,I3034)</f>
        <v>2</v>
      </c>
      <c r="L3034" s="3" t="n">
        <f aca="false">IF(COUNTIFS($B$2:B3034,B3034,$C$2:C3034,C3034,$I$2:I3034,I3034)=1,1,0)</f>
        <v>1</v>
      </c>
      <c r="M3034" s="3" t="n">
        <f aca="false">IF(K3034&gt;=Parametri!$B$1,1,0)</f>
        <v>1</v>
      </c>
      <c r="N3034" s="3" t="n">
        <f aca="false">L3034*M3034</f>
        <v>1</v>
      </c>
    </row>
    <row r="3035" customFormat="false" ht="15" hidden="false" customHeight="false" outlineLevel="0" collapsed="false">
      <c r="A3035" s="0" t="s">
        <v>4628</v>
      </c>
      <c r="B3035" s="0" t="s">
        <v>68</v>
      </c>
      <c r="C3035" s="0" t="s">
        <v>1556</v>
      </c>
      <c r="D3035" s="0" t="s">
        <v>66</v>
      </c>
      <c r="E3035" s="2" t="n">
        <v>46197</v>
      </c>
      <c r="F3035" s="3" t="s">
        <v>20</v>
      </c>
      <c r="G3035" s="3" t="s">
        <v>28</v>
      </c>
      <c r="H3035" s="3" t="s">
        <v>48</v>
      </c>
      <c r="I3035" s="3" t="n">
        <f aca="false">YEAR(E3035)</f>
        <v>2026</v>
      </c>
      <c r="J3035" s="3" t="n">
        <f aca="false">MONTH(E3035)</f>
        <v>6</v>
      </c>
      <c r="K3035" s="3" t="n">
        <f aca="false">COUNTIFS($B$2:$B$4077,B3035,$C$2:$C$4077,C3035,$I$2:$I$4077,I3035)</f>
        <v>1</v>
      </c>
      <c r="L3035" s="3" t="n">
        <f aca="false">IF(COUNTIFS($B$2:B3035,B3035,$C$2:C3035,C3035,$I$2:I3035,I3035)=1,1,0)</f>
        <v>1</v>
      </c>
      <c r="M3035" s="3" t="n">
        <f aca="false">IF(K3035&gt;=Parametri!$B$1,1,0)</f>
        <v>0</v>
      </c>
      <c r="N3035" s="3" t="n">
        <f aca="false">L3035*M3035</f>
        <v>0</v>
      </c>
    </row>
    <row r="3036" customFormat="false" ht="15" hidden="false" customHeight="false" outlineLevel="0" collapsed="false">
      <c r="A3036" s="0" t="s">
        <v>4629</v>
      </c>
      <c r="B3036" s="0" t="s">
        <v>50</v>
      </c>
      <c r="C3036" s="0" t="s">
        <v>4630</v>
      </c>
      <c r="D3036" s="0" t="s">
        <v>26</v>
      </c>
      <c r="E3036" s="2" t="n">
        <v>45413</v>
      </c>
      <c r="F3036" s="3" t="s">
        <v>20</v>
      </c>
      <c r="G3036" s="3" t="s">
        <v>89</v>
      </c>
      <c r="H3036" s="3" t="s">
        <v>44</v>
      </c>
      <c r="I3036" s="3" t="n">
        <f aca="false">YEAR(E3036)</f>
        <v>2024</v>
      </c>
      <c r="J3036" s="3" t="n">
        <f aca="false">MONTH(E3036)</f>
        <v>5</v>
      </c>
      <c r="K3036" s="3" t="n">
        <f aca="false">COUNTIFS($B$2:$B$4077,B3036,$C$2:$C$4077,C3036,$I$2:$I$4077,I3036)</f>
        <v>1</v>
      </c>
      <c r="L3036" s="3" t="n">
        <f aca="false">IF(COUNTIFS($B$2:B3036,B3036,$C$2:C3036,C3036,$I$2:I3036,I3036)=1,1,0)</f>
        <v>1</v>
      </c>
      <c r="M3036" s="3" t="n">
        <f aca="false">IF(K3036&gt;=Parametri!$B$1,1,0)</f>
        <v>0</v>
      </c>
      <c r="N3036" s="3" t="n">
        <f aca="false">L3036*M3036</f>
        <v>0</v>
      </c>
    </row>
    <row r="3037" customFormat="false" ht="15" hidden="false" customHeight="false" outlineLevel="0" collapsed="false">
      <c r="A3037" s="0" t="s">
        <v>4631</v>
      </c>
      <c r="B3037" s="0" t="s">
        <v>46</v>
      </c>
      <c r="C3037" s="0" t="s">
        <v>4632</v>
      </c>
      <c r="D3037" s="0" t="s">
        <v>26</v>
      </c>
      <c r="E3037" s="2" t="n">
        <v>46121</v>
      </c>
      <c r="F3037" s="3" t="s">
        <v>20</v>
      </c>
      <c r="G3037" s="3" t="s">
        <v>72</v>
      </c>
      <c r="H3037" s="3" t="s">
        <v>22</v>
      </c>
      <c r="I3037" s="3" t="n">
        <f aca="false">YEAR(E3037)</f>
        <v>2026</v>
      </c>
      <c r="J3037" s="3" t="n">
        <f aca="false">MONTH(E3037)</f>
        <v>4</v>
      </c>
      <c r="K3037" s="3" t="n">
        <f aca="false">COUNTIFS($B$2:$B$4077,B3037,$C$2:$C$4077,C3037,$I$2:$I$4077,I3037)</f>
        <v>1</v>
      </c>
      <c r="L3037" s="3" t="n">
        <f aca="false">IF(COUNTIFS($B$2:B3037,B3037,$C$2:C3037,C3037,$I$2:I3037,I3037)=1,1,0)</f>
        <v>1</v>
      </c>
      <c r="M3037" s="3" t="n">
        <f aca="false">IF(K3037&gt;=Parametri!$B$1,1,0)</f>
        <v>0</v>
      </c>
      <c r="N3037" s="3" t="n">
        <f aca="false">L3037*M3037</f>
        <v>0</v>
      </c>
    </row>
    <row r="3038" customFormat="false" ht="15" hidden="false" customHeight="false" outlineLevel="0" collapsed="false">
      <c r="A3038" s="0" t="s">
        <v>4633</v>
      </c>
      <c r="B3038" s="0" t="s">
        <v>46</v>
      </c>
      <c r="C3038" s="0" t="s">
        <v>4634</v>
      </c>
      <c r="D3038" s="0" t="s">
        <v>26</v>
      </c>
      <c r="E3038" s="2" t="n">
        <v>45772</v>
      </c>
      <c r="F3038" s="3" t="s">
        <v>20</v>
      </c>
      <c r="G3038" s="3" t="s">
        <v>28</v>
      </c>
      <c r="H3038" s="3" t="s">
        <v>48</v>
      </c>
      <c r="I3038" s="3" t="n">
        <f aca="false">YEAR(E3038)</f>
        <v>2025</v>
      </c>
      <c r="J3038" s="3" t="n">
        <f aca="false">MONTH(E3038)</f>
        <v>4</v>
      </c>
      <c r="K3038" s="3" t="n">
        <f aca="false">COUNTIFS($B$2:$B$4077,B3038,$C$2:$C$4077,C3038,$I$2:$I$4077,I3038)</f>
        <v>1</v>
      </c>
      <c r="L3038" s="3" t="n">
        <f aca="false">IF(COUNTIFS($B$2:B3038,B3038,$C$2:C3038,C3038,$I$2:I3038,I3038)=1,1,0)</f>
        <v>1</v>
      </c>
      <c r="M3038" s="3" t="n">
        <f aca="false">IF(K3038&gt;=Parametri!$B$1,1,0)</f>
        <v>0</v>
      </c>
      <c r="N3038" s="3" t="n">
        <f aca="false">L3038*M3038</f>
        <v>0</v>
      </c>
    </row>
    <row r="3039" customFormat="false" ht="15" hidden="false" customHeight="false" outlineLevel="0" collapsed="false">
      <c r="A3039" s="0" t="s">
        <v>4635</v>
      </c>
      <c r="B3039" s="0" t="s">
        <v>50</v>
      </c>
      <c r="C3039" s="0" t="s">
        <v>1158</v>
      </c>
      <c r="D3039" s="0" t="s">
        <v>63</v>
      </c>
      <c r="E3039" s="2" t="n">
        <v>45977</v>
      </c>
      <c r="F3039" s="3" t="s">
        <v>34</v>
      </c>
      <c r="G3039" s="3" t="s">
        <v>43</v>
      </c>
      <c r="H3039" s="3" t="s">
        <v>48</v>
      </c>
      <c r="I3039" s="3" t="n">
        <f aca="false">YEAR(E3039)</f>
        <v>2025</v>
      </c>
      <c r="J3039" s="3" t="n">
        <f aca="false">MONTH(E3039)</f>
        <v>11</v>
      </c>
      <c r="K3039" s="3" t="n">
        <f aca="false">COUNTIFS($B$2:$B$4077,B3039,$C$2:$C$4077,C3039,$I$2:$I$4077,I3039)</f>
        <v>1</v>
      </c>
      <c r="L3039" s="3" t="n">
        <f aca="false">IF(COUNTIFS($B$2:B3039,B3039,$C$2:C3039,C3039,$I$2:I3039,I3039)=1,1,0)</f>
        <v>1</v>
      </c>
      <c r="M3039" s="3" t="n">
        <f aca="false">IF(K3039&gt;=Parametri!$B$1,1,0)</f>
        <v>0</v>
      </c>
      <c r="N3039" s="3" t="n">
        <f aca="false">L3039*M3039</f>
        <v>0</v>
      </c>
    </row>
    <row r="3040" customFormat="false" ht="15" hidden="false" customHeight="false" outlineLevel="0" collapsed="false">
      <c r="A3040" s="0" t="s">
        <v>4636</v>
      </c>
      <c r="B3040" s="0" t="s">
        <v>68</v>
      </c>
      <c r="C3040" s="0" t="s">
        <v>4637</v>
      </c>
      <c r="D3040" s="0" t="s">
        <v>38</v>
      </c>
      <c r="E3040" s="2" t="n">
        <v>46196</v>
      </c>
      <c r="F3040" s="3" t="s">
        <v>20</v>
      </c>
      <c r="G3040" s="3" t="s">
        <v>55</v>
      </c>
      <c r="H3040" s="3" t="s">
        <v>29</v>
      </c>
      <c r="I3040" s="3" t="n">
        <f aca="false">YEAR(E3040)</f>
        <v>2026</v>
      </c>
      <c r="J3040" s="3" t="n">
        <f aca="false">MONTH(E3040)</f>
        <v>6</v>
      </c>
      <c r="K3040" s="3" t="n">
        <f aca="false">COUNTIFS($B$2:$B$4077,B3040,$C$2:$C$4077,C3040,$I$2:$I$4077,I3040)</f>
        <v>1</v>
      </c>
      <c r="L3040" s="3" t="n">
        <f aca="false">IF(COUNTIFS($B$2:B3040,B3040,$C$2:C3040,C3040,$I$2:I3040,I3040)=1,1,0)</f>
        <v>1</v>
      </c>
      <c r="M3040" s="3" t="n">
        <f aca="false">IF(K3040&gt;=Parametri!$B$1,1,0)</f>
        <v>0</v>
      </c>
      <c r="N3040" s="3" t="n">
        <f aca="false">L3040*M3040</f>
        <v>0</v>
      </c>
    </row>
    <row r="3041" customFormat="false" ht="15" hidden="false" customHeight="false" outlineLevel="0" collapsed="false">
      <c r="A3041" s="0" t="s">
        <v>4638</v>
      </c>
      <c r="B3041" s="0" t="s">
        <v>17</v>
      </c>
      <c r="C3041" s="0" t="s">
        <v>3341</v>
      </c>
      <c r="D3041" s="0" t="s">
        <v>63</v>
      </c>
      <c r="E3041" s="2" t="n">
        <v>46197</v>
      </c>
      <c r="F3041" s="3" t="s">
        <v>20</v>
      </c>
      <c r="G3041" s="3" t="s">
        <v>35</v>
      </c>
      <c r="H3041" s="3" t="s">
        <v>22</v>
      </c>
      <c r="I3041" s="3" t="n">
        <f aca="false">YEAR(E3041)</f>
        <v>2026</v>
      </c>
      <c r="J3041" s="3" t="n">
        <f aca="false">MONTH(E3041)</f>
        <v>6</v>
      </c>
      <c r="K3041" s="3" t="n">
        <f aca="false">COUNTIFS($B$2:$B$4077,B3041,$C$2:$C$4077,C3041,$I$2:$I$4077,I3041)</f>
        <v>1</v>
      </c>
      <c r="L3041" s="3" t="n">
        <f aca="false">IF(COUNTIFS($B$2:B3041,B3041,$C$2:C3041,C3041,$I$2:I3041,I3041)=1,1,0)</f>
        <v>1</v>
      </c>
      <c r="M3041" s="3" t="n">
        <f aca="false">IF(K3041&gt;=Parametri!$B$1,1,0)</f>
        <v>0</v>
      </c>
      <c r="N3041" s="3" t="n">
        <f aca="false">L3041*M3041</f>
        <v>0</v>
      </c>
    </row>
    <row r="3042" customFormat="false" ht="15" hidden="false" customHeight="false" outlineLevel="0" collapsed="false">
      <c r="A3042" s="0" t="s">
        <v>4639</v>
      </c>
      <c r="B3042" s="0" t="s">
        <v>46</v>
      </c>
      <c r="C3042" s="0" t="s">
        <v>4623</v>
      </c>
      <c r="D3042" s="0" t="s">
        <v>38</v>
      </c>
      <c r="E3042" s="2" t="n">
        <v>45901</v>
      </c>
      <c r="F3042" s="3" t="s">
        <v>34</v>
      </c>
      <c r="G3042" s="3" t="s">
        <v>21</v>
      </c>
      <c r="H3042" s="3" t="s">
        <v>29</v>
      </c>
      <c r="I3042" s="3" t="n">
        <f aca="false">YEAR(E3042)</f>
        <v>2025</v>
      </c>
      <c r="J3042" s="3" t="n">
        <f aca="false">MONTH(E3042)</f>
        <v>9</v>
      </c>
      <c r="K3042" s="3" t="n">
        <f aca="false">COUNTIFS($B$2:$B$4077,B3042,$C$2:$C$4077,C3042,$I$2:$I$4077,I3042)</f>
        <v>2</v>
      </c>
      <c r="L3042" s="3" t="n">
        <f aca="false">IF(COUNTIFS($B$2:B3042,B3042,$C$2:C3042,C3042,$I$2:I3042,I3042)=1,1,0)</f>
        <v>0</v>
      </c>
      <c r="M3042" s="3" t="n">
        <f aca="false">IF(K3042&gt;=Parametri!$B$1,1,0)</f>
        <v>1</v>
      </c>
      <c r="N3042" s="3" t="n">
        <f aca="false">L3042*M3042</f>
        <v>0</v>
      </c>
    </row>
    <row r="3043" customFormat="false" ht="15" hidden="false" customHeight="false" outlineLevel="0" collapsed="false">
      <c r="A3043" s="0" t="s">
        <v>4640</v>
      </c>
      <c r="B3043" s="0" t="s">
        <v>79</v>
      </c>
      <c r="C3043" s="0" t="s">
        <v>2197</v>
      </c>
      <c r="D3043" s="0" t="s">
        <v>63</v>
      </c>
      <c r="E3043" s="2" t="n">
        <v>45414</v>
      </c>
      <c r="F3043" s="3" t="s">
        <v>27</v>
      </c>
      <c r="G3043" s="3" t="s">
        <v>72</v>
      </c>
      <c r="H3043" s="3" t="s">
        <v>48</v>
      </c>
      <c r="I3043" s="3" t="n">
        <f aca="false">YEAR(E3043)</f>
        <v>2024</v>
      </c>
      <c r="J3043" s="3" t="n">
        <f aca="false">MONTH(E3043)</f>
        <v>5</v>
      </c>
      <c r="K3043" s="3" t="n">
        <f aca="false">COUNTIFS($B$2:$B$4077,B3043,$C$2:$C$4077,C3043,$I$2:$I$4077,I3043)</f>
        <v>2</v>
      </c>
      <c r="L3043" s="3" t="n">
        <f aca="false">IF(COUNTIFS($B$2:B3043,B3043,$C$2:C3043,C3043,$I$2:I3043,I3043)=1,1,0)</f>
        <v>0</v>
      </c>
      <c r="M3043" s="3" t="n">
        <f aca="false">IF(K3043&gt;=Parametri!$B$1,1,0)</f>
        <v>1</v>
      </c>
      <c r="N3043" s="3" t="n">
        <f aca="false">L3043*M3043</f>
        <v>0</v>
      </c>
    </row>
    <row r="3044" customFormat="false" ht="15" hidden="false" customHeight="false" outlineLevel="0" collapsed="false">
      <c r="A3044" s="0" t="s">
        <v>4641</v>
      </c>
      <c r="B3044" s="0" t="s">
        <v>68</v>
      </c>
      <c r="C3044" s="0" t="s">
        <v>4642</v>
      </c>
      <c r="D3044" s="0" t="s">
        <v>63</v>
      </c>
      <c r="E3044" s="2" t="n">
        <v>45685</v>
      </c>
      <c r="F3044" s="3" t="s">
        <v>20</v>
      </c>
      <c r="G3044" s="3" t="s">
        <v>28</v>
      </c>
      <c r="H3044" s="3" t="s">
        <v>48</v>
      </c>
      <c r="I3044" s="3" t="n">
        <f aca="false">YEAR(E3044)</f>
        <v>2025</v>
      </c>
      <c r="J3044" s="3" t="n">
        <f aca="false">MONTH(E3044)</f>
        <v>1</v>
      </c>
      <c r="K3044" s="3" t="n">
        <f aca="false">COUNTIFS($B$2:$B$4077,B3044,$C$2:$C$4077,C3044,$I$2:$I$4077,I3044)</f>
        <v>1</v>
      </c>
      <c r="L3044" s="3" t="n">
        <f aca="false">IF(COUNTIFS($B$2:B3044,B3044,$C$2:C3044,C3044,$I$2:I3044,I3044)=1,1,0)</f>
        <v>1</v>
      </c>
      <c r="M3044" s="3" t="n">
        <f aca="false">IF(K3044&gt;=Parametri!$B$1,1,0)</f>
        <v>0</v>
      </c>
      <c r="N3044" s="3" t="n">
        <f aca="false">L3044*M3044</f>
        <v>0</v>
      </c>
    </row>
    <row r="3045" customFormat="false" ht="15" hidden="false" customHeight="false" outlineLevel="0" collapsed="false">
      <c r="A3045" s="0" t="s">
        <v>4643</v>
      </c>
      <c r="B3045" s="0" t="s">
        <v>79</v>
      </c>
      <c r="C3045" s="0" t="s">
        <v>1789</v>
      </c>
      <c r="D3045" s="0" t="s">
        <v>38</v>
      </c>
      <c r="E3045" s="2" t="n">
        <v>45371</v>
      </c>
      <c r="F3045" s="3" t="s">
        <v>27</v>
      </c>
      <c r="G3045" s="3" t="s">
        <v>43</v>
      </c>
      <c r="H3045" s="3" t="s">
        <v>22</v>
      </c>
      <c r="I3045" s="3" t="n">
        <f aca="false">YEAR(E3045)</f>
        <v>2024</v>
      </c>
      <c r="J3045" s="3" t="n">
        <f aca="false">MONTH(E3045)</f>
        <v>3</v>
      </c>
      <c r="K3045" s="3" t="n">
        <f aca="false">COUNTIFS($B$2:$B$4077,B3045,$C$2:$C$4077,C3045,$I$2:$I$4077,I3045)</f>
        <v>2</v>
      </c>
      <c r="L3045" s="3" t="n">
        <f aca="false">IF(COUNTIFS($B$2:B3045,B3045,$C$2:C3045,C3045,$I$2:I3045,I3045)=1,1,0)</f>
        <v>0</v>
      </c>
      <c r="M3045" s="3" t="n">
        <f aca="false">IF(K3045&gt;=Parametri!$B$1,1,0)</f>
        <v>1</v>
      </c>
      <c r="N3045" s="3" t="n">
        <f aca="false">L3045*M3045</f>
        <v>0</v>
      </c>
    </row>
    <row r="3046" customFormat="false" ht="15" hidden="false" customHeight="false" outlineLevel="0" collapsed="false">
      <c r="A3046" s="0" t="s">
        <v>4644</v>
      </c>
      <c r="B3046" s="0" t="s">
        <v>68</v>
      </c>
      <c r="C3046" s="0" t="s">
        <v>2184</v>
      </c>
      <c r="D3046" s="0" t="s">
        <v>26</v>
      </c>
      <c r="E3046" s="2" t="n">
        <v>45948</v>
      </c>
      <c r="F3046" s="3" t="s">
        <v>20</v>
      </c>
      <c r="G3046" s="3" t="s">
        <v>72</v>
      </c>
      <c r="H3046" s="3" t="s">
        <v>48</v>
      </c>
      <c r="I3046" s="3" t="n">
        <f aca="false">YEAR(E3046)</f>
        <v>2025</v>
      </c>
      <c r="J3046" s="3" t="n">
        <f aca="false">MONTH(E3046)</f>
        <v>10</v>
      </c>
      <c r="K3046" s="3" t="n">
        <f aca="false">COUNTIFS($B$2:$B$4077,B3046,$C$2:$C$4077,C3046,$I$2:$I$4077,I3046)</f>
        <v>2</v>
      </c>
      <c r="L3046" s="3" t="n">
        <f aca="false">IF(COUNTIFS($B$2:B3046,B3046,$C$2:C3046,C3046,$I$2:I3046,I3046)=1,1,0)</f>
        <v>1</v>
      </c>
      <c r="M3046" s="3" t="n">
        <f aca="false">IF(K3046&gt;=Parametri!$B$1,1,0)</f>
        <v>1</v>
      </c>
      <c r="N3046" s="3" t="n">
        <f aca="false">L3046*M3046</f>
        <v>1</v>
      </c>
    </row>
    <row r="3047" customFormat="false" ht="15" hidden="false" customHeight="false" outlineLevel="0" collapsed="false">
      <c r="A3047" s="0" t="s">
        <v>4645</v>
      </c>
      <c r="B3047" s="0" t="s">
        <v>17</v>
      </c>
      <c r="C3047" s="0" t="s">
        <v>231</v>
      </c>
      <c r="D3047" s="0" t="s">
        <v>54</v>
      </c>
      <c r="E3047" s="2" t="n">
        <v>45876</v>
      </c>
      <c r="F3047" s="3" t="s">
        <v>20</v>
      </c>
      <c r="G3047" s="3" t="s">
        <v>39</v>
      </c>
      <c r="H3047" s="3" t="s">
        <v>48</v>
      </c>
      <c r="I3047" s="3" t="n">
        <f aca="false">YEAR(E3047)</f>
        <v>2025</v>
      </c>
      <c r="J3047" s="3" t="n">
        <f aca="false">MONTH(E3047)</f>
        <v>8</v>
      </c>
      <c r="K3047" s="3" t="n">
        <f aca="false">COUNTIFS($B$2:$B$4077,B3047,$C$2:$C$4077,C3047,$I$2:$I$4077,I3047)</f>
        <v>6</v>
      </c>
      <c r="L3047" s="3" t="n">
        <f aca="false">IF(COUNTIFS($B$2:B3047,B3047,$C$2:C3047,C3047,$I$2:I3047,I3047)=1,1,0)</f>
        <v>0</v>
      </c>
      <c r="M3047" s="3" t="n">
        <f aca="false">IF(K3047&gt;=Parametri!$B$1,1,0)</f>
        <v>1</v>
      </c>
      <c r="N3047" s="3" t="n">
        <f aca="false">L3047*M3047</f>
        <v>0</v>
      </c>
    </row>
    <row r="3048" customFormat="false" ht="15" hidden="false" customHeight="false" outlineLevel="0" collapsed="false">
      <c r="A3048" s="0" t="s">
        <v>4646</v>
      </c>
      <c r="B3048" s="0" t="s">
        <v>50</v>
      </c>
      <c r="C3048" s="0" t="s">
        <v>3636</v>
      </c>
      <c r="D3048" s="0" t="s">
        <v>63</v>
      </c>
      <c r="E3048" s="2" t="n">
        <v>45379</v>
      </c>
      <c r="F3048" s="3" t="s">
        <v>20</v>
      </c>
      <c r="G3048" s="3" t="s">
        <v>21</v>
      </c>
      <c r="H3048" s="3" t="s">
        <v>48</v>
      </c>
      <c r="I3048" s="3" t="n">
        <f aca="false">YEAR(E3048)</f>
        <v>2024</v>
      </c>
      <c r="J3048" s="3" t="n">
        <f aca="false">MONTH(E3048)</f>
        <v>3</v>
      </c>
      <c r="K3048" s="3" t="n">
        <f aca="false">COUNTIFS($B$2:$B$4077,B3048,$C$2:$C$4077,C3048,$I$2:$I$4077,I3048)</f>
        <v>1</v>
      </c>
      <c r="L3048" s="3" t="n">
        <f aca="false">IF(COUNTIFS($B$2:B3048,B3048,$C$2:C3048,C3048,$I$2:I3048,I3048)=1,1,0)</f>
        <v>1</v>
      </c>
      <c r="M3048" s="3" t="n">
        <f aca="false">IF(K3048&gt;=Parametri!$B$1,1,0)</f>
        <v>0</v>
      </c>
      <c r="N3048" s="3" t="n">
        <f aca="false">L3048*M3048</f>
        <v>0</v>
      </c>
    </row>
    <row r="3049" customFormat="false" ht="15" hidden="false" customHeight="false" outlineLevel="0" collapsed="false">
      <c r="A3049" s="0" t="s">
        <v>4647</v>
      </c>
      <c r="B3049" s="0" t="s">
        <v>24</v>
      </c>
      <c r="C3049" s="0" t="s">
        <v>4648</v>
      </c>
      <c r="D3049" s="0" t="s">
        <v>66</v>
      </c>
      <c r="E3049" s="2" t="n">
        <v>45901</v>
      </c>
      <c r="F3049" s="3" t="s">
        <v>34</v>
      </c>
      <c r="G3049" s="3" t="s">
        <v>89</v>
      </c>
      <c r="H3049" s="3" t="s">
        <v>22</v>
      </c>
      <c r="I3049" s="3" t="n">
        <f aca="false">YEAR(E3049)</f>
        <v>2025</v>
      </c>
      <c r="J3049" s="3" t="n">
        <f aca="false">MONTH(E3049)</f>
        <v>9</v>
      </c>
      <c r="K3049" s="3" t="n">
        <f aca="false">COUNTIFS($B$2:$B$4077,B3049,$C$2:$C$4077,C3049,$I$2:$I$4077,I3049)</f>
        <v>1</v>
      </c>
      <c r="L3049" s="3" t="n">
        <f aca="false">IF(COUNTIFS($B$2:B3049,B3049,$C$2:C3049,C3049,$I$2:I3049,I3049)=1,1,0)</f>
        <v>1</v>
      </c>
      <c r="M3049" s="3" t="n">
        <f aca="false">IF(K3049&gt;=Parametri!$B$1,1,0)</f>
        <v>0</v>
      </c>
      <c r="N3049" s="3" t="n">
        <f aca="false">L3049*M3049</f>
        <v>0</v>
      </c>
    </row>
    <row r="3050" customFormat="false" ht="15" hidden="false" customHeight="false" outlineLevel="0" collapsed="false">
      <c r="A3050" s="0" t="s">
        <v>4649</v>
      </c>
      <c r="B3050" s="0" t="s">
        <v>50</v>
      </c>
      <c r="C3050" s="0" t="s">
        <v>319</v>
      </c>
      <c r="D3050" s="0" t="s">
        <v>33</v>
      </c>
      <c r="E3050" s="2" t="n">
        <v>45751</v>
      </c>
      <c r="F3050" s="3" t="s">
        <v>34</v>
      </c>
      <c r="G3050" s="3" t="s">
        <v>43</v>
      </c>
      <c r="H3050" s="3" t="s">
        <v>44</v>
      </c>
      <c r="I3050" s="3" t="n">
        <f aca="false">YEAR(E3050)</f>
        <v>2025</v>
      </c>
      <c r="J3050" s="3" t="n">
        <f aca="false">MONTH(E3050)</f>
        <v>4</v>
      </c>
      <c r="K3050" s="3" t="n">
        <f aca="false">COUNTIFS($B$2:$B$4077,B3050,$C$2:$C$4077,C3050,$I$2:$I$4077,I3050)</f>
        <v>1</v>
      </c>
      <c r="L3050" s="3" t="n">
        <f aca="false">IF(COUNTIFS($B$2:B3050,B3050,$C$2:C3050,C3050,$I$2:I3050,I3050)=1,1,0)</f>
        <v>1</v>
      </c>
      <c r="M3050" s="3" t="n">
        <f aca="false">IF(K3050&gt;=Parametri!$B$1,1,0)</f>
        <v>0</v>
      </c>
      <c r="N3050" s="3" t="n">
        <f aca="false">L3050*M3050</f>
        <v>0</v>
      </c>
    </row>
    <row r="3051" customFormat="false" ht="15" hidden="false" customHeight="false" outlineLevel="0" collapsed="false">
      <c r="A3051" s="0" t="s">
        <v>4650</v>
      </c>
      <c r="B3051" s="0" t="s">
        <v>41</v>
      </c>
      <c r="C3051" s="0" t="s">
        <v>1370</v>
      </c>
      <c r="D3051" s="0" t="s">
        <v>54</v>
      </c>
      <c r="E3051" s="2" t="n">
        <v>45826</v>
      </c>
      <c r="F3051" s="3" t="s">
        <v>27</v>
      </c>
      <c r="G3051" s="3" t="s">
        <v>21</v>
      </c>
      <c r="H3051" s="3" t="s">
        <v>22</v>
      </c>
      <c r="I3051" s="3" t="n">
        <f aca="false">YEAR(E3051)</f>
        <v>2025</v>
      </c>
      <c r="J3051" s="3" t="n">
        <f aca="false">MONTH(E3051)</f>
        <v>6</v>
      </c>
      <c r="K3051" s="3" t="n">
        <f aca="false">COUNTIFS($B$2:$B$4077,B3051,$C$2:$C$4077,C3051,$I$2:$I$4077,I3051)</f>
        <v>1</v>
      </c>
      <c r="L3051" s="3" t="n">
        <f aca="false">IF(COUNTIFS($B$2:B3051,B3051,$C$2:C3051,C3051,$I$2:I3051,I3051)=1,1,0)</f>
        <v>1</v>
      </c>
      <c r="M3051" s="3" t="n">
        <f aca="false">IF(K3051&gt;=Parametri!$B$1,1,0)</f>
        <v>0</v>
      </c>
      <c r="N3051" s="3" t="n">
        <f aca="false">L3051*M3051</f>
        <v>0</v>
      </c>
    </row>
    <row r="3052" customFormat="false" ht="15" hidden="false" customHeight="false" outlineLevel="0" collapsed="false">
      <c r="A3052" s="0" t="s">
        <v>4651</v>
      </c>
      <c r="B3052" s="0" t="s">
        <v>17</v>
      </c>
      <c r="C3052" s="0" t="s">
        <v>4652</v>
      </c>
      <c r="D3052" s="0" t="s">
        <v>66</v>
      </c>
      <c r="E3052" s="2" t="n">
        <v>46004</v>
      </c>
      <c r="F3052" s="3" t="s">
        <v>34</v>
      </c>
      <c r="G3052" s="3" t="s">
        <v>21</v>
      </c>
      <c r="H3052" s="3" t="s">
        <v>44</v>
      </c>
      <c r="I3052" s="3" t="n">
        <f aca="false">YEAR(E3052)</f>
        <v>2025</v>
      </c>
      <c r="J3052" s="3" t="n">
        <f aca="false">MONTH(E3052)</f>
        <v>12</v>
      </c>
      <c r="K3052" s="3" t="n">
        <f aca="false">COUNTIFS($B$2:$B$4077,B3052,$C$2:$C$4077,C3052,$I$2:$I$4077,I3052)</f>
        <v>1</v>
      </c>
      <c r="L3052" s="3" t="n">
        <f aca="false">IF(COUNTIFS($B$2:B3052,B3052,$C$2:C3052,C3052,$I$2:I3052,I3052)=1,1,0)</f>
        <v>1</v>
      </c>
      <c r="M3052" s="3" t="n">
        <f aca="false">IF(K3052&gt;=Parametri!$B$1,1,0)</f>
        <v>0</v>
      </c>
      <c r="N3052" s="3" t="n">
        <f aca="false">L3052*M3052</f>
        <v>0</v>
      </c>
    </row>
    <row r="3053" customFormat="false" ht="15" hidden="false" customHeight="false" outlineLevel="0" collapsed="false">
      <c r="A3053" s="0" t="s">
        <v>4653</v>
      </c>
      <c r="B3053" s="0" t="s">
        <v>50</v>
      </c>
      <c r="C3053" s="0" t="s">
        <v>4654</v>
      </c>
      <c r="D3053" s="0" t="s">
        <v>26</v>
      </c>
      <c r="E3053" s="2" t="n">
        <v>45296</v>
      </c>
      <c r="F3053" s="3" t="s">
        <v>20</v>
      </c>
      <c r="G3053" s="3" t="s">
        <v>43</v>
      </c>
      <c r="H3053" s="3" t="s">
        <v>29</v>
      </c>
      <c r="I3053" s="3" t="n">
        <f aca="false">YEAR(E3053)</f>
        <v>2024</v>
      </c>
      <c r="J3053" s="3" t="n">
        <f aca="false">MONTH(E3053)</f>
        <v>1</v>
      </c>
      <c r="K3053" s="3" t="n">
        <f aca="false">COUNTIFS($B$2:$B$4077,B3053,$C$2:$C$4077,C3053,$I$2:$I$4077,I3053)</f>
        <v>1</v>
      </c>
      <c r="L3053" s="3" t="n">
        <f aca="false">IF(COUNTIFS($B$2:B3053,B3053,$C$2:C3053,C3053,$I$2:I3053,I3053)=1,1,0)</f>
        <v>1</v>
      </c>
      <c r="M3053" s="3" t="n">
        <f aca="false">IF(K3053&gt;=Parametri!$B$1,1,0)</f>
        <v>0</v>
      </c>
      <c r="N3053" s="3" t="n">
        <f aca="false">L3053*M3053</f>
        <v>0</v>
      </c>
    </row>
    <row r="3054" customFormat="false" ht="15" hidden="false" customHeight="false" outlineLevel="0" collapsed="false">
      <c r="A3054" s="0" t="s">
        <v>4655</v>
      </c>
      <c r="B3054" s="0" t="s">
        <v>31</v>
      </c>
      <c r="C3054" s="0" t="s">
        <v>1604</v>
      </c>
      <c r="D3054" s="0" t="s">
        <v>33</v>
      </c>
      <c r="E3054" s="2" t="n">
        <v>45425</v>
      </c>
      <c r="F3054" s="3" t="s">
        <v>34</v>
      </c>
      <c r="G3054" s="3" t="s">
        <v>43</v>
      </c>
      <c r="H3054" s="3" t="s">
        <v>44</v>
      </c>
      <c r="I3054" s="3" t="n">
        <f aca="false">YEAR(E3054)</f>
        <v>2024</v>
      </c>
      <c r="J3054" s="3" t="n">
        <f aca="false">MONTH(E3054)</f>
        <v>5</v>
      </c>
      <c r="K3054" s="3" t="n">
        <f aca="false">COUNTIFS($B$2:$B$4077,B3054,$C$2:$C$4077,C3054,$I$2:$I$4077,I3054)</f>
        <v>1</v>
      </c>
      <c r="L3054" s="3" t="n">
        <f aca="false">IF(COUNTIFS($B$2:B3054,B3054,$C$2:C3054,C3054,$I$2:I3054,I3054)=1,1,0)</f>
        <v>1</v>
      </c>
      <c r="M3054" s="3" t="n">
        <f aca="false">IF(K3054&gt;=Parametri!$B$1,1,0)</f>
        <v>0</v>
      </c>
      <c r="N3054" s="3" t="n">
        <f aca="false">L3054*M3054</f>
        <v>0</v>
      </c>
    </row>
    <row r="3055" customFormat="false" ht="15" hidden="false" customHeight="false" outlineLevel="0" collapsed="false">
      <c r="A3055" s="0" t="s">
        <v>4656</v>
      </c>
      <c r="B3055" s="0" t="s">
        <v>17</v>
      </c>
      <c r="C3055" s="0" t="s">
        <v>3064</v>
      </c>
      <c r="D3055" s="0" t="s">
        <v>26</v>
      </c>
      <c r="E3055" s="2" t="n">
        <v>45537</v>
      </c>
      <c r="F3055" s="3" t="s">
        <v>20</v>
      </c>
      <c r="G3055" s="3" t="s">
        <v>43</v>
      </c>
      <c r="H3055" s="3" t="s">
        <v>22</v>
      </c>
      <c r="I3055" s="3" t="n">
        <f aca="false">YEAR(E3055)</f>
        <v>2024</v>
      </c>
      <c r="J3055" s="3" t="n">
        <f aca="false">MONTH(E3055)</f>
        <v>9</v>
      </c>
      <c r="K3055" s="3" t="n">
        <f aca="false">COUNTIFS($B$2:$B$4077,B3055,$C$2:$C$4077,C3055,$I$2:$I$4077,I3055)</f>
        <v>2</v>
      </c>
      <c r="L3055" s="3" t="n">
        <f aca="false">IF(COUNTIFS($B$2:B3055,B3055,$C$2:C3055,C3055,$I$2:I3055,I3055)=1,1,0)</f>
        <v>0</v>
      </c>
      <c r="M3055" s="3" t="n">
        <f aca="false">IF(K3055&gt;=Parametri!$B$1,1,0)</f>
        <v>1</v>
      </c>
      <c r="N3055" s="3" t="n">
        <f aca="false">L3055*M3055</f>
        <v>0</v>
      </c>
    </row>
    <row r="3056" customFormat="false" ht="15" hidden="false" customHeight="false" outlineLevel="0" collapsed="false">
      <c r="A3056" s="0" t="s">
        <v>4657</v>
      </c>
      <c r="B3056" s="0" t="s">
        <v>46</v>
      </c>
      <c r="C3056" s="0" t="s">
        <v>1255</v>
      </c>
      <c r="D3056" s="0" t="s">
        <v>66</v>
      </c>
      <c r="E3056" s="2" t="n">
        <v>46128</v>
      </c>
      <c r="F3056" s="3" t="s">
        <v>20</v>
      </c>
      <c r="G3056" s="3" t="s">
        <v>28</v>
      </c>
      <c r="H3056" s="3" t="s">
        <v>48</v>
      </c>
      <c r="I3056" s="3" t="n">
        <f aca="false">YEAR(E3056)</f>
        <v>2026</v>
      </c>
      <c r="J3056" s="3" t="n">
        <f aca="false">MONTH(E3056)</f>
        <v>4</v>
      </c>
      <c r="K3056" s="3" t="n">
        <f aca="false">COUNTIFS($B$2:$B$4077,B3056,$C$2:$C$4077,C3056,$I$2:$I$4077,I3056)</f>
        <v>1</v>
      </c>
      <c r="L3056" s="3" t="n">
        <f aca="false">IF(COUNTIFS($B$2:B3056,B3056,$C$2:C3056,C3056,$I$2:I3056,I3056)=1,1,0)</f>
        <v>1</v>
      </c>
      <c r="M3056" s="3" t="n">
        <f aca="false">IF(K3056&gt;=Parametri!$B$1,1,0)</f>
        <v>0</v>
      </c>
      <c r="N3056" s="3" t="n">
        <f aca="false">L3056*M3056</f>
        <v>0</v>
      </c>
    </row>
    <row r="3057" customFormat="false" ht="15" hidden="false" customHeight="false" outlineLevel="0" collapsed="false">
      <c r="A3057" s="0" t="s">
        <v>4658</v>
      </c>
      <c r="B3057" s="0" t="s">
        <v>46</v>
      </c>
      <c r="C3057" s="0" t="s">
        <v>4659</v>
      </c>
      <c r="D3057" s="0" t="s">
        <v>66</v>
      </c>
      <c r="E3057" s="2" t="n">
        <v>45727</v>
      </c>
      <c r="F3057" s="3" t="s">
        <v>104</v>
      </c>
      <c r="G3057" s="3" t="s">
        <v>104</v>
      </c>
      <c r="H3057" s="3" t="s">
        <v>104</v>
      </c>
      <c r="I3057" s="3" t="n">
        <f aca="false">YEAR(E3057)</f>
        <v>2025</v>
      </c>
      <c r="J3057" s="3" t="n">
        <f aca="false">MONTH(E3057)</f>
        <v>3</v>
      </c>
      <c r="K3057" s="3" t="n">
        <f aca="false">COUNTIFS($B$2:$B$4077,B3057,$C$2:$C$4077,C3057,$I$2:$I$4077,I3057)</f>
        <v>1</v>
      </c>
      <c r="L3057" s="3" t="n">
        <f aca="false">IF(COUNTIFS($B$2:B3057,B3057,$C$2:C3057,C3057,$I$2:I3057,I3057)=1,1,0)</f>
        <v>1</v>
      </c>
      <c r="M3057" s="3" t="n">
        <f aca="false">IF(K3057&gt;=Parametri!$B$1,1,0)</f>
        <v>0</v>
      </c>
      <c r="N3057" s="3" t="n">
        <f aca="false">L3057*M3057</f>
        <v>0</v>
      </c>
    </row>
    <row r="3058" customFormat="false" ht="15" hidden="false" customHeight="false" outlineLevel="0" collapsed="false">
      <c r="A3058" s="0" t="s">
        <v>4660</v>
      </c>
      <c r="B3058" s="0" t="s">
        <v>57</v>
      </c>
      <c r="C3058" s="0" t="s">
        <v>210</v>
      </c>
      <c r="D3058" s="0" t="s">
        <v>26</v>
      </c>
      <c r="E3058" s="2" t="n">
        <v>45477</v>
      </c>
      <c r="F3058" s="3" t="s">
        <v>27</v>
      </c>
      <c r="G3058" s="3" t="s">
        <v>72</v>
      </c>
      <c r="H3058" s="3" t="s">
        <v>29</v>
      </c>
      <c r="I3058" s="3" t="n">
        <f aca="false">YEAR(E3058)</f>
        <v>2024</v>
      </c>
      <c r="J3058" s="3" t="n">
        <f aca="false">MONTH(E3058)</f>
        <v>7</v>
      </c>
      <c r="K3058" s="3" t="n">
        <f aca="false">COUNTIFS($B$2:$B$4077,B3058,$C$2:$C$4077,C3058,$I$2:$I$4077,I3058)</f>
        <v>5</v>
      </c>
      <c r="L3058" s="3" t="n">
        <f aca="false">IF(COUNTIFS($B$2:B3058,B3058,$C$2:C3058,C3058,$I$2:I3058,I3058)=1,1,0)</f>
        <v>0</v>
      </c>
      <c r="M3058" s="3" t="n">
        <f aca="false">IF(K3058&gt;=Parametri!$B$1,1,0)</f>
        <v>1</v>
      </c>
      <c r="N3058" s="3" t="n">
        <f aca="false">L3058*M3058</f>
        <v>0</v>
      </c>
    </row>
    <row r="3059" customFormat="false" ht="15" hidden="false" customHeight="false" outlineLevel="0" collapsed="false">
      <c r="A3059" s="0" t="s">
        <v>4661</v>
      </c>
      <c r="B3059" s="0" t="s">
        <v>124</v>
      </c>
      <c r="C3059" s="0" t="s">
        <v>1156</v>
      </c>
      <c r="D3059" s="0" t="s">
        <v>26</v>
      </c>
      <c r="E3059" s="2" t="n">
        <v>45953</v>
      </c>
      <c r="F3059" s="3" t="s">
        <v>34</v>
      </c>
      <c r="G3059" s="3" t="s">
        <v>35</v>
      </c>
      <c r="H3059" s="3" t="s">
        <v>22</v>
      </c>
      <c r="I3059" s="3" t="n">
        <f aca="false">YEAR(E3059)</f>
        <v>2025</v>
      </c>
      <c r="J3059" s="3" t="n">
        <f aca="false">MONTH(E3059)</f>
        <v>10</v>
      </c>
      <c r="K3059" s="3" t="n">
        <f aca="false">COUNTIFS($B$2:$B$4077,B3059,$C$2:$C$4077,C3059,$I$2:$I$4077,I3059)</f>
        <v>1</v>
      </c>
      <c r="L3059" s="3" t="n">
        <f aca="false">IF(COUNTIFS($B$2:B3059,B3059,$C$2:C3059,C3059,$I$2:I3059,I3059)=1,1,0)</f>
        <v>1</v>
      </c>
      <c r="M3059" s="3" t="n">
        <f aca="false">IF(K3059&gt;=Parametri!$B$1,1,0)</f>
        <v>0</v>
      </c>
      <c r="N3059" s="3" t="n">
        <f aca="false">L3059*M3059</f>
        <v>0</v>
      </c>
    </row>
    <row r="3060" customFormat="false" ht="15" hidden="false" customHeight="false" outlineLevel="0" collapsed="false">
      <c r="A3060" s="0" t="s">
        <v>4662</v>
      </c>
      <c r="B3060" s="0" t="s">
        <v>41</v>
      </c>
      <c r="C3060" s="0" t="s">
        <v>602</v>
      </c>
      <c r="D3060" s="0" t="s">
        <v>33</v>
      </c>
      <c r="E3060" s="2" t="n">
        <v>45895</v>
      </c>
      <c r="F3060" s="3" t="s">
        <v>20</v>
      </c>
      <c r="G3060" s="3" t="s">
        <v>55</v>
      </c>
      <c r="H3060" s="3" t="s">
        <v>22</v>
      </c>
      <c r="I3060" s="3" t="n">
        <f aca="false">YEAR(E3060)</f>
        <v>2025</v>
      </c>
      <c r="J3060" s="3" t="n">
        <f aca="false">MONTH(E3060)</f>
        <v>8</v>
      </c>
      <c r="K3060" s="3" t="n">
        <f aca="false">COUNTIFS($B$2:$B$4077,B3060,$C$2:$C$4077,C3060,$I$2:$I$4077,I3060)</f>
        <v>2</v>
      </c>
      <c r="L3060" s="3" t="n">
        <f aca="false">IF(COUNTIFS($B$2:B3060,B3060,$C$2:C3060,C3060,$I$2:I3060,I3060)=1,1,0)</f>
        <v>0</v>
      </c>
      <c r="M3060" s="3" t="n">
        <f aca="false">IF(K3060&gt;=Parametri!$B$1,1,0)</f>
        <v>1</v>
      </c>
      <c r="N3060" s="3" t="n">
        <f aca="false">L3060*M3060</f>
        <v>0</v>
      </c>
    </row>
    <row r="3061" customFormat="false" ht="15" hidden="false" customHeight="false" outlineLevel="0" collapsed="false">
      <c r="A3061" s="0" t="s">
        <v>4663</v>
      </c>
      <c r="B3061" s="0" t="s">
        <v>46</v>
      </c>
      <c r="C3061" s="0" t="s">
        <v>1685</v>
      </c>
      <c r="D3061" s="0" t="s">
        <v>66</v>
      </c>
      <c r="E3061" s="2" t="n">
        <v>45304</v>
      </c>
      <c r="F3061" s="3" t="s">
        <v>20</v>
      </c>
      <c r="G3061" s="3" t="s">
        <v>35</v>
      </c>
      <c r="H3061" s="3" t="s">
        <v>44</v>
      </c>
      <c r="I3061" s="3" t="n">
        <f aca="false">YEAR(E3061)</f>
        <v>2024</v>
      </c>
      <c r="J3061" s="3" t="n">
        <f aca="false">MONTH(E3061)</f>
        <v>1</v>
      </c>
      <c r="K3061" s="3" t="n">
        <f aca="false">COUNTIFS($B$2:$B$4077,B3061,$C$2:$C$4077,C3061,$I$2:$I$4077,I3061)</f>
        <v>1</v>
      </c>
      <c r="L3061" s="3" t="n">
        <f aca="false">IF(COUNTIFS($B$2:B3061,B3061,$C$2:C3061,C3061,$I$2:I3061,I3061)=1,1,0)</f>
        <v>1</v>
      </c>
      <c r="M3061" s="3" t="n">
        <f aca="false">IF(K3061&gt;=Parametri!$B$1,1,0)</f>
        <v>0</v>
      </c>
      <c r="N3061" s="3" t="n">
        <f aca="false">L3061*M3061</f>
        <v>0</v>
      </c>
    </row>
    <row r="3062" customFormat="false" ht="15" hidden="false" customHeight="false" outlineLevel="0" collapsed="false">
      <c r="A3062" s="0" t="s">
        <v>4664</v>
      </c>
      <c r="B3062" s="0" t="s">
        <v>17</v>
      </c>
      <c r="C3062" s="0" t="s">
        <v>481</v>
      </c>
      <c r="D3062" s="0" t="s">
        <v>63</v>
      </c>
      <c r="E3062" s="2" t="n">
        <v>46003</v>
      </c>
      <c r="F3062" s="3" t="s">
        <v>20</v>
      </c>
      <c r="G3062" s="3" t="s">
        <v>21</v>
      </c>
      <c r="H3062" s="3" t="s">
        <v>22</v>
      </c>
      <c r="I3062" s="3" t="n">
        <f aca="false">YEAR(E3062)</f>
        <v>2025</v>
      </c>
      <c r="J3062" s="3" t="n">
        <f aca="false">MONTH(E3062)</f>
        <v>12</v>
      </c>
      <c r="K3062" s="3" t="n">
        <f aca="false">COUNTIFS($B$2:$B$4077,B3062,$C$2:$C$4077,C3062,$I$2:$I$4077,I3062)</f>
        <v>4</v>
      </c>
      <c r="L3062" s="3" t="n">
        <f aca="false">IF(COUNTIFS($B$2:B3062,B3062,$C$2:C3062,C3062,$I$2:I3062,I3062)=1,1,0)</f>
        <v>0</v>
      </c>
      <c r="M3062" s="3" t="n">
        <f aca="false">IF(K3062&gt;=Parametri!$B$1,1,0)</f>
        <v>1</v>
      </c>
      <c r="N3062" s="3" t="n">
        <f aca="false">L3062*M3062</f>
        <v>0</v>
      </c>
    </row>
    <row r="3063" customFormat="false" ht="15" hidden="false" customHeight="false" outlineLevel="0" collapsed="false">
      <c r="A3063" s="0" t="s">
        <v>4665</v>
      </c>
      <c r="B3063" s="0" t="s">
        <v>68</v>
      </c>
      <c r="C3063" s="0" t="s">
        <v>166</v>
      </c>
      <c r="D3063" s="0" t="s">
        <v>63</v>
      </c>
      <c r="E3063" s="2" t="n">
        <v>45872</v>
      </c>
      <c r="F3063" s="3" t="s">
        <v>27</v>
      </c>
      <c r="G3063" s="3" t="s">
        <v>43</v>
      </c>
      <c r="H3063" s="3" t="s">
        <v>22</v>
      </c>
      <c r="I3063" s="3" t="n">
        <f aca="false">YEAR(E3063)</f>
        <v>2025</v>
      </c>
      <c r="J3063" s="3" t="n">
        <f aca="false">MONTH(E3063)</f>
        <v>8</v>
      </c>
      <c r="K3063" s="3" t="n">
        <f aca="false">COUNTIFS($B$2:$B$4077,B3063,$C$2:$C$4077,C3063,$I$2:$I$4077,I3063)</f>
        <v>1</v>
      </c>
      <c r="L3063" s="3" t="n">
        <f aca="false">IF(COUNTIFS($B$2:B3063,B3063,$C$2:C3063,C3063,$I$2:I3063,I3063)=1,1,0)</f>
        <v>1</v>
      </c>
      <c r="M3063" s="3" t="n">
        <f aca="false">IF(K3063&gt;=Parametri!$B$1,1,0)</f>
        <v>0</v>
      </c>
      <c r="N3063" s="3" t="n">
        <f aca="false">L3063*M3063</f>
        <v>0</v>
      </c>
    </row>
    <row r="3064" customFormat="false" ht="15" hidden="false" customHeight="false" outlineLevel="0" collapsed="false">
      <c r="A3064" s="0" t="s">
        <v>4666</v>
      </c>
      <c r="B3064" s="0" t="s">
        <v>57</v>
      </c>
      <c r="C3064" s="0" t="s">
        <v>1247</v>
      </c>
      <c r="D3064" s="0" t="s">
        <v>38</v>
      </c>
      <c r="E3064" s="2" t="n">
        <v>45573</v>
      </c>
      <c r="F3064" s="3" t="s">
        <v>27</v>
      </c>
      <c r="G3064" s="3" t="s">
        <v>72</v>
      </c>
      <c r="H3064" s="3" t="s">
        <v>48</v>
      </c>
      <c r="I3064" s="3" t="n">
        <f aca="false">YEAR(E3064)</f>
        <v>2024</v>
      </c>
      <c r="J3064" s="3" t="n">
        <f aca="false">MONTH(E3064)</f>
        <v>10</v>
      </c>
      <c r="K3064" s="3" t="n">
        <f aca="false">COUNTIFS($B$2:$B$4077,B3064,$C$2:$C$4077,C3064,$I$2:$I$4077,I3064)</f>
        <v>3</v>
      </c>
      <c r="L3064" s="3" t="n">
        <f aca="false">IF(COUNTIFS($B$2:B3064,B3064,$C$2:C3064,C3064,$I$2:I3064,I3064)=1,1,0)</f>
        <v>0</v>
      </c>
      <c r="M3064" s="3" t="n">
        <f aca="false">IF(K3064&gt;=Parametri!$B$1,1,0)</f>
        <v>1</v>
      </c>
      <c r="N3064" s="3" t="n">
        <f aca="false">L3064*M3064</f>
        <v>0</v>
      </c>
    </row>
    <row r="3065" customFormat="false" ht="15" hidden="false" customHeight="false" outlineLevel="0" collapsed="false">
      <c r="A3065" s="0" t="s">
        <v>4667</v>
      </c>
      <c r="B3065" s="0" t="s">
        <v>46</v>
      </c>
      <c r="C3065" s="0" t="s">
        <v>4668</v>
      </c>
      <c r="D3065" s="0" t="s">
        <v>77</v>
      </c>
      <c r="E3065" s="2" t="n">
        <v>46175</v>
      </c>
      <c r="F3065" s="3" t="s">
        <v>27</v>
      </c>
      <c r="G3065" s="3" t="s">
        <v>43</v>
      </c>
      <c r="H3065" s="3" t="s">
        <v>44</v>
      </c>
      <c r="I3065" s="3" t="n">
        <f aca="false">YEAR(E3065)</f>
        <v>2026</v>
      </c>
      <c r="J3065" s="3" t="n">
        <f aca="false">MONTH(E3065)</f>
        <v>6</v>
      </c>
      <c r="K3065" s="3" t="n">
        <f aca="false">COUNTIFS($B$2:$B$4077,B3065,$C$2:$C$4077,C3065,$I$2:$I$4077,I3065)</f>
        <v>1</v>
      </c>
      <c r="L3065" s="3" t="n">
        <f aca="false">IF(COUNTIFS($B$2:B3065,B3065,$C$2:C3065,C3065,$I$2:I3065,I3065)=1,1,0)</f>
        <v>1</v>
      </c>
      <c r="M3065" s="3" t="n">
        <f aca="false">IF(K3065&gt;=Parametri!$B$1,1,0)</f>
        <v>0</v>
      </c>
      <c r="N3065" s="3" t="n">
        <f aca="false">L3065*M3065</f>
        <v>0</v>
      </c>
    </row>
    <row r="3066" customFormat="false" ht="15" hidden="false" customHeight="false" outlineLevel="0" collapsed="false">
      <c r="A3066" s="0" t="s">
        <v>4669</v>
      </c>
      <c r="B3066" s="0" t="s">
        <v>24</v>
      </c>
      <c r="C3066" s="0" t="s">
        <v>2758</v>
      </c>
      <c r="D3066" s="0" t="s">
        <v>38</v>
      </c>
      <c r="E3066" s="2" t="n">
        <v>45822</v>
      </c>
      <c r="F3066" s="3" t="s">
        <v>27</v>
      </c>
      <c r="G3066" s="3" t="s">
        <v>55</v>
      </c>
      <c r="H3066" s="3" t="s">
        <v>48</v>
      </c>
      <c r="I3066" s="3" t="n">
        <f aca="false">YEAR(E3066)</f>
        <v>2025</v>
      </c>
      <c r="J3066" s="3" t="n">
        <f aca="false">MONTH(E3066)</f>
        <v>6</v>
      </c>
      <c r="K3066" s="3" t="n">
        <f aca="false">COUNTIFS($B$2:$B$4077,B3066,$C$2:$C$4077,C3066,$I$2:$I$4077,I3066)</f>
        <v>2</v>
      </c>
      <c r="L3066" s="3" t="n">
        <f aca="false">IF(COUNTIFS($B$2:B3066,B3066,$C$2:C3066,C3066,$I$2:I3066,I3066)=1,1,0)</f>
        <v>0</v>
      </c>
      <c r="M3066" s="3" t="n">
        <f aca="false">IF(K3066&gt;=Parametri!$B$1,1,0)</f>
        <v>1</v>
      </c>
      <c r="N3066" s="3" t="n">
        <f aca="false">L3066*M3066</f>
        <v>0</v>
      </c>
    </row>
    <row r="3067" customFormat="false" ht="15" hidden="false" customHeight="false" outlineLevel="0" collapsed="false">
      <c r="A3067" s="0" t="s">
        <v>4670</v>
      </c>
      <c r="B3067" s="0" t="s">
        <v>41</v>
      </c>
      <c r="C3067" s="0" t="s">
        <v>1878</v>
      </c>
      <c r="D3067" s="0" t="s">
        <v>66</v>
      </c>
      <c r="E3067" s="2" t="n">
        <v>45739</v>
      </c>
      <c r="F3067" s="3" t="s">
        <v>27</v>
      </c>
      <c r="G3067" s="3" t="s">
        <v>28</v>
      </c>
      <c r="H3067" s="3" t="s">
        <v>29</v>
      </c>
      <c r="I3067" s="3" t="n">
        <f aca="false">YEAR(E3067)</f>
        <v>2025</v>
      </c>
      <c r="J3067" s="3" t="n">
        <f aca="false">MONTH(E3067)</f>
        <v>3</v>
      </c>
      <c r="K3067" s="3" t="n">
        <f aca="false">COUNTIFS($B$2:$B$4077,B3067,$C$2:$C$4077,C3067,$I$2:$I$4077,I3067)</f>
        <v>2</v>
      </c>
      <c r="L3067" s="3" t="n">
        <f aca="false">IF(COUNTIFS($B$2:B3067,B3067,$C$2:C3067,C3067,$I$2:I3067,I3067)=1,1,0)</f>
        <v>0</v>
      </c>
      <c r="M3067" s="3" t="n">
        <f aca="false">IF(K3067&gt;=Parametri!$B$1,1,0)</f>
        <v>1</v>
      </c>
      <c r="N3067" s="3" t="n">
        <f aca="false">L3067*M3067</f>
        <v>0</v>
      </c>
    </row>
    <row r="3068" customFormat="false" ht="15" hidden="false" customHeight="false" outlineLevel="0" collapsed="false">
      <c r="A3068" s="0" t="s">
        <v>4671</v>
      </c>
      <c r="B3068" s="0" t="s">
        <v>79</v>
      </c>
      <c r="C3068" s="0" t="s">
        <v>1144</v>
      </c>
      <c r="D3068" s="0" t="s">
        <v>38</v>
      </c>
      <c r="E3068" s="2" t="n">
        <v>45576</v>
      </c>
      <c r="F3068" s="3" t="s">
        <v>34</v>
      </c>
      <c r="G3068" s="3" t="s">
        <v>28</v>
      </c>
      <c r="H3068" s="3" t="s">
        <v>48</v>
      </c>
      <c r="I3068" s="3" t="n">
        <f aca="false">YEAR(E3068)</f>
        <v>2024</v>
      </c>
      <c r="J3068" s="3" t="n">
        <f aca="false">MONTH(E3068)</f>
        <v>10</v>
      </c>
      <c r="K3068" s="3" t="n">
        <f aca="false">COUNTIFS($B$2:$B$4077,B3068,$C$2:$C$4077,C3068,$I$2:$I$4077,I3068)</f>
        <v>2</v>
      </c>
      <c r="L3068" s="3" t="n">
        <f aca="false">IF(COUNTIFS($B$2:B3068,B3068,$C$2:C3068,C3068,$I$2:I3068,I3068)=1,1,0)</f>
        <v>0</v>
      </c>
      <c r="M3068" s="3" t="n">
        <f aca="false">IF(K3068&gt;=Parametri!$B$1,1,0)</f>
        <v>1</v>
      </c>
      <c r="N3068" s="3" t="n">
        <f aca="false">L3068*M3068</f>
        <v>0</v>
      </c>
    </row>
    <row r="3069" customFormat="false" ht="15" hidden="false" customHeight="false" outlineLevel="0" collapsed="false">
      <c r="A3069" s="0" t="s">
        <v>4672</v>
      </c>
      <c r="B3069" s="0" t="s">
        <v>41</v>
      </c>
      <c r="C3069" s="0" t="s">
        <v>4673</v>
      </c>
      <c r="D3069" s="0" t="s">
        <v>66</v>
      </c>
      <c r="E3069" s="2" t="n">
        <v>45545</v>
      </c>
      <c r="F3069" s="3" t="s">
        <v>104</v>
      </c>
      <c r="G3069" s="3" t="s">
        <v>104</v>
      </c>
      <c r="H3069" s="3" t="s">
        <v>104</v>
      </c>
      <c r="I3069" s="3" t="n">
        <f aca="false">YEAR(E3069)</f>
        <v>2024</v>
      </c>
      <c r="J3069" s="3" t="n">
        <f aca="false">MONTH(E3069)</f>
        <v>9</v>
      </c>
      <c r="K3069" s="3" t="n">
        <f aca="false">COUNTIFS($B$2:$B$4077,B3069,$C$2:$C$4077,C3069,$I$2:$I$4077,I3069)</f>
        <v>1</v>
      </c>
      <c r="L3069" s="3" t="n">
        <f aca="false">IF(COUNTIFS($B$2:B3069,B3069,$C$2:C3069,C3069,$I$2:I3069,I3069)=1,1,0)</f>
        <v>1</v>
      </c>
      <c r="M3069" s="3" t="n">
        <f aca="false">IF(K3069&gt;=Parametri!$B$1,1,0)</f>
        <v>0</v>
      </c>
      <c r="N3069" s="3" t="n">
        <f aca="false">L3069*M3069</f>
        <v>0</v>
      </c>
    </row>
    <row r="3070" customFormat="false" ht="15" hidden="false" customHeight="false" outlineLevel="0" collapsed="false">
      <c r="A3070" s="0" t="s">
        <v>4674</v>
      </c>
      <c r="B3070" s="0" t="s">
        <v>31</v>
      </c>
      <c r="C3070" s="0" t="s">
        <v>2441</v>
      </c>
      <c r="D3070" s="0" t="s">
        <v>19</v>
      </c>
      <c r="E3070" s="2" t="n">
        <v>46142</v>
      </c>
      <c r="F3070" s="3" t="s">
        <v>27</v>
      </c>
      <c r="G3070" s="3" t="s">
        <v>21</v>
      </c>
      <c r="H3070" s="3" t="s">
        <v>48</v>
      </c>
      <c r="I3070" s="3" t="n">
        <f aca="false">YEAR(E3070)</f>
        <v>2026</v>
      </c>
      <c r="J3070" s="3" t="n">
        <f aca="false">MONTH(E3070)</f>
        <v>4</v>
      </c>
      <c r="K3070" s="3" t="n">
        <f aca="false">COUNTIFS($B$2:$B$4077,B3070,$C$2:$C$4077,C3070,$I$2:$I$4077,I3070)</f>
        <v>1</v>
      </c>
      <c r="L3070" s="3" t="n">
        <f aca="false">IF(COUNTIFS($B$2:B3070,B3070,$C$2:C3070,C3070,$I$2:I3070,I3070)=1,1,0)</f>
        <v>1</v>
      </c>
      <c r="M3070" s="3" t="n">
        <f aca="false">IF(K3070&gt;=Parametri!$B$1,1,0)</f>
        <v>0</v>
      </c>
      <c r="N3070" s="3" t="n">
        <f aca="false">L3070*M3070</f>
        <v>0</v>
      </c>
    </row>
    <row r="3071" customFormat="false" ht="15" hidden="false" customHeight="false" outlineLevel="0" collapsed="false">
      <c r="A3071" s="0" t="s">
        <v>4675</v>
      </c>
      <c r="B3071" s="0" t="s">
        <v>79</v>
      </c>
      <c r="C3071" s="0" t="s">
        <v>931</v>
      </c>
      <c r="D3071" s="0" t="s">
        <v>38</v>
      </c>
      <c r="E3071" s="2" t="n">
        <v>45944</v>
      </c>
      <c r="F3071" s="3" t="s">
        <v>34</v>
      </c>
      <c r="G3071" s="3" t="s">
        <v>104</v>
      </c>
      <c r="H3071" s="3" t="s">
        <v>104</v>
      </c>
      <c r="I3071" s="3" t="n">
        <f aca="false">YEAR(E3071)</f>
        <v>2025</v>
      </c>
      <c r="J3071" s="3" t="n">
        <f aca="false">MONTH(E3071)</f>
        <v>10</v>
      </c>
      <c r="K3071" s="3" t="n">
        <f aca="false">COUNTIFS($B$2:$B$4077,B3071,$C$2:$C$4077,C3071,$I$2:$I$4077,I3071)</f>
        <v>5</v>
      </c>
      <c r="L3071" s="3" t="n">
        <f aca="false">IF(COUNTIFS($B$2:B3071,B3071,$C$2:C3071,C3071,$I$2:I3071,I3071)=1,1,0)</f>
        <v>0</v>
      </c>
      <c r="M3071" s="3" t="n">
        <f aca="false">IF(K3071&gt;=Parametri!$B$1,1,0)</f>
        <v>1</v>
      </c>
      <c r="N3071" s="3" t="n">
        <f aca="false">L3071*M3071</f>
        <v>0</v>
      </c>
    </row>
    <row r="3072" customFormat="false" ht="15" hidden="false" customHeight="false" outlineLevel="0" collapsed="false">
      <c r="A3072" s="0" t="s">
        <v>4676</v>
      </c>
      <c r="B3072" s="0" t="s">
        <v>24</v>
      </c>
      <c r="C3072" s="0" t="s">
        <v>254</v>
      </c>
      <c r="D3072" s="0" t="s">
        <v>77</v>
      </c>
      <c r="E3072" s="2" t="n">
        <v>45568</v>
      </c>
      <c r="F3072" s="3" t="s">
        <v>20</v>
      </c>
      <c r="G3072" s="3" t="s">
        <v>55</v>
      </c>
      <c r="H3072" s="3" t="s">
        <v>48</v>
      </c>
      <c r="I3072" s="3" t="n">
        <f aca="false">YEAR(E3072)</f>
        <v>2024</v>
      </c>
      <c r="J3072" s="3" t="n">
        <f aca="false">MONTH(E3072)</f>
        <v>10</v>
      </c>
      <c r="K3072" s="3" t="n">
        <f aca="false">COUNTIFS($B$2:$B$4077,B3072,$C$2:$C$4077,C3072,$I$2:$I$4077,I3072)</f>
        <v>2</v>
      </c>
      <c r="L3072" s="3" t="n">
        <f aca="false">IF(COUNTIFS($B$2:B3072,B3072,$C$2:C3072,C3072,$I$2:I3072,I3072)=1,1,0)</f>
        <v>0</v>
      </c>
      <c r="M3072" s="3" t="n">
        <f aca="false">IF(K3072&gt;=Parametri!$B$1,1,0)</f>
        <v>1</v>
      </c>
      <c r="N3072" s="3" t="n">
        <f aca="false">L3072*M3072</f>
        <v>0</v>
      </c>
    </row>
    <row r="3073" customFormat="false" ht="15" hidden="false" customHeight="false" outlineLevel="0" collapsed="false">
      <c r="A3073" s="0" t="s">
        <v>4677</v>
      </c>
      <c r="B3073" s="0" t="s">
        <v>50</v>
      </c>
      <c r="C3073" s="0" t="s">
        <v>3251</v>
      </c>
      <c r="D3073" s="0" t="s">
        <v>63</v>
      </c>
      <c r="E3073" s="2" t="n">
        <v>45322</v>
      </c>
      <c r="F3073" s="3" t="s">
        <v>20</v>
      </c>
      <c r="G3073" s="3" t="s">
        <v>21</v>
      </c>
      <c r="H3073" s="3" t="s">
        <v>22</v>
      </c>
      <c r="I3073" s="3" t="n">
        <f aca="false">YEAR(E3073)</f>
        <v>2024</v>
      </c>
      <c r="J3073" s="3" t="n">
        <f aca="false">MONTH(E3073)</f>
        <v>1</v>
      </c>
      <c r="K3073" s="3" t="n">
        <f aca="false">COUNTIFS($B$2:$B$4077,B3073,$C$2:$C$4077,C3073,$I$2:$I$4077,I3073)</f>
        <v>4</v>
      </c>
      <c r="L3073" s="3" t="n">
        <f aca="false">IF(COUNTIFS($B$2:B3073,B3073,$C$2:C3073,C3073,$I$2:I3073,I3073)=1,1,0)</f>
        <v>0</v>
      </c>
      <c r="M3073" s="3" t="n">
        <f aca="false">IF(K3073&gt;=Parametri!$B$1,1,0)</f>
        <v>1</v>
      </c>
      <c r="N3073" s="3" t="n">
        <f aca="false">L3073*M3073</f>
        <v>0</v>
      </c>
    </row>
    <row r="3074" customFormat="false" ht="15" hidden="false" customHeight="false" outlineLevel="0" collapsed="false">
      <c r="A3074" s="0" t="s">
        <v>4678</v>
      </c>
      <c r="B3074" s="0" t="s">
        <v>68</v>
      </c>
      <c r="C3074" s="0" t="s">
        <v>2168</v>
      </c>
      <c r="D3074" s="0" t="s">
        <v>66</v>
      </c>
      <c r="E3074" s="2" t="n">
        <v>45929</v>
      </c>
      <c r="F3074" s="3" t="s">
        <v>27</v>
      </c>
      <c r="G3074" s="3" t="s">
        <v>43</v>
      </c>
      <c r="H3074" s="3" t="s">
        <v>22</v>
      </c>
      <c r="I3074" s="3" t="n">
        <f aca="false">YEAR(E3074)</f>
        <v>2025</v>
      </c>
      <c r="J3074" s="3" t="n">
        <f aca="false">MONTH(E3074)</f>
        <v>9</v>
      </c>
      <c r="K3074" s="3" t="n">
        <f aca="false">COUNTIFS($B$2:$B$4077,B3074,$C$2:$C$4077,C3074,$I$2:$I$4077,I3074)</f>
        <v>1</v>
      </c>
      <c r="L3074" s="3" t="n">
        <f aca="false">IF(COUNTIFS($B$2:B3074,B3074,$C$2:C3074,C3074,$I$2:I3074,I3074)=1,1,0)</f>
        <v>1</v>
      </c>
      <c r="M3074" s="3" t="n">
        <f aca="false">IF(K3074&gt;=Parametri!$B$1,1,0)</f>
        <v>0</v>
      </c>
      <c r="N3074" s="3" t="n">
        <f aca="false">L3074*M3074</f>
        <v>0</v>
      </c>
    </row>
    <row r="3075" customFormat="false" ht="15" hidden="false" customHeight="false" outlineLevel="0" collapsed="false">
      <c r="A3075" s="0" t="s">
        <v>4679</v>
      </c>
      <c r="B3075" s="0" t="s">
        <v>46</v>
      </c>
      <c r="C3075" s="0" t="s">
        <v>4680</v>
      </c>
      <c r="D3075" s="0" t="s">
        <v>19</v>
      </c>
      <c r="E3075" s="2" t="n">
        <v>45995</v>
      </c>
      <c r="F3075" s="3" t="s">
        <v>20</v>
      </c>
      <c r="G3075" s="3" t="s">
        <v>21</v>
      </c>
      <c r="H3075" s="3" t="s">
        <v>44</v>
      </c>
      <c r="I3075" s="3" t="n">
        <f aca="false">YEAR(E3075)</f>
        <v>2025</v>
      </c>
      <c r="J3075" s="3" t="n">
        <f aca="false">MONTH(E3075)</f>
        <v>12</v>
      </c>
      <c r="K3075" s="3" t="n">
        <f aca="false">COUNTIFS($B$2:$B$4077,B3075,$C$2:$C$4077,C3075,$I$2:$I$4077,I3075)</f>
        <v>1</v>
      </c>
      <c r="L3075" s="3" t="n">
        <f aca="false">IF(COUNTIFS($B$2:B3075,B3075,$C$2:C3075,C3075,$I$2:I3075,I3075)=1,1,0)</f>
        <v>1</v>
      </c>
      <c r="M3075" s="3" t="n">
        <f aca="false">IF(K3075&gt;=Parametri!$B$1,1,0)</f>
        <v>0</v>
      </c>
      <c r="N3075" s="3" t="n">
        <f aca="false">L3075*M3075</f>
        <v>0</v>
      </c>
    </row>
    <row r="3076" customFormat="false" ht="15" hidden="false" customHeight="false" outlineLevel="0" collapsed="false">
      <c r="A3076" s="0" t="s">
        <v>4681</v>
      </c>
      <c r="B3076" s="0" t="s">
        <v>124</v>
      </c>
      <c r="C3076" s="0" t="s">
        <v>2810</v>
      </c>
      <c r="D3076" s="0" t="s">
        <v>77</v>
      </c>
      <c r="E3076" s="2" t="n">
        <v>46070</v>
      </c>
      <c r="F3076" s="3" t="s">
        <v>20</v>
      </c>
      <c r="G3076" s="3" t="s">
        <v>35</v>
      </c>
      <c r="H3076" s="3" t="s">
        <v>44</v>
      </c>
      <c r="I3076" s="3" t="n">
        <f aca="false">YEAR(E3076)</f>
        <v>2026</v>
      </c>
      <c r="J3076" s="3" t="n">
        <f aca="false">MONTH(E3076)</f>
        <v>2</v>
      </c>
      <c r="K3076" s="3" t="n">
        <f aca="false">COUNTIFS($B$2:$B$4077,B3076,$C$2:$C$4077,C3076,$I$2:$I$4077,I3076)</f>
        <v>3</v>
      </c>
      <c r="L3076" s="3" t="n">
        <f aca="false">IF(COUNTIFS($B$2:B3076,B3076,$C$2:C3076,C3076,$I$2:I3076,I3076)=1,1,0)</f>
        <v>0</v>
      </c>
      <c r="M3076" s="3" t="n">
        <f aca="false">IF(K3076&gt;=Parametri!$B$1,1,0)</f>
        <v>1</v>
      </c>
      <c r="N3076" s="3" t="n">
        <f aca="false">L3076*M3076</f>
        <v>0</v>
      </c>
    </row>
    <row r="3077" customFormat="false" ht="15" hidden="false" customHeight="false" outlineLevel="0" collapsed="false">
      <c r="A3077" s="0" t="s">
        <v>4682</v>
      </c>
      <c r="B3077" s="0" t="s">
        <v>68</v>
      </c>
      <c r="C3077" s="0" t="s">
        <v>4683</v>
      </c>
      <c r="D3077" s="0" t="s">
        <v>54</v>
      </c>
      <c r="E3077" s="2" t="n">
        <v>45926</v>
      </c>
      <c r="F3077" s="3" t="s">
        <v>20</v>
      </c>
      <c r="G3077" s="3" t="s">
        <v>55</v>
      </c>
      <c r="H3077" s="3" t="s">
        <v>48</v>
      </c>
      <c r="I3077" s="3" t="n">
        <f aca="false">YEAR(E3077)</f>
        <v>2025</v>
      </c>
      <c r="J3077" s="3" t="n">
        <f aca="false">MONTH(E3077)</f>
        <v>9</v>
      </c>
      <c r="K3077" s="3" t="n">
        <f aca="false">COUNTIFS($B$2:$B$4077,B3077,$C$2:$C$4077,C3077,$I$2:$I$4077,I3077)</f>
        <v>1</v>
      </c>
      <c r="L3077" s="3" t="n">
        <f aca="false">IF(COUNTIFS($B$2:B3077,B3077,$C$2:C3077,C3077,$I$2:I3077,I3077)=1,1,0)</f>
        <v>1</v>
      </c>
      <c r="M3077" s="3" t="n">
        <f aca="false">IF(K3077&gt;=Parametri!$B$1,1,0)</f>
        <v>0</v>
      </c>
      <c r="N3077" s="3" t="n">
        <f aca="false">L3077*M3077</f>
        <v>0</v>
      </c>
    </row>
    <row r="3078" customFormat="false" ht="15" hidden="false" customHeight="false" outlineLevel="0" collapsed="false">
      <c r="A3078" s="0" t="s">
        <v>4684</v>
      </c>
      <c r="B3078" s="0" t="s">
        <v>31</v>
      </c>
      <c r="C3078" s="0" t="s">
        <v>279</v>
      </c>
      <c r="D3078" s="0" t="s">
        <v>63</v>
      </c>
      <c r="E3078" s="2" t="n">
        <v>45896</v>
      </c>
      <c r="F3078" s="3" t="s">
        <v>20</v>
      </c>
      <c r="G3078" s="3" t="s">
        <v>39</v>
      </c>
      <c r="H3078" s="3" t="s">
        <v>44</v>
      </c>
      <c r="I3078" s="3" t="n">
        <f aca="false">YEAR(E3078)</f>
        <v>2025</v>
      </c>
      <c r="J3078" s="3" t="n">
        <f aca="false">MONTH(E3078)</f>
        <v>8</v>
      </c>
      <c r="K3078" s="3" t="n">
        <f aca="false">COUNTIFS($B$2:$B$4077,B3078,$C$2:$C$4077,C3078,$I$2:$I$4077,I3078)</f>
        <v>2</v>
      </c>
      <c r="L3078" s="3" t="n">
        <f aca="false">IF(COUNTIFS($B$2:B3078,B3078,$C$2:C3078,C3078,$I$2:I3078,I3078)=1,1,0)</f>
        <v>0</v>
      </c>
      <c r="M3078" s="3" t="n">
        <f aca="false">IF(K3078&gt;=Parametri!$B$1,1,0)</f>
        <v>1</v>
      </c>
      <c r="N3078" s="3" t="n">
        <f aca="false">L3078*M3078</f>
        <v>0</v>
      </c>
    </row>
    <row r="3079" customFormat="false" ht="15" hidden="false" customHeight="false" outlineLevel="0" collapsed="false">
      <c r="A3079" s="0" t="s">
        <v>4685</v>
      </c>
      <c r="B3079" s="0" t="s">
        <v>57</v>
      </c>
      <c r="C3079" s="0" t="s">
        <v>442</v>
      </c>
      <c r="D3079" s="0" t="s">
        <v>26</v>
      </c>
      <c r="E3079" s="2" t="n">
        <v>45703</v>
      </c>
      <c r="F3079" s="3" t="s">
        <v>20</v>
      </c>
      <c r="G3079" s="3" t="s">
        <v>55</v>
      </c>
      <c r="H3079" s="3" t="s">
        <v>48</v>
      </c>
      <c r="I3079" s="3" t="n">
        <f aca="false">YEAR(E3079)</f>
        <v>2025</v>
      </c>
      <c r="J3079" s="3" t="n">
        <f aca="false">MONTH(E3079)</f>
        <v>2</v>
      </c>
      <c r="K3079" s="3" t="n">
        <f aca="false">COUNTIFS($B$2:$B$4077,B3079,$C$2:$C$4077,C3079,$I$2:$I$4077,I3079)</f>
        <v>3</v>
      </c>
      <c r="L3079" s="3" t="n">
        <f aca="false">IF(COUNTIFS($B$2:B3079,B3079,$C$2:C3079,C3079,$I$2:I3079,I3079)=1,1,0)</f>
        <v>0</v>
      </c>
      <c r="M3079" s="3" t="n">
        <f aca="false">IF(K3079&gt;=Parametri!$B$1,1,0)</f>
        <v>1</v>
      </c>
      <c r="N3079" s="3" t="n">
        <f aca="false">L3079*M3079</f>
        <v>0</v>
      </c>
    </row>
    <row r="3080" customFormat="false" ht="15" hidden="false" customHeight="false" outlineLevel="0" collapsed="false">
      <c r="A3080" s="0" t="s">
        <v>4686</v>
      </c>
      <c r="B3080" s="0" t="s">
        <v>41</v>
      </c>
      <c r="C3080" s="0" t="s">
        <v>456</v>
      </c>
      <c r="D3080" s="0" t="s">
        <v>63</v>
      </c>
      <c r="E3080" s="2" t="n">
        <v>45773</v>
      </c>
      <c r="F3080" s="3" t="s">
        <v>20</v>
      </c>
      <c r="G3080" s="3" t="s">
        <v>72</v>
      </c>
      <c r="H3080" s="3" t="s">
        <v>22</v>
      </c>
      <c r="I3080" s="3" t="n">
        <f aca="false">YEAR(E3080)</f>
        <v>2025</v>
      </c>
      <c r="J3080" s="3" t="n">
        <f aca="false">MONTH(E3080)</f>
        <v>4</v>
      </c>
      <c r="K3080" s="3" t="n">
        <f aca="false">COUNTIFS($B$2:$B$4077,B3080,$C$2:$C$4077,C3080,$I$2:$I$4077,I3080)</f>
        <v>6</v>
      </c>
      <c r="L3080" s="3" t="n">
        <f aca="false">IF(COUNTIFS($B$2:B3080,B3080,$C$2:C3080,C3080,$I$2:I3080,I3080)=1,1,0)</f>
        <v>0</v>
      </c>
      <c r="M3080" s="3" t="n">
        <f aca="false">IF(K3080&gt;=Parametri!$B$1,1,0)</f>
        <v>1</v>
      </c>
      <c r="N3080" s="3" t="n">
        <f aca="false">L3080*M3080</f>
        <v>0</v>
      </c>
    </row>
    <row r="3081" customFormat="false" ht="15" hidden="false" customHeight="false" outlineLevel="0" collapsed="false">
      <c r="A3081" s="0" t="s">
        <v>4687</v>
      </c>
      <c r="B3081" s="0" t="s">
        <v>79</v>
      </c>
      <c r="C3081" s="0" t="s">
        <v>250</v>
      </c>
      <c r="D3081" s="0" t="s">
        <v>77</v>
      </c>
      <c r="E3081" s="2" t="n">
        <v>46004</v>
      </c>
      <c r="F3081" s="3" t="s">
        <v>20</v>
      </c>
      <c r="G3081" s="3" t="s">
        <v>55</v>
      </c>
      <c r="H3081" s="3" t="s">
        <v>29</v>
      </c>
      <c r="I3081" s="3" t="n">
        <f aca="false">YEAR(E3081)</f>
        <v>2025</v>
      </c>
      <c r="J3081" s="3" t="n">
        <f aca="false">MONTH(E3081)</f>
        <v>12</v>
      </c>
      <c r="K3081" s="3" t="n">
        <f aca="false">COUNTIFS($B$2:$B$4077,B3081,$C$2:$C$4077,C3081,$I$2:$I$4077,I3081)</f>
        <v>1</v>
      </c>
      <c r="L3081" s="3" t="n">
        <f aca="false">IF(COUNTIFS($B$2:B3081,B3081,$C$2:C3081,C3081,$I$2:I3081,I3081)=1,1,0)</f>
        <v>1</v>
      </c>
      <c r="M3081" s="3" t="n">
        <f aca="false">IF(K3081&gt;=Parametri!$B$1,1,0)</f>
        <v>0</v>
      </c>
      <c r="N3081" s="3" t="n">
        <f aca="false">L3081*M3081</f>
        <v>0</v>
      </c>
    </row>
    <row r="3082" customFormat="false" ht="15" hidden="false" customHeight="false" outlineLevel="0" collapsed="false">
      <c r="A3082" s="0" t="s">
        <v>4688</v>
      </c>
      <c r="B3082" s="0" t="s">
        <v>46</v>
      </c>
      <c r="C3082" s="0" t="s">
        <v>65</v>
      </c>
      <c r="D3082" s="0" t="s">
        <v>38</v>
      </c>
      <c r="E3082" s="2" t="n">
        <v>46083</v>
      </c>
      <c r="F3082" s="3" t="s">
        <v>20</v>
      </c>
      <c r="G3082" s="3" t="s">
        <v>21</v>
      </c>
      <c r="H3082" s="3" t="s">
        <v>44</v>
      </c>
      <c r="I3082" s="3" t="n">
        <f aca="false">YEAR(E3082)</f>
        <v>2026</v>
      </c>
      <c r="J3082" s="3" t="n">
        <f aca="false">MONTH(E3082)</f>
        <v>3</v>
      </c>
      <c r="K3082" s="3" t="n">
        <f aca="false">COUNTIFS($B$2:$B$4077,B3082,$C$2:$C$4077,C3082,$I$2:$I$4077,I3082)</f>
        <v>2</v>
      </c>
      <c r="L3082" s="3" t="n">
        <f aca="false">IF(COUNTIFS($B$2:B3082,B3082,$C$2:C3082,C3082,$I$2:I3082,I3082)=1,1,0)</f>
        <v>0</v>
      </c>
      <c r="M3082" s="3" t="n">
        <f aca="false">IF(K3082&gt;=Parametri!$B$1,1,0)</f>
        <v>1</v>
      </c>
      <c r="N3082" s="3" t="n">
        <f aca="false">L3082*M3082</f>
        <v>0</v>
      </c>
    </row>
    <row r="3083" customFormat="false" ht="15" hidden="false" customHeight="false" outlineLevel="0" collapsed="false">
      <c r="A3083" s="0" t="s">
        <v>4689</v>
      </c>
      <c r="B3083" s="0" t="s">
        <v>24</v>
      </c>
      <c r="C3083" s="0" t="s">
        <v>2055</v>
      </c>
      <c r="D3083" s="0" t="s">
        <v>38</v>
      </c>
      <c r="E3083" s="2" t="n">
        <v>45764</v>
      </c>
      <c r="F3083" s="3" t="s">
        <v>20</v>
      </c>
      <c r="G3083" s="3" t="s">
        <v>21</v>
      </c>
      <c r="H3083" s="3" t="s">
        <v>44</v>
      </c>
      <c r="I3083" s="3" t="n">
        <f aca="false">YEAR(E3083)</f>
        <v>2025</v>
      </c>
      <c r="J3083" s="3" t="n">
        <f aca="false">MONTH(E3083)</f>
        <v>4</v>
      </c>
      <c r="K3083" s="3" t="n">
        <f aca="false">COUNTIFS($B$2:$B$4077,B3083,$C$2:$C$4077,C3083,$I$2:$I$4077,I3083)</f>
        <v>2</v>
      </c>
      <c r="L3083" s="3" t="n">
        <f aca="false">IF(COUNTIFS($B$2:B3083,B3083,$C$2:C3083,C3083,$I$2:I3083,I3083)=1,1,0)</f>
        <v>0</v>
      </c>
      <c r="M3083" s="3" t="n">
        <f aca="false">IF(K3083&gt;=Parametri!$B$1,1,0)</f>
        <v>1</v>
      </c>
      <c r="N3083" s="3" t="n">
        <f aca="false">L3083*M3083</f>
        <v>0</v>
      </c>
    </row>
    <row r="3084" customFormat="false" ht="15" hidden="false" customHeight="false" outlineLevel="0" collapsed="false">
      <c r="A3084" s="0" t="s">
        <v>4690</v>
      </c>
      <c r="B3084" s="0" t="s">
        <v>57</v>
      </c>
      <c r="C3084" s="0" t="s">
        <v>2688</v>
      </c>
      <c r="D3084" s="0" t="s">
        <v>26</v>
      </c>
      <c r="E3084" s="2" t="n">
        <v>45820</v>
      </c>
      <c r="F3084" s="3" t="s">
        <v>20</v>
      </c>
      <c r="G3084" s="3" t="s">
        <v>89</v>
      </c>
      <c r="H3084" s="3" t="s">
        <v>48</v>
      </c>
      <c r="I3084" s="3" t="n">
        <f aca="false">YEAR(E3084)</f>
        <v>2025</v>
      </c>
      <c r="J3084" s="3" t="n">
        <f aca="false">MONTH(E3084)</f>
        <v>6</v>
      </c>
      <c r="K3084" s="3" t="n">
        <f aca="false">COUNTIFS($B$2:$B$4077,B3084,$C$2:$C$4077,C3084,$I$2:$I$4077,I3084)</f>
        <v>3</v>
      </c>
      <c r="L3084" s="3" t="n">
        <f aca="false">IF(COUNTIFS($B$2:B3084,B3084,$C$2:C3084,C3084,$I$2:I3084,I3084)=1,1,0)</f>
        <v>0</v>
      </c>
      <c r="M3084" s="3" t="n">
        <f aca="false">IF(K3084&gt;=Parametri!$B$1,1,0)</f>
        <v>1</v>
      </c>
      <c r="N3084" s="3" t="n">
        <f aca="false">L3084*M3084</f>
        <v>0</v>
      </c>
    </row>
    <row r="3085" customFormat="false" ht="15" hidden="false" customHeight="false" outlineLevel="0" collapsed="false">
      <c r="A3085" s="0" t="s">
        <v>4691</v>
      </c>
      <c r="B3085" s="0" t="s">
        <v>46</v>
      </c>
      <c r="C3085" s="0" t="s">
        <v>691</v>
      </c>
      <c r="D3085" s="0" t="s">
        <v>63</v>
      </c>
      <c r="E3085" s="2" t="n">
        <v>46185</v>
      </c>
      <c r="F3085" s="3" t="s">
        <v>20</v>
      </c>
      <c r="G3085" s="3" t="s">
        <v>21</v>
      </c>
      <c r="H3085" s="3" t="s">
        <v>22</v>
      </c>
      <c r="I3085" s="3" t="n">
        <f aca="false">YEAR(E3085)</f>
        <v>2026</v>
      </c>
      <c r="J3085" s="3" t="n">
        <f aca="false">MONTH(E3085)</f>
        <v>6</v>
      </c>
      <c r="K3085" s="3" t="n">
        <f aca="false">COUNTIFS($B$2:$B$4077,B3085,$C$2:$C$4077,C3085,$I$2:$I$4077,I3085)</f>
        <v>1</v>
      </c>
      <c r="L3085" s="3" t="n">
        <f aca="false">IF(COUNTIFS($B$2:B3085,B3085,$C$2:C3085,C3085,$I$2:I3085,I3085)=1,1,0)</f>
        <v>1</v>
      </c>
      <c r="M3085" s="3" t="n">
        <f aca="false">IF(K3085&gt;=Parametri!$B$1,1,0)</f>
        <v>0</v>
      </c>
      <c r="N3085" s="3" t="n">
        <f aca="false">L3085*M3085</f>
        <v>0</v>
      </c>
    </row>
    <row r="3086" customFormat="false" ht="15" hidden="false" customHeight="false" outlineLevel="0" collapsed="false">
      <c r="A3086" s="0" t="s">
        <v>4692</v>
      </c>
      <c r="B3086" s="0" t="s">
        <v>24</v>
      </c>
      <c r="C3086" s="0" t="s">
        <v>768</v>
      </c>
      <c r="D3086" s="0" t="s">
        <v>66</v>
      </c>
      <c r="E3086" s="2" t="n">
        <v>45340</v>
      </c>
      <c r="F3086" s="3" t="s">
        <v>20</v>
      </c>
      <c r="G3086" s="3" t="s">
        <v>89</v>
      </c>
      <c r="H3086" s="3" t="s">
        <v>29</v>
      </c>
      <c r="I3086" s="3" t="n">
        <f aca="false">YEAR(E3086)</f>
        <v>2024</v>
      </c>
      <c r="J3086" s="3" t="n">
        <f aca="false">MONTH(E3086)</f>
        <v>2</v>
      </c>
      <c r="K3086" s="3" t="n">
        <f aca="false">COUNTIFS($B$2:$B$4077,B3086,$C$2:$C$4077,C3086,$I$2:$I$4077,I3086)</f>
        <v>3</v>
      </c>
      <c r="L3086" s="3" t="n">
        <f aca="false">IF(COUNTIFS($B$2:B3086,B3086,$C$2:C3086,C3086,$I$2:I3086,I3086)=1,1,0)</f>
        <v>0</v>
      </c>
      <c r="M3086" s="3" t="n">
        <f aca="false">IF(K3086&gt;=Parametri!$B$1,1,0)</f>
        <v>1</v>
      </c>
      <c r="N3086" s="3" t="n">
        <f aca="false">L3086*M3086</f>
        <v>0</v>
      </c>
    </row>
    <row r="3087" customFormat="false" ht="15" hidden="false" customHeight="false" outlineLevel="0" collapsed="false">
      <c r="A3087" s="0" t="s">
        <v>4693</v>
      </c>
      <c r="B3087" s="0" t="s">
        <v>17</v>
      </c>
      <c r="C3087" s="0" t="s">
        <v>176</v>
      </c>
      <c r="D3087" s="0" t="s">
        <v>19</v>
      </c>
      <c r="E3087" s="2" t="n">
        <v>46172</v>
      </c>
      <c r="F3087" s="3" t="s">
        <v>20</v>
      </c>
      <c r="G3087" s="3" t="s">
        <v>43</v>
      </c>
      <c r="H3087" s="3" t="s">
        <v>48</v>
      </c>
      <c r="I3087" s="3" t="n">
        <f aca="false">YEAR(E3087)</f>
        <v>2026</v>
      </c>
      <c r="J3087" s="3" t="n">
        <f aca="false">MONTH(E3087)</f>
        <v>5</v>
      </c>
      <c r="K3087" s="3" t="n">
        <f aca="false">COUNTIFS($B$2:$B$4077,B3087,$C$2:$C$4077,C3087,$I$2:$I$4077,I3087)</f>
        <v>2</v>
      </c>
      <c r="L3087" s="3" t="n">
        <f aca="false">IF(COUNTIFS($B$2:B3087,B3087,$C$2:C3087,C3087,$I$2:I3087,I3087)=1,1,0)</f>
        <v>0</v>
      </c>
      <c r="M3087" s="3" t="n">
        <f aca="false">IF(K3087&gt;=Parametri!$B$1,1,0)</f>
        <v>1</v>
      </c>
      <c r="N3087" s="3" t="n">
        <f aca="false">L3087*M3087</f>
        <v>0</v>
      </c>
    </row>
    <row r="3088" customFormat="false" ht="15" hidden="false" customHeight="false" outlineLevel="0" collapsed="false">
      <c r="A3088" s="0" t="s">
        <v>4694</v>
      </c>
      <c r="B3088" s="0" t="s">
        <v>124</v>
      </c>
      <c r="C3088" s="0" t="s">
        <v>1156</v>
      </c>
      <c r="D3088" s="0" t="s">
        <v>63</v>
      </c>
      <c r="E3088" s="2" t="n">
        <v>46154</v>
      </c>
      <c r="F3088" s="3" t="s">
        <v>20</v>
      </c>
      <c r="G3088" s="3" t="s">
        <v>21</v>
      </c>
      <c r="H3088" s="3" t="s">
        <v>22</v>
      </c>
      <c r="I3088" s="3" t="n">
        <f aca="false">YEAR(E3088)</f>
        <v>2026</v>
      </c>
      <c r="J3088" s="3" t="n">
        <f aca="false">MONTH(E3088)</f>
        <v>5</v>
      </c>
      <c r="K3088" s="3" t="n">
        <f aca="false">COUNTIFS($B$2:$B$4077,B3088,$C$2:$C$4077,C3088,$I$2:$I$4077,I3088)</f>
        <v>2</v>
      </c>
      <c r="L3088" s="3" t="n">
        <f aca="false">IF(COUNTIFS($B$2:B3088,B3088,$C$2:C3088,C3088,$I$2:I3088,I3088)=1,1,0)</f>
        <v>0</v>
      </c>
      <c r="M3088" s="3" t="n">
        <f aca="false">IF(K3088&gt;=Parametri!$B$1,1,0)</f>
        <v>1</v>
      </c>
      <c r="N3088" s="3" t="n">
        <f aca="false">L3088*M3088</f>
        <v>0</v>
      </c>
    </row>
    <row r="3089" customFormat="false" ht="15" hidden="false" customHeight="false" outlineLevel="0" collapsed="false">
      <c r="A3089" s="0" t="s">
        <v>4695</v>
      </c>
      <c r="B3089" s="0" t="s">
        <v>124</v>
      </c>
      <c r="C3089" s="0" t="s">
        <v>1235</v>
      </c>
      <c r="D3089" s="0" t="s">
        <v>26</v>
      </c>
      <c r="E3089" s="2" t="n">
        <v>45374</v>
      </c>
      <c r="F3089" s="3" t="s">
        <v>27</v>
      </c>
      <c r="G3089" s="3" t="s">
        <v>72</v>
      </c>
      <c r="H3089" s="3" t="s">
        <v>29</v>
      </c>
      <c r="I3089" s="3" t="n">
        <f aca="false">YEAR(E3089)</f>
        <v>2024</v>
      </c>
      <c r="J3089" s="3" t="n">
        <f aca="false">MONTH(E3089)</f>
        <v>3</v>
      </c>
      <c r="K3089" s="3" t="n">
        <f aca="false">COUNTIFS($B$2:$B$4077,B3089,$C$2:$C$4077,C3089,$I$2:$I$4077,I3089)</f>
        <v>1</v>
      </c>
      <c r="L3089" s="3" t="n">
        <f aca="false">IF(COUNTIFS($B$2:B3089,B3089,$C$2:C3089,C3089,$I$2:I3089,I3089)=1,1,0)</f>
        <v>1</v>
      </c>
      <c r="M3089" s="3" t="n">
        <f aca="false">IF(K3089&gt;=Parametri!$B$1,1,0)</f>
        <v>0</v>
      </c>
      <c r="N3089" s="3" t="n">
        <f aca="false">L3089*M3089</f>
        <v>0</v>
      </c>
    </row>
    <row r="3090" customFormat="false" ht="15" hidden="false" customHeight="false" outlineLevel="0" collapsed="false">
      <c r="A3090" s="0" t="s">
        <v>4696</v>
      </c>
      <c r="B3090" s="0" t="s">
        <v>79</v>
      </c>
      <c r="C3090" s="0" t="s">
        <v>2095</v>
      </c>
      <c r="D3090" s="0" t="s">
        <v>54</v>
      </c>
      <c r="E3090" s="2" t="n">
        <v>45890</v>
      </c>
      <c r="F3090" s="3" t="s">
        <v>20</v>
      </c>
      <c r="G3090" s="3" t="s">
        <v>39</v>
      </c>
      <c r="H3090" s="3" t="s">
        <v>44</v>
      </c>
      <c r="I3090" s="3" t="n">
        <f aca="false">YEAR(E3090)</f>
        <v>2025</v>
      </c>
      <c r="J3090" s="3" t="n">
        <f aca="false">MONTH(E3090)</f>
        <v>8</v>
      </c>
      <c r="K3090" s="3" t="n">
        <f aca="false">COUNTIFS($B$2:$B$4077,B3090,$C$2:$C$4077,C3090,$I$2:$I$4077,I3090)</f>
        <v>2</v>
      </c>
      <c r="L3090" s="3" t="n">
        <f aca="false">IF(COUNTIFS($B$2:B3090,B3090,$C$2:C3090,C3090,$I$2:I3090,I3090)=1,1,0)</f>
        <v>0</v>
      </c>
      <c r="M3090" s="3" t="n">
        <f aca="false">IF(K3090&gt;=Parametri!$B$1,1,0)</f>
        <v>1</v>
      </c>
      <c r="N3090" s="3" t="n">
        <f aca="false">L3090*M3090</f>
        <v>0</v>
      </c>
    </row>
    <row r="3091" customFormat="false" ht="15" hidden="false" customHeight="false" outlineLevel="0" collapsed="false">
      <c r="A3091" s="0" t="s">
        <v>4697</v>
      </c>
      <c r="B3091" s="0" t="s">
        <v>41</v>
      </c>
      <c r="C3091" s="0" t="s">
        <v>2802</v>
      </c>
      <c r="D3091" s="0" t="s">
        <v>26</v>
      </c>
      <c r="E3091" s="2" t="n">
        <v>45739</v>
      </c>
      <c r="F3091" s="3" t="s">
        <v>27</v>
      </c>
      <c r="G3091" s="3" t="s">
        <v>55</v>
      </c>
      <c r="H3091" s="3" t="s">
        <v>44</v>
      </c>
      <c r="I3091" s="3" t="n">
        <f aca="false">YEAR(E3091)</f>
        <v>2025</v>
      </c>
      <c r="J3091" s="3" t="n">
        <f aca="false">MONTH(E3091)</f>
        <v>3</v>
      </c>
      <c r="K3091" s="3" t="n">
        <f aca="false">COUNTIFS($B$2:$B$4077,B3091,$C$2:$C$4077,C3091,$I$2:$I$4077,I3091)</f>
        <v>2</v>
      </c>
      <c r="L3091" s="3" t="n">
        <f aca="false">IF(COUNTIFS($B$2:B3091,B3091,$C$2:C3091,C3091,$I$2:I3091,I3091)=1,1,0)</f>
        <v>0</v>
      </c>
      <c r="M3091" s="3" t="n">
        <f aca="false">IF(K3091&gt;=Parametri!$B$1,1,0)</f>
        <v>1</v>
      </c>
      <c r="N3091" s="3" t="n">
        <f aca="false">L3091*M3091</f>
        <v>0</v>
      </c>
    </row>
    <row r="3092" customFormat="false" ht="15" hidden="false" customHeight="false" outlineLevel="0" collapsed="false">
      <c r="A3092" s="0" t="s">
        <v>4698</v>
      </c>
      <c r="B3092" s="0" t="s">
        <v>46</v>
      </c>
      <c r="C3092" s="0" t="s">
        <v>4699</v>
      </c>
      <c r="D3092" s="0" t="s">
        <v>66</v>
      </c>
      <c r="E3092" s="2" t="n">
        <v>46102</v>
      </c>
      <c r="F3092" s="3" t="s">
        <v>34</v>
      </c>
      <c r="G3092" s="3" t="s">
        <v>55</v>
      </c>
      <c r="H3092" s="3" t="s">
        <v>48</v>
      </c>
      <c r="I3092" s="3" t="n">
        <f aca="false">YEAR(E3092)</f>
        <v>2026</v>
      </c>
      <c r="J3092" s="3" t="n">
        <f aca="false">MONTH(E3092)</f>
        <v>3</v>
      </c>
      <c r="K3092" s="3" t="n">
        <f aca="false">COUNTIFS($B$2:$B$4077,B3092,$C$2:$C$4077,C3092,$I$2:$I$4077,I3092)</f>
        <v>1</v>
      </c>
      <c r="L3092" s="3" t="n">
        <f aca="false">IF(COUNTIFS($B$2:B3092,B3092,$C$2:C3092,C3092,$I$2:I3092,I3092)=1,1,0)</f>
        <v>1</v>
      </c>
      <c r="M3092" s="3" t="n">
        <f aca="false">IF(K3092&gt;=Parametri!$B$1,1,0)</f>
        <v>0</v>
      </c>
      <c r="N3092" s="3" t="n">
        <f aca="false">L3092*M3092</f>
        <v>0</v>
      </c>
    </row>
    <row r="3093" customFormat="false" ht="15" hidden="false" customHeight="false" outlineLevel="0" collapsed="false">
      <c r="A3093" s="0" t="s">
        <v>4700</v>
      </c>
      <c r="B3093" s="0" t="s">
        <v>41</v>
      </c>
      <c r="C3093" s="0" t="s">
        <v>4701</v>
      </c>
      <c r="D3093" s="0" t="s">
        <v>26</v>
      </c>
      <c r="E3093" s="2" t="n">
        <v>46035</v>
      </c>
      <c r="F3093" s="3" t="s">
        <v>34</v>
      </c>
      <c r="G3093" s="3" t="s">
        <v>72</v>
      </c>
      <c r="H3093" s="3" t="s">
        <v>48</v>
      </c>
      <c r="I3093" s="3" t="n">
        <f aca="false">YEAR(E3093)</f>
        <v>2026</v>
      </c>
      <c r="J3093" s="3" t="n">
        <f aca="false">MONTH(E3093)</f>
        <v>1</v>
      </c>
      <c r="K3093" s="3" t="n">
        <f aca="false">COUNTIFS($B$2:$B$4077,B3093,$C$2:$C$4077,C3093,$I$2:$I$4077,I3093)</f>
        <v>1</v>
      </c>
      <c r="L3093" s="3" t="n">
        <f aca="false">IF(COUNTIFS($B$2:B3093,B3093,$C$2:C3093,C3093,$I$2:I3093,I3093)=1,1,0)</f>
        <v>1</v>
      </c>
      <c r="M3093" s="3" t="n">
        <f aca="false">IF(K3093&gt;=Parametri!$B$1,1,0)</f>
        <v>0</v>
      </c>
      <c r="N3093" s="3" t="n">
        <f aca="false">L3093*M3093</f>
        <v>0</v>
      </c>
    </row>
    <row r="3094" customFormat="false" ht="15" hidden="false" customHeight="false" outlineLevel="0" collapsed="false">
      <c r="A3094" s="0" t="s">
        <v>4702</v>
      </c>
      <c r="B3094" s="0" t="s">
        <v>57</v>
      </c>
      <c r="C3094" s="0" t="s">
        <v>3549</v>
      </c>
      <c r="D3094" s="0" t="s">
        <v>54</v>
      </c>
      <c r="E3094" s="2" t="n">
        <v>45845</v>
      </c>
      <c r="F3094" s="3" t="s">
        <v>20</v>
      </c>
      <c r="G3094" s="3" t="s">
        <v>43</v>
      </c>
      <c r="H3094" s="3" t="s">
        <v>48</v>
      </c>
      <c r="I3094" s="3" t="n">
        <f aca="false">YEAR(E3094)</f>
        <v>2025</v>
      </c>
      <c r="J3094" s="3" t="n">
        <f aca="false">MONTH(E3094)</f>
        <v>7</v>
      </c>
      <c r="K3094" s="3" t="n">
        <f aca="false">COUNTIFS($B$2:$B$4077,B3094,$C$2:$C$4077,C3094,$I$2:$I$4077,I3094)</f>
        <v>4</v>
      </c>
      <c r="L3094" s="3" t="n">
        <f aca="false">IF(COUNTIFS($B$2:B3094,B3094,$C$2:C3094,C3094,$I$2:I3094,I3094)=1,1,0)</f>
        <v>0</v>
      </c>
      <c r="M3094" s="3" t="n">
        <f aca="false">IF(K3094&gt;=Parametri!$B$1,1,0)</f>
        <v>1</v>
      </c>
      <c r="N3094" s="3" t="n">
        <f aca="false">L3094*M3094</f>
        <v>0</v>
      </c>
    </row>
    <row r="3095" customFormat="false" ht="15" hidden="false" customHeight="false" outlineLevel="0" collapsed="false">
      <c r="A3095" s="0" t="s">
        <v>4703</v>
      </c>
      <c r="B3095" s="0" t="s">
        <v>57</v>
      </c>
      <c r="C3095" s="0" t="s">
        <v>74</v>
      </c>
      <c r="D3095" s="0" t="s">
        <v>77</v>
      </c>
      <c r="E3095" s="2" t="n">
        <v>45380</v>
      </c>
      <c r="F3095" s="3" t="s">
        <v>34</v>
      </c>
      <c r="G3095" s="3" t="s">
        <v>72</v>
      </c>
      <c r="H3095" s="3" t="s">
        <v>48</v>
      </c>
      <c r="I3095" s="3" t="n">
        <f aca="false">YEAR(E3095)</f>
        <v>2024</v>
      </c>
      <c r="J3095" s="3" t="n">
        <f aca="false">MONTH(E3095)</f>
        <v>3</v>
      </c>
      <c r="K3095" s="3" t="n">
        <f aca="false">COUNTIFS($B$2:$B$4077,B3095,$C$2:$C$4077,C3095,$I$2:$I$4077,I3095)</f>
        <v>3</v>
      </c>
      <c r="L3095" s="3" t="n">
        <f aca="false">IF(COUNTIFS($B$2:B3095,B3095,$C$2:C3095,C3095,$I$2:I3095,I3095)=1,1,0)</f>
        <v>0</v>
      </c>
      <c r="M3095" s="3" t="n">
        <f aca="false">IF(K3095&gt;=Parametri!$B$1,1,0)</f>
        <v>1</v>
      </c>
      <c r="N3095" s="3" t="n">
        <f aca="false">L3095*M3095</f>
        <v>0</v>
      </c>
    </row>
    <row r="3096" customFormat="false" ht="15" hidden="false" customHeight="false" outlineLevel="0" collapsed="false">
      <c r="A3096" s="0" t="s">
        <v>4704</v>
      </c>
      <c r="B3096" s="0" t="s">
        <v>124</v>
      </c>
      <c r="C3096" s="0" t="s">
        <v>235</v>
      </c>
      <c r="D3096" s="0" t="s">
        <v>63</v>
      </c>
      <c r="E3096" s="2" t="n">
        <v>45598</v>
      </c>
      <c r="F3096" s="3" t="s">
        <v>27</v>
      </c>
      <c r="G3096" s="3" t="s">
        <v>43</v>
      </c>
      <c r="H3096" s="3" t="s">
        <v>22</v>
      </c>
      <c r="I3096" s="3" t="n">
        <f aca="false">YEAR(E3096)</f>
        <v>2024</v>
      </c>
      <c r="J3096" s="3" t="n">
        <f aca="false">MONTH(E3096)</f>
        <v>11</v>
      </c>
      <c r="K3096" s="3" t="n">
        <f aca="false">COUNTIFS($B$2:$B$4077,B3096,$C$2:$C$4077,C3096,$I$2:$I$4077,I3096)</f>
        <v>2</v>
      </c>
      <c r="L3096" s="3" t="n">
        <f aca="false">IF(COUNTIFS($B$2:B3096,B3096,$C$2:C3096,C3096,$I$2:I3096,I3096)=1,1,0)</f>
        <v>1</v>
      </c>
      <c r="M3096" s="3" t="n">
        <f aca="false">IF(K3096&gt;=Parametri!$B$1,1,0)</f>
        <v>1</v>
      </c>
      <c r="N3096" s="3" t="n">
        <f aca="false">L3096*M3096</f>
        <v>1</v>
      </c>
    </row>
    <row r="3097" customFormat="false" ht="15" hidden="false" customHeight="false" outlineLevel="0" collapsed="false">
      <c r="A3097" s="0" t="s">
        <v>4705</v>
      </c>
      <c r="B3097" s="0" t="s">
        <v>124</v>
      </c>
      <c r="C3097" s="0" t="s">
        <v>1574</v>
      </c>
      <c r="D3097" s="0" t="s">
        <v>38</v>
      </c>
      <c r="E3097" s="2" t="n">
        <v>46178</v>
      </c>
      <c r="F3097" s="3" t="s">
        <v>20</v>
      </c>
      <c r="G3097" s="3" t="s">
        <v>72</v>
      </c>
      <c r="H3097" s="3" t="s">
        <v>48</v>
      </c>
      <c r="I3097" s="3" t="n">
        <f aca="false">YEAR(E3097)</f>
        <v>2026</v>
      </c>
      <c r="J3097" s="3" t="n">
        <f aca="false">MONTH(E3097)</f>
        <v>6</v>
      </c>
      <c r="K3097" s="3" t="n">
        <f aca="false">COUNTIFS($B$2:$B$4077,B3097,$C$2:$C$4077,C3097,$I$2:$I$4077,I3097)</f>
        <v>1</v>
      </c>
      <c r="L3097" s="3" t="n">
        <f aca="false">IF(COUNTIFS($B$2:B3097,B3097,$C$2:C3097,C3097,$I$2:I3097,I3097)=1,1,0)</f>
        <v>1</v>
      </c>
      <c r="M3097" s="3" t="n">
        <f aca="false">IF(K3097&gt;=Parametri!$B$1,1,0)</f>
        <v>0</v>
      </c>
      <c r="N3097" s="3" t="n">
        <f aca="false">L3097*M3097</f>
        <v>0</v>
      </c>
    </row>
    <row r="3098" customFormat="false" ht="15" hidden="false" customHeight="false" outlineLevel="0" collapsed="false">
      <c r="A3098" s="0" t="s">
        <v>4706</v>
      </c>
      <c r="B3098" s="0" t="s">
        <v>57</v>
      </c>
      <c r="C3098" s="0" t="s">
        <v>1797</v>
      </c>
      <c r="D3098" s="0" t="s">
        <v>19</v>
      </c>
      <c r="E3098" s="2" t="n">
        <v>45458</v>
      </c>
      <c r="F3098" s="3" t="s">
        <v>27</v>
      </c>
      <c r="G3098" s="3" t="s">
        <v>28</v>
      </c>
      <c r="H3098" s="3" t="s">
        <v>22</v>
      </c>
      <c r="I3098" s="3" t="n">
        <f aca="false">YEAR(E3098)</f>
        <v>2024</v>
      </c>
      <c r="J3098" s="3" t="n">
        <f aca="false">MONTH(E3098)</f>
        <v>6</v>
      </c>
      <c r="K3098" s="3" t="n">
        <f aca="false">COUNTIFS($B$2:$B$4077,B3098,$C$2:$C$4077,C3098,$I$2:$I$4077,I3098)</f>
        <v>2</v>
      </c>
      <c r="L3098" s="3" t="n">
        <f aca="false">IF(COUNTIFS($B$2:B3098,B3098,$C$2:C3098,C3098,$I$2:I3098,I3098)=1,1,0)</f>
        <v>0</v>
      </c>
      <c r="M3098" s="3" t="n">
        <f aca="false">IF(K3098&gt;=Parametri!$B$1,1,0)</f>
        <v>1</v>
      </c>
      <c r="N3098" s="3" t="n">
        <f aca="false">L3098*M3098</f>
        <v>0</v>
      </c>
    </row>
    <row r="3099" customFormat="false" ht="15" hidden="false" customHeight="false" outlineLevel="0" collapsed="false">
      <c r="A3099" s="0" t="s">
        <v>4707</v>
      </c>
      <c r="B3099" s="0" t="s">
        <v>41</v>
      </c>
      <c r="C3099" s="0" t="s">
        <v>1753</v>
      </c>
      <c r="D3099" s="0" t="s">
        <v>33</v>
      </c>
      <c r="E3099" s="2" t="n">
        <v>46190</v>
      </c>
      <c r="F3099" s="3" t="s">
        <v>104</v>
      </c>
      <c r="G3099" s="3" t="s">
        <v>104</v>
      </c>
      <c r="H3099" s="3" t="s">
        <v>104</v>
      </c>
      <c r="I3099" s="3" t="n">
        <f aca="false">YEAR(E3099)</f>
        <v>2026</v>
      </c>
      <c r="J3099" s="3" t="n">
        <f aca="false">MONTH(E3099)</f>
        <v>6</v>
      </c>
      <c r="K3099" s="3" t="n">
        <f aca="false">COUNTIFS($B$2:$B$4077,B3099,$C$2:$C$4077,C3099,$I$2:$I$4077,I3099)</f>
        <v>2</v>
      </c>
      <c r="L3099" s="3" t="n">
        <f aca="false">IF(COUNTIFS($B$2:B3099,B3099,$C$2:C3099,C3099,$I$2:I3099,I3099)=1,1,0)</f>
        <v>0</v>
      </c>
      <c r="M3099" s="3" t="n">
        <f aca="false">IF(K3099&gt;=Parametri!$B$1,1,0)</f>
        <v>1</v>
      </c>
      <c r="N3099" s="3" t="n">
        <f aca="false">L3099*M3099</f>
        <v>0</v>
      </c>
    </row>
    <row r="3100" customFormat="false" ht="15" hidden="false" customHeight="false" outlineLevel="0" collapsed="false">
      <c r="A3100" s="0" t="s">
        <v>4708</v>
      </c>
      <c r="B3100" s="0" t="s">
        <v>41</v>
      </c>
      <c r="C3100" s="0" t="s">
        <v>2874</v>
      </c>
      <c r="D3100" s="0" t="s">
        <v>66</v>
      </c>
      <c r="E3100" s="2" t="n">
        <v>45867</v>
      </c>
      <c r="F3100" s="3" t="s">
        <v>27</v>
      </c>
      <c r="G3100" s="3" t="s">
        <v>43</v>
      </c>
      <c r="H3100" s="3" t="s">
        <v>48</v>
      </c>
      <c r="I3100" s="3" t="n">
        <f aca="false">YEAR(E3100)</f>
        <v>2025</v>
      </c>
      <c r="J3100" s="3" t="n">
        <f aca="false">MONTH(E3100)</f>
        <v>7</v>
      </c>
      <c r="K3100" s="3" t="n">
        <f aca="false">COUNTIFS($B$2:$B$4077,B3100,$C$2:$C$4077,C3100,$I$2:$I$4077,I3100)</f>
        <v>2</v>
      </c>
      <c r="L3100" s="3" t="n">
        <f aca="false">IF(COUNTIFS($B$2:B3100,B3100,$C$2:C3100,C3100,$I$2:I3100,I3100)=1,1,0)</f>
        <v>0</v>
      </c>
      <c r="M3100" s="3" t="n">
        <f aca="false">IF(K3100&gt;=Parametri!$B$1,1,0)</f>
        <v>1</v>
      </c>
      <c r="N3100" s="3" t="n">
        <f aca="false">L3100*M3100</f>
        <v>0</v>
      </c>
    </row>
    <row r="3101" customFormat="false" ht="15" hidden="false" customHeight="false" outlineLevel="0" collapsed="false">
      <c r="A3101" s="0" t="s">
        <v>4709</v>
      </c>
      <c r="B3101" s="0" t="s">
        <v>41</v>
      </c>
      <c r="C3101" s="0" t="s">
        <v>4710</v>
      </c>
      <c r="D3101" s="0" t="s">
        <v>33</v>
      </c>
      <c r="E3101" s="2" t="n">
        <v>45541</v>
      </c>
      <c r="F3101" s="3" t="s">
        <v>20</v>
      </c>
      <c r="G3101" s="3" t="s">
        <v>89</v>
      </c>
      <c r="H3101" s="3" t="s">
        <v>22</v>
      </c>
      <c r="I3101" s="3" t="n">
        <f aca="false">YEAR(E3101)</f>
        <v>2024</v>
      </c>
      <c r="J3101" s="3" t="n">
        <f aca="false">MONTH(E3101)</f>
        <v>9</v>
      </c>
      <c r="K3101" s="3" t="n">
        <f aca="false">COUNTIFS($B$2:$B$4077,B3101,$C$2:$C$4077,C3101,$I$2:$I$4077,I3101)</f>
        <v>1</v>
      </c>
      <c r="L3101" s="3" t="n">
        <f aca="false">IF(COUNTIFS($B$2:B3101,B3101,$C$2:C3101,C3101,$I$2:I3101,I3101)=1,1,0)</f>
        <v>1</v>
      </c>
      <c r="M3101" s="3" t="n">
        <f aca="false">IF(K3101&gt;=Parametri!$B$1,1,0)</f>
        <v>0</v>
      </c>
      <c r="N3101" s="3" t="n">
        <f aca="false">L3101*M3101</f>
        <v>0</v>
      </c>
    </row>
    <row r="3102" customFormat="false" ht="15" hidden="false" customHeight="false" outlineLevel="0" collapsed="false">
      <c r="A3102" s="0" t="s">
        <v>4711</v>
      </c>
      <c r="B3102" s="0" t="s">
        <v>57</v>
      </c>
      <c r="C3102" s="0" t="s">
        <v>263</v>
      </c>
      <c r="D3102" s="0" t="s">
        <v>63</v>
      </c>
      <c r="E3102" s="2" t="n">
        <v>45910</v>
      </c>
      <c r="F3102" s="3" t="s">
        <v>20</v>
      </c>
      <c r="G3102" s="3" t="s">
        <v>55</v>
      </c>
      <c r="H3102" s="3" t="s">
        <v>22</v>
      </c>
      <c r="I3102" s="3" t="n">
        <f aca="false">YEAR(E3102)</f>
        <v>2025</v>
      </c>
      <c r="J3102" s="3" t="n">
        <f aca="false">MONTH(E3102)</f>
        <v>9</v>
      </c>
      <c r="K3102" s="3" t="n">
        <f aca="false">COUNTIFS($B$2:$B$4077,B3102,$C$2:$C$4077,C3102,$I$2:$I$4077,I3102)</f>
        <v>2</v>
      </c>
      <c r="L3102" s="3" t="n">
        <f aca="false">IF(COUNTIFS($B$2:B3102,B3102,$C$2:C3102,C3102,$I$2:I3102,I3102)=1,1,0)</f>
        <v>0</v>
      </c>
      <c r="M3102" s="3" t="n">
        <f aca="false">IF(K3102&gt;=Parametri!$B$1,1,0)</f>
        <v>1</v>
      </c>
      <c r="N3102" s="3" t="n">
        <f aca="false">L3102*M3102</f>
        <v>0</v>
      </c>
    </row>
    <row r="3103" customFormat="false" ht="15" hidden="false" customHeight="false" outlineLevel="0" collapsed="false">
      <c r="A3103" s="0" t="s">
        <v>4712</v>
      </c>
      <c r="B3103" s="0" t="s">
        <v>41</v>
      </c>
      <c r="C3103" s="0" t="s">
        <v>2760</v>
      </c>
      <c r="D3103" s="0" t="s">
        <v>26</v>
      </c>
      <c r="E3103" s="2" t="n">
        <v>45311</v>
      </c>
      <c r="F3103" s="3" t="s">
        <v>20</v>
      </c>
      <c r="G3103" s="3" t="s">
        <v>55</v>
      </c>
      <c r="H3103" s="3" t="s">
        <v>29</v>
      </c>
      <c r="I3103" s="3" t="n">
        <f aca="false">YEAR(E3103)</f>
        <v>2024</v>
      </c>
      <c r="J3103" s="3" t="n">
        <f aca="false">MONTH(E3103)</f>
        <v>1</v>
      </c>
      <c r="K3103" s="3" t="n">
        <f aca="false">COUNTIFS($B$2:$B$4077,B3103,$C$2:$C$4077,C3103,$I$2:$I$4077,I3103)</f>
        <v>1</v>
      </c>
      <c r="L3103" s="3" t="n">
        <f aca="false">IF(COUNTIFS($B$2:B3103,B3103,$C$2:C3103,C3103,$I$2:I3103,I3103)=1,1,0)</f>
        <v>1</v>
      </c>
      <c r="M3103" s="3" t="n">
        <f aca="false">IF(K3103&gt;=Parametri!$B$1,1,0)</f>
        <v>0</v>
      </c>
      <c r="N3103" s="3" t="n">
        <f aca="false">L3103*M3103</f>
        <v>0</v>
      </c>
    </row>
    <row r="3104" customFormat="false" ht="15" hidden="false" customHeight="false" outlineLevel="0" collapsed="false">
      <c r="A3104" s="0" t="s">
        <v>4713</v>
      </c>
      <c r="B3104" s="0" t="s">
        <v>17</v>
      </c>
      <c r="C3104" s="0" t="s">
        <v>944</v>
      </c>
      <c r="D3104" s="0" t="s">
        <v>38</v>
      </c>
      <c r="E3104" s="2" t="n">
        <v>45451</v>
      </c>
      <c r="F3104" s="3" t="s">
        <v>34</v>
      </c>
      <c r="G3104" s="3" t="s">
        <v>28</v>
      </c>
      <c r="H3104" s="3" t="s">
        <v>29</v>
      </c>
      <c r="I3104" s="3" t="n">
        <f aca="false">YEAR(E3104)</f>
        <v>2024</v>
      </c>
      <c r="J3104" s="3" t="n">
        <f aca="false">MONTH(E3104)</f>
        <v>6</v>
      </c>
      <c r="K3104" s="3" t="n">
        <f aca="false">COUNTIFS($B$2:$B$4077,B3104,$C$2:$C$4077,C3104,$I$2:$I$4077,I3104)</f>
        <v>1</v>
      </c>
      <c r="L3104" s="3" t="n">
        <f aca="false">IF(COUNTIFS($B$2:B3104,B3104,$C$2:C3104,C3104,$I$2:I3104,I3104)=1,1,0)</f>
        <v>1</v>
      </c>
      <c r="M3104" s="3" t="n">
        <f aca="false">IF(K3104&gt;=Parametri!$B$1,1,0)</f>
        <v>0</v>
      </c>
      <c r="N3104" s="3" t="n">
        <f aca="false">L3104*M3104</f>
        <v>0</v>
      </c>
    </row>
    <row r="3105" customFormat="false" ht="15" hidden="false" customHeight="false" outlineLevel="0" collapsed="false">
      <c r="A3105" s="0" t="s">
        <v>4714</v>
      </c>
      <c r="B3105" s="0" t="s">
        <v>46</v>
      </c>
      <c r="C3105" s="0" t="s">
        <v>625</v>
      </c>
      <c r="D3105" s="0" t="s">
        <v>38</v>
      </c>
      <c r="E3105" s="2" t="n">
        <v>45571</v>
      </c>
      <c r="F3105" s="3" t="s">
        <v>34</v>
      </c>
      <c r="G3105" s="3" t="s">
        <v>39</v>
      </c>
      <c r="H3105" s="3" t="s">
        <v>44</v>
      </c>
      <c r="I3105" s="3" t="n">
        <f aca="false">YEAR(E3105)</f>
        <v>2024</v>
      </c>
      <c r="J3105" s="3" t="n">
        <f aca="false">MONTH(E3105)</f>
        <v>10</v>
      </c>
      <c r="K3105" s="3" t="n">
        <f aca="false">COUNTIFS($B$2:$B$4077,B3105,$C$2:$C$4077,C3105,$I$2:$I$4077,I3105)</f>
        <v>3</v>
      </c>
      <c r="L3105" s="3" t="n">
        <f aca="false">IF(COUNTIFS($B$2:B3105,B3105,$C$2:C3105,C3105,$I$2:I3105,I3105)=1,1,0)</f>
        <v>0</v>
      </c>
      <c r="M3105" s="3" t="n">
        <f aca="false">IF(K3105&gt;=Parametri!$B$1,1,0)</f>
        <v>1</v>
      </c>
      <c r="N3105" s="3" t="n">
        <f aca="false">L3105*M3105</f>
        <v>0</v>
      </c>
    </row>
    <row r="3106" customFormat="false" ht="15" hidden="false" customHeight="false" outlineLevel="0" collapsed="false">
      <c r="A3106" s="0" t="s">
        <v>4715</v>
      </c>
      <c r="B3106" s="0" t="s">
        <v>41</v>
      </c>
      <c r="C3106" s="0" t="s">
        <v>1257</v>
      </c>
      <c r="D3106" s="0" t="s">
        <v>54</v>
      </c>
      <c r="E3106" s="2" t="n">
        <v>45338</v>
      </c>
      <c r="F3106" s="3" t="s">
        <v>27</v>
      </c>
      <c r="G3106" s="3" t="s">
        <v>72</v>
      </c>
      <c r="H3106" s="3" t="s">
        <v>29</v>
      </c>
      <c r="I3106" s="3" t="n">
        <f aca="false">YEAR(E3106)</f>
        <v>2024</v>
      </c>
      <c r="J3106" s="3" t="n">
        <f aca="false">MONTH(E3106)</f>
        <v>2</v>
      </c>
      <c r="K3106" s="3" t="n">
        <f aca="false">COUNTIFS($B$2:$B$4077,B3106,$C$2:$C$4077,C3106,$I$2:$I$4077,I3106)</f>
        <v>1</v>
      </c>
      <c r="L3106" s="3" t="n">
        <f aca="false">IF(COUNTIFS($B$2:B3106,B3106,$C$2:C3106,C3106,$I$2:I3106,I3106)=1,1,0)</f>
        <v>1</v>
      </c>
      <c r="M3106" s="3" t="n">
        <f aca="false">IF(K3106&gt;=Parametri!$B$1,1,0)</f>
        <v>0</v>
      </c>
      <c r="N3106" s="3" t="n">
        <f aca="false">L3106*M3106</f>
        <v>0</v>
      </c>
    </row>
    <row r="3107" customFormat="false" ht="15" hidden="false" customHeight="false" outlineLevel="0" collapsed="false">
      <c r="A3107" s="0" t="s">
        <v>4716</v>
      </c>
      <c r="B3107" s="0" t="s">
        <v>24</v>
      </c>
      <c r="C3107" s="0" t="s">
        <v>4432</v>
      </c>
      <c r="D3107" s="0" t="s">
        <v>19</v>
      </c>
      <c r="E3107" s="2" t="n">
        <v>46226</v>
      </c>
      <c r="F3107" s="3" t="s">
        <v>104</v>
      </c>
      <c r="G3107" s="3" t="s">
        <v>104</v>
      </c>
      <c r="H3107" s="3" t="s">
        <v>104</v>
      </c>
      <c r="I3107" s="3" t="n">
        <f aca="false">YEAR(E3107)</f>
        <v>2026</v>
      </c>
      <c r="J3107" s="3" t="n">
        <f aca="false">MONTH(E3107)</f>
        <v>7</v>
      </c>
      <c r="K3107" s="3" t="n">
        <f aca="false">COUNTIFS($B$2:$B$4077,B3107,$C$2:$C$4077,C3107,$I$2:$I$4077,I3107)</f>
        <v>2</v>
      </c>
      <c r="L3107" s="3" t="n">
        <f aca="false">IF(COUNTIFS($B$2:B3107,B3107,$C$2:C3107,C3107,$I$2:I3107,I3107)=1,1,0)</f>
        <v>0</v>
      </c>
      <c r="M3107" s="3" t="n">
        <f aca="false">IF(K3107&gt;=Parametri!$B$1,1,0)</f>
        <v>1</v>
      </c>
      <c r="N3107" s="3" t="n">
        <f aca="false">L3107*M3107</f>
        <v>0</v>
      </c>
    </row>
    <row r="3108" customFormat="false" ht="15" hidden="false" customHeight="false" outlineLevel="0" collapsed="false">
      <c r="A3108" s="0" t="s">
        <v>4717</v>
      </c>
      <c r="B3108" s="0" t="s">
        <v>57</v>
      </c>
      <c r="C3108" s="0" t="s">
        <v>97</v>
      </c>
      <c r="D3108" s="0" t="s">
        <v>38</v>
      </c>
      <c r="E3108" s="2" t="n">
        <v>45292</v>
      </c>
      <c r="F3108" s="3" t="s">
        <v>34</v>
      </c>
      <c r="G3108" s="3" t="s">
        <v>72</v>
      </c>
      <c r="H3108" s="3" t="s">
        <v>29</v>
      </c>
      <c r="I3108" s="3" t="n">
        <f aca="false">YEAR(E3108)</f>
        <v>2024</v>
      </c>
      <c r="J3108" s="3" t="n">
        <f aca="false">MONTH(E3108)</f>
        <v>1</v>
      </c>
      <c r="K3108" s="3" t="n">
        <f aca="false">COUNTIFS($B$2:$B$4077,B3108,$C$2:$C$4077,C3108,$I$2:$I$4077,I3108)</f>
        <v>2</v>
      </c>
      <c r="L3108" s="3" t="n">
        <f aca="false">IF(COUNTIFS($B$2:B3108,B3108,$C$2:C3108,C3108,$I$2:I3108,I3108)=1,1,0)</f>
        <v>0</v>
      </c>
      <c r="M3108" s="3" t="n">
        <f aca="false">IF(K3108&gt;=Parametri!$B$1,1,0)</f>
        <v>1</v>
      </c>
      <c r="N3108" s="3" t="n">
        <f aca="false">L3108*M3108</f>
        <v>0</v>
      </c>
    </row>
    <row r="3109" customFormat="false" ht="15" hidden="false" customHeight="false" outlineLevel="0" collapsed="false">
      <c r="A3109" s="0" t="s">
        <v>4718</v>
      </c>
      <c r="B3109" s="0" t="s">
        <v>31</v>
      </c>
      <c r="C3109" s="0" t="s">
        <v>1767</v>
      </c>
      <c r="D3109" s="0" t="s">
        <v>77</v>
      </c>
      <c r="E3109" s="2" t="n">
        <v>45840</v>
      </c>
      <c r="F3109" s="3" t="s">
        <v>34</v>
      </c>
      <c r="G3109" s="3" t="s">
        <v>28</v>
      </c>
      <c r="H3109" s="3" t="s">
        <v>44</v>
      </c>
      <c r="I3109" s="3" t="n">
        <f aca="false">YEAR(E3109)</f>
        <v>2025</v>
      </c>
      <c r="J3109" s="3" t="n">
        <f aca="false">MONTH(E3109)</f>
        <v>7</v>
      </c>
      <c r="K3109" s="3" t="n">
        <f aca="false">COUNTIFS($B$2:$B$4077,B3109,$C$2:$C$4077,C3109,$I$2:$I$4077,I3109)</f>
        <v>3</v>
      </c>
      <c r="L3109" s="3" t="n">
        <f aca="false">IF(COUNTIFS($B$2:B3109,B3109,$C$2:C3109,C3109,$I$2:I3109,I3109)=1,1,0)</f>
        <v>0</v>
      </c>
      <c r="M3109" s="3" t="n">
        <f aca="false">IF(K3109&gt;=Parametri!$B$1,1,0)</f>
        <v>1</v>
      </c>
      <c r="N3109" s="3" t="n">
        <f aca="false">L3109*M3109</f>
        <v>0</v>
      </c>
    </row>
    <row r="3110" customFormat="false" ht="15" hidden="false" customHeight="false" outlineLevel="0" collapsed="false">
      <c r="A3110" s="0" t="s">
        <v>4719</v>
      </c>
      <c r="B3110" s="0" t="s">
        <v>68</v>
      </c>
      <c r="C3110" s="0" t="s">
        <v>4720</v>
      </c>
      <c r="D3110" s="0" t="s">
        <v>19</v>
      </c>
      <c r="E3110" s="2" t="n">
        <v>45741</v>
      </c>
      <c r="F3110" s="3" t="s">
        <v>27</v>
      </c>
      <c r="G3110" s="3" t="s">
        <v>89</v>
      </c>
      <c r="H3110" s="3" t="s">
        <v>22</v>
      </c>
      <c r="I3110" s="3" t="n">
        <f aca="false">YEAR(E3110)</f>
        <v>2025</v>
      </c>
      <c r="J3110" s="3" t="n">
        <f aca="false">MONTH(E3110)</f>
        <v>3</v>
      </c>
      <c r="K3110" s="3" t="n">
        <f aca="false">COUNTIFS($B$2:$B$4077,B3110,$C$2:$C$4077,C3110,$I$2:$I$4077,I3110)</f>
        <v>1</v>
      </c>
      <c r="L3110" s="3" t="n">
        <f aca="false">IF(COUNTIFS($B$2:B3110,B3110,$C$2:C3110,C3110,$I$2:I3110,I3110)=1,1,0)</f>
        <v>1</v>
      </c>
      <c r="M3110" s="3" t="n">
        <f aca="false">IF(K3110&gt;=Parametri!$B$1,1,0)</f>
        <v>0</v>
      </c>
      <c r="N3110" s="3" t="n">
        <f aca="false">L3110*M3110</f>
        <v>0</v>
      </c>
    </row>
    <row r="3111" customFormat="false" ht="15" hidden="false" customHeight="false" outlineLevel="0" collapsed="false">
      <c r="A3111" s="0" t="s">
        <v>4721</v>
      </c>
      <c r="B3111" s="0" t="s">
        <v>17</v>
      </c>
      <c r="C3111" s="0" t="s">
        <v>231</v>
      </c>
      <c r="D3111" s="0" t="s">
        <v>33</v>
      </c>
      <c r="E3111" s="2" t="n">
        <v>46097</v>
      </c>
      <c r="F3111" s="3" t="s">
        <v>20</v>
      </c>
      <c r="G3111" s="3" t="s">
        <v>21</v>
      </c>
      <c r="H3111" s="3" t="s">
        <v>29</v>
      </c>
      <c r="I3111" s="3" t="n">
        <f aca="false">YEAR(E3111)</f>
        <v>2026</v>
      </c>
      <c r="J3111" s="3" t="n">
        <f aca="false">MONTH(E3111)</f>
        <v>3</v>
      </c>
      <c r="K3111" s="3" t="n">
        <f aca="false">COUNTIFS($B$2:$B$4077,B3111,$C$2:$C$4077,C3111,$I$2:$I$4077,I3111)</f>
        <v>3</v>
      </c>
      <c r="L3111" s="3" t="n">
        <f aca="false">IF(COUNTIFS($B$2:B3111,B3111,$C$2:C3111,C3111,$I$2:I3111,I3111)=1,1,0)</f>
        <v>0</v>
      </c>
      <c r="M3111" s="3" t="n">
        <f aca="false">IF(K3111&gt;=Parametri!$B$1,1,0)</f>
        <v>1</v>
      </c>
      <c r="N3111" s="3" t="n">
        <f aca="false">L3111*M3111</f>
        <v>0</v>
      </c>
    </row>
    <row r="3112" customFormat="false" ht="15" hidden="false" customHeight="false" outlineLevel="0" collapsed="false">
      <c r="A3112" s="0" t="s">
        <v>4722</v>
      </c>
      <c r="B3112" s="0" t="s">
        <v>79</v>
      </c>
      <c r="C3112" s="0" t="s">
        <v>830</v>
      </c>
      <c r="D3112" s="0" t="s">
        <v>77</v>
      </c>
      <c r="E3112" s="2" t="n">
        <v>45542</v>
      </c>
      <c r="F3112" s="3" t="s">
        <v>20</v>
      </c>
      <c r="G3112" s="3" t="s">
        <v>55</v>
      </c>
      <c r="H3112" s="3" t="s">
        <v>48</v>
      </c>
      <c r="I3112" s="3" t="n">
        <f aca="false">YEAR(E3112)</f>
        <v>2024</v>
      </c>
      <c r="J3112" s="3" t="n">
        <f aca="false">MONTH(E3112)</f>
        <v>9</v>
      </c>
      <c r="K3112" s="3" t="n">
        <f aca="false">COUNTIFS($B$2:$B$4077,B3112,$C$2:$C$4077,C3112,$I$2:$I$4077,I3112)</f>
        <v>2</v>
      </c>
      <c r="L3112" s="3" t="n">
        <f aca="false">IF(COUNTIFS($B$2:B3112,B3112,$C$2:C3112,C3112,$I$2:I3112,I3112)=1,1,0)</f>
        <v>1</v>
      </c>
      <c r="M3112" s="3" t="n">
        <f aca="false">IF(K3112&gt;=Parametri!$B$1,1,0)</f>
        <v>1</v>
      </c>
      <c r="N3112" s="3" t="n">
        <f aca="false">L3112*M3112</f>
        <v>1</v>
      </c>
    </row>
    <row r="3113" customFormat="false" ht="15" hidden="false" customHeight="false" outlineLevel="0" collapsed="false">
      <c r="A3113" s="0" t="s">
        <v>4723</v>
      </c>
      <c r="B3113" s="0" t="s">
        <v>31</v>
      </c>
      <c r="C3113" s="0" t="s">
        <v>1769</v>
      </c>
      <c r="D3113" s="0" t="s">
        <v>33</v>
      </c>
      <c r="E3113" s="2" t="n">
        <v>46212</v>
      </c>
      <c r="F3113" s="3" t="s">
        <v>34</v>
      </c>
      <c r="G3113" s="3" t="s">
        <v>35</v>
      </c>
      <c r="H3113" s="3" t="s">
        <v>44</v>
      </c>
      <c r="I3113" s="3" t="n">
        <f aca="false">YEAR(E3113)</f>
        <v>2026</v>
      </c>
      <c r="J3113" s="3" t="n">
        <f aca="false">MONTH(E3113)</f>
        <v>7</v>
      </c>
      <c r="K3113" s="3" t="n">
        <f aca="false">COUNTIFS($B$2:$B$4077,B3113,$C$2:$C$4077,C3113,$I$2:$I$4077,I3113)</f>
        <v>3</v>
      </c>
      <c r="L3113" s="3" t="n">
        <f aca="false">IF(COUNTIFS($B$2:B3113,B3113,$C$2:C3113,C3113,$I$2:I3113,I3113)=1,1,0)</f>
        <v>0</v>
      </c>
      <c r="M3113" s="3" t="n">
        <f aca="false">IF(K3113&gt;=Parametri!$B$1,1,0)</f>
        <v>1</v>
      </c>
      <c r="N3113" s="3" t="n">
        <f aca="false">L3113*M3113</f>
        <v>0</v>
      </c>
    </row>
    <row r="3114" customFormat="false" ht="15" hidden="false" customHeight="false" outlineLevel="0" collapsed="false">
      <c r="A3114" s="0" t="s">
        <v>4724</v>
      </c>
      <c r="B3114" s="0" t="s">
        <v>31</v>
      </c>
      <c r="C3114" s="0" t="s">
        <v>2583</v>
      </c>
      <c r="D3114" s="0" t="s">
        <v>38</v>
      </c>
      <c r="E3114" s="2" t="n">
        <v>45744</v>
      </c>
      <c r="F3114" s="3" t="s">
        <v>20</v>
      </c>
      <c r="G3114" s="3" t="s">
        <v>35</v>
      </c>
      <c r="H3114" s="3" t="s">
        <v>29</v>
      </c>
      <c r="I3114" s="3" t="n">
        <f aca="false">YEAR(E3114)</f>
        <v>2025</v>
      </c>
      <c r="J3114" s="3" t="n">
        <f aca="false">MONTH(E3114)</f>
        <v>3</v>
      </c>
      <c r="K3114" s="3" t="n">
        <f aca="false">COUNTIFS($B$2:$B$4077,B3114,$C$2:$C$4077,C3114,$I$2:$I$4077,I3114)</f>
        <v>2</v>
      </c>
      <c r="L3114" s="3" t="n">
        <f aca="false">IF(COUNTIFS($B$2:B3114,B3114,$C$2:C3114,C3114,$I$2:I3114,I3114)=1,1,0)</f>
        <v>0</v>
      </c>
      <c r="M3114" s="3" t="n">
        <f aca="false">IF(K3114&gt;=Parametri!$B$1,1,0)</f>
        <v>1</v>
      </c>
      <c r="N3114" s="3" t="n">
        <f aca="false">L3114*M3114</f>
        <v>0</v>
      </c>
    </row>
    <row r="3115" customFormat="false" ht="15" hidden="false" customHeight="false" outlineLevel="0" collapsed="false">
      <c r="A3115" s="0" t="s">
        <v>4725</v>
      </c>
      <c r="B3115" s="0" t="s">
        <v>41</v>
      </c>
      <c r="C3115" s="0" t="s">
        <v>1715</v>
      </c>
      <c r="D3115" s="0" t="s">
        <v>77</v>
      </c>
      <c r="E3115" s="2" t="n">
        <v>45415</v>
      </c>
      <c r="F3115" s="3" t="s">
        <v>20</v>
      </c>
      <c r="G3115" s="3" t="s">
        <v>21</v>
      </c>
      <c r="H3115" s="3" t="s">
        <v>22</v>
      </c>
      <c r="I3115" s="3" t="n">
        <f aca="false">YEAR(E3115)</f>
        <v>2024</v>
      </c>
      <c r="J3115" s="3" t="n">
        <f aca="false">MONTH(E3115)</f>
        <v>5</v>
      </c>
      <c r="K3115" s="3" t="n">
        <f aca="false">COUNTIFS($B$2:$B$4077,B3115,$C$2:$C$4077,C3115,$I$2:$I$4077,I3115)</f>
        <v>2</v>
      </c>
      <c r="L3115" s="3" t="n">
        <f aca="false">IF(COUNTIFS($B$2:B3115,B3115,$C$2:C3115,C3115,$I$2:I3115,I3115)=1,1,0)</f>
        <v>0</v>
      </c>
      <c r="M3115" s="3" t="n">
        <f aca="false">IF(K3115&gt;=Parametri!$B$1,1,0)</f>
        <v>1</v>
      </c>
      <c r="N3115" s="3" t="n">
        <f aca="false">L3115*M3115</f>
        <v>0</v>
      </c>
    </row>
    <row r="3116" customFormat="false" ht="15" hidden="false" customHeight="false" outlineLevel="0" collapsed="false">
      <c r="A3116" s="0" t="s">
        <v>4726</v>
      </c>
      <c r="B3116" s="0" t="s">
        <v>68</v>
      </c>
      <c r="C3116" s="0" t="s">
        <v>4727</v>
      </c>
      <c r="D3116" s="0" t="s">
        <v>63</v>
      </c>
      <c r="E3116" s="2" t="n">
        <v>46122</v>
      </c>
      <c r="F3116" s="3" t="s">
        <v>27</v>
      </c>
      <c r="G3116" s="3" t="s">
        <v>72</v>
      </c>
      <c r="H3116" s="3" t="s">
        <v>22</v>
      </c>
      <c r="I3116" s="3" t="n">
        <f aca="false">YEAR(E3116)</f>
        <v>2026</v>
      </c>
      <c r="J3116" s="3" t="n">
        <f aca="false">MONTH(E3116)</f>
        <v>4</v>
      </c>
      <c r="K3116" s="3" t="n">
        <f aca="false">COUNTIFS($B$2:$B$4077,B3116,$C$2:$C$4077,C3116,$I$2:$I$4077,I3116)</f>
        <v>1</v>
      </c>
      <c r="L3116" s="3" t="n">
        <f aca="false">IF(COUNTIFS($B$2:B3116,B3116,$C$2:C3116,C3116,$I$2:I3116,I3116)=1,1,0)</f>
        <v>1</v>
      </c>
      <c r="M3116" s="3" t="n">
        <f aca="false">IF(K3116&gt;=Parametri!$B$1,1,0)</f>
        <v>0</v>
      </c>
      <c r="N3116" s="3" t="n">
        <f aca="false">L3116*M3116</f>
        <v>0</v>
      </c>
    </row>
    <row r="3117" customFormat="false" ht="15" hidden="false" customHeight="false" outlineLevel="0" collapsed="false">
      <c r="A3117" s="0" t="s">
        <v>4728</v>
      </c>
      <c r="B3117" s="0" t="s">
        <v>79</v>
      </c>
      <c r="C3117" s="0" t="s">
        <v>471</v>
      </c>
      <c r="D3117" s="0" t="s">
        <v>54</v>
      </c>
      <c r="E3117" s="2" t="n">
        <v>45983</v>
      </c>
      <c r="F3117" s="3" t="s">
        <v>27</v>
      </c>
      <c r="G3117" s="3" t="s">
        <v>43</v>
      </c>
      <c r="H3117" s="3" t="s">
        <v>44</v>
      </c>
      <c r="I3117" s="3" t="n">
        <f aca="false">YEAR(E3117)</f>
        <v>2025</v>
      </c>
      <c r="J3117" s="3" t="n">
        <f aca="false">MONTH(E3117)</f>
        <v>11</v>
      </c>
      <c r="K3117" s="3" t="n">
        <f aca="false">COUNTIFS($B$2:$B$4077,B3117,$C$2:$C$4077,C3117,$I$2:$I$4077,I3117)</f>
        <v>3</v>
      </c>
      <c r="L3117" s="3" t="n">
        <f aca="false">IF(COUNTIFS($B$2:B3117,B3117,$C$2:C3117,C3117,$I$2:I3117,I3117)=1,1,0)</f>
        <v>0</v>
      </c>
      <c r="M3117" s="3" t="n">
        <f aca="false">IF(K3117&gt;=Parametri!$B$1,1,0)</f>
        <v>1</v>
      </c>
      <c r="N3117" s="3" t="n">
        <f aca="false">L3117*M3117</f>
        <v>0</v>
      </c>
    </row>
    <row r="3118" customFormat="false" ht="15" hidden="false" customHeight="false" outlineLevel="0" collapsed="false">
      <c r="A3118" s="0" t="s">
        <v>4729</v>
      </c>
      <c r="B3118" s="0" t="s">
        <v>57</v>
      </c>
      <c r="C3118" s="0" t="s">
        <v>465</v>
      </c>
      <c r="D3118" s="0" t="s">
        <v>26</v>
      </c>
      <c r="E3118" s="2" t="n">
        <v>46166</v>
      </c>
      <c r="F3118" s="3" t="s">
        <v>27</v>
      </c>
      <c r="G3118" s="3" t="s">
        <v>89</v>
      </c>
      <c r="H3118" s="3" t="s">
        <v>29</v>
      </c>
      <c r="I3118" s="3" t="n">
        <f aca="false">YEAR(E3118)</f>
        <v>2026</v>
      </c>
      <c r="J3118" s="3" t="n">
        <f aca="false">MONTH(E3118)</f>
        <v>5</v>
      </c>
      <c r="K3118" s="3" t="n">
        <f aca="false">COUNTIFS($B$2:$B$4077,B3118,$C$2:$C$4077,C3118,$I$2:$I$4077,I3118)</f>
        <v>2</v>
      </c>
      <c r="L3118" s="3" t="n">
        <f aca="false">IF(COUNTIFS($B$2:B3118,B3118,$C$2:C3118,C3118,$I$2:I3118,I3118)=1,1,0)</f>
        <v>0</v>
      </c>
      <c r="M3118" s="3" t="n">
        <f aca="false">IF(K3118&gt;=Parametri!$B$1,1,0)</f>
        <v>1</v>
      </c>
      <c r="N3118" s="3" t="n">
        <f aca="false">L3118*M3118</f>
        <v>0</v>
      </c>
    </row>
    <row r="3119" customFormat="false" ht="15" hidden="false" customHeight="false" outlineLevel="0" collapsed="false">
      <c r="A3119" s="0" t="s">
        <v>4730</v>
      </c>
      <c r="B3119" s="0" t="s">
        <v>124</v>
      </c>
      <c r="C3119" s="0" t="s">
        <v>1279</v>
      </c>
      <c r="D3119" s="0" t="s">
        <v>63</v>
      </c>
      <c r="E3119" s="2" t="n">
        <v>45916</v>
      </c>
      <c r="F3119" s="3" t="s">
        <v>34</v>
      </c>
      <c r="G3119" s="3" t="s">
        <v>21</v>
      </c>
      <c r="H3119" s="3" t="s">
        <v>44</v>
      </c>
      <c r="I3119" s="3" t="n">
        <f aca="false">YEAR(E3119)</f>
        <v>2025</v>
      </c>
      <c r="J3119" s="3" t="n">
        <f aca="false">MONTH(E3119)</f>
        <v>9</v>
      </c>
      <c r="K3119" s="3" t="n">
        <f aca="false">COUNTIFS($B$2:$B$4077,B3119,$C$2:$C$4077,C3119,$I$2:$I$4077,I3119)</f>
        <v>8</v>
      </c>
      <c r="L3119" s="3" t="n">
        <f aca="false">IF(COUNTIFS($B$2:B3119,B3119,$C$2:C3119,C3119,$I$2:I3119,I3119)=1,1,0)</f>
        <v>0</v>
      </c>
      <c r="M3119" s="3" t="n">
        <f aca="false">IF(K3119&gt;=Parametri!$B$1,1,0)</f>
        <v>1</v>
      </c>
      <c r="N3119" s="3" t="n">
        <f aca="false">L3119*M3119</f>
        <v>0</v>
      </c>
    </row>
    <row r="3120" customFormat="false" ht="15" hidden="false" customHeight="false" outlineLevel="0" collapsed="false">
      <c r="A3120" s="0" t="s">
        <v>4731</v>
      </c>
      <c r="B3120" s="0" t="s">
        <v>57</v>
      </c>
      <c r="C3120" s="0" t="s">
        <v>216</v>
      </c>
      <c r="D3120" s="0" t="s">
        <v>54</v>
      </c>
      <c r="E3120" s="2" t="n">
        <v>46047</v>
      </c>
      <c r="F3120" s="3" t="s">
        <v>20</v>
      </c>
      <c r="G3120" s="3" t="s">
        <v>55</v>
      </c>
      <c r="H3120" s="3" t="s">
        <v>48</v>
      </c>
      <c r="I3120" s="3" t="n">
        <f aca="false">YEAR(E3120)</f>
        <v>2026</v>
      </c>
      <c r="J3120" s="3" t="n">
        <f aca="false">MONTH(E3120)</f>
        <v>1</v>
      </c>
      <c r="K3120" s="3" t="n">
        <f aca="false">COUNTIFS($B$2:$B$4077,B3120,$C$2:$C$4077,C3120,$I$2:$I$4077,I3120)</f>
        <v>7</v>
      </c>
      <c r="L3120" s="3" t="n">
        <f aca="false">IF(COUNTIFS($B$2:B3120,B3120,$C$2:C3120,C3120,$I$2:I3120,I3120)=1,1,0)</f>
        <v>0</v>
      </c>
      <c r="M3120" s="3" t="n">
        <f aca="false">IF(K3120&gt;=Parametri!$B$1,1,0)</f>
        <v>1</v>
      </c>
      <c r="N3120" s="3" t="n">
        <f aca="false">L3120*M3120</f>
        <v>0</v>
      </c>
    </row>
    <row r="3121" customFormat="false" ht="15" hidden="false" customHeight="false" outlineLevel="0" collapsed="false">
      <c r="A3121" s="0" t="s">
        <v>4732</v>
      </c>
      <c r="B3121" s="0" t="s">
        <v>46</v>
      </c>
      <c r="C3121" s="0" t="s">
        <v>687</v>
      </c>
      <c r="D3121" s="0" t="s">
        <v>66</v>
      </c>
      <c r="E3121" s="2" t="n">
        <v>45708</v>
      </c>
      <c r="F3121" s="3" t="s">
        <v>20</v>
      </c>
      <c r="G3121" s="3" t="s">
        <v>21</v>
      </c>
      <c r="H3121" s="3" t="s">
        <v>44</v>
      </c>
      <c r="I3121" s="3" t="n">
        <f aca="false">YEAR(E3121)</f>
        <v>2025</v>
      </c>
      <c r="J3121" s="3" t="n">
        <f aca="false">MONTH(E3121)</f>
        <v>2</v>
      </c>
      <c r="K3121" s="3" t="n">
        <f aca="false">COUNTIFS($B$2:$B$4077,B3121,$C$2:$C$4077,C3121,$I$2:$I$4077,I3121)</f>
        <v>1</v>
      </c>
      <c r="L3121" s="3" t="n">
        <f aca="false">IF(COUNTIFS($B$2:B3121,B3121,$C$2:C3121,C3121,$I$2:I3121,I3121)=1,1,0)</f>
        <v>1</v>
      </c>
      <c r="M3121" s="3" t="n">
        <f aca="false">IF(K3121&gt;=Parametri!$B$1,1,0)</f>
        <v>0</v>
      </c>
      <c r="N3121" s="3" t="n">
        <f aca="false">L3121*M3121</f>
        <v>0</v>
      </c>
    </row>
    <row r="3122" customFormat="false" ht="15" hidden="false" customHeight="false" outlineLevel="0" collapsed="false">
      <c r="A3122" s="0" t="s">
        <v>4733</v>
      </c>
      <c r="B3122" s="0" t="s">
        <v>17</v>
      </c>
      <c r="C3122" s="0" t="s">
        <v>521</v>
      </c>
      <c r="D3122" s="0" t="s">
        <v>54</v>
      </c>
      <c r="E3122" s="2" t="n">
        <v>45514</v>
      </c>
      <c r="F3122" s="3" t="s">
        <v>20</v>
      </c>
      <c r="G3122" s="3" t="s">
        <v>72</v>
      </c>
      <c r="H3122" s="3" t="s">
        <v>22</v>
      </c>
      <c r="I3122" s="3" t="n">
        <f aca="false">YEAR(E3122)</f>
        <v>2024</v>
      </c>
      <c r="J3122" s="3" t="n">
        <f aca="false">MONTH(E3122)</f>
        <v>8</v>
      </c>
      <c r="K3122" s="3" t="n">
        <f aca="false">COUNTIFS($B$2:$B$4077,B3122,$C$2:$C$4077,C3122,$I$2:$I$4077,I3122)</f>
        <v>2</v>
      </c>
      <c r="L3122" s="3" t="n">
        <f aca="false">IF(COUNTIFS($B$2:B3122,B3122,$C$2:C3122,C3122,$I$2:I3122,I3122)=1,1,0)</f>
        <v>1</v>
      </c>
      <c r="M3122" s="3" t="n">
        <f aca="false">IF(K3122&gt;=Parametri!$B$1,1,0)</f>
        <v>1</v>
      </c>
      <c r="N3122" s="3" t="n">
        <f aca="false">L3122*M3122</f>
        <v>1</v>
      </c>
    </row>
    <row r="3123" customFormat="false" ht="15" hidden="false" customHeight="false" outlineLevel="0" collapsed="false">
      <c r="A3123" s="0" t="s">
        <v>4734</v>
      </c>
      <c r="B3123" s="0" t="s">
        <v>17</v>
      </c>
      <c r="C3123" s="0" t="s">
        <v>1510</v>
      </c>
      <c r="D3123" s="0" t="s">
        <v>38</v>
      </c>
      <c r="E3123" s="2" t="n">
        <v>45750</v>
      </c>
      <c r="F3123" s="3" t="s">
        <v>20</v>
      </c>
      <c r="G3123" s="3" t="s">
        <v>43</v>
      </c>
      <c r="H3123" s="3" t="s">
        <v>44</v>
      </c>
      <c r="I3123" s="3" t="n">
        <f aca="false">YEAR(E3123)</f>
        <v>2025</v>
      </c>
      <c r="J3123" s="3" t="n">
        <f aca="false">MONTH(E3123)</f>
        <v>4</v>
      </c>
      <c r="K3123" s="3" t="n">
        <f aca="false">COUNTIFS($B$2:$B$4077,B3123,$C$2:$C$4077,C3123,$I$2:$I$4077,I3123)</f>
        <v>1</v>
      </c>
      <c r="L3123" s="3" t="n">
        <f aca="false">IF(COUNTIFS($B$2:B3123,B3123,$C$2:C3123,C3123,$I$2:I3123,I3123)=1,1,0)</f>
        <v>1</v>
      </c>
      <c r="M3123" s="3" t="n">
        <f aca="false">IF(K3123&gt;=Parametri!$B$1,1,0)</f>
        <v>0</v>
      </c>
      <c r="N3123" s="3" t="n">
        <f aca="false">L3123*M3123</f>
        <v>0</v>
      </c>
    </row>
    <row r="3124" customFormat="false" ht="15" hidden="false" customHeight="false" outlineLevel="0" collapsed="false">
      <c r="A3124" s="0" t="s">
        <v>4735</v>
      </c>
      <c r="B3124" s="0" t="s">
        <v>46</v>
      </c>
      <c r="C3124" s="0" t="s">
        <v>1811</v>
      </c>
      <c r="D3124" s="0" t="s">
        <v>26</v>
      </c>
      <c r="E3124" s="2" t="n">
        <v>45704</v>
      </c>
      <c r="F3124" s="3" t="s">
        <v>34</v>
      </c>
      <c r="G3124" s="3" t="s">
        <v>43</v>
      </c>
      <c r="H3124" s="3" t="s">
        <v>48</v>
      </c>
      <c r="I3124" s="3" t="n">
        <f aca="false">YEAR(E3124)</f>
        <v>2025</v>
      </c>
      <c r="J3124" s="3" t="n">
        <f aca="false">MONTH(E3124)</f>
        <v>2</v>
      </c>
      <c r="K3124" s="3" t="n">
        <f aca="false">COUNTIFS($B$2:$B$4077,B3124,$C$2:$C$4077,C3124,$I$2:$I$4077,I3124)</f>
        <v>1</v>
      </c>
      <c r="L3124" s="3" t="n">
        <f aca="false">IF(COUNTIFS($B$2:B3124,B3124,$C$2:C3124,C3124,$I$2:I3124,I3124)=1,1,0)</f>
        <v>1</v>
      </c>
      <c r="M3124" s="3" t="n">
        <f aca="false">IF(K3124&gt;=Parametri!$B$1,1,0)</f>
        <v>0</v>
      </c>
      <c r="N3124" s="3" t="n">
        <f aca="false">L3124*M3124</f>
        <v>0</v>
      </c>
    </row>
    <row r="3125" customFormat="false" ht="15" hidden="false" customHeight="false" outlineLevel="0" collapsed="false">
      <c r="A3125" s="0" t="s">
        <v>4736</v>
      </c>
      <c r="B3125" s="0" t="s">
        <v>41</v>
      </c>
      <c r="C3125" s="0" t="s">
        <v>4282</v>
      </c>
      <c r="D3125" s="0" t="s">
        <v>19</v>
      </c>
      <c r="E3125" s="2" t="n">
        <v>45326</v>
      </c>
      <c r="F3125" s="3" t="s">
        <v>27</v>
      </c>
      <c r="G3125" s="3" t="s">
        <v>55</v>
      </c>
      <c r="H3125" s="3" t="s">
        <v>48</v>
      </c>
      <c r="I3125" s="3" t="n">
        <f aca="false">YEAR(E3125)</f>
        <v>2024</v>
      </c>
      <c r="J3125" s="3" t="n">
        <f aca="false">MONTH(E3125)</f>
        <v>2</v>
      </c>
      <c r="K3125" s="3" t="n">
        <f aca="false">COUNTIFS($B$2:$B$4077,B3125,$C$2:$C$4077,C3125,$I$2:$I$4077,I3125)</f>
        <v>2</v>
      </c>
      <c r="L3125" s="3" t="n">
        <f aca="false">IF(COUNTIFS($B$2:B3125,B3125,$C$2:C3125,C3125,$I$2:I3125,I3125)=1,1,0)</f>
        <v>0</v>
      </c>
      <c r="M3125" s="3" t="n">
        <f aca="false">IF(K3125&gt;=Parametri!$B$1,1,0)</f>
        <v>1</v>
      </c>
      <c r="N3125" s="3" t="n">
        <f aca="false">L3125*M3125</f>
        <v>0</v>
      </c>
    </row>
    <row r="3126" customFormat="false" ht="15" hidden="false" customHeight="false" outlineLevel="0" collapsed="false">
      <c r="A3126" s="0" t="s">
        <v>4737</v>
      </c>
      <c r="B3126" s="0" t="s">
        <v>17</v>
      </c>
      <c r="C3126" s="0" t="s">
        <v>4738</v>
      </c>
      <c r="D3126" s="0" t="s">
        <v>19</v>
      </c>
      <c r="E3126" s="2" t="n">
        <v>45695</v>
      </c>
      <c r="F3126" s="3" t="s">
        <v>34</v>
      </c>
      <c r="G3126" s="3" t="s">
        <v>28</v>
      </c>
      <c r="H3126" s="3" t="s">
        <v>48</v>
      </c>
      <c r="I3126" s="3" t="n">
        <f aca="false">YEAR(E3126)</f>
        <v>2025</v>
      </c>
      <c r="J3126" s="3" t="n">
        <f aca="false">MONTH(E3126)</f>
        <v>2</v>
      </c>
      <c r="K3126" s="3" t="n">
        <f aca="false">COUNTIFS($B$2:$B$4077,B3126,$C$2:$C$4077,C3126,$I$2:$I$4077,I3126)</f>
        <v>1</v>
      </c>
      <c r="L3126" s="3" t="n">
        <f aca="false">IF(COUNTIFS($B$2:B3126,B3126,$C$2:C3126,C3126,$I$2:I3126,I3126)=1,1,0)</f>
        <v>1</v>
      </c>
      <c r="M3126" s="3" t="n">
        <f aca="false">IF(K3126&gt;=Parametri!$B$1,1,0)</f>
        <v>0</v>
      </c>
      <c r="N3126" s="3" t="n">
        <f aca="false">L3126*M3126</f>
        <v>0</v>
      </c>
    </row>
    <row r="3127" customFormat="false" ht="15" hidden="false" customHeight="false" outlineLevel="0" collapsed="false">
      <c r="A3127" s="0" t="s">
        <v>4739</v>
      </c>
      <c r="B3127" s="0" t="s">
        <v>68</v>
      </c>
      <c r="C3127" s="0" t="s">
        <v>3580</v>
      </c>
      <c r="D3127" s="0" t="s">
        <v>19</v>
      </c>
      <c r="E3127" s="2" t="n">
        <v>45709</v>
      </c>
      <c r="F3127" s="3" t="s">
        <v>27</v>
      </c>
      <c r="G3127" s="3" t="s">
        <v>55</v>
      </c>
      <c r="H3127" s="3" t="s">
        <v>22</v>
      </c>
      <c r="I3127" s="3" t="n">
        <f aca="false">YEAR(E3127)</f>
        <v>2025</v>
      </c>
      <c r="J3127" s="3" t="n">
        <f aca="false">MONTH(E3127)</f>
        <v>2</v>
      </c>
      <c r="K3127" s="3" t="n">
        <f aca="false">COUNTIFS($B$2:$B$4077,B3127,$C$2:$C$4077,C3127,$I$2:$I$4077,I3127)</f>
        <v>1</v>
      </c>
      <c r="L3127" s="3" t="n">
        <f aca="false">IF(COUNTIFS($B$2:B3127,B3127,$C$2:C3127,C3127,$I$2:I3127,I3127)=1,1,0)</f>
        <v>1</v>
      </c>
      <c r="M3127" s="3" t="n">
        <f aca="false">IF(K3127&gt;=Parametri!$B$1,1,0)</f>
        <v>0</v>
      </c>
      <c r="N3127" s="3" t="n">
        <f aca="false">L3127*M3127</f>
        <v>0</v>
      </c>
    </row>
    <row r="3128" customFormat="false" ht="15" hidden="false" customHeight="false" outlineLevel="0" collapsed="false">
      <c r="A3128" s="0" t="s">
        <v>4740</v>
      </c>
      <c r="B3128" s="0" t="s">
        <v>17</v>
      </c>
      <c r="C3128" s="0" t="s">
        <v>1103</v>
      </c>
      <c r="D3128" s="0" t="s">
        <v>33</v>
      </c>
      <c r="E3128" s="2" t="n">
        <v>46200</v>
      </c>
      <c r="F3128" s="3" t="s">
        <v>104</v>
      </c>
      <c r="G3128" s="3" t="s">
        <v>104</v>
      </c>
      <c r="H3128" s="3" t="s">
        <v>104</v>
      </c>
      <c r="I3128" s="3" t="n">
        <f aca="false">YEAR(E3128)</f>
        <v>2026</v>
      </c>
      <c r="J3128" s="3" t="n">
        <f aca="false">MONTH(E3128)</f>
        <v>6</v>
      </c>
      <c r="K3128" s="3" t="n">
        <f aca="false">COUNTIFS($B$2:$B$4077,B3128,$C$2:$C$4077,C3128,$I$2:$I$4077,I3128)</f>
        <v>1</v>
      </c>
      <c r="L3128" s="3" t="n">
        <f aca="false">IF(COUNTIFS($B$2:B3128,B3128,$C$2:C3128,C3128,$I$2:I3128,I3128)=1,1,0)</f>
        <v>1</v>
      </c>
      <c r="M3128" s="3" t="n">
        <f aca="false">IF(K3128&gt;=Parametri!$B$1,1,0)</f>
        <v>0</v>
      </c>
      <c r="N3128" s="3" t="n">
        <f aca="false">L3128*M3128</f>
        <v>0</v>
      </c>
    </row>
    <row r="3129" customFormat="false" ht="15" hidden="false" customHeight="false" outlineLevel="0" collapsed="false">
      <c r="A3129" s="0" t="s">
        <v>4741</v>
      </c>
      <c r="B3129" s="0" t="s">
        <v>57</v>
      </c>
      <c r="C3129" s="0" t="s">
        <v>4742</v>
      </c>
      <c r="D3129" s="0" t="s">
        <v>26</v>
      </c>
      <c r="E3129" s="2" t="n">
        <v>45927</v>
      </c>
      <c r="F3129" s="3" t="s">
        <v>27</v>
      </c>
      <c r="G3129" s="3" t="s">
        <v>72</v>
      </c>
      <c r="H3129" s="3" t="s">
        <v>44</v>
      </c>
      <c r="I3129" s="3" t="n">
        <f aca="false">YEAR(E3129)</f>
        <v>2025</v>
      </c>
      <c r="J3129" s="3" t="n">
        <f aca="false">MONTH(E3129)</f>
        <v>9</v>
      </c>
      <c r="K3129" s="3" t="n">
        <f aca="false">COUNTIFS($B$2:$B$4077,B3129,$C$2:$C$4077,C3129,$I$2:$I$4077,I3129)</f>
        <v>2</v>
      </c>
      <c r="L3129" s="3" t="n">
        <f aca="false">IF(COUNTIFS($B$2:B3129,B3129,$C$2:C3129,C3129,$I$2:I3129,I3129)=1,1,0)</f>
        <v>1</v>
      </c>
      <c r="M3129" s="3" t="n">
        <f aca="false">IF(K3129&gt;=Parametri!$B$1,1,0)</f>
        <v>1</v>
      </c>
      <c r="N3129" s="3" t="n">
        <f aca="false">L3129*M3129</f>
        <v>1</v>
      </c>
    </row>
    <row r="3130" customFormat="false" ht="15" hidden="false" customHeight="false" outlineLevel="0" collapsed="false">
      <c r="A3130" s="0" t="s">
        <v>4743</v>
      </c>
      <c r="B3130" s="0" t="s">
        <v>50</v>
      </c>
      <c r="C3130" s="0" t="s">
        <v>4744</v>
      </c>
      <c r="D3130" s="0" t="s">
        <v>26</v>
      </c>
      <c r="E3130" s="2" t="n">
        <v>45378</v>
      </c>
      <c r="F3130" s="3" t="s">
        <v>20</v>
      </c>
      <c r="G3130" s="3" t="s">
        <v>28</v>
      </c>
      <c r="H3130" s="3" t="s">
        <v>29</v>
      </c>
      <c r="I3130" s="3" t="n">
        <f aca="false">YEAR(E3130)</f>
        <v>2024</v>
      </c>
      <c r="J3130" s="3" t="n">
        <f aca="false">MONTH(E3130)</f>
        <v>3</v>
      </c>
      <c r="K3130" s="3" t="n">
        <f aca="false">COUNTIFS($B$2:$B$4077,B3130,$C$2:$C$4077,C3130,$I$2:$I$4077,I3130)</f>
        <v>1</v>
      </c>
      <c r="L3130" s="3" t="n">
        <f aca="false">IF(COUNTIFS($B$2:B3130,B3130,$C$2:C3130,C3130,$I$2:I3130,I3130)=1,1,0)</f>
        <v>1</v>
      </c>
      <c r="M3130" s="3" t="n">
        <f aca="false">IF(K3130&gt;=Parametri!$B$1,1,0)</f>
        <v>0</v>
      </c>
      <c r="N3130" s="3" t="n">
        <f aca="false">L3130*M3130</f>
        <v>0</v>
      </c>
    </row>
    <row r="3131" customFormat="false" ht="15" hidden="false" customHeight="false" outlineLevel="0" collapsed="false">
      <c r="A3131" s="0" t="s">
        <v>4745</v>
      </c>
      <c r="B3131" s="0" t="s">
        <v>24</v>
      </c>
      <c r="C3131" s="0" t="s">
        <v>4746</v>
      </c>
      <c r="D3131" s="0" t="s">
        <v>54</v>
      </c>
      <c r="E3131" s="2" t="n">
        <v>45418</v>
      </c>
      <c r="F3131" s="3" t="s">
        <v>27</v>
      </c>
      <c r="G3131" s="3" t="s">
        <v>21</v>
      </c>
      <c r="H3131" s="3" t="s">
        <v>48</v>
      </c>
      <c r="I3131" s="3" t="n">
        <f aca="false">YEAR(E3131)</f>
        <v>2024</v>
      </c>
      <c r="J3131" s="3" t="n">
        <f aca="false">MONTH(E3131)</f>
        <v>5</v>
      </c>
      <c r="K3131" s="3" t="n">
        <f aca="false">COUNTIFS($B$2:$B$4077,B3131,$C$2:$C$4077,C3131,$I$2:$I$4077,I3131)</f>
        <v>2</v>
      </c>
      <c r="L3131" s="3" t="n">
        <f aca="false">IF(COUNTIFS($B$2:B3131,B3131,$C$2:C3131,C3131,$I$2:I3131,I3131)=1,1,0)</f>
        <v>1</v>
      </c>
      <c r="M3131" s="3" t="n">
        <f aca="false">IF(K3131&gt;=Parametri!$B$1,1,0)</f>
        <v>1</v>
      </c>
      <c r="N3131" s="3" t="n">
        <f aca="false">L3131*M3131</f>
        <v>1</v>
      </c>
    </row>
    <row r="3132" customFormat="false" ht="15" hidden="false" customHeight="false" outlineLevel="0" collapsed="false">
      <c r="A3132" s="0" t="s">
        <v>4747</v>
      </c>
      <c r="B3132" s="0" t="s">
        <v>46</v>
      </c>
      <c r="C3132" s="0" t="s">
        <v>4748</v>
      </c>
      <c r="D3132" s="0" t="s">
        <v>26</v>
      </c>
      <c r="E3132" s="2" t="n">
        <v>45984</v>
      </c>
      <c r="F3132" s="3" t="s">
        <v>27</v>
      </c>
      <c r="G3132" s="3" t="s">
        <v>89</v>
      </c>
      <c r="H3132" s="3" t="s">
        <v>48</v>
      </c>
      <c r="I3132" s="3" t="n">
        <f aca="false">YEAR(E3132)</f>
        <v>2025</v>
      </c>
      <c r="J3132" s="3" t="n">
        <f aca="false">MONTH(E3132)</f>
        <v>11</v>
      </c>
      <c r="K3132" s="3" t="n">
        <f aca="false">COUNTIFS($B$2:$B$4077,B3132,$C$2:$C$4077,C3132,$I$2:$I$4077,I3132)</f>
        <v>1</v>
      </c>
      <c r="L3132" s="3" t="n">
        <f aca="false">IF(COUNTIFS($B$2:B3132,B3132,$C$2:C3132,C3132,$I$2:I3132,I3132)=1,1,0)</f>
        <v>1</v>
      </c>
      <c r="M3132" s="3" t="n">
        <f aca="false">IF(K3132&gt;=Parametri!$B$1,1,0)</f>
        <v>0</v>
      </c>
      <c r="N3132" s="3" t="n">
        <f aca="false">L3132*M3132</f>
        <v>0</v>
      </c>
    </row>
    <row r="3133" customFormat="false" ht="15" hidden="false" customHeight="false" outlineLevel="0" collapsed="false">
      <c r="A3133" s="0" t="s">
        <v>4749</v>
      </c>
      <c r="B3133" s="0" t="s">
        <v>50</v>
      </c>
      <c r="C3133" s="0" t="s">
        <v>4750</v>
      </c>
      <c r="D3133" s="0" t="s">
        <v>66</v>
      </c>
      <c r="E3133" s="2" t="n">
        <v>46258</v>
      </c>
      <c r="F3133" s="3" t="s">
        <v>20</v>
      </c>
      <c r="G3133" s="3" t="s">
        <v>104</v>
      </c>
      <c r="H3133" s="3" t="s">
        <v>104</v>
      </c>
      <c r="I3133" s="3" t="n">
        <f aca="false">YEAR(E3133)</f>
        <v>2026</v>
      </c>
      <c r="J3133" s="3" t="n">
        <f aca="false">MONTH(E3133)</f>
        <v>8</v>
      </c>
      <c r="K3133" s="3" t="n">
        <f aca="false">COUNTIFS($B$2:$B$4077,B3133,$C$2:$C$4077,C3133,$I$2:$I$4077,I3133)</f>
        <v>1</v>
      </c>
      <c r="L3133" s="3" t="n">
        <f aca="false">IF(COUNTIFS($B$2:B3133,B3133,$C$2:C3133,C3133,$I$2:I3133,I3133)=1,1,0)</f>
        <v>1</v>
      </c>
      <c r="M3133" s="3" t="n">
        <f aca="false">IF(K3133&gt;=Parametri!$B$1,1,0)</f>
        <v>0</v>
      </c>
      <c r="N3133" s="3" t="n">
        <f aca="false">L3133*M3133</f>
        <v>0</v>
      </c>
    </row>
    <row r="3134" customFormat="false" ht="15" hidden="false" customHeight="false" outlineLevel="0" collapsed="false">
      <c r="A3134" s="0" t="s">
        <v>4751</v>
      </c>
      <c r="B3134" s="0" t="s">
        <v>41</v>
      </c>
      <c r="C3134" s="0" t="s">
        <v>3327</v>
      </c>
      <c r="D3134" s="0" t="s">
        <v>26</v>
      </c>
      <c r="E3134" s="2" t="n">
        <v>45945</v>
      </c>
      <c r="F3134" s="3" t="s">
        <v>34</v>
      </c>
      <c r="G3134" s="3" t="s">
        <v>89</v>
      </c>
      <c r="H3134" s="3" t="s">
        <v>44</v>
      </c>
      <c r="I3134" s="3" t="n">
        <f aca="false">YEAR(E3134)</f>
        <v>2025</v>
      </c>
      <c r="J3134" s="3" t="n">
        <f aca="false">MONTH(E3134)</f>
        <v>10</v>
      </c>
      <c r="K3134" s="3" t="n">
        <f aca="false">COUNTIFS($B$2:$B$4077,B3134,$C$2:$C$4077,C3134,$I$2:$I$4077,I3134)</f>
        <v>1</v>
      </c>
      <c r="L3134" s="3" t="n">
        <f aca="false">IF(COUNTIFS($B$2:B3134,B3134,$C$2:C3134,C3134,$I$2:I3134,I3134)=1,1,0)</f>
        <v>1</v>
      </c>
      <c r="M3134" s="3" t="n">
        <f aca="false">IF(K3134&gt;=Parametri!$B$1,1,0)</f>
        <v>0</v>
      </c>
      <c r="N3134" s="3" t="n">
        <f aca="false">L3134*M3134</f>
        <v>0</v>
      </c>
    </row>
    <row r="3135" customFormat="false" ht="15" hidden="false" customHeight="false" outlineLevel="0" collapsed="false">
      <c r="A3135" s="0" t="s">
        <v>4752</v>
      </c>
      <c r="B3135" s="0" t="s">
        <v>68</v>
      </c>
      <c r="C3135" s="0" t="s">
        <v>4753</v>
      </c>
      <c r="D3135" s="0" t="s">
        <v>26</v>
      </c>
      <c r="E3135" s="2" t="n">
        <v>45527</v>
      </c>
      <c r="F3135" s="3" t="s">
        <v>20</v>
      </c>
      <c r="G3135" s="3" t="s">
        <v>39</v>
      </c>
      <c r="H3135" s="3" t="s">
        <v>48</v>
      </c>
      <c r="I3135" s="3" t="n">
        <f aca="false">YEAR(E3135)</f>
        <v>2024</v>
      </c>
      <c r="J3135" s="3" t="n">
        <f aca="false">MONTH(E3135)</f>
        <v>8</v>
      </c>
      <c r="K3135" s="3" t="n">
        <f aca="false">COUNTIFS($B$2:$B$4077,B3135,$C$2:$C$4077,C3135,$I$2:$I$4077,I3135)</f>
        <v>1</v>
      </c>
      <c r="L3135" s="3" t="n">
        <f aca="false">IF(COUNTIFS($B$2:B3135,B3135,$C$2:C3135,C3135,$I$2:I3135,I3135)=1,1,0)</f>
        <v>1</v>
      </c>
      <c r="M3135" s="3" t="n">
        <f aca="false">IF(K3135&gt;=Parametri!$B$1,1,0)</f>
        <v>0</v>
      </c>
      <c r="N3135" s="3" t="n">
        <f aca="false">L3135*M3135</f>
        <v>0</v>
      </c>
    </row>
    <row r="3136" customFormat="false" ht="15" hidden="false" customHeight="false" outlineLevel="0" collapsed="false">
      <c r="A3136" s="0" t="s">
        <v>4754</v>
      </c>
      <c r="B3136" s="0" t="s">
        <v>46</v>
      </c>
      <c r="C3136" s="0" t="s">
        <v>65</v>
      </c>
      <c r="D3136" s="0" t="s">
        <v>26</v>
      </c>
      <c r="E3136" s="2" t="n">
        <v>45619</v>
      </c>
      <c r="F3136" s="3" t="s">
        <v>20</v>
      </c>
      <c r="G3136" s="3" t="s">
        <v>39</v>
      </c>
      <c r="H3136" s="3" t="s">
        <v>44</v>
      </c>
      <c r="I3136" s="3" t="n">
        <f aca="false">YEAR(E3136)</f>
        <v>2024</v>
      </c>
      <c r="J3136" s="3" t="n">
        <f aca="false">MONTH(E3136)</f>
        <v>11</v>
      </c>
      <c r="K3136" s="3" t="n">
        <f aca="false">COUNTIFS($B$2:$B$4077,B3136,$C$2:$C$4077,C3136,$I$2:$I$4077,I3136)</f>
        <v>7</v>
      </c>
      <c r="L3136" s="3" t="n">
        <f aca="false">IF(COUNTIFS($B$2:B3136,B3136,$C$2:C3136,C3136,$I$2:I3136,I3136)=1,1,0)</f>
        <v>0</v>
      </c>
      <c r="M3136" s="3" t="n">
        <f aca="false">IF(K3136&gt;=Parametri!$B$1,1,0)</f>
        <v>1</v>
      </c>
      <c r="N3136" s="3" t="n">
        <f aca="false">L3136*M3136</f>
        <v>0</v>
      </c>
    </row>
    <row r="3137" customFormat="false" ht="15" hidden="false" customHeight="false" outlineLevel="0" collapsed="false">
      <c r="A3137" s="0" t="s">
        <v>4755</v>
      </c>
      <c r="B3137" s="0" t="s">
        <v>17</v>
      </c>
      <c r="C3137" s="0" t="s">
        <v>531</v>
      </c>
      <c r="D3137" s="0" t="s">
        <v>77</v>
      </c>
      <c r="E3137" s="2" t="n">
        <v>45890</v>
      </c>
      <c r="F3137" s="3" t="s">
        <v>20</v>
      </c>
      <c r="G3137" s="3" t="s">
        <v>43</v>
      </c>
      <c r="H3137" s="3" t="s">
        <v>48</v>
      </c>
      <c r="I3137" s="3" t="n">
        <f aca="false">YEAR(E3137)</f>
        <v>2025</v>
      </c>
      <c r="J3137" s="3" t="n">
        <f aca="false">MONTH(E3137)</f>
        <v>8</v>
      </c>
      <c r="K3137" s="3" t="n">
        <f aca="false">COUNTIFS($B$2:$B$4077,B3137,$C$2:$C$4077,C3137,$I$2:$I$4077,I3137)</f>
        <v>3</v>
      </c>
      <c r="L3137" s="3" t="n">
        <f aca="false">IF(COUNTIFS($B$2:B3137,B3137,$C$2:C3137,C3137,$I$2:I3137,I3137)=1,1,0)</f>
        <v>0</v>
      </c>
      <c r="M3137" s="3" t="n">
        <f aca="false">IF(K3137&gt;=Parametri!$B$1,1,0)</f>
        <v>1</v>
      </c>
      <c r="N3137" s="3" t="n">
        <f aca="false">L3137*M3137</f>
        <v>0</v>
      </c>
    </row>
    <row r="3138" customFormat="false" ht="15" hidden="false" customHeight="false" outlineLevel="0" collapsed="false">
      <c r="A3138" s="0" t="s">
        <v>4756</v>
      </c>
      <c r="B3138" s="0" t="s">
        <v>79</v>
      </c>
      <c r="C3138" s="0" t="s">
        <v>3216</v>
      </c>
      <c r="D3138" s="0" t="s">
        <v>77</v>
      </c>
      <c r="E3138" s="2" t="n">
        <v>45559</v>
      </c>
      <c r="F3138" s="3" t="s">
        <v>104</v>
      </c>
      <c r="G3138" s="3" t="s">
        <v>104</v>
      </c>
      <c r="H3138" s="3" t="s">
        <v>104</v>
      </c>
      <c r="I3138" s="3" t="n">
        <f aca="false">YEAR(E3138)</f>
        <v>2024</v>
      </c>
      <c r="J3138" s="3" t="n">
        <f aca="false">MONTH(E3138)</f>
        <v>9</v>
      </c>
      <c r="K3138" s="3" t="n">
        <f aca="false">COUNTIFS($B$2:$B$4077,B3138,$C$2:$C$4077,C3138,$I$2:$I$4077,I3138)</f>
        <v>4</v>
      </c>
      <c r="L3138" s="3" t="n">
        <f aca="false">IF(COUNTIFS($B$2:B3138,B3138,$C$2:C3138,C3138,$I$2:I3138,I3138)=1,1,0)</f>
        <v>0</v>
      </c>
      <c r="M3138" s="3" t="n">
        <f aca="false">IF(K3138&gt;=Parametri!$B$1,1,0)</f>
        <v>1</v>
      </c>
      <c r="N3138" s="3" t="n">
        <f aca="false">L3138*M3138</f>
        <v>0</v>
      </c>
    </row>
    <row r="3139" customFormat="false" ht="15" hidden="false" customHeight="false" outlineLevel="0" collapsed="false">
      <c r="A3139" s="0" t="s">
        <v>4757</v>
      </c>
      <c r="B3139" s="0" t="s">
        <v>17</v>
      </c>
      <c r="C3139" s="0" t="s">
        <v>4758</v>
      </c>
      <c r="D3139" s="0" t="s">
        <v>54</v>
      </c>
      <c r="E3139" s="2" t="n">
        <v>46237</v>
      </c>
      <c r="F3139" s="3" t="s">
        <v>20</v>
      </c>
      <c r="G3139" s="3" t="s">
        <v>39</v>
      </c>
      <c r="H3139" s="3" t="s">
        <v>29</v>
      </c>
      <c r="I3139" s="3" t="n">
        <f aca="false">YEAR(E3139)</f>
        <v>2026</v>
      </c>
      <c r="J3139" s="3" t="n">
        <f aca="false">MONTH(E3139)</f>
        <v>8</v>
      </c>
      <c r="K3139" s="3" t="n">
        <f aca="false">COUNTIFS($B$2:$B$4077,B3139,$C$2:$C$4077,C3139,$I$2:$I$4077,I3139)</f>
        <v>1</v>
      </c>
      <c r="L3139" s="3" t="n">
        <f aca="false">IF(COUNTIFS($B$2:B3139,B3139,$C$2:C3139,C3139,$I$2:I3139,I3139)=1,1,0)</f>
        <v>1</v>
      </c>
      <c r="M3139" s="3" t="n">
        <f aca="false">IF(K3139&gt;=Parametri!$B$1,1,0)</f>
        <v>0</v>
      </c>
      <c r="N3139" s="3" t="n">
        <f aca="false">L3139*M3139</f>
        <v>0</v>
      </c>
    </row>
    <row r="3140" customFormat="false" ht="15" hidden="false" customHeight="false" outlineLevel="0" collapsed="false">
      <c r="A3140" s="0" t="s">
        <v>4759</v>
      </c>
      <c r="B3140" s="0" t="s">
        <v>57</v>
      </c>
      <c r="C3140" s="0" t="s">
        <v>832</v>
      </c>
      <c r="D3140" s="0" t="s">
        <v>63</v>
      </c>
      <c r="E3140" s="2" t="n">
        <v>46203</v>
      </c>
      <c r="F3140" s="3" t="s">
        <v>20</v>
      </c>
      <c r="G3140" s="3" t="s">
        <v>72</v>
      </c>
      <c r="H3140" s="3" t="s">
        <v>29</v>
      </c>
      <c r="I3140" s="3" t="n">
        <f aca="false">YEAR(E3140)</f>
        <v>2026</v>
      </c>
      <c r="J3140" s="3" t="n">
        <f aca="false">MONTH(E3140)</f>
        <v>6</v>
      </c>
      <c r="K3140" s="3" t="n">
        <f aca="false">COUNTIFS($B$2:$B$4077,B3140,$C$2:$C$4077,C3140,$I$2:$I$4077,I3140)</f>
        <v>3</v>
      </c>
      <c r="L3140" s="3" t="n">
        <f aca="false">IF(COUNTIFS($B$2:B3140,B3140,$C$2:C3140,C3140,$I$2:I3140,I3140)=1,1,0)</f>
        <v>0</v>
      </c>
      <c r="M3140" s="3" t="n">
        <f aca="false">IF(K3140&gt;=Parametri!$B$1,1,0)</f>
        <v>1</v>
      </c>
      <c r="N3140" s="3" t="n">
        <f aca="false">L3140*M3140</f>
        <v>0</v>
      </c>
    </row>
    <row r="3141" customFormat="false" ht="15" hidden="false" customHeight="false" outlineLevel="0" collapsed="false">
      <c r="A3141" s="0" t="s">
        <v>4760</v>
      </c>
      <c r="B3141" s="0" t="s">
        <v>41</v>
      </c>
      <c r="C3141" s="0" t="s">
        <v>188</v>
      </c>
      <c r="D3141" s="0" t="s">
        <v>19</v>
      </c>
      <c r="E3141" s="2" t="n">
        <v>45899</v>
      </c>
      <c r="F3141" s="3" t="s">
        <v>20</v>
      </c>
      <c r="G3141" s="3" t="s">
        <v>28</v>
      </c>
      <c r="H3141" s="3" t="s">
        <v>44</v>
      </c>
      <c r="I3141" s="3" t="n">
        <f aca="false">YEAR(E3141)</f>
        <v>2025</v>
      </c>
      <c r="J3141" s="3" t="n">
        <f aca="false">MONTH(E3141)</f>
        <v>8</v>
      </c>
      <c r="K3141" s="3" t="n">
        <f aca="false">COUNTIFS($B$2:$B$4077,B3141,$C$2:$C$4077,C3141,$I$2:$I$4077,I3141)</f>
        <v>1</v>
      </c>
      <c r="L3141" s="3" t="n">
        <f aca="false">IF(COUNTIFS($B$2:B3141,B3141,$C$2:C3141,C3141,$I$2:I3141,I3141)=1,1,0)</f>
        <v>1</v>
      </c>
      <c r="M3141" s="3" t="n">
        <f aca="false">IF(K3141&gt;=Parametri!$B$1,1,0)</f>
        <v>0</v>
      </c>
      <c r="N3141" s="3" t="n">
        <f aca="false">L3141*M3141</f>
        <v>0</v>
      </c>
    </row>
    <row r="3142" customFormat="false" ht="15" hidden="false" customHeight="false" outlineLevel="0" collapsed="false">
      <c r="A3142" s="0" t="s">
        <v>4761</v>
      </c>
      <c r="B3142" s="0" t="s">
        <v>57</v>
      </c>
      <c r="C3142" s="0" t="s">
        <v>4762</v>
      </c>
      <c r="D3142" s="0" t="s">
        <v>54</v>
      </c>
      <c r="E3142" s="2" t="n">
        <v>45447</v>
      </c>
      <c r="F3142" s="3" t="s">
        <v>27</v>
      </c>
      <c r="G3142" s="3" t="s">
        <v>89</v>
      </c>
      <c r="H3142" s="3" t="s">
        <v>29</v>
      </c>
      <c r="I3142" s="3" t="n">
        <f aca="false">YEAR(E3142)</f>
        <v>2024</v>
      </c>
      <c r="J3142" s="3" t="n">
        <f aca="false">MONTH(E3142)</f>
        <v>6</v>
      </c>
      <c r="K3142" s="3" t="n">
        <f aca="false">COUNTIFS($B$2:$B$4077,B3142,$C$2:$C$4077,C3142,$I$2:$I$4077,I3142)</f>
        <v>1</v>
      </c>
      <c r="L3142" s="3" t="n">
        <f aca="false">IF(COUNTIFS($B$2:B3142,B3142,$C$2:C3142,C3142,$I$2:I3142,I3142)=1,1,0)</f>
        <v>1</v>
      </c>
      <c r="M3142" s="3" t="n">
        <f aca="false">IF(K3142&gt;=Parametri!$B$1,1,0)</f>
        <v>0</v>
      </c>
      <c r="N3142" s="3" t="n">
        <f aca="false">L3142*M3142</f>
        <v>0</v>
      </c>
    </row>
    <row r="3143" customFormat="false" ht="15" hidden="false" customHeight="false" outlineLevel="0" collapsed="false">
      <c r="A3143" s="0" t="s">
        <v>4763</v>
      </c>
      <c r="B3143" s="0" t="s">
        <v>17</v>
      </c>
      <c r="C3143" s="0" t="s">
        <v>3749</v>
      </c>
      <c r="D3143" s="0" t="s">
        <v>63</v>
      </c>
      <c r="E3143" s="2" t="n">
        <v>45599</v>
      </c>
      <c r="F3143" s="3" t="s">
        <v>20</v>
      </c>
      <c r="G3143" s="3" t="s">
        <v>55</v>
      </c>
      <c r="H3143" s="3" t="s">
        <v>44</v>
      </c>
      <c r="I3143" s="3" t="n">
        <f aca="false">YEAR(E3143)</f>
        <v>2024</v>
      </c>
      <c r="J3143" s="3" t="n">
        <f aca="false">MONTH(E3143)</f>
        <v>11</v>
      </c>
      <c r="K3143" s="3" t="n">
        <f aca="false">COUNTIFS($B$2:$B$4077,B3143,$C$2:$C$4077,C3143,$I$2:$I$4077,I3143)</f>
        <v>1</v>
      </c>
      <c r="L3143" s="3" t="n">
        <f aca="false">IF(COUNTIFS($B$2:B3143,B3143,$C$2:C3143,C3143,$I$2:I3143,I3143)=1,1,0)</f>
        <v>1</v>
      </c>
      <c r="M3143" s="3" t="n">
        <f aca="false">IF(K3143&gt;=Parametri!$B$1,1,0)</f>
        <v>0</v>
      </c>
      <c r="N3143" s="3" t="n">
        <f aca="false">L3143*M3143</f>
        <v>0</v>
      </c>
    </row>
    <row r="3144" customFormat="false" ht="15" hidden="false" customHeight="false" outlineLevel="0" collapsed="false">
      <c r="A3144" s="0" t="s">
        <v>4764</v>
      </c>
      <c r="B3144" s="0" t="s">
        <v>17</v>
      </c>
      <c r="C3144" s="0" t="s">
        <v>521</v>
      </c>
      <c r="D3144" s="0" t="s">
        <v>63</v>
      </c>
      <c r="E3144" s="2" t="n">
        <v>45384</v>
      </c>
      <c r="F3144" s="3" t="s">
        <v>20</v>
      </c>
      <c r="G3144" s="3" t="s">
        <v>39</v>
      </c>
      <c r="H3144" s="3" t="s">
        <v>44</v>
      </c>
      <c r="I3144" s="3" t="n">
        <f aca="false">YEAR(E3144)</f>
        <v>2024</v>
      </c>
      <c r="J3144" s="3" t="n">
        <f aca="false">MONTH(E3144)</f>
        <v>4</v>
      </c>
      <c r="K3144" s="3" t="n">
        <f aca="false">COUNTIFS($B$2:$B$4077,B3144,$C$2:$C$4077,C3144,$I$2:$I$4077,I3144)</f>
        <v>2</v>
      </c>
      <c r="L3144" s="3" t="n">
        <f aca="false">IF(COUNTIFS($B$2:B3144,B3144,$C$2:C3144,C3144,$I$2:I3144,I3144)=1,1,0)</f>
        <v>0</v>
      </c>
      <c r="M3144" s="3" t="n">
        <f aca="false">IF(K3144&gt;=Parametri!$B$1,1,0)</f>
        <v>1</v>
      </c>
      <c r="N3144" s="3" t="n">
        <f aca="false">L3144*M3144</f>
        <v>0</v>
      </c>
    </row>
    <row r="3145" customFormat="false" ht="15" hidden="false" customHeight="false" outlineLevel="0" collapsed="false">
      <c r="A3145" s="0" t="s">
        <v>4765</v>
      </c>
      <c r="B3145" s="0" t="s">
        <v>68</v>
      </c>
      <c r="C3145" s="0" t="s">
        <v>4766</v>
      </c>
      <c r="D3145" s="0" t="s">
        <v>63</v>
      </c>
      <c r="E3145" s="2" t="n">
        <v>45713</v>
      </c>
      <c r="F3145" s="3" t="s">
        <v>20</v>
      </c>
      <c r="G3145" s="3" t="s">
        <v>72</v>
      </c>
      <c r="H3145" s="3" t="s">
        <v>44</v>
      </c>
      <c r="I3145" s="3" t="n">
        <f aca="false">YEAR(E3145)</f>
        <v>2025</v>
      </c>
      <c r="J3145" s="3" t="n">
        <f aca="false">MONTH(E3145)</f>
        <v>2</v>
      </c>
      <c r="K3145" s="3" t="n">
        <f aca="false">COUNTIFS($B$2:$B$4077,B3145,$C$2:$C$4077,C3145,$I$2:$I$4077,I3145)</f>
        <v>1</v>
      </c>
      <c r="L3145" s="3" t="n">
        <f aca="false">IF(COUNTIFS($B$2:B3145,B3145,$C$2:C3145,C3145,$I$2:I3145,I3145)=1,1,0)</f>
        <v>1</v>
      </c>
      <c r="M3145" s="3" t="n">
        <f aca="false">IF(K3145&gt;=Parametri!$B$1,1,0)</f>
        <v>0</v>
      </c>
      <c r="N3145" s="3" t="n">
        <f aca="false">L3145*M3145</f>
        <v>0</v>
      </c>
    </row>
    <row r="3146" customFormat="false" ht="15" hidden="false" customHeight="false" outlineLevel="0" collapsed="false">
      <c r="A3146" s="0" t="s">
        <v>4767</v>
      </c>
      <c r="B3146" s="0" t="s">
        <v>46</v>
      </c>
      <c r="C3146" s="0" t="s">
        <v>3343</v>
      </c>
      <c r="D3146" s="0" t="s">
        <v>26</v>
      </c>
      <c r="E3146" s="2" t="n">
        <v>46081</v>
      </c>
      <c r="F3146" s="3" t="s">
        <v>27</v>
      </c>
      <c r="G3146" s="3" t="s">
        <v>39</v>
      </c>
      <c r="H3146" s="3" t="s">
        <v>48</v>
      </c>
      <c r="I3146" s="3" t="n">
        <f aca="false">YEAR(E3146)</f>
        <v>2026</v>
      </c>
      <c r="J3146" s="3" t="n">
        <f aca="false">MONTH(E3146)</f>
        <v>2</v>
      </c>
      <c r="K3146" s="3" t="n">
        <f aca="false">COUNTIFS($B$2:$B$4077,B3146,$C$2:$C$4077,C3146,$I$2:$I$4077,I3146)</f>
        <v>1</v>
      </c>
      <c r="L3146" s="3" t="n">
        <f aca="false">IF(COUNTIFS($B$2:B3146,B3146,$C$2:C3146,C3146,$I$2:I3146,I3146)=1,1,0)</f>
        <v>1</v>
      </c>
      <c r="M3146" s="3" t="n">
        <f aca="false">IF(K3146&gt;=Parametri!$B$1,1,0)</f>
        <v>0</v>
      </c>
      <c r="N3146" s="3" t="n">
        <f aca="false">L3146*M3146</f>
        <v>0</v>
      </c>
    </row>
    <row r="3147" customFormat="false" ht="15" hidden="false" customHeight="false" outlineLevel="0" collapsed="false">
      <c r="A3147" s="0" t="s">
        <v>4768</v>
      </c>
      <c r="B3147" s="0" t="s">
        <v>68</v>
      </c>
      <c r="C3147" s="0" t="s">
        <v>4769</v>
      </c>
      <c r="D3147" s="0" t="s">
        <v>63</v>
      </c>
      <c r="E3147" s="2" t="n">
        <v>45471</v>
      </c>
      <c r="F3147" s="3" t="s">
        <v>20</v>
      </c>
      <c r="G3147" s="3" t="s">
        <v>55</v>
      </c>
      <c r="H3147" s="3" t="s">
        <v>48</v>
      </c>
      <c r="I3147" s="3" t="n">
        <f aca="false">YEAR(E3147)</f>
        <v>2024</v>
      </c>
      <c r="J3147" s="3" t="n">
        <f aca="false">MONTH(E3147)</f>
        <v>6</v>
      </c>
      <c r="K3147" s="3" t="n">
        <f aca="false">COUNTIFS($B$2:$B$4077,B3147,$C$2:$C$4077,C3147,$I$2:$I$4077,I3147)</f>
        <v>1</v>
      </c>
      <c r="L3147" s="3" t="n">
        <f aca="false">IF(COUNTIFS($B$2:B3147,B3147,$C$2:C3147,C3147,$I$2:I3147,I3147)=1,1,0)</f>
        <v>1</v>
      </c>
      <c r="M3147" s="3" t="n">
        <f aca="false">IF(K3147&gt;=Parametri!$B$1,1,0)</f>
        <v>0</v>
      </c>
      <c r="N3147" s="3" t="n">
        <f aca="false">L3147*M3147</f>
        <v>0</v>
      </c>
    </row>
    <row r="3148" customFormat="false" ht="15" hidden="false" customHeight="false" outlineLevel="0" collapsed="false">
      <c r="A3148" s="0" t="s">
        <v>4770</v>
      </c>
      <c r="B3148" s="0" t="s">
        <v>68</v>
      </c>
      <c r="C3148" s="0" t="s">
        <v>3842</v>
      </c>
      <c r="D3148" s="0" t="s">
        <v>77</v>
      </c>
      <c r="E3148" s="2" t="n">
        <v>45736</v>
      </c>
      <c r="F3148" s="3" t="s">
        <v>27</v>
      </c>
      <c r="G3148" s="3" t="s">
        <v>28</v>
      </c>
      <c r="H3148" s="3" t="s">
        <v>44</v>
      </c>
      <c r="I3148" s="3" t="n">
        <f aca="false">YEAR(E3148)</f>
        <v>2025</v>
      </c>
      <c r="J3148" s="3" t="n">
        <f aca="false">MONTH(E3148)</f>
        <v>3</v>
      </c>
      <c r="K3148" s="3" t="n">
        <f aca="false">COUNTIFS($B$2:$B$4077,B3148,$C$2:$C$4077,C3148,$I$2:$I$4077,I3148)</f>
        <v>2</v>
      </c>
      <c r="L3148" s="3" t="n">
        <f aca="false">IF(COUNTIFS($B$2:B3148,B3148,$C$2:C3148,C3148,$I$2:I3148,I3148)=1,1,0)</f>
        <v>0</v>
      </c>
      <c r="M3148" s="3" t="n">
        <f aca="false">IF(K3148&gt;=Parametri!$B$1,1,0)</f>
        <v>1</v>
      </c>
      <c r="N3148" s="3" t="n">
        <f aca="false">L3148*M3148</f>
        <v>0</v>
      </c>
    </row>
    <row r="3149" customFormat="false" ht="15" hidden="false" customHeight="false" outlineLevel="0" collapsed="false">
      <c r="A3149" s="0" t="s">
        <v>4771</v>
      </c>
      <c r="B3149" s="0" t="s">
        <v>79</v>
      </c>
      <c r="C3149" s="0" t="s">
        <v>3216</v>
      </c>
      <c r="D3149" s="0" t="s">
        <v>54</v>
      </c>
      <c r="E3149" s="2" t="n">
        <v>45504</v>
      </c>
      <c r="F3149" s="3" t="s">
        <v>20</v>
      </c>
      <c r="G3149" s="3" t="s">
        <v>39</v>
      </c>
      <c r="H3149" s="3" t="s">
        <v>44</v>
      </c>
      <c r="I3149" s="3" t="n">
        <f aca="false">YEAR(E3149)</f>
        <v>2024</v>
      </c>
      <c r="J3149" s="3" t="n">
        <f aca="false">MONTH(E3149)</f>
        <v>7</v>
      </c>
      <c r="K3149" s="3" t="n">
        <f aca="false">COUNTIFS($B$2:$B$4077,B3149,$C$2:$C$4077,C3149,$I$2:$I$4077,I3149)</f>
        <v>4</v>
      </c>
      <c r="L3149" s="3" t="n">
        <f aca="false">IF(COUNTIFS($B$2:B3149,B3149,$C$2:C3149,C3149,$I$2:I3149,I3149)=1,1,0)</f>
        <v>0</v>
      </c>
      <c r="M3149" s="3" t="n">
        <f aca="false">IF(K3149&gt;=Parametri!$B$1,1,0)</f>
        <v>1</v>
      </c>
      <c r="N3149" s="3" t="n">
        <f aca="false">L3149*M3149</f>
        <v>0</v>
      </c>
    </row>
    <row r="3150" customFormat="false" ht="15" hidden="false" customHeight="false" outlineLevel="0" collapsed="false">
      <c r="A3150" s="0" t="s">
        <v>4772</v>
      </c>
      <c r="B3150" s="0" t="s">
        <v>57</v>
      </c>
      <c r="C3150" s="0" t="s">
        <v>216</v>
      </c>
      <c r="D3150" s="0" t="s">
        <v>63</v>
      </c>
      <c r="E3150" s="2" t="n">
        <v>45937</v>
      </c>
      <c r="F3150" s="3" t="s">
        <v>34</v>
      </c>
      <c r="G3150" s="3" t="s">
        <v>39</v>
      </c>
      <c r="H3150" s="3" t="s">
        <v>48</v>
      </c>
      <c r="I3150" s="3" t="n">
        <f aca="false">YEAR(E3150)</f>
        <v>2025</v>
      </c>
      <c r="J3150" s="3" t="n">
        <f aca="false">MONTH(E3150)</f>
        <v>10</v>
      </c>
      <c r="K3150" s="3" t="n">
        <f aca="false">COUNTIFS($B$2:$B$4077,B3150,$C$2:$C$4077,C3150,$I$2:$I$4077,I3150)</f>
        <v>2</v>
      </c>
      <c r="L3150" s="3" t="n">
        <f aca="false">IF(COUNTIFS($B$2:B3150,B3150,$C$2:C3150,C3150,$I$2:I3150,I3150)=1,1,0)</f>
        <v>0</v>
      </c>
      <c r="M3150" s="3" t="n">
        <f aca="false">IF(K3150&gt;=Parametri!$B$1,1,0)</f>
        <v>1</v>
      </c>
      <c r="N3150" s="3" t="n">
        <f aca="false">L3150*M3150</f>
        <v>0</v>
      </c>
    </row>
    <row r="3151" customFormat="false" ht="15" hidden="false" customHeight="false" outlineLevel="0" collapsed="false">
      <c r="A3151" s="0" t="s">
        <v>4773</v>
      </c>
      <c r="B3151" s="0" t="s">
        <v>57</v>
      </c>
      <c r="C3151" s="0" t="s">
        <v>101</v>
      </c>
      <c r="D3151" s="0" t="s">
        <v>54</v>
      </c>
      <c r="E3151" s="2" t="n">
        <v>45351</v>
      </c>
      <c r="F3151" s="3" t="s">
        <v>104</v>
      </c>
      <c r="G3151" s="3" t="s">
        <v>104</v>
      </c>
      <c r="H3151" s="3" t="s">
        <v>104</v>
      </c>
      <c r="I3151" s="3" t="n">
        <f aca="false">YEAR(E3151)</f>
        <v>2024</v>
      </c>
      <c r="J3151" s="3" t="n">
        <f aca="false">MONTH(E3151)</f>
        <v>2</v>
      </c>
      <c r="K3151" s="3" t="n">
        <f aca="false">COUNTIFS($B$2:$B$4077,B3151,$C$2:$C$4077,C3151,$I$2:$I$4077,I3151)</f>
        <v>2</v>
      </c>
      <c r="L3151" s="3" t="n">
        <f aca="false">IF(COUNTIFS($B$2:B3151,B3151,$C$2:C3151,C3151,$I$2:I3151,I3151)=1,1,0)</f>
        <v>0</v>
      </c>
      <c r="M3151" s="3" t="n">
        <f aca="false">IF(K3151&gt;=Parametri!$B$1,1,0)</f>
        <v>1</v>
      </c>
      <c r="N3151" s="3" t="n">
        <f aca="false">L3151*M3151</f>
        <v>0</v>
      </c>
    </row>
    <row r="3152" customFormat="false" ht="15" hidden="false" customHeight="false" outlineLevel="0" collapsed="false">
      <c r="A3152" s="0" t="s">
        <v>4774</v>
      </c>
      <c r="B3152" s="0" t="s">
        <v>41</v>
      </c>
      <c r="C3152" s="0" t="s">
        <v>2941</v>
      </c>
      <c r="D3152" s="0" t="s">
        <v>19</v>
      </c>
      <c r="E3152" s="2" t="n">
        <v>45880</v>
      </c>
      <c r="F3152" s="3" t="s">
        <v>20</v>
      </c>
      <c r="G3152" s="3" t="s">
        <v>21</v>
      </c>
      <c r="H3152" s="3" t="s">
        <v>29</v>
      </c>
      <c r="I3152" s="3" t="n">
        <f aca="false">YEAR(E3152)</f>
        <v>2025</v>
      </c>
      <c r="J3152" s="3" t="n">
        <f aca="false">MONTH(E3152)</f>
        <v>8</v>
      </c>
      <c r="K3152" s="3" t="n">
        <f aca="false">COUNTIFS($B$2:$B$4077,B3152,$C$2:$C$4077,C3152,$I$2:$I$4077,I3152)</f>
        <v>1</v>
      </c>
      <c r="L3152" s="3" t="n">
        <f aca="false">IF(COUNTIFS($B$2:B3152,B3152,$C$2:C3152,C3152,$I$2:I3152,I3152)=1,1,0)</f>
        <v>1</v>
      </c>
      <c r="M3152" s="3" t="n">
        <f aca="false">IF(K3152&gt;=Parametri!$B$1,1,0)</f>
        <v>0</v>
      </c>
      <c r="N3152" s="3" t="n">
        <f aca="false">L3152*M3152</f>
        <v>0</v>
      </c>
    </row>
    <row r="3153" customFormat="false" ht="15" hidden="false" customHeight="false" outlineLevel="0" collapsed="false">
      <c r="A3153" s="0" t="s">
        <v>4775</v>
      </c>
      <c r="B3153" s="0" t="s">
        <v>46</v>
      </c>
      <c r="C3153" s="0" t="s">
        <v>4776</v>
      </c>
      <c r="D3153" s="0" t="s">
        <v>26</v>
      </c>
      <c r="E3153" s="2" t="n">
        <v>45557</v>
      </c>
      <c r="F3153" s="3" t="s">
        <v>20</v>
      </c>
      <c r="G3153" s="3" t="s">
        <v>72</v>
      </c>
      <c r="H3153" s="3" t="s">
        <v>22</v>
      </c>
      <c r="I3153" s="3" t="n">
        <f aca="false">YEAR(E3153)</f>
        <v>2024</v>
      </c>
      <c r="J3153" s="3" t="n">
        <f aca="false">MONTH(E3153)</f>
        <v>9</v>
      </c>
      <c r="K3153" s="3" t="n">
        <f aca="false">COUNTIFS($B$2:$B$4077,B3153,$C$2:$C$4077,C3153,$I$2:$I$4077,I3153)</f>
        <v>2</v>
      </c>
      <c r="L3153" s="3" t="n">
        <f aca="false">IF(COUNTIFS($B$2:B3153,B3153,$C$2:C3153,C3153,$I$2:I3153,I3153)=1,1,0)</f>
        <v>1</v>
      </c>
      <c r="M3153" s="3" t="n">
        <f aca="false">IF(K3153&gt;=Parametri!$B$1,1,0)</f>
        <v>1</v>
      </c>
      <c r="N3153" s="3" t="n">
        <f aca="false">L3153*M3153</f>
        <v>1</v>
      </c>
    </row>
    <row r="3154" customFormat="false" ht="15" hidden="false" customHeight="false" outlineLevel="0" collapsed="false">
      <c r="A3154" s="0" t="s">
        <v>4777</v>
      </c>
      <c r="B3154" s="0" t="s">
        <v>24</v>
      </c>
      <c r="C3154" s="0" t="s">
        <v>1304</v>
      </c>
      <c r="D3154" s="0" t="s">
        <v>63</v>
      </c>
      <c r="E3154" s="2" t="n">
        <v>45450</v>
      </c>
      <c r="F3154" s="3" t="s">
        <v>20</v>
      </c>
      <c r="G3154" s="3" t="s">
        <v>55</v>
      </c>
      <c r="H3154" s="3" t="s">
        <v>44</v>
      </c>
      <c r="I3154" s="3" t="n">
        <f aca="false">YEAR(E3154)</f>
        <v>2024</v>
      </c>
      <c r="J3154" s="3" t="n">
        <f aca="false">MONTH(E3154)</f>
        <v>6</v>
      </c>
      <c r="K3154" s="3" t="n">
        <f aca="false">COUNTIFS($B$2:$B$4077,B3154,$C$2:$C$4077,C3154,$I$2:$I$4077,I3154)</f>
        <v>3</v>
      </c>
      <c r="L3154" s="3" t="n">
        <f aca="false">IF(COUNTIFS($B$2:B3154,B3154,$C$2:C3154,C3154,$I$2:I3154,I3154)=1,1,0)</f>
        <v>0</v>
      </c>
      <c r="M3154" s="3" t="n">
        <f aca="false">IF(K3154&gt;=Parametri!$B$1,1,0)</f>
        <v>1</v>
      </c>
      <c r="N3154" s="3" t="n">
        <f aca="false">L3154*M3154</f>
        <v>0</v>
      </c>
    </row>
    <row r="3155" customFormat="false" ht="15" hidden="false" customHeight="false" outlineLevel="0" collapsed="false">
      <c r="A3155" s="0" t="s">
        <v>4778</v>
      </c>
      <c r="B3155" s="0" t="s">
        <v>79</v>
      </c>
      <c r="C3155" s="0" t="s">
        <v>182</v>
      </c>
      <c r="D3155" s="0" t="s">
        <v>19</v>
      </c>
      <c r="E3155" s="2" t="n">
        <v>45354</v>
      </c>
      <c r="F3155" s="3" t="s">
        <v>20</v>
      </c>
      <c r="G3155" s="3" t="s">
        <v>72</v>
      </c>
      <c r="H3155" s="3" t="s">
        <v>48</v>
      </c>
      <c r="I3155" s="3" t="n">
        <f aca="false">YEAR(E3155)</f>
        <v>2024</v>
      </c>
      <c r="J3155" s="3" t="n">
        <f aca="false">MONTH(E3155)</f>
        <v>3</v>
      </c>
      <c r="K3155" s="3" t="n">
        <f aca="false">COUNTIFS($B$2:$B$4077,B3155,$C$2:$C$4077,C3155,$I$2:$I$4077,I3155)</f>
        <v>2</v>
      </c>
      <c r="L3155" s="3" t="n">
        <f aca="false">IF(COUNTIFS($B$2:B3155,B3155,$C$2:C3155,C3155,$I$2:I3155,I3155)=1,1,0)</f>
        <v>0</v>
      </c>
      <c r="M3155" s="3" t="n">
        <f aca="false">IF(K3155&gt;=Parametri!$B$1,1,0)</f>
        <v>1</v>
      </c>
      <c r="N3155" s="3" t="n">
        <f aca="false">L3155*M3155</f>
        <v>0</v>
      </c>
    </row>
    <row r="3156" customFormat="false" ht="15" hidden="false" customHeight="false" outlineLevel="0" collapsed="false">
      <c r="A3156" s="0" t="s">
        <v>4779</v>
      </c>
      <c r="B3156" s="0" t="s">
        <v>57</v>
      </c>
      <c r="C3156" s="0" t="s">
        <v>210</v>
      </c>
      <c r="D3156" s="0" t="s">
        <v>26</v>
      </c>
      <c r="E3156" s="2" t="n">
        <v>45439</v>
      </c>
      <c r="F3156" s="3" t="s">
        <v>20</v>
      </c>
      <c r="G3156" s="3" t="s">
        <v>28</v>
      </c>
      <c r="H3156" s="3" t="s">
        <v>48</v>
      </c>
      <c r="I3156" s="3" t="n">
        <f aca="false">YEAR(E3156)</f>
        <v>2024</v>
      </c>
      <c r="J3156" s="3" t="n">
        <f aca="false">MONTH(E3156)</f>
        <v>5</v>
      </c>
      <c r="K3156" s="3" t="n">
        <f aca="false">COUNTIFS($B$2:$B$4077,B3156,$C$2:$C$4077,C3156,$I$2:$I$4077,I3156)</f>
        <v>5</v>
      </c>
      <c r="L3156" s="3" t="n">
        <f aca="false">IF(COUNTIFS($B$2:B3156,B3156,$C$2:C3156,C3156,$I$2:I3156,I3156)=1,1,0)</f>
        <v>0</v>
      </c>
      <c r="M3156" s="3" t="n">
        <f aca="false">IF(K3156&gt;=Parametri!$B$1,1,0)</f>
        <v>1</v>
      </c>
      <c r="N3156" s="3" t="n">
        <f aca="false">L3156*M3156</f>
        <v>0</v>
      </c>
    </row>
    <row r="3157" customFormat="false" ht="15" hidden="false" customHeight="false" outlineLevel="0" collapsed="false">
      <c r="A3157" s="0" t="s">
        <v>4780</v>
      </c>
      <c r="B3157" s="0" t="s">
        <v>41</v>
      </c>
      <c r="C3157" s="0" t="s">
        <v>4781</v>
      </c>
      <c r="D3157" s="0" t="s">
        <v>77</v>
      </c>
      <c r="E3157" s="2" t="n">
        <v>46113</v>
      </c>
      <c r="F3157" s="3" t="s">
        <v>20</v>
      </c>
      <c r="G3157" s="3" t="s">
        <v>43</v>
      </c>
      <c r="H3157" s="3" t="s">
        <v>22</v>
      </c>
      <c r="I3157" s="3" t="n">
        <f aca="false">YEAR(E3157)</f>
        <v>2026</v>
      </c>
      <c r="J3157" s="3" t="n">
        <f aca="false">MONTH(E3157)</f>
        <v>4</v>
      </c>
      <c r="K3157" s="3" t="n">
        <f aca="false">COUNTIFS($B$2:$B$4077,B3157,$C$2:$C$4077,C3157,$I$2:$I$4077,I3157)</f>
        <v>1</v>
      </c>
      <c r="L3157" s="3" t="n">
        <f aca="false">IF(COUNTIFS($B$2:B3157,B3157,$C$2:C3157,C3157,$I$2:I3157,I3157)=1,1,0)</f>
        <v>1</v>
      </c>
      <c r="M3157" s="3" t="n">
        <f aca="false">IF(K3157&gt;=Parametri!$B$1,1,0)</f>
        <v>0</v>
      </c>
      <c r="N3157" s="3" t="n">
        <f aca="false">L3157*M3157</f>
        <v>0</v>
      </c>
    </row>
    <row r="3158" customFormat="false" ht="15" hidden="false" customHeight="false" outlineLevel="0" collapsed="false">
      <c r="A3158" s="0" t="s">
        <v>4782</v>
      </c>
      <c r="B3158" s="0" t="s">
        <v>46</v>
      </c>
      <c r="C3158" s="0" t="s">
        <v>1255</v>
      </c>
      <c r="D3158" s="0" t="s">
        <v>66</v>
      </c>
      <c r="E3158" s="2" t="n">
        <v>45763</v>
      </c>
      <c r="F3158" s="3" t="s">
        <v>27</v>
      </c>
      <c r="G3158" s="3" t="s">
        <v>89</v>
      </c>
      <c r="H3158" s="3" t="s">
        <v>22</v>
      </c>
      <c r="I3158" s="3" t="n">
        <f aca="false">YEAR(E3158)</f>
        <v>2025</v>
      </c>
      <c r="J3158" s="3" t="n">
        <f aca="false">MONTH(E3158)</f>
        <v>4</v>
      </c>
      <c r="K3158" s="3" t="n">
        <f aca="false">COUNTIFS($B$2:$B$4077,B3158,$C$2:$C$4077,C3158,$I$2:$I$4077,I3158)</f>
        <v>2</v>
      </c>
      <c r="L3158" s="3" t="n">
        <f aca="false">IF(COUNTIFS($B$2:B3158,B3158,$C$2:C3158,C3158,$I$2:I3158,I3158)=1,1,0)</f>
        <v>0</v>
      </c>
      <c r="M3158" s="3" t="n">
        <f aca="false">IF(K3158&gt;=Parametri!$B$1,1,0)</f>
        <v>1</v>
      </c>
      <c r="N3158" s="3" t="n">
        <f aca="false">L3158*M3158</f>
        <v>0</v>
      </c>
    </row>
    <row r="3159" customFormat="false" ht="15" hidden="false" customHeight="false" outlineLevel="0" collapsed="false">
      <c r="A3159" s="0" t="s">
        <v>4783</v>
      </c>
      <c r="B3159" s="0" t="s">
        <v>31</v>
      </c>
      <c r="C3159" s="0" t="s">
        <v>53</v>
      </c>
      <c r="D3159" s="0" t="s">
        <v>77</v>
      </c>
      <c r="E3159" s="2" t="n">
        <v>45516</v>
      </c>
      <c r="F3159" s="3" t="s">
        <v>20</v>
      </c>
      <c r="G3159" s="3" t="s">
        <v>39</v>
      </c>
      <c r="H3159" s="3" t="s">
        <v>22</v>
      </c>
      <c r="I3159" s="3" t="n">
        <f aca="false">YEAR(E3159)</f>
        <v>2024</v>
      </c>
      <c r="J3159" s="3" t="n">
        <f aca="false">MONTH(E3159)</f>
        <v>8</v>
      </c>
      <c r="K3159" s="3" t="n">
        <f aca="false">COUNTIFS($B$2:$B$4077,B3159,$C$2:$C$4077,C3159,$I$2:$I$4077,I3159)</f>
        <v>3</v>
      </c>
      <c r="L3159" s="3" t="n">
        <f aca="false">IF(COUNTIFS($B$2:B3159,B3159,$C$2:C3159,C3159,$I$2:I3159,I3159)=1,1,0)</f>
        <v>0</v>
      </c>
      <c r="M3159" s="3" t="n">
        <f aca="false">IF(K3159&gt;=Parametri!$B$1,1,0)</f>
        <v>1</v>
      </c>
      <c r="N3159" s="3" t="n">
        <f aca="false">L3159*M3159</f>
        <v>0</v>
      </c>
    </row>
    <row r="3160" customFormat="false" ht="15" hidden="false" customHeight="false" outlineLevel="0" collapsed="false">
      <c r="A3160" s="0" t="s">
        <v>4784</v>
      </c>
      <c r="B3160" s="0" t="s">
        <v>79</v>
      </c>
      <c r="C3160" s="0" t="s">
        <v>250</v>
      </c>
      <c r="D3160" s="0" t="s">
        <v>63</v>
      </c>
      <c r="E3160" s="2" t="n">
        <v>46171</v>
      </c>
      <c r="F3160" s="3" t="s">
        <v>20</v>
      </c>
      <c r="G3160" s="3" t="s">
        <v>28</v>
      </c>
      <c r="H3160" s="3" t="s">
        <v>48</v>
      </c>
      <c r="I3160" s="3" t="n">
        <f aca="false">YEAR(E3160)</f>
        <v>2026</v>
      </c>
      <c r="J3160" s="3" t="n">
        <f aca="false">MONTH(E3160)</f>
        <v>5</v>
      </c>
      <c r="K3160" s="3" t="n">
        <f aca="false">COUNTIFS($B$2:$B$4077,B3160,$C$2:$C$4077,C3160,$I$2:$I$4077,I3160)</f>
        <v>4</v>
      </c>
      <c r="L3160" s="3" t="n">
        <f aca="false">IF(COUNTIFS($B$2:B3160,B3160,$C$2:C3160,C3160,$I$2:I3160,I3160)=1,1,0)</f>
        <v>0</v>
      </c>
      <c r="M3160" s="3" t="n">
        <f aca="false">IF(K3160&gt;=Parametri!$B$1,1,0)</f>
        <v>1</v>
      </c>
      <c r="N3160" s="3" t="n">
        <f aca="false">L3160*M3160</f>
        <v>0</v>
      </c>
    </row>
    <row r="3161" customFormat="false" ht="15" hidden="false" customHeight="false" outlineLevel="0" collapsed="false">
      <c r="A3161" s="0" t="s">
        <v>4785</v>
      </c>
      <c r="B3161" s="0" t="s">
        <v>57</v>
      </c>
      <c r="C3161" s="0" t="s">
        <v>4786</v>
      </c>
      <c r="D3161" s="0" t="s">
        <v>38</v>
      </c>
      <c r="E3161" s="2" t="n">
        <v>45679</v>
      </c>
      <c r="F3161" s="3" t="s">
        <v>20</v>
      </c>
      <c r="G3161" s="3" t="s">
        <v>35</v>
      </c>
      <c r="H3161" s="3" t="s">
        <v>22</v>
      </c>
      <c r="I3161" s="3" t="n">
        <f aca="false">YEAR(E3161)</f>
        <v>2025</v>
      </c>
      <c r="J3161" s="3" t="n">
        <f aca="false">MONTH(E3161)</f>
        <v>1</v>
      </c>
      <c r="K3161" s="3" t="n">
        <f aca="false">COUNTIFS($B$2:$B$4077,B3161,$C$2:$C$4077,C3161,$I$2:$I$4077,I3161)</f>
        <v>2</v>
      </c>
      <c r="L3161" s="3" t="n">
        <f aca="false">IF(COUNTIFS($B$2:B3161,B3161,$C$2:C3161,C3161,$I$2:I3161,I3161)=1,1,0)</f>
        <v>1</v>
      </c>
      <c r="M3161" s="3" t="n">
        <f aca="false">IF(K3161&gt;=Parametri!$B$1,1,0)</f>
        <v>1</v>
      </c>
      <c r="N3161" s="3" t="n">
        <f aca="false">L3161*M3161</f>
        <v>1</v>
      </c>
    </row>
    <row r="3162" customFormat="false" ht="15" hidden="false" customHeight="false" outlineLevel="0" collapsed="false">
      <c r="A3162" s="0" t="s">
        <v>4787</v>
      </c>
      <c r="B3162" s="0" t="s">
        <v>17</v>
      </c>
      <c r="C3162" s="0" t="s">
        <v>1910</v>
      </c>
      <c r="D3162" s="0" t="s">
        <v>77</v>
      </c>
      <c r="E3162" s="2" t="n">
        <v>45399</v>
      </c>
      <c r="F3162" s="3" t="s">
        <v>20</v>
      </c>
      <c r="G3162" s="3" t="s">
        <v>89</v>
      </c>
      <c r="H3162" s="3" t="s">
        <v>44</v>
      </c>
      <c r="I3162" s="3" t="n">
        <f aca="false">YEAR(E3162)</f>
        <v>2024</v>
      </c>
      <c r="J3162" s="3" t="n">
        <f aca="false">MONTH(E3162)</f>
        <v>4</v>
      </c>
      <c r="K3162" s="3" t="n">
        <f aca="false">COUNTIFS($B$2:$B$4077,B3162,$C$2:$C$4077,C3162,$I$2:$I$4077,I3162)</f>
        <v>3</v>
      </c>
      <c r="L3162" s="3" t="n">
        <f aca="false">IF(COUNTIFS($B$2:B3162,B3162,$C$2:C3162,C3162,$I$2:I3162,I3162)=1,1,0)</f>
        <v>0</v>
      </c>
      <c r="M3162" s="3" t="n">
        <f aca="false">IF(K3162&gt;=Parametri!$B$1,1,0)</f>
        <v>1</v>
      </c>
      <c r="N3162" s="3" t="n">
        <f aca="false">L3162*M3162</f>
        <v>0</v>
      </c>
    </row>
    <row r="3163" customFormat="false" ht="15" hidden="false" customHeight="false" outlineLevel="0" collapsed="false">
      <c r="A3163" s="0" t="s">
        <v>4788</v>
      </c>
      <c r="B3163" s="0" t="s">
        <v>79</v>
      </c>
      <c r="C3163" s="0" t="s">
        <v>1777</v>
      </c>
      <c r="D3163" s="0" t="s">
        <v>63</v>
      </c>
      <c r="E3163" s="2" t="n">
        <v>45563</v>
      </c>
      <c r="F3163" s="3" t="s">
        <v>20</v>
      </c>
      <c r="G3163" s="3" t="s">
        <v>39</v>
      </c>
      <c r="H3163" s="3" t="s">
        <v>29</v>
      </c>
      <c r="I3163" s="3" t="n">
        <f aca="false">YEAR(E3163)</f>
        <v>2024</v>
      </c>
      <c r="J3163" s="3" t="n">
        <f aca="false">MONTH(E3163)</f>
        <v>9</v>
      </c>
      <c r="K3163" s="3" t="n">
        <f aca="false">COUNTIFS($B$2:$B$4077,B3163,$C$2:$C$4077,C3163,$I$2:$I$4077,I3163)</f>
        <v>1</v>
      </c>
      <c r="L3163" s="3" t="n">
        <f aca="false">IF(COUNTIFS($B$2:B3163,B3163,$C$2:C3163,C3163,$I$2:I3163,I3163)=1,1,0)</f>
        <v>1</v>
      </c>
      <c r="M3163" s="3" t="n">
        <f aca="false">IF(K3163&gt;=Parametri!$B$1,1,0)</f>
        <v>0</v>
      </c>
      <c r="N3163" s="3" t="n">
        <f aca="false">L3163*M3163</f>
        <v>0</v>
      </c>
    </row>
    <row r="3164" customFormat="false" ht="15" hidden="false" customHeight="false" outlineLevel="0" collapsed="false">
      <c r="A3164" s="0" t="s">
        <v>4789</v>
      </c>
      <c r="B3164" s="0" t="s">
        <v>41</v>
      </c>
      <c r="C3164" s="0" t="s">
        <v>162</v>
      </c>
      <c r="D3164" s="0" t="s">
        <v>19</v>
      </c>
      <c r="E3164" s="2" t="n">
        <v>46125</v>
      </c>
      <c r="F3164" s="3" t="s">
        <v>27</v>
      </c>
      <c r="G3164" s="3" t="s">
        <v>39</v>
      </c>
      <c r="H3164" s="3" t="s">
        <v>48</v>
      </c>
      <c r="I3164" s="3" t="n">
        <f aca="false">YEAR(E3164)</f>
        <v>2026</v>
      </c>
      <c r="J3164" s="3" t="n">
        <f aca="false">MONTH(E3164)</f>
        <v>4</v>
      </c>
      <c r="K3164" s="3" t="n">
        <f aca="false">COUNTIFS($B$2:$B$4077,B3164,$C$2:$C$4077,C3164,$I$2:$I$4077,I3164)</f>
        <v>1</v>
      </c>
      <c r="L3164" s="3" t="n">
        <f aca="false">IF(COUNTIFS($B$2:B3164,B3164,$C$2:C3164,C3164,$I$2:I3164,I3164)=1,1,0)</f>
        <v>1</v>
      </c>
      <c r="M3164" s="3" t="n">
        <f aca="false">IF(K3164&gt;=Parametri!$B$1,1,0)</f>
        <v>0</v>
      </c>
      <c r="N3164" s="3" t="n">
        <f aca="false">L3164*M3164</f>
        <v>0</v>
      </c>
    </row>
    <row r="3165" customFormat="false" ht="15" hidden="false" customHeight="false" outlineLevel="0" collapsed="false">
      <c r="A3165" s="0" t="s">
        <v>4790</v>
      </c>
      <c r="B3165" s="0" t="s">
        <v>41</v>
      </c>
      <c r="C3165" s="0" t="s">
        <v>4791</v>
      </c>
      <c r="D3165" s="0" t="s">
        <v>38</v>
      </c>
      <c r="E3165" s="2" t="n">
        <v>46129</v>
      </c>
      <c r="F3165" s="3" t="s">
        <v>34</v>
      </c>
      <c r="G3165" s="3" t="s">
        <v>39</v>
      </c>
      <c r="H3165" s="3" t="s">
        <v>48</v>
      </c>
      <c r="I3165" s="3" t="n">
        <f aca="false">YEAR(E3165)</f>
        <v>2026</v>
      </c>
      <c r="J3165" s="3" t="n">
        <f aca="false">MONTH(E3165)</f>
        <v>4</v>
      </c>
      <c r="K3165" s="3" t="n">
        <f aca="false">COUNTIFS($B$2:$B$4077,B3165,$C$2:$C$4077,C3165,$I$2:$I$4077,I3165)</f>
        <v>1</v>
      </c>
      <c r="L3165" s="3" t="n">
        <f aca="false">IF(COUNTIFS($B$2:B3165,B3165,$C$2:C3165,C3165,$I$2:I3165,I3165)=1,1,0)</f>
        <v>1</v>
      </c>
      <c r="M3165" s="3" t="n">
        <f aca="false">IF(K3165&gt;=Parametri!$B$1,1,0)</f>
        <v>0</v>
      </c>
      <c r="N3165" s="3" t="n">
        <f aca="false">L3165*M3165</f>
        <v>0</v>
      </c>
    </row>
    <row r="3166" customFormat="false" ht="15" hidden="false" customHeight="false" outlineLevel="0" collapsed="false">
      <c r="A3166" s="0" t="s">
        <v>4792</v>
      </c>
      <c r="B3166" s="0" t="s">
        <v>79</v>
      </c>
      <c r="C3166" s="0" t="s">
        <v>3926</v>
      </c>
      <c r="D3166" s="0" t="s">
        <v>66</v>
      </c>
      <c r="E3166" s="2" t="n">
        <v>45670</v>
      </c>
      <c r="F3166" s="3" t="s">
        <v>20</v>
      </c>
      <c r="G3166" s="3" t="s">
        <v>89</v>
      </c>
      <c r="H3166" s="3" t="s">
        <v>48</v>
      </c>
      <c r="I3166" s="3" t="n">
        <f aca="false">YEAR(E3166)</f>
        <v>2025</v>
      </c>
      <c r="J3166" s="3" t="n">
        <f aca="false">MONTH(E3166)</f>
        <v>1</v>
      </c>
      <c r="K3166" s="3" t="n">
        <f aca="false">COUNTIFS($B$2:$B$4077,B3166,$C$2:$C$4077,C3166,$I$2:$I$4077,I3166)</f>
        <v>1</v>
      </c>
      <c r="L3166" s="3" t="n">
        <f aca="false">IF(COUNTIFS($B$2:B3166,B3166,$C$2:C3166,C3166,$I$2:I3166,I3166)=1,1,0)</f>
        <v>1</v>
      </c>
      <c r="M3166" s="3" t="n">
        <f aca="false">IF(K3166&gt;=Parametri!$B$1,1,0)</f>
        <v>0</v>
      </c>
      <c r="N3166" s="3" t="n">
        <f aca="false">L3166*M3166</f>
        <v>0</v>
      </c>
    </row>
    <row r="3167" customFormat="false" ht="15" hidden="false" customHeight="false" outlineLevel="0" collapsed="false">
      <c r="A3167" s="0" t="s">
        <v>4793</v>
      </c>
      <c r="B3167" s="0" t="s">
        <v>79</v>
      </c>
      <c r="C3167" s="0" t="s">
        <v>116</v>
      </c>
      <c r="D3167" s="0" t="s">
        <v>26</v>
      </c>
      <c r="E3167" s="2" t="n">
        <v>45303</v>
      </c>
      <c r="F3167" s="3" t="s">
        <v>20</v>
      </c>
      <c r="G3167" s="3" t="s">
        <v>43</v>
      </c>
      <c r="H3167" s="3" t="s">
        <v>48</v>
      </c>
      <c r="I3167" s="3" t="n">
        <f aca="false">YEAR(E3167)</f>
        <v>2024</v>
      </c>
      <c r="J3167" s="3" t="n">
        <f aca="false">MONTH(E3167)</f>
        <v>1</v>
      </c>
      <c r="K3167" s="3" t="n">
        <f aca="false">COUNTIFS($B$2:$B$4077,B3167,$C$2:$C$4077,C3167,$I$2:$I$4077,I3167)</f>
        <v>6</v>
      </c>
      <c r="L3167" s="3" t="n">
        <f aca="false">IF(COUNTIFS($B$2:B3167,B3167,$C$2:C3167,C3167,$I$2:I3167,I3167)=1,1,0)</f>
        <v>0</v>
      </c>
      <c r="M3167" s="3" t="n">
        <f aca="false">IF(K3167&gt;=Parametri!$B$1,1,0)</f>
        <v>1</v>
      </c>
      <c r="N3167" s="3" t="n">
        <f aca="false">L3167*M3167</f>
        <v>0</v>
      </c>
    </row>
    <row r="3168" customFormat="false" ht="15" hidden="false" customHeight="false" outlineLevel="0" collapsed="false">
      <c r="A3168" s="0" t="s">
        <v>4794</v>
      </c>
      <c r="B3168" s="0" t="s">
        <v>50</v>
      </c>
      <c r="C3168" s="0" t="s">
        <v>1129</v>
      </c>
      <c r="D3168" s="0" t="s">
        <v>66</v>
      </c>
      <c r="E3168" s="2" t="n">
        <v>46223</v>
      </c>
      <c r="F3168" s="3" t="s">
        <v>104</v>
      </c>
      <c r="G3168" s="3" t="s">
        <v>104</v>
      </c>
      <c r="H3168" s="3" t="s">
        <v>104</v>
      </c>
      <c r="I3168" s="3" t="n">
        <f aca="false">YEAR(E3168)</f>
        <v>2026</v>
      </c>
      <c r="J3168" s="3" t="n">
        <f aca="false">MONTH(E3168)</f>
        <v>7</v>
      </c>
      <c r="K3168" s="3" t="n">
        <f aca="false">COUNTIFS($B$2:$B$4077,B3168,$C$2:$C$4077,C3168,$I$2:$I$4077,I3168)</f>
        <v>1</v>
      </c>
      <c r="L3168" s="3" t="n">
        <f aca="false">IF(COUNTIFS($B$2:B3168,B3168,$C$2:C3168,C3168,$I$2:I3168,I3168)=1,1,0)</f>
        <v>1</v>
      </c>
      <c r="M3168" s="3" t="n">
        <f aca="false">IF(K3168&gt;=Parametri!$B$1,1,0)</f>
        <v>0</v>
      </c>
      <c r="N3168" s="3" t="n">
        <f aca="false">L3168*M3168</f>
        <v>0</v>
      </c>
    </row>
    <row r="3169" customFormat="false" ht="15" hidden="false" customHeight="false" outlineLevel="0" collapsed="false">
      <c r="A3169" s="0" t="s">
        <v>4795</v>
      </c>
      <c r="B3169" s="0" t="s">
        <v>41</v>
      </c>
      <c r="C3169" s="0" t="s">
        <v>3691</v>
      </c>
      <c r="D3169" s="0" t="s">
        <v>38</v>
      </c>
      <c r="E3169" s="2" t="n">
        <v>46251</v>
      </c>
      <c r="F3169" s="3" t="s">
        <v>20</v>
      </c>
      <c r="G3169" s="3" t="s">
        <v>55</v>
      </c>
      <c r="H3169" s="3" t="s">
        <v>29</v>
      </c>
      <c r="I3169" s="3" t="n">
        <f aca="false">YEAR(E3169)</f>
        <v>2026</v>
      </c>
      <c r="J3169" s="3" t="n">
        <f aca="false">MONTH(E3169)</f>
        <v>8</v>
      </c>
      <c r="K3169" s="3" t="n">
        <f aca="false">COUNTIFS($B$2:$B$4077,B3169,$C$2:$C$4077,C3169,$I$2:$I$4077,I3169)</f>
        <v>2</v>
      </c>
      <c r="L3169" s="3" t="n">
        <f aca="false">IF(COUNTIFS($B$2:B3169,B3169,$C$2:C3169,C3169,$I$2:I3169,I3169)=1,1,0)</f>
        <v>0</v>
      </c>
      <c r="M3169" s="3" t="n">
        <f aca="false">IF(K3169&gt;=Parametri!$B$1,1,0)</f>
        <v>1</v>
      </c>
      <c r="N3169" s="3" t="n">
        <f aca="false">L3169*M3169</f>
        <v>0</v>
      </c>
    </row>
    <row r="3170" customFormat="false" ht="15" hidden="false" customHeight="false" outlineLevel="0" collapsed="false">
      <c r="A3170" s="0" t="s">
        <v>4796</v>
      </c>
      <c r="B3170" s="0" t="s">
        <v>124</v>
      </c>
      <c r="C3170" s="0" t="s">
        <v>2221</v>
      </c>
      <c r="D3170" s="0" t="s">
        <v>33</v>
      </c>
      <c r="E3170" s="2" t="n">
        <v>45548</v>
      </c>
      <c r="F3170" s="3" t="s">
        <v>27</v>
      </c>
      <c r="G3170" s="3" t="s">
        <v>89</v>
      </c>
      <c r="H3170" s="3" t="s">
        <v>48</v>
      </c>
      <c r="I3170" s="3" t="n">
        <f aca="false">YEAR(E3170)</f>
        <v>2024</v>
      </c>
      <c r="J3170" s="3" t="n">
        <f aca="false">MONTH(E3170)</f>
        <v>9</v>
      </c>
      <c r="K3170" s="3" t="n">
        <f aca="false">COUNTIFS($B$2:$B$4077,B3170,$C$2:$C$4077,C3170,$I$2:$I$4077,I3170)</f>
        <v>1</v>
      </c>
      <c r="L3170" s="3" t="n">
        <f aca="false">IF(COUNTIFS($B$2:B3170,B3170,$C$2:C3170,C3170,$I$2:I3170,I3170)=1,1,0)</f>
        <v>1</v>
      </c>
      <c r="M3170" s="3" t="n">
        <f aca="false">IF(K3170&gt;=Parametri!$B$1,1,0)</f>
        <v>0</v>
      </c>
      <c r="N3170" s="3" t="n">
        <f aca="false">L3170*M3170</f>
        <v>0</v>
      </c>
    </row>
    <row r="3171" customFormat="false" ht="15" hidden="false" customHeight="false" outlineLevel="0" collapsed="false">
      <c r="A3171" s="0" t="s">
        <v>4797</v>
      </c>
      <c r="B3171" s="0" t="s">
        <v>41</v>
      </c>
      <c r="C3171" s="0" t="s">
        <v>4798</v>
      </c>
      <c r="D3171" s="0" t="s">
        <v>54</v>
      </c>
      <c r="E3171" s="2" t="n">
        <v>46038</v>
      </c>
      <c r="F3171" s="3" t="s">
        <v>27</v>
      </c>
      <c r="G3171" s="3" t="s">
        <v>55</v>
      </c>
      <c r="H3171" s="3" t="s">
        <v>44</v>
      </c>
      <c r="I3171" s="3" t="n">
        <f aca="false">YEAR(E3171)</f>
        <v>2026</v>
      </c>
      <c r="J3171" s="3" t="n">
        <f aca="false">MONTH(E3171)</f>
        <v>1</v>
      </c>
      <c r="K3171" s="3" t="n">
        <f aca="false">COUNTIFS($B$2:$B$4077,B3171,$C$2:$C$4077,C3171,$I$2:$I$4077,I3171)</f>
        <v>1</v>
      </c>
      <c r="L3171" s="3" t="n">
        <f aca="false">IF(COUNTIFS($B$2:B3171,B3171,$C$2:C3171,C3171,$I$2:I3171,I3171)=1,1,0)</f>
        <v>1</v>
      </c>
      <c r="M3171" s="3" t="n">
        <f aca="false">IF(K3171&gt;=Parametri!$B$1,1,0)</f>
        <v>0</v>
      </c>
      <c r="N3171" s="3" t="n">
        <f aca="false">L3171*M3171</f>
        <v>0</v>
      </c>
    </row>
    <row r="3172" customFormat="false" ht="15" hidden="false" customHeight="false" outlineLevel="0" collapsed="false">
      <c r="A3172" s="0" t="s">
        <v>4799</v>
      </c>
      <c r="B3172" s="0" t="s">
        <v>68</v>
      </c>
      <c r="C3172" s="0" t="s">
        <v>4800</v>
      </c>
      <c r="D3172" s="0" t="s">
        <v>63</v>
      </c>
      <c r="E3172" s="2" t="n">
        <v>45942</v>
      </c>
      <c r="F3172" s="3" t="s">
        <v>20</v>
      </c>
      <c r="G3172" s="3" t="s">
        <v>89</v>
      </c>
      <c r="H3172" s="3" t="s">
        <v>48</v>
      </c>
      <c r="I3172" s="3" t="n">
        <f aca="false">YEAR(E3172)</f>
        <v>2025</v>
      </c>
      <c r="J3172" s="3" t="n">
        <f aca="false">MONTH(E3172)</f>
        <v>10</v>
      </c>
      <c r="K3172" s="3" t="n">
        <f aca="false">COUNTIFS($B$2:$B$4077,B3172,$C$2:$C$4077,C3172,$I$2:$I$4077,I3172)</f>
        <v>1</v>
      </c>
      <c r="L3172" s="3" t="n">
        <f aca="false">IF(COUNTIFS($B$2:B3172,B3172,$C$2:C3172,C3172,$I$2:I3172,I3172)=1,1,0)</f>
        <v>1</v>
      </c>
      <c r="M3172" s="3" t="n">
        <f aca="false">IF(K3172&gt;=Parametri!$B$1,1,0)</f>
        <v>0</v>
      </c>
      <c r="N3172" s="3" t="n">
        <f aca="false">L3172*M3172</f>
        <v>0</v>
      </c>
    </row>
    <row r="3173" customFormat="false" ht="15" hidden="false" customHeight="false" outlineLevel="0" collapsed="false">
      <c r="A3173" s="0" t="s">
        <v>4801</v>
      </c>
      <c r="B3173" s="0" t="s">
        <v>124</v>
      </c>
      <c r="C3173" s="0" t="s">
        <v>196</v>
      </c>
      <c r="D3173" s="0" t="s">
        <v>19</v>
      </c>
      <c r="E3173" s="2" t="n">
        <v>45884</v>
      </c>
      <c r="F3173" s="3" t="s">
        <v>20</v>
      </c>
      <c r="G3173" s="3" t="s">
        <v>89</v>
      </c>
      <c r="H3173" s="3" t="s">
        <v>44</v>
      </c>
      <c r="I3173" s="3" t="n">
        <f aca="false">YEAR(E3173)</f>
        <v>2025</v>
      </c>
      <c r="J3173" s="3" t="n">
        <f aca="false">MONTH(E3173)</f>
        <v>8</v>
      </c>
      <c r="K3173" s="3" t="n">
        <f aca="false">COUNTIFS($B$2:$B$4077,B3173,$C$2:$C$4077,C3173,$I$2:$I$4077,I3173)</f>
        <v>4</v>
      </c>
      <c r="L3173" s="3" t="n">
        <f aca="false">IF(COUNTIFS($B$2:B3173,B3173,$C$2:C3173,C3173,$I$2:I3173,I3173)=1,1,0)</f>
        <v>0</v>
      </c>
      <c r="M3173" s="3" t="n">
        <f aca="false">IF(K3173&gt;=Parametri!$B$1,1,0)</f>
        <v>1</v>
      </c>
      <c r="N3173" s="3" t="n">
        <f aca="false">L3173*M3173</f>
        <v>0</v>
      </c>
    </row>
    <row r="3174" customFormat="false" ht="15" hidden="false" customHeight="false" outlineLevel="0" collapsed="false">
      <c r="A3174" s="0" t="s">
        <v>4802</v>
      </c>
      <c r="B3174" s="0" t="s">
        <v>79</v>
      </c>
      <c r="C3174" s="0" t="s">
        <v>830</v>
      </c>
      <c r="D3174" s="0" t="s">
        <v>33</v>
      </c>
      <c r="E3174" s="2" t="n">
        <v>46126</v>
      </c>
      <c r="F3174" s="3" t="s">
        <v>20</v>
      </c>
      <c r="G3174" s="3" t="s">
        <v>21</v>
      </c>
      <c r="H3174" s="3" t="s">
        <v>48</v>
      </c>
      <c r="I3174" s="3" t="n">
        <f aca="false">YEAR(E3174)</f>
        <v>2026</v>
      </c>
      <c r="J3174" s="3" t="n">
        <f aca="false">MONTH(E3174)</f>
        <v>4</v>
      </c>
      <c r="K3174" s="3" t="n">
        <f aca="false">COUNTIFS($B$2:$B$4077,B3174,$C$2:$C$4077,C3174,$I$2:$I$4077,I3174)</f>
        <v>2</v>
      </c>
      <c r="L3174" s="3" t="n">
        <f aca="false">IF(COUNTIFS($B$2:B3174,B3174,$C$2:C3174,C3174,$I$2:I3174,I3174)=1,1,0)</f>
        <v>0</v>
      </c>
      <c r="M3174" s="3" t="n">
        <f aca="false">IF(K3174&gt;=Parametri!$B$1,1,0)</f>
        <v>1</v>
      </c>
      <c r="N3174" s="3" t="n">
        <f aca="false">L3174*M3174</f>
        <v>0</v>
      </c>
    </row>
    <row r="3175" customFormat="false" ht="15" hidden="false" customHeight="false" outlineLevel="0" collapsed="false">
      <c r="A3175" s="0" t="s">
        <v>4803</v>
      </c>
      <c r="B3175" s="0" t="s">
        <v>31</v>
      </c>
      <c r="C3175" s="0" t="s">
        <v>4804</v>
      </c>
      <c r="D3175" s="0" t="s">
        <v>38</v>
      </c>
      <c r="E3175" s="2" t="n">
        <v>46083</v>
      </c>
      <c r="F3175" s="3" t="s">
        <v>27</v>
      </c>
      <c r="G3175" s="3" t="s">
        <v>72</v>
      </c>
      <c r="H3175" s="3" t="s">
        <v>48</v>
      </c>
      <c r="I3175" s="3" t="n">
        <f aca="false">YEAR(E3175)</f>
        <v>2026</v>
      </c>
      <c r="J3175" s="3" t="n">
        <f aca="false">MONTH(E3175)</f>
        <v>3</v>
      </c>
      <c r="K3175" s="3" t="n">
        <f aca="false">COUNTIFS($B$2:$B$4077,B3175,$C$2:$C$4077,C3175,$I$2:$I$4077,I3175)</f>
        <v>1</v>
      </c>
      <c r="L3175" s="3" t="n">
        <f aca="false">IF(COUNTIFS($B$2:B3175,B3175,$C$2:C3175,C3175,$I$2:I3175,I3175)=1,1,0)</f>
        <v>1</v>
      </c>
      <c r="M3175" s="3" t="n">
        <f aca="false">IF(K3175&gt;=Parametri!$B$1,1,0)</f>
        <v>0</v>
      </c>
      <c r="N3175" s="3" t="n">
        <f aca="false">L3175*M3175</f>
        <v>0</v>
      </c>
    </row>
    <row r="3176" customFormat="false" ht="15" hidden="false" customHeight="false" outlineLevel="0" collapsed="false">
      <c r="A3176" s="0" t="s">
        <v>4805</v>
      </c>
      <c r="B3176" s="0" t="s">
        <v>41</v>
      </c>
      <c r="C3176" s="0" t="s">
        <v>4806</v>
      </c>
      <c r="D3176" s="0" t="s">
        <v>26</v>
      </c>
      <c r="E3176" s="2" t="n">
        <v>45887</v>
      </c>
      <c r="F3176" s="3" t="s">
        <v>27</v>
      </c>
      <c r="G3176" s="3" t="s">
        <v>72</v>
      </c>
      <c r="H3176" s="3" t="s">
        <v>29</v>
      </c>
      <c r="I3176" s="3" t="n">
        <f aca="false">YEAR(E3176)</f>
        <v>2025</v>
      </c>
      <c r="J3176" s="3" t="n">
        <f aca="false">MONTH(E3176)</f>
        <v>8</v>
      </c>
      <c r="K3176" s="3" t="n">
        <f aca="false">COUNTIFS($B$2:$B$4077,B3176,$C$2:$C$4077,C3176,$I$2:$I$4077,I3176)</f>
        <v>1</v>
      </c>
      <c r="L3176" s="3" t="n">
        <f aca="false">IF(COUNTIFS($B$2:B3176,B3176,$C$2:C3176,C3176,$I$2:I3176,I3176)=1,1,0)</f>
        <v>1</v>
      </c>
      <c r="M3176" s="3" t="n">
        <f aca="false">IF(K3176&gt;=Parametri!$B$1,1,0)</f>
        <v>0</v>
      </c>
      <c r="N3176" s="3" t="n">
        <f aca="false">L3176*M3176</f>
        <v>0</v>
      </c>
    </row>
    <row r="3177" customFormat="false" ht="15" hidden="false" customHeight="false" outlineLevel="0" collapsed="false">
      <c r="A3177" s="0" t="s">
        <v>4807</v>
      </c>
      <c r="B3177" s="0" t="s">
        <v>46</v>
      </c>
      <c r="C3177" s="0" t="s">
        <v>4808</v>
      </c>
      <c r="D3177" s="0" t="s">
        <v>38</v>
      </c>
      <c r="E3177" s="2" t="n">
        <v>45880</v>
      </c>
      <c r="F3177" s="3" t="s">
        <v>20</v>
      </c>
      <c r="G3177" s="3" t="s">
        <v>55</v>
      </c>
      <c r="H3177" s="3" t="s">
        <v>48</v>
      </c>
      <c r="I3177" s="3" t="n">
        <f aca="false">YEAR(E3177)</f>
        <v>2025</v>
      </c>
      <c r="J3177" s="3" t="n">
        <f aca="false">MONTH(E3177)</f>
        <v>8</v>
      </c>
      <c r="K3177" s="3" t="n">
        <f aca="false">COUNTIFS($B$2:$B$4077,B3177,$C$2:$C$4077,C3177,$I$2:$I$4077,I3177)</f>
        <v>1</v>
      </c>
      <c r="L3177" s="3" t="n">
        <f aca="false">IF(COUNTIFS($B$2:B3177,B3177,$C$2:C3177,C3177,$I$2:I3177,I3177)=1,1,0)</f>
        <v>1</v>
      </c>
      <c r="M3177" s="3" t="n">
        <f aca="false">IF(K3177&gt;=Parametri!$B$1,1,0)</f>
        <v>0</v>
      </c>
      <c r="N3177" s="3" t="n">
        <f aca="false">L3177*M3177</f>
        <v>0</v>
      </c>
    </row>
    <row r="3178" customFormat="false" ht="15" hidden="false" customHeight="false" outlineLevel="0" collapsed="false">
      <c r="A3178" s="0" t="s">
        <v>4809</v>
      </c>
      <c r="B3178" s="0" t="s">
        <v>46</v>
      </c>
      <c r="C3178" s="0" t="s">
        <v>4810</v>
      </c>
      <c r="D3178" s="0" t="s">
        <v>77</v>
      </c>
      <c r="E3178" s="2" t="n">
        <v>45961</v>
      </c>
      <c r="F3178" s="3" t="s">
        <v>20</v>
      </c>
      <c r="G3178" s="3" t="s">
        <v>21</v>
      </c>
      <c r="H3178" s="3" t="s">
        <v>48</v>
      </c>
      <c r="I3178" s="3" t="n">
        <f aca="false">YEAR(E3178)</f>
        <v>2025</v>
      </c>
      <c r="J3178" s="3" t="n">
        <f aca="false">MONTH(E3178)</f>
        <v>10</v>
      </c>
      <c r="K3178" s="3" t="n">
        <f aca="false">COUNTIFS($B$2:$B$4077,B3178,$C$2:$C$4077,C3178,$I$2:$I$4077,I3178)</f>
        <v>1</v>
      </c>
      <c r="L3178" s="3" t="n">
        <f aca="false">IF(COUNTIFS($B$2:B3178,B3178,$C$2:C3178,C3178,$I$2:I3178,I3178)=1,1,0)</f>
        <v>1</v>
      </c>
      <c r="M3178" s="3" t="n">
        <f aca="false">IF(K3178&gt;=Parametri!$B$1,1,0)</f>
        <v>0</v>
      </c>
      <c r="N3178" s="3" t="n">
        <f aca="false">L3178*M3178</f>
        <v>0</v>
      </c>
    </row>
    <row r="3179" customFormat="false" ht="15" hidden="false" customHeight="false" outlineLevel="0" collapsed="false">
      <c r="A3179" s="0" t="s">
        <v>4811</v>
      </c>
      <c r="B3179" s="0" t="s">
        <v>57</v>
      </c>
      <c r="C3179" s="0" t="s">
        <v>2947</v>
      </c>
      <c r="D3179" s="0" t="s">
        <v>63</v>
      </c>
      <c r="E3179" s="2" t="n">
        <v>45613</v>
      </c>
      <c r="F3179" s="3" t="s">
        <v>27</v>
      </c>
      <c r="G3179" s="3" t="s">
        <v>43</v>
      </c>
      <c r="H3179" s="3" t="s">
        <v>48</v>
      </c>
      <c r="I3179" s="3" t="n">
        <f aca="false">YEAR(E3179)</f>
        <v>2024</v>
      </c>
      <c r="J3179" s="3" t="n">
        <f aca="false">MONTH(E3179)</f>
        <v>11</v>
      </c>
      <c r="K3179" s="3" t="n">
        <f aca="false">COUNTIFS($B$2:$B$4077,B3179,$C$2:$C$4077,C3179,$I$2:$I$4077,I3179)</f>
        <v>1</v>
      </c>
      <c r="L3179" s="3" t="n">
        <f aca="false">IF(COUNTIFS($B$2:B3179,B3179,$C$2:C3179,C3179,$I$2:I3179,I3179)=1,1,0)</f>
        <v>1</v>
      </c>
      <c r="M3179" s="3" t="n">
        <f aca="false">IF(K3179&gt;=Parametri!$B$1,1,0)</f>
        <v>0</v>
      </c>
      <c r="N3179" s="3" t="n">
        <f aca="false">L3179*M3179</f>
        <v>0</v>
      </c>
    </row>
    <row r="3180" customFormat="false" ht="15" hidden="false" customHeight="false" outlineLevel="0" collapsed="false">
      <c r="A3180" s="0" t="s">
        <v>4812</v>
      </c>
      <c r="B3180" s="0" t="s">
        <v>41</v>
      </c>
      <c r="C3180" s="0" t="s">
        <v>3613</v>
      </c>
      <c r="D3180" s="0" t="s">
        <v>66</v>
      </c>
      <c r="E3180" s="2" t="n">
        <v>46108</v>
      </c>
      <c r="F3180" s="3" t="s">
        <v>20</v>
      </c>
      <c r="G3180" s="3" t="s">
        <v>72</v>
      </c>
      <c r="H3180" s="3" t="s">
        <v>29</v>
      </c>
      <c r="I3180" s="3" t="n">
        <f aca="false">YEAR(E3180)</f>
        <v>2026</v>
      </c>
      <c r="J3180" s="3" t="n">
        <f aca="false">MONTH(E3180)</f>
        <v>3</v>
      </c>
      <c r="K3180" s="3" t="n">
        <f aca="false">COUNTIFS($B$2:$B$4077,B3180,$C$2:$C$4077,C3180,$I$2:$I$4077,I3180)</f>
        <v>1</v>
      </c>
      <c r="L3180" s="3" t="n">
        <f aca="false">IF(COUNTIFS($B$2:B3180,B3180,$C$2:C3180,C3180,$I$2:I3180,I3180)=1,1,0)</f>
        <v>1</v>
      </c>
      <c r="M3180" s="3" t="n">
        <f aca="false">IF(K3180&gt;=Parametri!$B$1,1,0)</f>
        <v>0</v>
      </c>
      <c r="N3180" s="3" t="n">
        <f aca="false">L3180*M3180</f>
        <v>0</v>
      </c>
    </row>
    <row r="3181" customFormat="false" ht="15" hidden="false" customHeight="false" outlineLevel="0" collapsed="false">
      <c r="A3181" s="0" t="s">
        <v>4813</v>
      </c>
      <c r="B3181" s="0" t="s">
        <v>41</v>
      </c>
      <c r="C3181" s="0" t="s">
        <v>4814</v>
      </c>
      <c r="D3181" s="0" t="s">
        <v>26</v>
      </c>
      <c r="E3181" s="2" t="n">
        <v>45774</v>
      </c>
      <c r="F3181" s="3" t="s">
        <v>20</v>
      </c>
      <c r="G3181" s="3" t="s">
        <v>43</v>
      </c>
      <c r="H3181" s="3" t="s">
        <v>22</v>
      </c>
      <c r="I3181" s="3" t="n">
        <f aca="false">YEAR(E3181)</f>
        <v>2025</v>
      </c>
      <c r="J3181" s="3" t="n">
        <f aca="false">MONTH(E3181)</f>
        <v>4</v>
      </c>
      <c r="K3181" s="3" t="n">
        <f aca="false">COUNTIFS($B$2:$B$4077,B3181,$C$2:$C$4077,C3181,$I$2:$I$4077,I3181)</f>
        <v>3</v>
      </c>
      <c r="L3181" s="3" t="n">
        <f aca="false">IF(COUNTIFS($B$2:B3181,B3181,$C$2:C3181,C3181,$I$2:I3181,I3181)=1,1,0)</f>
        <v>1</v>
      </c>
      <c r="M3181" s="3" t="n">
        <f aca="false">IF(K3181&gt;=Parametri!$B$1,1,0)</f>
        <v>1</v>
      </c>
      <c r="N3181" s="3" t="n">
        <f aca="false">L3181*M3181</f>
        <v>1</v>
      </c>
    </row>
    <row r="3182" customFormat="false" ht="15" hidden="false" customHeight="false" outlineLevel="0" collapsed="false">
      <c r="A3182" s="0" t="s">
        <v>4815</v>
      </c>
      <c r="B3182" s="0" t="s">
        <v>57</v>
      </c>
      <c r="C3182" s="0" t="s">
        <v>3532</v>
      </c>
      <c r="D3182" s="0" t="s">
        <v>77</v>
      </c>
      <c r="E3182" s="2" t="n">
        <v>46070</v>
      </c>
      <c r="F3182" s="3" t="s">
        <v>34</v>
      </c>
      <c r="G3182" s="3" t="s">
        <v>21</v>
      </c>
      <c r="H3182" s="3" t="s">
        <v>48</v>
      </c>
      <c r="I3182" s="3" t="n">
        <f aca="false">YEAR(E3182)</f>
        <v>2026</v>
      </c>
      <c r="J3182" s="3" t="n">
        <f aca="false">MONTH(E3182)</f>
        <v>2</v>
      </c>
      <c r="K3182" s="3" t="n">
        <f aca="false">COUNTIFS($B$2:$B$4077,B3182,$C$2:$C$4077,C3182,$I$2:$I$4077,I3182)</f>
        <v>2</v>
      </c>
      <c r="L3182" s="3" t="n">
        <f aca="false">IF(COUNTIFS($B$2:B3182,B3182,$C$2:C3182,C3182,$I$2:I3182,I3182)=1,1,0)</f>
        <v>0</v>
      </c>
      <c r="M3182" s="3" t="n">
        <f aca="false">IF(K3182&gt;=Parametri!$B$1,1,0)</f>
        <v>1</v>
      </c>
      <c r="N3182" s="3" t="n">
        <f aca="false">L3182*M3182</f>
        <v>0</v>
      </c>
    </row>
    <row r="3183" customFormat="false" ht="15" hidden="false" customHeight="false" outlineLevel="0" collapsed="false">
      <c r="A3183" s="0" t="s">
        <v>4816</v>
      </c>
      <c r="B3183" s="0" t="s">
        <v>41</v>
      </c>
      <c r="C3183" s="0" t="s">
        <v>3163</v>
      </c>
      <c r="D3183" s="0" t="s">
        <v>38</v>
      </c>
      <c r="E3183" s="2" t="n">
        <v>45899</v>
      </c>
      <c r="F3183" s="3" t="s">
        <v>34</v>
      </c>
      <c r="G3183" s="3" t="s">
        <v>35</v>
      </c>
      <c r="H3183" s="3" t="s">
        <v>48</v>
      </c>
      <c r="I3183" s="3" t="n">
        <f aca="false">YEAR(E3183)</f>
        <v>2025</v>
      </c>
      <c r="J3183" s="3" t="n">
        <f aca="false">MONTH(E3183)</f>
        <v>8</v>
      </c>
      <c r="K3183" s="3" t="n">
        <f aca="false">COUNTIFS($B$2:$B$4077,B3183,$C$2:$C$4077,C3183,$I$2:$I$4077,I3183)</f>
        <v>3</v>
      </c>
      <c r="L3183" s="3" t="n">
        <f aca="false">IF(COUNTIFS($B$2:B3183,B3183,$C$2:C3183,C3183,$I$2:I3183,I3183)=1,1,0)</f>
        <v>0</v>
      </c>
      <c r="M3183" s="3" t="n">
        <f aca="false">IF(K3183&gt;=Parametri!$B$1,1,0)</f>
        <v>1</v>
      </c>
      <c r="N3183" s="3" t="n">
        <f aca="false">L3183*M3183</f>
        <v>0</v>
      </c>
    </row>
    <row r="3184" customFormat="false" ht="15" hidden="false" customHeight="false" outlineLevel="0" collapsed="false">
      <c r="A3184" s="0" t="s">
        <v>4817</v>
      </c>
      <c r="B3184" s="0" t="s">
        <v>124</v>
      </c>
      <c r="C3184" s="0" t="s">
        <v>153</v>
      </c>
      <c r="D3184" s="0" t="s">
        <v>26</v>
      </c>
      <c r="E3184" s="2" t="n">
        <v>45559</v>
      </c>
      <c r="F3184" s="3" t="s">
        <v>20</v>
      </c>
      <c r="G3184" s="3" t="s">
        <v>39</v>
      </c>
      <c r="H3184" s="3" t="s">
        <v>29</v>
      </c>
      <c r="I3184" s="3" t="n">
        <f aca="false">YEAR(E3184)</f>
        <v>2024</v>
      </c>
      <c r="J3184" s="3" t="n">
        <f aca="false">MONTH(E3184)</f>
        <v>9</v>
      </c>
      <c r="K3184" s="3" t="n">
        <f aca="false">COUNTIFS($B$2:$B$4077,B3184,$C$2:$C$4077,C3184,$I$2:$I$4077,I3184)</f>
        <v>2</v>
      </c>
      <c r="L3184" s="3" t="n">
        <f aca="false">IF(COUNTIFS($B$2:B3184,B3184,$C$2:C3184,C3184,$I$2:I3184,I3184)=1,1,0)</f>
        <v>0</v>
      </c>
      <c r="M3184" s="3" t="n">
        <f aca="false">IF(K3184&gt;=Parametri!$B$1,1,0)</f>
        <v>1</v>
      </c>
      <c r="N3184" s="3" t="n">
        <f aca="false">L3184*M3184</f>
        <v>0</v>
      </c>
    </row>
    <row r="3185" customFormat="false" ht="15" hidden="false" customHeight="false" outlineLevel="0" collapsed="false">
      <c r="A3185" s="0" t="s">
        <v>4818</v>
      </c>
      <c r="B3185" s="0" t="s">
        <v>57</v>
      </c>
      <c r="C3185" s="0" t="s">
        <v>263</v>
      </c>
      <c r="D3185" s="0" t="s">
        <v>54</v>
      </c>
      <c r="E3185" s="2" t="n">
        <v>46119</v>
      </c>
      <c r="F3185" s="3" t="s">
        <v>20</v>
      </c>
      <c r="G3185" s="3" t="s">
        <v>43</v>
      </c>
      <c r="H3185" s="3" t="s">
        <v>22</v>
      </c>
      <c r="I3185" s="3" t="n">
        <f aca="false">YEAR(E3185)</f>
        <v>2026</v>
      </c>
      <c r="J3185" s="3" t="n">
        <f aca="false">MONTH(E3185)</f>
        <v>4</v>
      </c>
      <c r="K3185" s="3" t="n">
        <f aca="false">COUNTIFS($B$2:$B$4077,B3185,$C$2:$C$4077,C3185,$I$2:$I$4077,I3185)</f>
        <v>2</v>
      </c>
      <c r="L3185" s="3" t="n">
        <f aca="false">IF(COUNTIFS($B$2:B3185,B3185,$C$2:C3185,C3185,$I$2:I3185,I3185)=1,1,0)</f>
        <v>0</v>
      </c>
      <c r="M3185" s="3" t="n">
        <f aca="false">IF(K3185&gt;=Parametri!$B$1,1,0)</f>
        <v>1</v>
      </c>
      <c r="N3185" s="3" t="n">
        <f aca="false">L3185*M3185</f>
        <v>0</v>
      </c>
    </row>
    <row r="3186" customFormat="false" ht="15" hidden="false" customHeight="false" outlineLevel="0" collapsed="false">
      <c r="A3186" s="0" t="s">
        <v>4819</v>
      </c>
      <c r="B3186" s="0" t="s">
        <v>124</v>
      </c>
      <c r="C3186" s="0" t="s">
        <v>1960</v>
      </c>
      <c r="D3186" s="0" t="s">
        <v>66</v>
      </c>
      <c r="E3186" s="2" t="n">
        <v>45757</v>
      </c>
      <c r="F3186" s="3" t="s">
        <v>27</v>
      </c>
      <c r="G3186" s="3" t="s">
        <v>72</v>
      </c>
      <c r="H3186" s="3" t="s">
        <v>44</v>
      </c>
      <c r="I3186" s="3" t="n">
        <f aca="false">YEAR(E3186)</f>
        <v>2025</v>
      </c>
      <c r="J3186" s="3" t="n">
        <f aca="false">MONTH(E3186)</f>
        <v>4</v>
      </c>
      <c r="K3186" s="3" t="n">
        <f aca="false">COUNTIFS($B$2:$B$4077,B3186,$C$2:$C$4077,C3186,$I$2:$I$4077,I3186)</f>
        <v>2</v>
      </c>
      <c r="L3186" s="3" t="n">
        <f aca="false">IF(COUNTIFS($B$2:B3186,B3186,$C$2:C3186,C3186,$I$2:I3186,I3186)=1,1,0)</f>
        <v>0</v>
      </c>
      <c r="M3186" s="3" t="n">
        <f aca="false">IF(K3186&gt;=Parametri!$B$1,1,0)</f>
        <v>1</v>
      </c>
      <c r="N3186" s="3" t="n">
        <f aca="false">L3186*M3186</f>
        <v>0</v>
      </c>
    </row>
    <row r="3187" customFormat="false" ht="15" hidden="false" customHeight="false" outlineLevel="0" collapsed="false">
      <c r="A3187" s="0" t="s">
        <v>4820</v>
      </c>
      <c r="B3187" s="0" t="s">
        <v>17</v>
      </c>
      <c r="C3187" s="0" t="s">
        <v>4821</v>
      </c>
      <c r="D3187" s="0" t="s">
        <v>33</v>
      </c>
      <c r="E3187" s="2" t="n">
        <v>45712</v>
      </c>
      <c r="F3187" s="3" t="s">
        <v>34</v>
      </c>
      <c r="G3187" s="3" t="s">
        <v>43</v>
      </c>
      <c r="H3187" s="3" t="s">
        <v>44</v>
      </c>
      <c r="I3187" s="3" t="n">
        <f aca="false">YEAR(E3187)</f>
        <v>2025</v>
      </c>
      <c r="J3187" s="3" t="n">
        <f aca="false">MONTH(E3187)</f>
        <v>2</v>
      </c>
      <c r="K3187" s="3" t="n">
        <f aca="false">COUNTIFS($B$2:$B$4077,B3187,$C$2:$C$4077,C3187,$I$2:$I$4077,I3187)</f>
        <v>3</v>
      </c>
      <c r="L3187" s="3" t="n">
        <f aca="false">IF(COUNTIFS($B$2:B3187,B3187,$C$2:C3187,C3187,$I$2:I3187,I3187)=1,1,0)</f>
        <v>1</v>
      </c>
      <c r="M3187" s="3" t="n">
        <f aca="false">IF(K3187&gt;=Parametri!$B$1,1,0)</f>
        <v>1</v>
      </c>
      <c r="N3187" s="3" t="n">
        <f aca="false">L3187*M3187</f>
        <v>1</v>
      </c>
    </row>
    <row r="3188" customFormat="false" ht="15" hidden="false" customHeight="false" outlineLevel="0" collapsed="false">
      <c r="A3188" s="0" t="s">
        <v>4822</v>
      </c>
      <c r="B3188" s="0" t="s">
        <v>79</v>
      </c>
      <c r="C3188" s="0" t="s">
        <v>1945</v>
      </c>
      <c r="D3188" s="0" t="s">
        <v>77</v>
      </c>
      <c r="E3188" s="2" t="n">
        <v>45725</v>
      </c>
      <c r="F3188" s="3" t="s">
        <v>34</v>
      </c>
      <c r="G3188" s="3" t="s">
        <v>43</v>
      </c>
      <c r="H3188" s="3" t="s">
        <v>44</v>
      </c>
      <c r="I3188" s="3" t="n">
        <f aca="false">YEAR(E3188)</f>
        <v>2025</v>
      </c>
      <c r="J3188" s="3" t="n">
        <f aca="false">MONTH(E3188)</f>
        <v>3</v>
      </c>
      <c r="K3188" s="3" t="n">
        <f aca="false">COUNTIFS($B$2:$B$4077,B3188,$C$2:$C$4077,C3188,$I$2:$I$4077,I3188)</f>
        <v>1</v>
      </c>
      <c r="L3188" s="3" t="n">
        <f aca="false">IF(COUNTIFS($B$2:B3188,B3188,$C$2:C3188,C3188,$I$2:I3188,I3188)=1,1,0)</f>
        <v>1</v>
      </c>
      <c r="M3188" s="3" t="n">
        <f aca="false">IF(K3188&gt;=Parametri!$B$1,1,0)</f>
        <v>0</v>
      </c>
      <c r="N3188" s="3" t="n">
        <f aca="false">L3188*M3188</f>
        <v>0</v>
      </c>
    </row>
    <row r="3189" customFormat="false" ht="15" hidden="false" customHeight="false" outlineLevel="0" collapsed="false">
      <c r="A3189" s="0" t="s">
        <v>4823</v>
      </c>
      <c r="B3189" s="0" t="s">
        <v>17</v>
      </c>
      <c r="C3189" s="0" t="s">
        <v>2019</v>
      </c>
      <c r="D3189" s="0" t="s">
        <v>19</v>
      </c>
      <c r="E3189" s="2" t="n">
        <v>45630</v>
      </c>
      <c r="F3189" s="3" t="s">
        <v>34</v>
      </c>
      <c r="G3189" s="3" t="s">
        <v>21</v>
      </c>
      <c r="H3189" s="3" t="s">
        <v>48</v>
      </c>
      <c r="I3189" s="3" t="n">
        <f aca="false">YEAR(E3189)</f>
        <v>2024</v>
      </c>
      <c r="J3189" s="3" t="n">
        <f aca="false">MONTH(E3189)</f>
        <v>12</v>
      </c>
      <c r="K3189" s="3" t="n">
        <f aca="false">COUNTIFS($B$2:$B$4077,B3189,$C$2:$C$4077,C3189,$I$2:$I$4077,I3189)</f>
        <v>2</v>
      </c>
      <c r="L3189" s="3" t="n">
        <f aca="false">IF(COUNTIFS($B$2:B3189,B3189,$C$2:C3189,C3189,$I$2:I3189,I3189)=1,1,0)</f>
        <v>0</v>
      </c>
      <c r="M3189" s="3" t="n">
        <f aca="false">IF(K3189&gt;=Parametri!$B$1,1,0)</f>
        <v>1</v>
      </c>
      <c r="N3189" s="3" t="n">
        <f aca="false">L3189*M3189</f>
        <v>0</v>
      </c>
    </row>
    <row r="3190" customFormat="false" ht="15" hidden="false" customHeight="false" outlineLevel="0" collapsed="false">
      <c r="A3190" s="0" t="s">
        <v>4824</v>
      </c>
      <c r="B3190" s="0" t="s">
        <v>79</v>
      </c>
      <c r="C3190" s="0" t="s">
        <v>3381</v>
      </c>
      <c r="D3190" s="0" t="s">
        <v>66</v>
      </c>
      <c r="E3190" s="2" t="n">
        <v>45347</v>
      </c>
      <c r="F3190" s="3" t="s">
        <v>34</v>
      </c>
      <c r="G3190" s="3" t="s">
        <v>43</v>
      </c>
      <c r="H3190" s="3" t="s">
        <v>44</v>
      </c>
      <c r="I3190" s="3" t="n">
        <f aca="false">YEAR(E3190)</f>
        <v>2024</v>
      </c>
      <c r="J3190" s="3" t="n">
        <f aca="false">MONTH(E3190)</f>
        <v>2</v>
      </c>
      <c r="K3190" s="3" t="n">
        <f aca="false">COUNTIFS($B$2:$B$4077,B3190,$C$2:$C$4077,C3190,$I$2:$I$4077,I3190)</f>
        <v>1</v>
      </c>
      <c r="L3190" s="3" t="n">
        <f aca="false">IF(COUNTIFS($B$2:B3190,B3190,$C$2:C3190,C3190,$I$2:I3190,I3190)=1,1,0)</f>
        <v>1</v>
      </c>
      <c r="M3190" s="3" t="n">
        <f aca="false">IF(K3190&gt;=Parametri!$B$1,1,0)</f>
        <v>0</v>
      </c>
      <c r="N3190" s="3" t="n">
        <f aca="false">L3190*M3190</f>
        <v>0</v>
      </c>
    </row>
    <row r="3191" customFormat="false" ht="15" hidden="false" customHeight="false" outlineLevel="0" collapsed="false">
      <c r="A3191" s="0" t="s">
        <v>4825</v>
      </c>
      <c r="B3191" s="0" t="s">
        <v>46</v>
      </c>
      <c r="C3191" s="0" t="s">
        <v>4826</v>
      </c>
      <c r="D3191" s="0" t="s">
        <v>19</v>
      </c>
      <c r="E3191" s="2" t="n">
        <v>45873</v>
      </c>
      <c r="F3191" s="3" t="s">
        <v>20</v>
      </c>
      <c r="G3191" s="3" t="s">
        <v>21</v>
      </c>
      <c r="H3191" s="3" t="s">
        <v>29</v>
      </c>
      <c r="I3191" s="3" t="n">
        <f aca="false">YEAR(E3191)</f>
        <v>2025</v>
      </c>
      <c r="J3191" s="3" t="n">
        <f aca="false">MONTH(E3191)</f>
        <v>8</v>
      </c>
      <c r="K3191" s="3" t="n">
        <f aca="false">COUNTIFS($B$2:$B$4077,B3191,$C$2:$C$4077,C3191,$I$2:$I$4077,I3191)</f>
        <v>1</v>
      </c>
      <c r="L3191" s="3" t="n">
        <f aca="false">IF(COUNTIFS($B$2:B3191,B3191,$C$2:C3191,C3191,$I$2:I3191,I3191)=1,1,0)</f>
        <v>1</v>
      </c>
      <c r="M3191" s="3" t="n">
        <f aca="false">IF(K3191&gt;=Parametri!$B$1,1,0)</f>
        <v>0</v>
      </c>
      <c r="N3191" s="3" t="n">
        <f aca="false">L3191*M3191</f>
        <v>0</v>
      </c>
    </row>
    <row r="3192" customFormat="false" ht="15" hidden="false" customHeight="false" outlineLevel="0" collapsed="false">
      <c r="A3192" s="0" t="s">
        <v>4827</v>
      </c>
      <c r="B3192" s="0" t="s">
        <v>50</v>
      </c>
      <c r="C3192" s="0" t="s">
        <v>122</v>
      </c>
      <c r="D3192" s="0" t="s">
        <v>38</v>
      </c>
      <c r="E3192" s="2" t="n">
        <v>45783</v>
      </c>
      <c r="F3192" s="3" t="s">
        <v>20</v>
      </c>
      <c r="G3192" s="3" t="s">
        <v>35</v>
      </c>
      <c r="H3192" s="3" t="s">
        <v>22</v>
      </c>
      <c r="I3192" s="3" t="n">
        <f aca="false">YEAR(E3192)</f>
        <v>2025</v>
      </c>
      <c r="J3192" s="3" t="n">
        <f aca="false">MONTH(E3192)</f>
        <v>5</v>
      </c>
      <c r="K3192" s="3" t="n">
        <f aca="false">COUNTIFS($B$2:$B$4077,B3192,$C$2:$C$4077,C3192,$I$2:$I$4077,I3192)</f>
        <v>1</v>
      </c>
      <c r="L3192" s="3" t="n">
        <f aca="false">IF(COUNTIFS($B$2:B3192,B3192,$C$2:C3192,C3192,$I$2:I3192,I3192)=1,1,0)</f>
        <v>1</v>
      </c>
      <c r="M3192" s="3" t="n">
        <f aca="false">IF(K3192&gt;=Parametri!$B$1,1,0)</f>
        <v>0</v>
      </c>
      <c r="N3192" s="3" t="n">
        <f aca="false">L3192*M3192</f>
        <v>0</v>
      </c>
    </row>
    <row r="3193" customFormat="false" ht="15" hidden="false" customHeight="false" outlineLevel="0" collapsed="false">
      <c r="A3193" s="0" t="s">
        <v>4828</v>
      </c>
      <c r="B3193" s="0" t="s">
        <v>124</v>
      </c>
      <c r="C3193" s="0" t="s">
        <v>292</v>
      </c>
      <c r="D3193" s="0" t="s">
        <v>26</v>
      </c>
      <c r="E3193" s="2" t="n">
        <v>46097</v>
      </c>
      <c r="F3193" s="3" t="s">
        <v>27</v>
      </c>
      <c r="G3193" s="3" t="s">
        <v>55</v>
      </c>
      <c r="H3193" s="3" t="s">
        <v>44</v>
      </c>
      <c r="I3193" s="3" t="n">
        <f aca="false">YEAR(E3193)</f>
        <v>2026</v>
      </c>
      <c r="J3193" s="3" t="n">
        <f aca="false">MONTH(E3193)</f>
        <v>3</v>
      </c>
      <c r="K3193" s="3" t="n">
        <f aca="false">COUNTIFS($B$2:$B$4077,B3193,$C$2:$C$4077,C3193,$I$2:$I$4077,I3193)</f>
        <v>3</v>
      </c>
      <c r="L3193" s="3" t="n">
        <f aca="false">IF(COUNTIFS($B$2:B3193,B3193,$C$2:C3193,C3193,$I$2:I3193,I3193)=1,1,0)</f>
        <v>0</v>
      </c>
      <c r="M3193" s="3" t="n">
        <f aca="false">IF(K3193&gt;=Parametri!$B$1,1,0)</f>
        <v>1</v>
      </c>
      <c r="N3193" s="3" t="n">
        <f aca="false">L3193*M3193</f>
        <v>0</v>
      </c>
    </row>
    <row r="3194" customFormat="false" ht="15" hidden="false" customHeight="false" outlineLevel="0" collapsed="false">
      <c r="A3194" s="0" t="s">
        <v>4829</v>
      </c>
      <c r="B3194" s="0" t="s">
        <v>124</v>
      </c>
      <c r="C3194" s="0" t="s">
        <v>4830</v>
      </c>
      <c r="D3194" s="0" t="s">
        <v>26</v>
      </c>
      <c r="E3194" s="2" t="n">
        <v>46248</v>
      </c>
      <c r="F3194" s="3" t="s">
        <v>20</v>
      </c>
      <c r="G3194" s="3" t="s">
        <v>39</v>
      </c>
      <c r="H3194" s="3" t="s">
        <v>22</v>
      </c>
      <c r="I3194" s="3" t="n">
        <f aca="false">YEAR(E3194)</f>
        <v>2026</v>
      </c>
      <c r="J3194" s="3" t="n">
        <f aca="false">MONTH(E3194)</f>
        <v>8</v>
      </c>
      <c r="K3194" s="3" t="n">
        <f aca="false">COUNTIFS($B$2:$B$4077,B3194,$C$2:$C$4077,C3194,$I$2:$I$4077,I3194)</f>
        <v>1</v>
      </c>
      <c r="L3194" s="3" t="n">
        <f aca="false">IF(COUNTIFS($B$2:B3194,B3194,$C$2:C3194,C3194,$I$2:I3194,I3194)=1,1,0)</f>
        <v>1</v>
      </c>
      <c r="M3194" s="3" t="n">
        <f aca="false">IF(K3194&gt;=Parametri!$B$1,1,0)</f>
        <v>0</v>
      </c>
      <c r="N3194" s="3" t="n">
        <f aca="false">L3194*M3194</f>
        <v>0</v>
      </c>
    </row>
    <row r="3195" customFormat="false" ht="15" hidden="false" customHeight="false" outlineLevel="0" collapsed="false">
      <c r="A3195" s="0" t="s">
        <v>4831</v>
      </c>
      <c r="B3195" s="0" t="s">
        <v>24</v>
      </c>
      <c r="C3195" s="0" t="s">
        <v>566</v>
      </c>
      <c r="D3195" s="0" t="s">
        <v>54</v>
      </c>
      <c r="E3195" s="2" t="n">
        <v>45975</v>
      </c>
      <c r="F3195" s="3" t="s">
        <v>34</v>
      </c>
      <c r="G3195" s="3" t="s">
        <v>72</v>
      </c>
      <c r="H3195" s="3" t="s">
        <v>48</v>
      </c>
      <c r="I3195" s="3" t="n">
        <f aca="false">YEAR(E3195)</f>
        <v>2025</v>
      </c>
      <c r="J3195" s="3" t="n">
        <f aca="false">MONTH(E3195)</f>
        <v>11</v>
      </c>
      <c r="K3195" s="3" t="n">
        <f aca="false">COUNTIFS($B$2:$B$4077,B3195,$C$2:$C$4077,C3195,$I$2:$I$4077,I3195)</f>
        <v>3</v>
      </c>
      <c r="L3195" s="3" t="n">
        <f aca="false">IF(COUNTIFS($B$2:B3195,B3195,$C$2:C3195,C3195,$I$2:I3195,I3195)=1,1,0)</f>
        <v>0</v>
      </c>
      <c r="M3195" s="3" t="n">
        <f aca="false">IF(K3195&gt;=Parametri!$B$1,1,0)</f>
        <v>1</v>
      </c>
      <c r="N3195" s="3" t="n">
        <f aca="false">L3195*M3195</f>
        <v>0</v>
      </c>
    </row>
    <row r="3196" customFormat="false" ht="15" hidden="false" customHeight="false" outlineLevel="0" collapsed="false">
      <c r="A3196" s="0" t="s">
        <v>4832</v>
      </c>
      <c r="B3196" s="0" t="s">
        <v>124</v>
      </c>
      <c r="C3196" s="0" t="s">
        <v>1243</v>
      </c>
      <c r="D3196" s="0" t="s">
        <v>66</v>
      </c>
      <c r="E3196" s="2" t="n">
        <v>45463</v>
      </c>
      <c r="F3196" s="3" t="s">
        <v>20</v>
      </c>
      <c r="G3196" s="3" t="s">
        <v>28</v>
      </c>
      <c r="H3196" s="3" t="s">
        <v>22</v>
      </c>
      <c r="I3196" s="3" t="n">
        <f aca="false">YEAR(E3196)</f>
        <v>2024</v>
      </c>
      <c r="J3196" s="3" t="n">
        <f aca="false">MONTH(E3196)</f>
        <v>6</v>
      </c>
      <c r="K3196" s="3" t="n">
        <f aca="false">COUNTIFS($B$2:$B$4077,B3196,$C$2:$C$4077,C3196,$I$2:$I$4077,I3196)</f>
        <v>4</v>
      </c>
      <c r="L3196" s="3" t="n">
        <f aca="false">IF(COUNTIFS($B$2:B3196,B3196,$C$2:C3196,C3196,$I$2:I3196,I3196)=1,1,0)</f>
        <v>0</v>
      </c>
      <c r="M3196" s="3" t="n">
        <f aca="false">IF(K3196&gt;=Parametri!$B$1,1,0)</f>
        <v>1</v>
      </c>
      <c r="N3196" s="3" t="n">
        <f aca="false">L3196*M3196</f>
        <v>0</v>
      </c>
    </row>
    <row r="3197" customFormat="false" ht="15" hidden="false" customHeight="false" outlineLevel="0" collapsed="false">
      <c r="A3197" s="0" t="s">
        <v>4833</v>
      </c>
      <c r="B3197" s="0" t="s">
        <v>50</v>
      </c>
      <c r="C3197" s="0" t="s">
        <v>4834</v>
      </c>
      <c r="D3197" s="0" t="s">
        <v>33</v>
      </c>
      <c r="E3197" s="2" t="n">
        <v>45694</v>
      </c>
      <c r="F3197" s="3" t="s">
        <v>20</v>
      </c>
      <c r="G3197" s="3" t="s">
        <v>28</v>
      </c>
      <c r="H3197" s="3" t="s">
        <v>48</v>
      </c>
      <c r="I3197" s="3" t="n">
        <f aca="false">YEAR(E3197)</f>
        <v>2025</v>
      </c>
      <c r="J3197" s="3" t="n">
        <f aca="false">MONTH(E3197)</f>
        <v>2</v>
      </c>
      <c r="K3197" s="3" t="n">
        <f aca="false">COUNTIFS($B$2:$B$4077,B3197,$C$2:$C$4077,C3197,$I$2:$I$4077,I3197)</f>
        <v>1</v>
      </c>
      <c r="L3197" s="3" t="n">
        <f aca="false">IF(COUNTIFS($B$2:B3197,B3197,$C$2:C3197,C3197,$I$2:I3197,I3197)=1,1,0)</f>
        <v>1</v>
      </c>
      <c r="M3197" s="3" t="n">
        <f aca="false">IF(K3197&gt;=Parametri!$B$1,1,0)</f>
        <v>0</v>
      </c>
      <c r="N3197" s="3" t="n">
        <f aca="false">L3197*M3197</f>
        <v>0</v>
      </c>
    </row>
    <row r="3198" customFormat="false" ht="15" hidden="false" customHeight="false" outlineLevel="0" collapsed="false">
      <c r="A3198" s="0" t="s">
        <v>4835</v>
      </c>
      <c r="B3198" s="0" t="s">
        <v>79</v>
      </c>
      <c r="C3198" s="0" t="s">
        <v>2714</v>
      </c>
      <c r="D3198" s="0" t="s">
        <v>38</v>
      </c>
      <c r="E3198" s="2" t="n">
        <v>46220</v>
      </c>
      <c r="F3198" s="3" t="s">
        <v>20</v>
      </c>
      <c r="G3198" s="3" t="s">
        <v>43</v>
      </c>
      <c r="H3198" s="3" t="s">
        <v>29</v>
      </c>
      <c r="I3198" s="3" t="n">
        <f aca="false">YEAR(E3198)</f>
        <v>2026</v>
      </c>
      <c r="J3198" s="3" t="n">
        <f aca="false">MONTH(E3198)</f>
        <v>7</v>
      </c>
      <c r="K3198" s="3" t="n">
        <f aca="false">COUNTIFS($B$2:$B$4077,B3198,$C$2:$C$4077,C3198,$I$2:$I$4077,I3198)</f>
        <v>1</v>
      </c>
      <c r="L3198" s="3" t="n">
        <f aca="false">IF(COUNTIFS($B$2:B3198,B3198,$C$2:C3198,C3198,$I$2:I3198,I3198)=1,1,0)</f>
        <v>1</v>
      </c>
      <c r="M3198" s="3" t="n">
        <f aca="false">IF(K3198&gt;=Parametri!$B$1,1,0)</f>
        <v>0</v>
      </c>
      <c r="N3198" s="3" t="n">
        <f aca="false">L3198*M3198</f>
        <v>0</v>
      </c>
    </row>
    <row r="3199" customFormat="false" ht="15" hidden="false" customHeight="false" outlineLevel="0" collapsed="false">
      <c r="A3199" s="0" t="s">
        <v>4836</v>
      </c>
      <c r="B3199" s="0" t="s">
        <v>57</v>
      </c>
      <c r="C3199" s="0" t="s">
        <v>395</v>
      </c>
      <c r="D3199" s="0" t="s">
        <v>33</v>
      </c>
      <c r="E3199" s="2" t="n">
        <v>45617</v>
      </c>
      <c r="F3199" s="3" t="s">
        <v>27</v>
      </c>
      <c r="G3199" s="3" t="s">
        <v>89</v>
      </c>
      <c r="H3199" s="3" t="s">
        <v>44</v>
      </c>
      <c r="I3199" s="3" t="n">
        <f aca="false">YEAR(E3199)</f>
        <v>2024</v>
      </c>
      <c r="J3199" s="3" t="n">
        <f aca="false">MONTH(E3199)</f>
        <v>11</v>
      </c>
      <c r="K3199" s="3" t="n">
        <f aca="false">COUNTIFS($B$2:$B$4077,B3199,$C$2:$C$4077,C3199,$I$2:$I$4077,I3199)</f>
        <v>2</v>
      </c>
      <c r="L3199" s="3" t="n">
        <f aca="false">IF(COUNTIFS($B$2:B3199,B3199,$C$2:C3199,C3199,$I$2:I3199,I3199)=1,1,0)</f>
        <v>0</v>
      </c>
      <c r="M3199" s="3" t="n">
        <f aca="false">IF(K3199&gt;=Parametri!$B$1,1,0)</f>
        <v>1</v>
      </c>
      <c r="N3199" s="3" t="n">
        <f aca="false">L3199*M3199</f>
        <v>0</v>
      </c>
    </row>
    <row r="3200" customFormat="false" ht="15" hidden="false" customHeight="false" outlineLevel="0" collapsed="false">
      <c r="A3200" s="0" t="s">
        <v>4837</v>
      </c>
      <c r="B3200" s="0" t="s">
        <v>50</v>
      </c>
      <c r="C3200" s="0" t="s">
        <v>2920</v>
      </c>
      <c r="D3200" s="0" t="s">
        <v>26</v>
      </c>
      <c r="E3200" s="2" t="n">
        <v>46030</v>
      </c>
      <c r="F3200" s="3" t="s">
        <v>20</v>
      </c>
      <c r="G3200" s="3" t="s">
        <v>35</v>
      </c>
      <c r="H3200" s="3" t="s">
        <v>44</v>
      </c>
      <c r="I3200" s="3" t="n">
        <f aca="false">YEAR(E3200)</f>
        <v>2026</v>
      </c>
      <c r="J3200" s="3" t="n">
        <f aca="false">MONTH(E3200)</f>
        <v>1</v>
      </c>
      <c r="K3200" s="3" t="n">
        <f aca="false">COUNTIFS($B$2:$B$4077,B3200,$C$2:$C$4077,C3200,$I$2:$I$4077,I3200)</f>
        <v>2</v>
      </c>
      <c r="L3200" s="3" t="n">
        <f aca="false">IF(COUNTIFS($B$2:B3200,B3200,$C$2:C3200,C3200,$I$2:I3200,I3200)=1,1,0)</f>
        <v>0</v>
      </c>
      <c r="M3200" s="3" t="n">
        <f aca="false">IF(K3200&gt;=Parametri!$B$1,1,0)</f>
        <v>1</v>
      </c>
      <c r="N3200" s="3" t="n">
        <f aca="false">L3200*M3200</f>
        <v>0</v>
      </c>
    </row>
    <row r="3201" customFormat="false" ht="15" hidden="false" customHeight="false" outlineLevel="0" collapsed="false">
      <c r="A3201" s="0" t="s">
        <v>4838</v>
      </c>
      <c r="B3201" s="0" t="s">
        <v>31</v>
      </c>
      <c r="C3201" s="0" t="s">
        <v>1048</v>
      </c>
      <c r="D3201" s="0" t="s">
        <v>66</v>
      </c>
      <c r="E3201" s="2" t="n">
        <v>45925</v>
      </c>
      <c r="F3201" s="3" t="s">
        <v>27</v>
      </c>
      <c r="G3201" s="3" t="s">
        <v>104</v>
      </c>
      <c r="H3201" s="3" t="s">
        <v>104</v>
      </c>
      <c r="I3201" s="3" t="n">
        <f aca="false">YEAR(E3201)</f>
        <v>2025</v>
      </c>
      <c r="J3201" s="3" t="n">
        <f aca="false">MONTH(E3201)</f>
        <v>9</v>
      </c>
      <c r="K3201" s="3" t="n">
        <f aca="false">COUNTIFS($B$2:$B$4077,B3201,$C$2:$C$4077,C3201,$I$2:$I$4077,I3201)</f>
        <v>1</v>
      </c>
      <c r="L3201" s="3" t="n">
        <f aca="false">IF(COUNTIFS($B$2:B3201,B3201,$C$2:C3201,C3201,$I$2:I3201,I3201)=1,1,0)</f>
        <v>1</v>
      </c>
      <c r="M3201" s="3" t="n">
        <f aca="false">IF(K3201&gt;=Parametri!$B$1,1,0)</f>
        <v>0</v>
      </c>
      <c r="N3201" s="3" t="n">
        <f aca="false">L3201*M3201</f>
        <v>0</v>
      </c>
    </row>
    <row r="3202" customFormat="false" ht="15" hidden="false" customHeight="false" outlineLevel="0" collapsed="false">
      <c r="A3202" s="0" t="s">
        <v>4839</v>
      </c>
      <c r="B3202" s="0" t="s">
        <v>17</v>
      </c>
      <c r="C3202" s="0" t="s">
        <v>406</v>
      </c>
      <c r="D3202" s="0" t="s">
        <v>38</v>
      </c>
      <c r="E3202" s="2" t="n">
        <v>45661</v>
      </c>
      <c r="F3202" s="3" t="s">
        <v>20</v>
      </c>
      <c r="G3202" s="3" t="s">
        <v>28</v>
      </c>
      <c r="H3202" s="3" t="s">
        <v>22</v>
      </c>
      <c r="I3202" s="3" t="n">
        <f aca="false">YEAR(E3202)</f>
        <v>2025</v>
      </c>
      <c r="J3202" s="3" t="n">
        <f aca="false">MONTH(E3202)</f>
        <v>1</v>
      </c>
      <c r="K3202" s="3" t="n">
        <f aca="false">COUNTIFS($B$2:$B$4077,B3202,$C$2:$C$4077,C3202,$I$2:$I$4077,I3202)</f>
        <v>4</v>
      </c>
      <c r="L3202" s="3" t="n">
        <f aca="false">IF(COUNTIFS($B$2:B3202,B3202,$C$2:C3202,C3202,$I$2:I3202,I3202)=1,1,0)</f>
        <v>0</v>
      </c>
      <c r="M3202" s="3" t="n">
        <f aca="false">IF(K3202&gt;=Parametri!$B$1,1,0)</f>
        <v>1</v>
      </c>
      <c r="N3202" s="3" t="n">
        <f aca="false">L3202*M3202</f>
        <v>0</v>
      </c>
    </row>
    <row r="3203" customFormat="false" ht="15" hidden="false" customHeight="false" outlineLevel="0" collapsed="false">
      <c r="A3203" s="0" t="s">
        <v>4840</v>
      </c>
      <c r="B3203" s="0" t="s">
        <v>24</v>
      </c>
      <c r="C3203" s="0" t="s">
        <v>325</v>
      </c>
      <c r="D3203" s="0" t="s">
        <v>33</v>
      </c>
      <c r="E3203" s="2" t="n">
        <v>45377</v>
      </c>
      <c r="F3203" s="3" t="s">
        <v>20</v>
      </c>
      <c r="G3203" s="3" t="s">
        <v>21</v>
      </c>
      <c r="H3203" s="3" t="s">
        <v>22</v>
      </c>
      <c r="I3203" s="3" t="n">
        <f aca="false">YEAR(E3203)</f>
        <v>2024</v>
      </c>
      <c r="J3203" s="3" t="n">
        <f aca="false">MONTH(E3203)</f>
        <v>3</v>
      </c>
      <c r="K3203" s="3" t="n">
        <f aca="false">COUNTIFS($B$2:$B$4077,B3203,$C$2:$C$4077,C3203,$I$2:$I$4077,I3203)</f>
        <v>7</v>
      </c>
      <c r="L3203" s="3" t="n">
        <f aca="false">IF(COUNTIFS($B$2:B3203,B3203,$C$2:C3203,C3203,$I$2:I3203,I3203)=1,1,0)</f>
        <v>0</v>
      </c>
      <c r="M3203" s="3" t="n">
        <f aca="false">IF(K3203&gt;=Parametri!$B$1,1,0)</f>
        <v>1</v>
      </c>
      <c r="N3203" s="3" t="n">
        <f aca="false">L3203*M3203</f>
        <v>0</v>
      </c>
    </row>
    <row r="3204" customFormat="false" ht="15" hidden="false" customHeight="false" outlineLevel="0" collapsed="false">
      <c r="A3204" s="0" t="s">
        <v>4841</v>
      </c>
      <c r="B3204" s="0" t="s">
        <v>57</v>
      </c>
      <c r="C3204" s="0" t="s">
        <v>2434</v>
      </c>
      <c r="D3204" s="0" t="s">
        <v>77</v>
      </c>
      <c r="E3204" s="2" t="n">
        <v>45913</v>
      </c>
      <c r="F3204" s="3" t="s">
        <v>20</v>
      </c>
      <c r="G3204" s="3" t="s">
        <v>43</v>
      </c>
      <c r="H3204" s="3" t="s">
        <v>44</v>
      </c>
      <c r="I3204" s="3" t="n">
        <f aca="false">YEAR(E3204)</f>
        <v>2025</v>
      </c>
      <c r="J3204" s="3" t="n">
        <f aca="false">MONTH(E3204)</f>
        <v>9</v>
      </c>
      <c r="K3204" s="3" t="n">
        <f aca="false">COUNTIFS($B$2:$B$4077,B3204,$C$2:$C$4077,C3204,$I$2:$I$4077,I3204)</f>
        <v>3</v>
      </c>
      <c r="L3204" s="3" t="n">
        <f aca="false">IF(COUNTIFS($B$2:B3204,B3204,$C$2:C3204,C3204,$I$2:I3204,I3204)=1,1,0)</f>
        <v>0</v>
      </c>
      <c r="M3204" s="3" t="n">
        <f aca="false">IF(K3204&gt;=Parametri!$B$1,1,0)</f>
        <v>1</v>
      </c>
      <c r="N3204" s="3" t="n">
        <f aca="false">L3204*M3204</f>
        <v>0</v>
      </c>
    </row>
    <row r="3205" customFormat="false" ht="15" hidden="false" customHeight="false" outlineLevel="0" collapsed="false">
      <c r="A3205" s="0" t="s">
        <v>4842</v>
      </c>
      <c r="B3205" s="0" t="s">
        <v>57</v>
      </c>
      <c r="C3205" s="0" t="s">
        <v>442</v>
      </c>
      <c r="D3205" s="0" t="s">
        <v>66</v>
      </c>
      <c r="E3205" s="2" t="n">
        <v>46011</v>
      </c>
      <c r="F3205" s="3" t="s">
        <v>34</v>
      </c>
      <c r="G3205" s="3" t="s">
        <v>55</v>
      </c>
      <c r="H3205" s="3" t="s">
        <v>48</v>
      </c>
      <c r="I3205" s="3" t="n">
        <f aca="false">YEAR(E3205)</f>
        <v>2025</v>
      </c>
      <c r="J3205" s="3" t="n">
        <f aca="false">MONTH(E3205)</f>
        <v>12</v>
      </c>
      <c r="K3205" s="3" t="n">
        <f aca="false">COUNTIFS($B$2:$B$4077,B3205,$C$2:$C$4077,C3205,$I$2:$I$4077,I3205)</f>
        <v>3</v>
      </c>
      <c r="L3205" s="3" t="n">
        <f aca="false">IF(COUNTIFS($B$2:B3205,B3205,$C$2:C3205,C3205,$I$2:I3205,I3205)=1,1,0)</f>
        <v>0</v>
      </c>
      <c r="M3205" s="3" t="n">
        <f aca="false">IF(K3205&gt;=Parametri!$B$1,1,0)</f>
        <v>1</v>
      </c>
      <c r="N3205" s="3" t="n">
        <f aca="false">L3205*M3205</f>
        <v>0</v>
      </c>
    </row>
    <row r="3206" customFormat="false" ht="15" hidden="false" customHeight="false" outlineLevel="0" collapsed="false">
      <c r="A3206" s="0" t="s">
        <v>4843</v>
      </c>
      <c r="B3206" s="0" t="s">
        <v>50</v>
      </c>
      <c r="C3206" s="0" t="s">
        <v>3184</v>
      </c>
      <c r="D3206" s="0" t="s">
        <v>66</v>
      </c>
      <c r="E3206" s="2" t="n">
        <v>46263</v>
      </c>
      <c r="F3206" s="3" t="s">
        <v>20</v>
      </c>
      <c r="G3206" s="3" t="s">
        <v>43</v>
      </c>
      <c r="H3206" s="3" t="s">
        <v>48</v>
      </c>
      <c r="I3206" s="3" t="n">
        <f aca="false">YEAR(E3206)</f>
        <v>2026</v>
      </c>
      <c r="J3206" s="3" t="n">
        <f aca="false">MONTH(E3206)</f>
        <v>8</v>
      </c>
      <c r="K3206" s="3" t="n">
        <f aca="false">COUNTIFS($B$2:$B$4077,B3206,$C$2:$C$4077,C3206,$I$2:$I$4077,I3206)</f>
        <v>1</v>
      </c>
      <c r="L3206" s="3" t="n">
        <f aca="false">IF(COUNTIFS($B$2:B3206,B3206,$C$2:C3206,C3206,$I$2:I3206,I3206)=1,1,0)</f>
        <v>1</v>
      </c>
      <c r="M3206" s="3" t="n">
        <f aca="false">IF(K3206&gt;=Parametri!$B$1,1,0)</f>
        <v>0</v>
      </c>
      <c r="N3206" s="3" t="n">
        <f aca="false">L3206*M3206</f>
        <v>0</v>
      </c>
    </row>
    <row r="3207" customFormat="false" ht="15" hidden="false" customHeight="false" outlineLevel="0" collapsed="false">
      <c r="A3207" s="0" t="s">
        <v>4844</v>
      </c>
      <c r="B3207" s="0" t="s">
        <v>31</v>
      </c>
      <c r="C3207" s="0" t="s">
        <v>3534</v>
      </c>
      <c r="D3207" s="0" t="s">
        <v>26</v>
      </c>
      <c r="E3207" s="2" t="n">
        <v>45700</v>
      </c>
      <c r="F3207" s="3" t="s">
        <v>20</v>
      </c>
      <c r="G3207" s="3" t="s">
        <v>35</v>
      </c>
      <c r="H3207" s="3" t="s">
        <v>22</v>
      </c>
      <c r="I3207" s="3" t="n">
        <f aca="false">YEAR(E3207)</f>
        <v>2025</v>
      </c>
      <c r="J3207" s="3" t="n">
        <f aca="false">MONTH(E3207)</f>
        <v>2</v>
      </c>
      <c r="K3207" s="3" t="n">
        <f aca="false">COUNTIFS($B$2:$B$4077,B3207,$C$2:$C$4077,C3207,$I$2:$I$4077,I3207)</f>
        <v>2</v>
      </c>
      <c r="L3207" s="3" t="n">
        <f aca="false">IF(COUNTIFS($B$2:B3207,B3207,$C$2:C3207,C3207,$I$2:I3207,I3207)=1,1,0)</f>
        <v>0</v>
      </c>
      <c r="M3207" s="3" t="n">
        <f aca="false">IF(K3207&gt;=Parametri!$B$1,1,0)</f>
        <v>1</v>
      </c>
      <c r="N3207" s="3" t="n">
        <f aca="false">L3207*M3207</f>
        <v>0</v>
      </c>
    </row>
    <row r="3208" customFormat="false" ht="15" hidden="false" customHeight="false" outlineLevel="0" collapsed="false">
      <c r="A3208" s="0" t="s">
        <v>4845</v>
      </c>
      <c r="B3208" s="0" t="s">
        <v>68</v>
      </c>
      <c r="C3208" s="0" t="s">
        <v>4846</v>
      </c>
      <c r="D3208" s="0" t="s">
        <v>33</v>
      </c>
      <c r="E3208" s="2" t="n">
        <v>45381</v>
      </c>
      <c r="F3208" s="3" t="s">
        <v>20</v>
      </c>
      <c r="G3208" s="3" t="s">
        <v>35</v>
      </c>
      <c r="H3208" s="3" t="s">
        <v>22</v>
      </c>
      <c r="I3208" s="3" t="n">
        <f aca="false">YEAR(E3208)</f>
        <v>2024</v>
      </c>
      <c r="J3208" s="3" t="n">
        <f aca="false">MONTH(E3208)</f>
        <v>3</v>
      </c>
      <c r="K3208" s="3" t="n">
        <f aca="false">COUNTIFS($B$2:$B$4077,B3208,$C$2:$C$4077,C3208,$I$2:$I$4077,I3208)</f>
        <v>1</v>
      </c>
      <c r="L3208" s="3" t="n">
        <f aca="false">IF(COUNTIFS($B$2:B3208,B3208,$C$2:C3208,C3208,$I$2:I3208,I3208)=1,1,0)</f>
        <v>1</v>
      </c>
      <c r="M3208" s="3" t="n">
        <f aca="false">IF(K3208&gt;=Parametri!$B$1,1,0)</f>
        <v>0</v>
      </c>
      <c r="N3208" s="3" t="n">
        <f aca="false">L3208*M3208</f>
        <v>0</v>
      </c>
    </row>
    <row r="3209" customFormat="false" ht="15" hidden="false" customHeight="false" outlineLevel="0" collapsed="false">
      <c r="A3209" s="0" t="s">
        <v>4847</v>
      </c>
      <c r="B3209" s="0" t="s">
        <v>31</v>
      </c>
      <c r="C3209" s="0" t="s">
        <v>4848</v>
      </c>
      <c r="D3209" s="0" t="s">
        <v>26</v>
      </c>
      <c r="E3209" s="2" t="n">
        <v>46056</v>
      </c>
      <c r="F3209" s="3" t="s">
        <v>27</v>
      </c>
      <c r="G3209" s="3" t="s">
        <v>89</v>
      </c>
      <c r="H3209" s="3" t="s">
        <v>48</v>
      </c>
      <c r="I3209" s="3" t="n">
        <f aca="false">YEAR(E3209)</f>
        <v>2026</v>
      </c>
      <c r="J3209" s="3" t="n">
        <f aca="false">MONTH(E3209)</f>
        <v>2</v>
      </c>
      <c r="K3209" s="3" t="n">
        <f aca="false">COUNTIFS($B$2:$B$4077,B3209,$C$2:$C$4077,C3209,$I$2:$I$4077,I3209)</f>
        <v>1</v>
      </c>
      <c r="L3209" s="3" t="n">
        <f aca="false">IF(COUNTIFS($B$2:B3209,B3209,$C$2:C3209,C3209,$I$2:I3209,I3209)=1,1,0)</f>
        <v>1</v>
      </c>
      <c r="M3209" s="3" t="n">
        <f aca="false">IF(K3209&gt;=Parametri!$B$1,1,0)</f>
        <v>0</v>
      </c>
      <c r="N3209" s="3" t="n">
        <f aca="false">L3209*M3209</f>
        <v>0</v>
      </c>
    </row>
    <row r="3210" customFormat="false" ht="15" hidden="false" customHeight="false" outlineLevel="0" collapsed="false">
      <c r="A3210" s="0" t="s">
        <v>4849</v>
      </c>
      <c r="B3210" s="0" t="s">
        <v>79</v>
      </c>
      <c r="C3210" s="0" t="s">
        <v>4850</v>
      </c>
      <c r="D3210" s="0" t="s">
        <v>19</v>
      </c>
      <c r="E3210" s="2" t="n">
        <v>45474</v>
      </c>
      <c r="F3210" s="3" t="s">
        <v>20</v>
      </c>
      <c r="G3210" s="3" t="s">
        <v>89</v>
      </c>
      <c r="H3210" s="3" t="s">
        <v>48</v>
      </c>
      <c r="I3210" s="3" t="n">
        <f aca="false">YEAR(E3210)</f>
        <v>2024</v>
      </c>
      <c r="J3210" s="3" t="n">
        <f aca="false">MONTH(E3210)</f>
        <v>7</v>
      </c>
      <c r="K3210" s="3" t="n">
        <f aca="false">COUNTIFS($B$2:$B$4077,B3210,$C$2:$C$4077,C3210,$I$2:$I$4077,I3210)</f>
        <v>1</v>
      </c>
      <c r="L3210" s="3" t="n">
        <f aca="false">IF(COUNTIFS($B$2:B3210,B3210,$C$2:C3210,C3210,$I$2:I3210,I3210)=1,1,0)</f>
        <v>1</v>
      </c>
      <c r="M3210" s="3" t="n">
        <f aca="false">IF(K3210&gt;=Parametri!$B$1,1,0)</f>
        <v>0</v>
      </c>
      <c r="N3210" s="3" t="n">
        <f aca="false">L3210*M3210</f>
        <v>0</v>
      </c>
    </row>
    <row r="3211" customFormat="false" ht="15" hidden="false" customHeight="false" outlineLevel="0" collapsed="false">
      <c r="A3211" s="0" t="s">
        <v>4851</v>
      </c>
      <c r="B3211" s="0" t="s">
        <v>68</v>
      </c>
      <c r="C3211" s="0" t="s">
        <v>1892</v>
      </c>
      <c r="D3211" s="0" t="s">
        <v>54</v>
      </c>
      <c r="E3211" s="2" t="n">
        <v>45293</v>
      </c>
      <c r="F3211" s="3" t="s">
        <v>20</v>
      </c>
      <c r="G3211" s="3" t="s">
        <v>89</v>
      </c>
      <c r="H3211" s="3" t="s">
        <v>29</v>
      </c>
      <c r="I3211" s="3" t="n">
        <f aca="false">YEAR(E3211)</f>
        <v>2024</v>
      </c>
      <c r="J3211" s="3" t="n">
        <f aca="false">MONTH(E3211)</f>
        <v>1</v>
      </c>
      <c r="K3211" s="3" t="n">
        <f aca="false">COUNTIFS($B$2:$B$4077,B3211,$C$2:$C$4077,C3211,$I$2:$I$4077,I3211)</f>
        <v>2</v>
      </c>
      <c r="L3211" s="3" t="n">
        <f aca="false">IF(COUNTIFS($B$2:B3211,B3211,$C$2:C3211,C3211,$I$2:I3211,I3211)=1,1,0)</f>
        <v>0</v>
      </c>
      <c r="M3211" s="3" t="n">
        <f aca="false">IF(K3211&gt;=Parametri!$B$1,1,0)</f>
        <v>1</v>
      </c>
      <c r="N3211" s="3" t="n">
        <f aca="false">L3211*M3211</f>
        <v>0</v>
      </c>
    </row>
    <row r="3212" customFormat="false" ht="15" hidden="false" customHeight="false" outlineLevel="0" collapsed="false">
      <c r="A3212" s="0" t="s">
        <v>4852</v>
      </c>
      <c r="B3212" s="0" t="s">
        <v>46</v>
      </c>
      <c r="C3212" s="0" t="s">
        <v>1263</v>
      </c>
      <c r="D3212" s="0" t="s">
        <v>63</v>
      </c>
      <c r="E3212" s="2" t="n">
        <v>45308</v>
      </c>
      <c r="F3212" s="3" t="s">
        <v>34</v>
      </c>
      <c r="G3212" s="3" t="s">
        <v>89</v>
      </c>
      <c r="H3212" s="3" t="s">
        <v>48</v>
      </c>
      <c r="I3212" s="3" t="n">
        <f aca="false">YEAR(E3212)</f>
        <v>2024</v>
      </c>
      <c r="J3212" s="3" t="n">
        <f aca="false">MONTH(E3212)</f>
        <v>1</v>
      </c>
      <c r="K3212" s="3" t="n">
        <f aca="false">COUNTIFS($B$2:$B$4077,B3212,$C$2:$C$4077,C3212,$I$2:$I$4077,I3212)</f>
        <v>1</v>
      </c>
      <c r="L3212" s="3" t="n">
        <f aca="false">IF(COUNTIFS($B$2:B3212,B3212,$C$2:C3212,C3212,$I$2:I3212,I3212)=1,1,0)</f>
        <v>1</v>
      </c>
      <c r="M3212" s="3" t="n">
        <f aca="false">IF(K3212&gt;=Parametri!$B$1,1,0)</f>
        <v>0</v>
      </c>
      <c r="N3212" s="3" t="n">
        <f aca="false">L3212*M3212</f>
        <v>0</v>
      </c>
    </row>
    <row r="3213" customFormat="false" ht="15" hidden="false" customHeight="false" outlineLevel="0" collapsed="false">
      <c r="A3213" s="0" t="s">
        <v>4853</v>
      </c>
      <c r="B3213" s="0" t="s">
        <v>17</v>
      </c>
      <c r="C3213" s="0" t="s">
        <v>3902</v>
      </c>
      <c r="D3213" s="0" t="s">
        <v>19</v>
      </c>
      <c r="E3213" s="2" t="n">
        <v>45930</v>
      </c>
      <c r="F3213" s="3" t="s">
        <v>34</v>
      </c>
      <c r="G3213" s="3" t="s">
        <v>89</v>
      </c>
      <c r="H3213" s="3" t="s">
        <v>22</v>
      </c>
      <c r="I3213" s="3" t="n">
        <f aca="false">YEAR(E3213)</f>
        <v>2025</v>
      </c>
      <c r="J3213" s="3" t="n">
        <f aca="false">MONTH(E3213)</f>
        <v>9</v>
      </c>
      <c r="K3213" s="3" t="n">
        <f aca="false">COUNTIFS($B$2:$B$4077,B3213,$C$2:$C$4077,C3213,$I$2:$I$4077,I3213)</f>
        <v>3</v>
      </c>
      <c r="L3213" s="3" t="n">
        <f aca="false">IF(COUNTIFS($B$2:B3213,B3213,$C$2:C3213,C3213,$I$2:I3213,I3213)=1,1,0)</f>
        <v>0</v>
      </c>
      <c r="M3213" s="3" t="n">
        <f aca="false">IF(K3213&gt;=Parametri!$B$1,1,0)</f>
        <v>1</v>
      </c>
      <c r="N3213" s="3" t="n">
        <f aca="false">L3213*M3213</f>
        <v>0</v>
      </c>
    </row>
    <row r="3214" customFormat="false" ht="15" hidden="false" customHeight="false" outlineLevel="0" collapsed="false">
      <c r="A3214" s="0" t="s">
        <v>4854</v>
      </c>
      <c r="B3214" s="0" t="s">
        <v>17</v>
      </c>
      <c r="C3214" s="0" t="s">
        <v>521</v>
      </c>
      <c r="D3214" s="0" t="s">
        <v>66</v>
      </c>
      <c r="E3214" s="2" t="n">
        <v>46031</v>
      </c>
      <c r="F3214" s="3" t="s">
        <v>34</v>
      </c>
      <c r="G3214" s="3" t="s">
        <v>35</v>
      </c>
      <c r="H3214" s="3" t="s">
        <v>44</v>
      </c>
      <c r="I3214" s="3" t="n">
        <f aca="false">YEAR(E3214)</f>
        <v>2026</v>
      </c>
      <c r="J3214" s="3" t="n">
        <f aca="false">MONTH(E3214)</f>
        <v>1</v>
      </c>
      <c r="K3214" s="3" t="n">
        <f aca="false">COUNTIFS($B$2:$B$4077,B3214,$C$2:$C$4077,C3214,$I$2:$I$4077,I3214)</f>
        <v>1</v>
      </c>
      <c r="L3214" s="3" t="n">
        <f aca="false">IF(COUNTIFS($B$2:B3214,B3214,$C$2:C3214,C3214,$I$2:I3214,I3214)=1,1,0)</f>
        <v>1</v>
      </c>
      <c r="M3214" s="3" t="n">
        <f aca="false">IF(K3214&gt;=Parametri!$B$1,1,0)</f>
        <v>0</v>
      </c>
      <c r="N3214" s="3" t="n">
        <f aca="false">L3214*M3214</f>
        <v>0</v>
      </c>
    </row>
    <row r="3215" customFormat="false" ht="15" hidden="false" customHeight="false" outlineLevel="0" collapsed="false">
      <c r="A3215" s="0" t="s">
        <v>4855</v>
      </c>
      <c r="B3215" s="0" t="s">
        <v>31</v>
      </c>
      <c r="C3215" s="0" t="s">
        <v>1823</v>
      </c>
      <c r="D3215" s="0" t="s">
        <v>66</v>
      </c>
      <c r="E3215" s="2" t="n">
        <v>45969</v>
      </c>
      <c r="F3215" s="3" t="s">
        <v>20</v>
      </c>
      <c r="G3215" s="3" t="s">
        <v>35</v>
      </c>
      <c r="H3215" s="3" t="s">
        <v>22</v>
      </c>
      <c r="I3215" s="3" t="n">
        <f aca="false">YEAR(E3215)</f>
        <v>2025</v>
      </c>
      <c r="J3215" s="3" t="n">
        <f aca="false">MONTH(E3215)</f>
        <v>11</v>
      </c>
      <c r="K3215" s="3" t="n">
        <f aca="false">COUNTIFS($B$2:$B$4077,B3215,$C$2:$C$4077,C3215,$I$2:$I$4077,I3215)</f>
        <v>1</v>
      </c>
      <c r="L3215" s="3" t="n">
        <f aca="false">IF(COUNTIFS($B$2:B3215,B3215,$C$2:C3215,C3215,$I$2:I3215,I3215)=1,1,0)</f>
        <v>1</v>
      </c>
      <c r="M3215" s="3" t="n">
        <f aca="false">IF(K3215&gt;=Parametri!$B$1,1,0)</f>
        <v>0</v>
      </c>
      <c r="N3215" s="3" t="n">
        <f aca="false">L3215*M3215</f>
        <v>0</v>
      </c>
    </row>
    <row r="3216" customFormat="false" ht="15" hidden="false" customHeight="false" outlineLevel="0" collapsed="false">
      <c r="A3216" s="0" t="s">
        <v>4856</v>
      </c>
      <c r="B3216" s="0" t="s">
        <v>57</v>
      </c>
      <c r="C3216" s="0" t="s">
        <v>3999</v>
      </c>
      <c r="D3216" s="0" t="s">
        <v>33</v>
      </c>
      <c r="E3216" s="2" t="n">
        <v>45703</v>
      </c>
      <c r="F3216" s="3" t="s">
        <v>20</v>
      </c>
      <c r="G3216" s="3" t="s">
        <v>55</v>
      </c>
      <c r="H3216" s="3" t="s">
        <v>48</v>
      </c>
      <c r="I3216" s="3" t="n">
        <f aca="false">YEAR(E3216)</f>
        <v>2025</v>
      </c>
      <c r="J3216" s="3" t="n">
        <f aca="false">MONTH(E3216)</f>
        <v>2</v>
      </c>
      <c r="K3216" s="3" t="n">
        <f aca="false">COUNTIFS($B$2:$B$4077,B3216,$C$2:$C$4077,C3216,$I$2:$I$4077,I3216)</f>
        <v>4</v>
      </c>
      <c r="L3216" s="3" t="n">
        <f aca="false">IF(COUNTIFS($B$2:B3216,B3216,$C$2:C3216,C3216,$I$2:I3216,I3216)=1,1,0)</f>
        <v>0</v>
      </c>
      <c r="M3216" s="3" t="n">
        <f aca="false">IF(K3216&gt;=Parametri!$B$1,1,0)</f>
        <v>1</v>
      </c>
      <c r="N3216" s="3" t="n">
        <f aca="false">L3216*M3216</f>
        <v>0</v>
      </c>
    </row>
    <row r="3217" customFormat="false" ht="15" hidden="false" customHeight="false" outlineLevel="0" collapsed="false">
      <c r="A3217" s="0" t="s">
        <v>4857</v>
      </c>
      <c r="B3217" s="0" t="s">
        <v>17</v>
      </c>
      <c r="C3217" s="0" t="s">
        <v>4072</v>
      </c>
      <c r="D3217" s="0" t="s">
        <v>54</v>
      </c>
      <c r="E3217" s="2" t="n">
        <v>45337</v>
      </c>
      <c r="F3217" s="3" t="s">
        <v>20</v>
      </c>
      <c r="G3217" s="3" t="s">
        <v>55</v>
      </c>
      <c r="H3217" s="3" t="s">
        <v>29</v>
      </c>
      <c r="I3217" s="3" t="n">
        <f aca="false">YEAR(E3217)</f>
        <v>2024</v>
      </c>
      <c r="J3217" s="3" t="n">
        <f aca="false">MONTH(E3217)</f>
        <v>2</v>
      </c>
      <c r="K3217" s="3" t="n">
        <f aca="false">COUNTIFS($B$2:$B$4077,B3217,$C$2:$C$4077,C3217,$I$2:$I$4077,I3217)</f>
        <v>2</v>
      </c>
      <c r="L3217" s="3" t="n">
        <f aca="false">IF(COUNTIFS($B$2:B3217,B3217,$C$2:C3217,C3217,$I$2:I3217,I3217)=1,1,0)</f>
        <v>0</v>
      </c>
      <c r="M3217" s="3" t="n">
        <f aca="false">IF(K3217&gt;=Parametri!$B$1,1,0)</f>
        <v>1</v>
      </c>
      <c r="N3217" s="3" t="n">
        <f aca="false">L3217*M3217</f>
        <v>0</v>
      </c>
    </row>
    <row r="3218" customFormat="false" ht="15" hidden="false" customHeight="false" outlineLevel="0" collapsed="false">
      <c r="A3218" s="0" t="s">
        <v>4858</v>
      </c>
      <c r="B3218" s="0" t="s">
        <v>68</v>
      </c>
      <c r="C3218" s="0" t="s">
        <v>2184</v>
      </c>
      <c r="D3218" s="0" t="s">
        <v>63</v>
      </c>
      <c r="E3218" s="2" t="n">
        <v>45730</v>
      </c>
      <c r="F3218" s="3" t="s">
        <v>20</v>
      </c>
      <c r="G3218" s="3" t="s">
        <v>28</v>
      </c>
      <c r="H3218" s="3" t="s">
        <v>29</v>
      </c>
      <c r="I3218" s="3" t="n">
        <f aca="false">YEAR(E3218)</f>
        <v>2025</v>
      </c>
      <c r="J3218" s="3" t="n">
        <f aca="false">MONTH(E3218)</f>
        <v>3</v>
      </c>
      <c r="K3218" s="3" t="n">
        <f aca="false">COUNTIFS($B$2:$B$4077,B3218,$C$2:$C$4077,C3218,$I$2:$I$4077,I3218)</f>
        <v>2</v>
      </c>
      <c r="L3218" s="3" t="n">
        <f aca="false">IF(COUNTIFS($B$2:B3218,B3218,$C$2:C3218,C3218,$I$2:I3218,I3218)=1,1,0)</f>
        <v>0</v>
      </c>
      <c r="M3218" s="3" t="n">
        <f aca="false">IF(K3218&gt;=Parametri!$B$1,1,0)</f>
        <v>1</v>
      </c>
      <c r="N3218" s="3" t="n">
        <f aca="false">L3218*M3218</f>
        <v>0</v>
      </c>
    </row>
    <row r="3219" customFormat="false" ht="15" hidden="false" customHeight="false" outlineLevel="0" collapsed="false">
      <c r="A3219" s="0" t="s">
        <v>4859</v>
      </c>
      <c r="B3219" s="0" t="s">
        <v>79</v>
      </c>
      <c r="C3219" s="0" t="s">
        <v>299</v>
      </c>
      <c r="D3219" s="0" t="s">
        <v>66</v>
      </c>
      <c r="E3219" s="2" t="n">
        <v>46053</v>
      </c>
      <c r="F3219" s="3" t="s">
        <v>20</v>
      </c>
      <c r="G3219" s="3" t="s">
        <v>21</v>
      </c>
      <c r="H3219" s="3" t="s">
        <v>48</v>
      </c>
      <c r="I3219" s="3" t="n">
        <f aca="false">YEAR(E3219)</f>
        <v>2026</v>
      </c>
      <c r="J3219" s="3" t="n">
        <f aca="false">MONTH(E3219)</f>
        <v>1</v>
      </c>
      <c r="K3219" s="3" t="n">
        <f aca="false">COUNTIFS($B$2:$B$4077,B3219,$C$2:$C$4077,C3219,$I$2:$I$4077,I3219)</f>
        <v>1</v>
      </c>
      <c r="L3219" s="3" t="n">
        <f aca="false">IF(COUNTIFS($B$2:B3219,B3219,$C$2:C3219,C3219,$I$2:I3219,I3219)=1,1,0)</f>
        <v>1</v>
      </c>
      <c r="M3219" s="3" t="n">
        <f aca="false">IF(K3219&gt;=Parametri!$B$1,1,0)</f>
        <v>0</v>
      </c>
      <c r="N3219" s="3" t="n">
        <f aca="false">L3219*M3219</f>
        <v>0</v>
      </c>
    </row>
    <row r="3220" customFormat="false" ht="15" hidden="false" customHeight="false" outlineLevel="0" collapsed="false">
      <c r="A3220" s="0" t="s">
        <v>4860</v>
      </c>
      <c r="B3220" s="0" t="s">
        <v>68</v>
      </c>
      <c r="C3220" s="0" t="s">
        <v>730</v>
      </c>
      <c r="D3220" s="0" t="s">
        <v>19</v>
      </c>
      <c r="E3220" s="2" t="n">
        <v>45966</v>
      </c>
      <c r="F3220" s="3" t="s">
        <v>20</v>
      </c>
      <c r="G3220" s="3" t="s">
        <v>72</v>
      </c>
      <c r="H3220" s="3" t="s">
        <v>44</v>
      </c>
      <c r="I3220" s="3" t="n">
        <f aca="false">YEAR(E3220)</f>
        <v>2025</v>
      </c>
      <c r="J3220" s="3" t="n">
        <f aca="false">MONTH(E3220)</f>
        <v>11</v>
      </c>
      <c r="K3220" s="3" t="n">
        <f aca="false">COUNTIFS($B$2:$B$4077,B3220,$C$2:$C$4077,C3220,$I$2:$I$4077,I3220)</f>
        <v>4</v>
      </c>
      <c r="L3220" s="3" t="n">
        <f aca="false">IF(COUNTIFS($B$2:B3220,B3220,$C$2:C3220,C3220,$I$2:I3220,I3220)=1,1,0)</f>
        <v>0</v>
      </c>
      <c r="M3220" s="3" t="n">
        <f aca="false">IF(K3220&gt;=Parametri!$B$1,1,0)</f>
        <v>1</v>
      </c>
      <c r="N3220" s="3" t="n">
        <f aca="false">L3220*M3220</f>
        <v>0</v>
      </c>
    </row>
    <row r="3221" customFormat="false" ht="15" hidden="false" customHeight="false" outlineLevel="0" collapsed="false">
      <c r="A3221" s="0" t="s">
        <v>4861</v>
      </c>
      <c r="B3221" s="0" t="s">
        <v>57</v>
      </c>
      <c r="C3221" s="0" t="s">
        <v>133</v>
      </c>
      <c r="D3221" s="0" t="s">
        <v>19</v>
      </c>
      <c r="E3221" s="2" t="n">
        <v>46172</v>
      </c>
      <c r="F3221" s="3" t="s">
        <v>20</v>
      </c>
      <c r="G3221" s="3" t="s">
        <v>55</v>
      </c>
      <c r="H3221" s="3" t="s">
        <v>44</v>
      </c>
      <c r="I3221" s="3" t="n">
        <f aca="false">YEAR(E3221)</f>
        <v>2026</v>
      </c>
      <c r="J3221" s="3" t="n">
        <f aca="false">MONTH(E3221)</f>
        <v>5</v>
      </c>
      <c r="K3221" s="3" t="n">
        <f aca="false">COUNTIFS($B$2:$B$4077,B3221,$C$2:$C$4077,C3221,$I$2:$I$4077,I3221)</f>
        <v>2</v>
      </c>
      <c r="L3221" s="3" t="n">
        <f aca="false">IF(COUNTIFS($B$2:B3221,B3221,$C$2:C3221,C3221,$I$2:I3221,I3221)=1,1,0)</f>
        <v>0</v>
      </c>
      <c r="M3221" s="3" t="n">
        <f aca="false">IF(K3221&gt;=Parametri!$B$1,1,0)</f>
        <v>1</v>
      </c>
      <c r="N3221" s="3" t="n">
        <f aca="false">L3221*M3221</f>
        <v>0</v>
      </c>
    </row>
    <row r="3222" customFormat="false" ht="15" hidden="false" customHeight="false" outlineLevel="0" collapsed="false">
      <c r="A3222" s="0" t="s">
        <v>4862</v>
      </c>
      <c r="B3222" s="0" t="s">
        <v>57</v>
      </c>
      <c r="C3222" s="0" t="s">
        <v>4863</v>
      </c>
      <c r="D3222" s="0" t="s">
        <v>77</v>
      </c>
      <c r="E3222" s="2" t="n">
        <v>45702</v>
      </c>
      <c r="F3222" s="3" t="s">
        <v>20</v>
      </c>
      <c r="G3222" s="3" t="s">
        <v>21</v>
      </c>
      <c r="H3222" s="3" t="s">
        <v>44</v>
      </c>
      <c r="I3222" s="3" t="n">
        <f aca="false">YEAR(E3222)</f>
        <v>2025</v>
      </c>
      <c r="J3222" s="3" t="n">
        <f aca="false">MONTH(E3222)</f>
        <v>2</v>
      </c>
      <c r="K3222" s="3" t="n">
        <f aca="false">COUNTIFS($B$2:$B$4077,B3222,$C$2:$C$4077,C3222,$I$2:$I$4077,I3222)</f>
        <v>1</v>
      </c>
      <c r="L3222" s="3" t="n">
        <f aca="false">IF(COUNTIFS($B$2:B3222,B3222,$C$2:C3222,C3222,$I$2:I3222,I3222)=1,1,0)</f>
        <v>1</v>
      </c>
      <c r="M3222" s="3" t="n">
        <f aca="false">IF(K3222&gt;=Parametri!$B$1,1,0)</f>
        <v>0</v>
      </c>
      <c r="N3222" s="3" t="n">
        <f aca="false">L3222*M3222</f>
        <v>0</v>
      </c>
    </row>
    <row r="3223" customFormat="false" ht="15" hidden="false" customHeight="false" outlineLevel="0" collapsed="false">
      <c r="A3223" s="0" t="s">
        <v>4864</v>
      </c>
      <c r="B3223" s="0" t="s">
        <v>24</v>
      </c>
      <c r="C3223" s="0" t="s">
        <v>669</v>
      </c>
      <c r="D3223" s="0" t="s">
        <v>77</v>
      </c>
      <c r="E3223" s="2" t="n">
        <v>45754</v>
      </c>
      <c r="F3223" s="3" t="s">
        <v>20</v>
      </c>
      <c r="G3223" s="3" t="s">
        <v>89</v>
      </c>
      <c r="H3223" s="3" t="s">
        <v>29</v>
      </c>
      <c r="I3223" s="3" t="n">
        <f aca="false">YEAR(E3223)</f>
        <v>2025</v>
      </c>
      <c r="J3223" s="3" t="n">
        <f aca="false">MONTH(E3223)</f>
        <v>4</v>
      </c>
      <c r="K3223" s="3" t="n">
        <f aca="false">COUNTIFS($B$2:$B$4077,B3223,$C$2:$C$4077,C3223,$I$2:$I$4077,I3223)</f>
        <v>4</v>
      </c>
      <c r="L3223" s="3" t="n">
        <f aca="false">IF(COUNTIFS($B$2:B3223,B3223,$C$2:C3223,C3223,$I$2:I3223,I3223)=1,1,0)</f>
        <v>0</v>
      </c>
      <c r="M3223" s="3" t="n">
        <f aca="false">IF(K3223&gt;=Parametri!$B$1,1,0)</f>
        <v>1</v>
      </c>
      <c r="N3223" s="3" t="n">
        <f aca="false">L3223*M3223</f>
        <v>0</v>
      </c>
    </row>
    <row r="3224" customFormat="false" ht="15" hidden="false" customHeight="false" outlineLevel="0" collapsed="false">
      <c r="A3224" s="0" t="s">
        <v>4865</v>
      </c>
      <c r="B3224" s="0" t="s">
        <v>79</v>
      </c>
      <c r="C3224" s="0" t="s">
        <v>4866</v>
      </c>
      <c r="D3224" s="0" t="s">
        <v>38</v>
      </c>
      <c r="E3224" s="2" t="n">
        <v>46083</v>
      </c>
      <c r="F3224" s="3" t="s">
        <v>20</v>
      </c>
      <c r="G3224" s="3" t="s">
        <v>39</v>
      </c>
      <c r="H3224" s="3" t="s">
        <v>44</v>
      </c>
      <c r="I3224" s="3" t="n">
        <f aca="false">YEAR(E3224)</f>
        <v>2026</v>
      </c>
      <c r="J3224" s="3" t="n">
        <f aca="false">MONTH(E3224)</f>
        <v>3</v>
      </c>
      <c r="K3224" s="3" t="n">
        <f aca="false">COUNTIFS($B$2:$B$4077,B3224,$C$2:$C$4077,C3224,$I$2:$I$4077,I3224)</f>
        <v>2</v>
      </c>
      <c r="L3224" s="3" t="n">
        <f aca="false">IF(COUNTIFS($B$2:B3224,B3224,$C$2:C3224,C3224,$I$2:I3224,I3224)=1,1,0)</f>
        <v>1</v>
      </c>
      <c r="M3224" s="3" t="n">
        <f aca="false">IF(K3224&gt;=Parametri!$B$1,1,0)</f>
        <v>1</v>
      </c>
      <c r="N3224" s="3" t="n">
        <f aca="false">L3224*M3224</f>
        <v>1</v>
      </c>
    </row>
    <row r="3225" customFormat="false" ht="15" hidden="false" customHeight="false" outlineLevel="0" collapsed="false">
      <c r="A3225" s="0" t="s">
        <v>4867</v>
      </c>
      <c r="B3225" s="0" t="s">
        <v>24</v>
      </c>
      <c r="C3225" s="0" t="s">
        <v>1274</v>
      </c>
      <c r="D3225" s="0" t="s">
        <v>19</v>
      </c>
      <c r="E3225" s="2" t="n">
        <v>45372</v>
      </c>
      <c r="F3225" s="3" t="s">
        <v>104</v>
      </c>
      <c r="G3225" s="3" t="s">
        <v>104</v>
      </c>
      <c r="H3225" s="3" t="s">
        <v>104</v>
      </c>
      <c r="I3225" s="3" t="n">
        <f aca="false">YEAR(E3225)</f>
        <v>2024</v>
      </c>
      <c r="J3225" s="3" t="n">
        <f aca="false">MONTH(E3225)</f>
        <v>3</v>
      </c>
      <c r="K3225" s="3" t="n">
        <f aca="false">COUNTIFS($B$2:$B$4077,B3225,$C$2:$C$4077,C3225,$I$2:$I$4077,I3225)</f>
        <v>2</v>
      </c>
      <c r="L3225" s="3" t="n">
        <f aca="false">IF(COUNTIFS($B$2:B3225,B3225,$C$2:C3225,C3225,$I$2:I3225,I3225)=1,1,0)</f>
        <v>0</v>
      </c>
      <c r="M3225" s="3" t="n">
        <f aca="false">IF(K3225&gt;=Parametri!$B$1,1,0)</f>
        <v>1</v>
      </c>
      <c r="N3225" s="3" t="n">
        <f aca="false">L3225*M3225</f>
        <v>0</v>
      </c>
    </row>
    <row r="3226" customFormat="false" ht="15" hidden="false" customHeight="false" outlineLevel="0" collapsed="false">
      <c r="A3226" s="0" t="s">
        <v>4868</v>
      </c>
      <c r="B3226" s="0" t="s">
        <v>46</v>
      </c>
      <c r="C3226" s="0" t="s">
        <v>816</v>
      </c>
      <c r="D3226" s="0" t="s">
        <v>26</v>
      </c>
      <c r="E3226" s="2" t="n">
        <v>45904</v>
      </c>
      <c r="F3226" s="3" t="s">
        <v>34</v>
      </c>
      <c r="G3226" s="3" t="s">
        <v>28</v>
      </c>
      <c r="H3226" s="3" t="s">
        <v>29</v>
      </c>
      <c r="I3226" s="3" t="n">
        <f aca="false">YEAR(E3226)</f>
        <v>2025</v>
      </c>
      <c r="J3226" s="3" t="n">
        <f aca="false">MONTH(E3226)</f>
        <v>9</v>
      </c>
      <c r="K3226" s="3" t="n">
        <f aca="false">COUNTIFS($B$2:$B$4077,B3226,$C$2:$C$4077,C3226,$I$2:$I$4077,I3226)</f>
        <v>3</v>
      </c>
      <c r="L3226" s="3" t="n">
        <f aca="false">IF(COUNTIFS($B$2:B3226,B3226,$C$2:C3226,C3226,$I$2:I3226,I3226)=1,1,0)</f>
        <v>0</v>
      </c>
      <c r="M3226" s="3" t="n">
        <f aca="false">IF(K3226&gt;=Parametri!$B$1,1,0)</f>
        <v>1</v>
      </c>
      <c r="N3226" s="3" t="n">
        <f aca="false">L3226*M3226</f>
        <v>0</v>
      </c>
    </row>
    <row r="3227" customFormat="false" ht="15" hidden="false" customHeight="false" outlineLevel="0" collapsed="false">
      <c r="A3227" s="0" t="s">
        <v>4869</v>
      </c>
      <c r="B3227" s="0" t="s">
        <v>24</v>
      </c>
      <c r="C3227" s="0" t="s">
        <v>1285</v>
      </c>
      <c r="D3227" s="0" t="s">
        <v>33</v>
      </c>
      <c r="E3227" s="2" t="n">
        <v>46246</v>
      </c>
      <c r="F3227" s="3" t="s">
        <v>27</v>
      </c>
      <c r="G3227" s="3" t="s">
        <v>28</v>
      </c>
      <c r="H3227" s="3" t="s">
        <v>48</v>
      </c>
      <c r="I3227" s="3" t="n">
        <f aca="false">YEAR(E3227)</f>
        <v>2026</v>
      </c>
      <c r="J3227" s="3" t="n">
        <f aca="false">MONTH(E3227)</f>
        <v>8</v>
      </c>
      <c r="K3227" s="3" t="n">
        <f aca="false">COUNTIFS($B$2:$B$4077,B3227,$C$2:$C$4077,C3227,$I$2:$I$4077,I3227)</f>
        <v>1</v>
      </c>
      <c r="L3227" s="3" t="n">
        <f aca="false">IF(COUNTIFS($B$2:B3227,B3227,$C$2:C3227,C3227,$I$2:I3227,I3227)=1,1,0)</f>
        <v>1</v>
      </c>
      <c r="M3227" s="3" t="n">
        <f aca="false">IF(K3227&gt;=Parametri!$B$1,1,0)</f>
        <v>0</v>
      </c>
      <c r="N3227" s="3" t="n">
        <f aca="false">L3227*M3227</f>
        <v>0</v>
      </c>
    </row>
    <row r="3228" customFormat="false" ht="15" hidden="false" customHeight="false" outlineLevel="0" collapsed="false">
      <c r="A3228" s="0" t="s">
        <v>4870</v>
      </c>
      <c r="B3228" s="0" t="s">
        <v>50</v>
      </c>
      <c r="C3228" s="0" t="s">
        <v>533</v>
      </c>
      <c r="D3228" s="0" t="s">
        <v>26</v>
      </c>
      <c r="E3228" s="2" t="n">
        <v>45892</v>
      </c>
      <c r="F3228" s="3" t="s">
        <v>20</v>
      </c>
      <c r="G3228" s="3" t="s">
        <v>72</v>
      </c>
      <c r="H3228" s="3" t="s">
        <v>22</v>
      </c>
      <c r="I3228" s="3" t="n">
        <f aca="false">YEAR(E3228)</f>
        <v>2025</v>
      </c>
      <c r="J3228" s="3" t="n">
        <f aca="false">MONTH(E3228)</f>
        <v>8</v>
      </c>
      <c r="K3228" s="3" t="n">
        <f aca="false">COUNTIFS($B$2:$B$4077,B3228,$C$2:$C$4077,C3228,$I$2:$I$4077,I3228)</f>
        <v>7</v>
      </c>
      <c r="L3228" s="3" t="n">
        <f aca="false">IF(COUNTIFS($B$2:B3228,B3228,$C$2:C3228,C3228,$I$2:I3228,I3228)=1,1,0)</f>
        <v>0</v>
      </c>
      <c r="M3228" s="3" t="n">
        <f aca="false">IF(K3228&gt;=Parametri!$B$1,1,0)</f>
        <v>1</v>
      </c>
      <c r="N3228" s="3" t="n">
        <f aca="false">L3228*M3228</f>
        <v>0</v>
      </c>
    </row>
    <row r="3229" customFormat="false" ht="15" hidden="false" customHeight="false" outlineLevel="0" collapsed="false">
      <c r="A3229" s="0" t="s">
        <v>4871</v>
      </c>
      <c r="B3229" s="0" t="s">
        <v>68</v>
      </c>
      <c r="C3229" s="0" t="s">
        <v>1260</v>
      </c>
      <c r="D3229" s="0" t="s">
        <v>33</v>
      </c>
      <c r="E3229" s="2" t="n">
        <v>45655</v>
      </c>
      <c r="F3229" s="3" t="s">
        <v>34</v>
      </c>
      <c r="G3229" s="3" t="s">
        <v>43</v>
      </c>
      <c r="H3229" s="3" t="s">
        <v>22</v>
      </c>
      <c r="I3229" s="3" t="n">
        <f aca="false">YEAR(E3229)</f>
        <v>2024</v>
      </c>
      <c r="J3229" s="3" t="n">
        <f aca="false">MONTH(E3229)</f>
        <v>12</v>
      </c>
      <c r="K3229" s="3" t="n">
        <f aca="false">COUNTIFS($B$2:$B$4077,B3229,$C$2:$C$4077,C3229,$I$2:$I$4077,I3229)</f>
        <v>2</v>
      </c>
      <c r="L3229" s="3" t="n">
        <f aca="false">IF(COUNTIFS($B$2:B3229,B3229,$C$2:C3229,C3229,$I$2:I3229,I3229)=1,1,0)</f>
        <v>0</v>
      </c>
      <c r="M3229" s="3" t="n">
        <f aca="false">IF(K3229&gt;=Parametri!$B$1,1,0)</f>
        <v>1</v>
      </c>
      <c r="N3229" s="3" t="n">
        <f aca="false">L3229*M3229</f>
        <v>0</v>
      </c>
    </row>
    <row r="3230" customFormat="false" ht="15" hidden="false" customHeight="false" outlineLevel="0" collapsed="false">
      <c r="A3230" s="0" t="s">
        <v>4872</v>
      </c>
      <c r="B3230" s="0" t="s">
        <v>46</v>
      </c>
      <c r="C3230" s="0" t="s">
        <v>4873</v>
      </c>
      <c r="D3230" s="0" t="s">
        <v>66</v>
      </c>
      <c r="E3230" s="2" t="n">
        <v>46138</v>
      </c>
      <c r="F3230" s="3" t="s">
        <v>34</v>
      </c>
      <c r="G3230" s="3" t="s">
        <v>39</v>
      </c>
      <c r="H3230" s="3" t="s">
        <v>29</v>
      </c>
      <c r="I3230" s="3" t="n">
        <f aca="false">YEAR(E3230)</f>
        <v>2026</v>
      </c>
      <c r="J3230" s="3" t="n">
        <f aca="false">MONTH(E3230)</f>
        <v>4</v>
      </c>
      <c r="K3230" s="3" t="n">
        <f aca="false">COUNTIFS($B$2:$B$4077,B3230,$C$2:$C$4077,C3230,$I$2:$I$4077,I3230)</f>
        <v>1</v>
      </c>
      <c r="L3230" s="3" t="n">
        <f aca="false">IF(COUNTIFS($B$2:B3230,B3230,$C$2:C3230,C3230,$I$2:I3230,I3230)=1,1,0)</f>
        <v>1</v>
      </c>
      <c r="M3230" s="3" t="n">
        <f aca="false">IF(K3230&gt;=Parametri!$B$1,1,0)</f>
        <v>0</v>
      </c>
      <c r="N3230" s="3" t="n">
        <f aca="false">L3230*M3230</f>
        <v>0</v>
      </c>
    </row>
    <row r="3231" customFormat="false" ht="15" hidden="false" customHeight="false" outlineLevel="0" collapsed="false">
      <c r="A3231" s="0" t="s">
        <v>4874</v>
      </c>
      <c r="B3231" s="0" t="s">
        <v>124</v>
      </c>
      <c r="C3231" s="0" t="s">
        <v>4875</v>
      </c>
      <c r="D3231" s="0" t="s">
        <v>33</v>
      </c>
      <c r="E3231" s="2" t="n">
        <v>45570</v>
      </c>
      <c r="F3231" s="3" t="s">
        <v>20</v>
      </c>
      <c r="G3231" s="3" t="s">
        <v>72</v>
      </c>
      <c r="H3231" s="3" t="s">
        <v>22</v>
      </c>
      <c r="I3231" s="3" t="n">
        <f aca="false">YEAR(E3231)</f>
        <v>2024</v>
      </c>
      <c r="J3231" s="3" t="n">
        <f aca="false">MONTH(E3231)</f>
        <v>10</v>
      </c>
      <c r="K3231" s="3" t="n">
        <f aca="false">COUNTIFS($B$2:$B$4077,B3231,$C$2:$C$4077,C3231,$I$2:$I$4077,I3231)</f>
        <v>1</v>
      </c>
      <c r="L3231" s="3" t="n">
        <f aca="false">IF(COUNTIFS($B$2:B3231,B3231,$C$2:C3231,C3231,$I$2:I3231,I3231)=1,1,0)</f>
        <v>1</v>
      </c>
      <c r="M3231" s="3" t="n">
        <f aca="false">IF(K3231&gt;=Parametri!$B$1,1,0)</f>
        <v>0</v>
      </c>
      <c r="N3231" s="3" t="n">
        <f aca="false">L3231*M3231</f>
        <v>0</v>
      </c>
    </row>
    <row r="3232" customFormat="false" ht="15" hidden="false" customHeight="false" outlineLevel="0" collapsed="false">
      <c r="A3232" s="0" t="s">
        <v>4876</v>
      </c>
      <c r="B3232" s="0" t="s">
        <v>124</v>
      </c>
      <c r="C3232" s="0" t="s">
        <v>196</v>
      </c>
      <c r="D3232" s="0" t="s">
        <v>63</v>
      </c>
      <c r="E3232" s="2" t="n">
        <v>45397</v>
      </c>
      <c r="F3232" s="3" t="s">
        <v>20</v>
      </c>
      <c r="G3232" s="3" t="s">
        <v>89</v>
      </c>
      <c r="H3232" s="3" t="s">
        <v>48</v>
      </c>
      <c r="I3232" s="3" t="n">
        <f aca="false">YEAR(E3232)</f>
        <v>2024</v>
      </c>
      <c r="J3232" s="3" t="n">
        <f aca="false">MONTH(E3232)</f>
        <v>4</v>
      </c>
      <c r="K3232" s="3" t="n">
        <f aca="false">COUNTIFS($B$2:$B$4077,B3232,$C$2:$C$4077,C3232,$I$2:$I$4077,I3232)</f>
        <v>8</v>
      </c>
      <c r="L3232" s="3" t="n">
        <f aca="false">IF(COUNTIFS($B$2:B3232,B3232,$C$2:C3232,C3232,$I$2:I3232,I3232)=1,1,0)</f>
        <v>0</v>
      </c>
      <c r="M3232" s="3" t="n">
        <f aca="false">IF(K3232&gt;=Parametri!$B$1,1,0)</f>
        <v>1</v>
      </c>
      <c r="N3232" s="3" t="n">
        <f aca="false">L3232*M3232</f>
        <v>0</v>
      </c>
    </row>
    <row r="3233" customFormat="false" ht="15" hidden="false" customHeight="false" outlineLevel="0" collapsed="false">
      <c r="A3233" s="0" t="s">
        <v>4877</v>
      </c>
      <c r="B3233" s="0" t="s">
        <v>50</v>
      </c>
      <c r="C3233" s="0" t="s">
        <v>4878</v>
      </c>
      <c r="D3233" s="0" t="s">
        <v>54</v>
      </c>
      <c r="E3233" s="2" t="n">
        <v>46257</v>
      </c>
      <c r="F3233" s="3" t="s">
        <v>20</v>
      </c>
      <c r="G3233" s="3" t="s">
        <v>55</v>
      </c>
      <c r="H3233" s="3" t="s">
        <v>48</v>
      </c>
      <c r="I3233" s="3" t="n">
        <f aca="false">YEAR(E3233)</f>
        <v>2026</v>
      </c>
      <c r="J3233" s="3" t="n">
        <f aca="false">MONTH(E3233)</f>
        <v>8</v>
      </c>
      <c r="K3233" s="3" t="n">
        <f aca="false">COUNTIFS($B$2:$B$4077,B3233,$C$2:$C$4077,C3233,$I$2:$I$4077,I3233)</f>
        <v>1</v>
      </c>
      <c r="L3233" s="3" t="n">
        <f aca="false">IF(COUNTIFS($B$2:B3233,B3233,$C$2:C3233,C3233,$I$2:I3233,I3233)=1,1,0)</f>
        <v>1</v>
      </c>
      <c r="M3233" s="3" t="n">
        <f aca="false">IF(K3233&gt;=Parametri!$B$1,1,0)</f>
        <v>0</v>
      </c>
      <c r="N3233" s="3" t="n">
        <f aca="false">L3233*M3233</f>
        <v>0</v>
      </c>
    </row>
    <row r="3234" customFormat="false" ht="15" hidden="false" customHeight="false" outlineLevel="0" collapsed="false">
      <c r="A3234" s="0" t="s">
        <v>4879</v>
      </c>
      <c r="B3234" s="0" t="s">
        <v>31</v>
      </c>
      <c r="C3234" s="0" t="s">
        <v>2527</v>
      </c>
      <c r="D3234" s="0" t="s">
        <v>77</v>
      </c>
      <c r="E3234" s="2" t="n">
        <v>46064</v>
      </c>
      <c r="F3234" s="3" t="s">
        <v>34</v>
      </c>
      <c r="G3234" s="3" t="s">
        <v>104</v>
      </c>
      <c r="H3234" s="3" t="s">
        <v>104</v>
      </c>
      <c r="I3234" s="3" t="n">
        <f aca="false">YEAR(E3234)</f>
        <v>2026</v>
      </c>
      <c r="J3234" s="3" t="n">
        <f aca="false">MONTH(E3234)</f>
        <v>2</v>
      </c>
      <c r="K3234" s="3" t="n">
        <f aca="false">COUNTIFS($B$2:$B$4077,B3234,$C$2:$C$4077,C3234,$I$2:$I$4077,I3234)</f>
        <v>1</v>
      </c>
      <c r="L3234" s="3" t="n">
        <f aca="false">IF(COUNTIFS($B$2:B3234,B3234,$C$2:C3234,C3234,$I$2:I3234,I3234)=1,1,0)</f>
        <v>1</v>
      </c>
      <c r="M3234" s="3" t="n">
        <f aca="false">IF(K3234&gt;=Parametri!$B$1,1,0)</f>
        <v>0</v>
      </c>
      <c r="N3234" s="3" t="n">
        <f aca="false">L3234*M3234</f>
        <v>0</v>
      </c>
    </row>
    <row r="3235" customFormat="false" ht="15" hidden="false" customHeight="false" outlineLevel="0" collapsed="false">
      <c r="A3235" s="0" t="s">
        <v>4880</v>
      </c>
      <c r="B3235" s="0" t="s">
        <v>57</v>
      </c>
      <c r="C3235" s="0" t="s">
        <v>4564</v>
      </c>
      <c r="D3235" s="0" t="s">
        <v>19</v>
      </c>
      <c r="E3235" s="2" t="n">
        <v>45293</v>
      </c>
      <c r="F3235" s="3" t="s">
        <v>20</v>
      </c>
      <c r="G3235" s="3" t="s">
        <v>55</v>
      </c>
      <c r="H3235" s="3" t="s">
        <v>44</v>
      </c>
      <c r="I3235" s="3" t="n">
        <f aca="false">YEAR(E3235)</f>
        <v>2024</v>
      </c>
      <c r="J3235" s="3" t="n">
        <f aca="false">MONTH(E3235)</f>
        <v>1</v>
      </c>
      <c r="K3235" s="3" t="n">
        <f aca="false">COUNTIFS($B$2:$B$4077,B3235,$C$2:$C$4077,C3235,$I$2:$I$4077,I3235)</f>
        <v>2</v>
      </c>
      <c r="L3235" s="3" t="n">
        <f aca="false">IF(COUNTIFS($B$2:B3235,B3235,$C$2:C3235,C3235,$I$2:I3235,I3235)=1,1,0)</f>
        <v>0</v>
      </c>
      <c r="M3235" s="3" t="n">
        <f aca="false">IF(K3235&gt;=Parametri!$B$1,1,0)</f>
        <v>1</v>
      </c>
      <c r="N3235" s="3" t="n">
        <f aca="false">L3235*M3235</f>
        <v>0</v>
      </c>
    </row>
    <row r="3236" customFormat="false" ht="15" hidden="false" customHeight="false" outlineLevel="0" collapsed="false">
      <c r="A3236" s="0" t="s">
        <v>4881</v>
      </c>
      <c r="B3236" s="0" t="s">
        <v>46</v>
      </c>
      <c r="C3236" s="0" t="s">
        <v>4882</v>
      </c>
      <c r="D3236" s="0" t="s">
        <v>54</v>
      </c>
      <c r="E3236" s="2" t="n">
        <v>45502</v>
      </c>
      <c r="F3236" s="3" t="s">
        <v>20</v>
      </c>
      <c r="G3236" s="3" t="s">
        <v>28</v>
      </c>
      <c r="H3236" s="3" t="s">
        <v>44</v>
      </c>
      <c r="I3236" s="3" t="n">
        <f aca="false">YEAR(E3236)</f>
        <v>2024</v>
      </c>
      <c r="J3236" s="3" t="n">
        <f aca="false">MONTH(E3236)</f>
        <v>7</v>
      </c>
      <c r="K3236" s="3" t="n">
        <f aca="false">COUNTIFS($B$2:$B$4077,B3236,$C$2:$C$4077,C3236,$I$2:$I$4077,I3236)</f>
        <v>1</v>
      </c>
      <c r="L3236" s="3" t="n">
        <f aca="false">IF(COUNTIFS($B$2:B3236,B3236,$C$2:C3236,C3236,$I$2:I3236,I3236)=1,1,0)</f>
        <v>1</v>
      </c>
      <c r="M3236" s="3" t="n">
        <f aca="false">IF(K3236&gt;=Parametri!$B$1,1,0)</f>
        <v>0</v>
      </c>
      <c r="N3236" s="3" t="n">
        <f aca="false">L3236*M3236</f>
        <v>0</v>
      </c>
    </row>
    <row r="3237" customFormat="false" ht="15" hidden="false" customHeight="false" outlineLevel="0" collapsed="false">
      <c r="A3237" s="0" t="s">
        <v>4883</v>
      </c>
      <c r="B3237" s="0" t="s">
        <v>68</v>
      </c>
      <c r="C3237" s="0" t="s">
        <v>4217</v>
      </c>
      <c r="D3237" s="0" t="s">
        <v>38</v>
      </c>
      <c r="E3237" s="2" t="n">
        <v>46074</v>
      </c>
      <c r="F3237" s="3" t="s">
        <v>27</v>
      </c>
      <c r="G3237" s="3" t="s">
        <v>72</v>
      </c>
      <c r="H3237" s="3" t="s">
        <v>22</v>
      </c>
      <c r="I3237" s="3" t="n">
        <f aca="false">YEAR(E3237)</f>
        <v>2026</v>
      </c>
      <c r="J3237" s="3" t="n">
        <f aca="false">MONTH(E3237)</f>
        <v>2</v>
      </c>
      <c r="K3237" s="3" t="n">
        <f aca="false">COUNTIFS($B$2:$B$4077,B3237,$C$2:$C$4077,C3237,$I$2:$I$4077,I3237)</f>
        <v>1</v>
      </c>
      <c r="L3237" s="3" t="n">
        <f aca="false">IF(COUNTIFS($B$2:B3237,B3237,$C$2:C3237,C3237,$I$2:I3237,I3237)=1,1,0)</f>
        <v>1</v>
      </c>
      <c r="M3237" s="3" t="n">
        <f aca="false">IF(K3237&gt;=Parametri!$B$1,1,0)</f>
        <v>0</v>
      </c>
      <c r="N3237" s="3" t="n">
        <f aca="false">L3237*M3237</f>
        <v>0</v>
      </c>
    </row>
    <row r="3238" customFormat="false" ht="15" hidden="false" customHeight="false" outlineLevel="0" collapsed="false">
      <c r="A3238" s="0" t="s">
        <v>4884</v>
      </c>
      <c r="B3238" s="0" t="s">
        <v>17</v>
      </c>
      <c r="C3238" s="0" t="s">
        <v>1507</v>
      </c>
      <c r="D3238" s="0" t="s">
        <v>26</v>
      </c>
      <c r="E3238" s="2" t="n">
        <v>45665</v>
      </c>
      <c r="F3238" s="3" t="s">
        <v>20</v>
      </c>
      <c r="G3238" s="3" t="s">
        <v>21</v>
      </c>
      <c r="H3238" s="3" t="s">
        <v>22</v>
      </c>
      <c r="I3238" s="3" t="n">
        <f aca="false">YEAR(E3238)</f>
        <v>2025</v>
      </c>
      <c r="J3238" s="3" t="n">
        <f aca="false">MONTH(E3238)</f>
        <v>1</v>
      </c>
      <c r="K3238" s="3" t="n">
        <f aca="false">COUNTIFS($B$2:$B$4077,B3238,$C$2:$C$4077,C3238,$I$2:$I$4077,I3238)</f>
        <v>1</v>
      </c>
      <c r="L3238" s="3" t="n">
        <f aca="false">IF(COUNTIFS($B$2:B3238,B3238,$C$2:C3238,C3238,$I$2:I3238,I3238)=1,1,0)</f>
        <v>1</v>
      </c>
      <c r="M3238" s="3" t="n">
        <f aca="false">IF(K3238&gt;=Parametri!$B$1,1,0)</f>
        <v>0</v>
      </c>
      <c r="N3238" s="3" t="n">
        <f aca="false">L3238*M3238</f>
        <v>0</v>
      </c>
    </row>
    <row r="3239" customFormat="false" ht="15" hidden="false" customHeight="false" outlineLevel="0" collapsed="false">
      <c r="A3239" s="0" t="s">
        <v>4885</v>
      </c>
      <c r="B3239" s="0" t="s">
        <v>124</v>
      </c>
      <c r="C3239" s="0" t="s">
        <v>4886</v>
      </c>
      <c r="D3239" s="0" t="s">
        <v>19</v>
      </c>
      <c r="E3239" s="2" t="n">
        <v>46063</v>
      </c>
      <c r="F3239" s="3" t="s">
        <v>20</v>
      </c>
      <c r="G3239" s="3" t="s">
        <v>28</v>
      </c>
      <c r="H3239" s="3" t="s">
        <v>29</v>
      </c>
      <c r="I3239" s="3" t="n">
        <f aca="false">YEAR(E3239)</f>
        <v>2026</v>
      </c>
      <c r="J3239" s="3" t="n">
        <f aca="false">MONTH(E3239)</f>
        <v>2</v>
      </c>
      <c r="K3239" s="3" t="n">
        <f aca="false">COUNTIFS($B$2:$B$4077,B3239,$C$2:$C$4077,C3239,$I$2:$I$4077,I3239)</f>
        <v>1</v>
      </c>
      <c r="L3239" s="3" t="n">
        <f aca="false">IF(COUNTIFS($B$2:B3239,B3239,$C$2:C3239,C3239,$I$2:I3239,I3239)=1,1,0)</f>
        <v>1</v>
      </c>
      <c r="M3239" s="3" t="n">
        <f aca="false">IF(K3239&gt;=Parametri!$B$1,1,0)</f>
        <v>0</v>
      </c>
      <c r="N3239" s="3" t="n">
        <f aca="false">L3239*M3239</f>
        <v>0</v>
      </c>
    </row>
    <row r="3240" customFormat="false" ht="15" hidden="false" customHeight="false" outlineLevel="0" collapsed="false">
      <c r="A3240" s="0" t="s">
        <v>4887</v>
      </c>
      <c r="B3240" s="0" t="s">
        <v>31</v>
      </c>
      <c r="C3240" s="0" t="s">
        <v>214</v>
      </c>
      <c r="D3240" s="0" t="s">
        <v>63</v>
      </c>
      <c r="E3240" s="2" t="n">
        <v>45695</v>
      </c>
      <c r="F3240" s="3" t="s">
        <v>34</v>
      </c>
      <c r="G3240" s="3" t="s">
        <v>43</v>
      </c>
      <c r="H3240" s="3" t="s">
        <v>22</v>
      </c>
      <c r="I3240" s="3" t="n">
        <f aca="false">YEAR(E3240)</f>
        <v>2025</v>
      </c>
      <c r="J3240" s="3" t="n">
        <f aca="false">MONTH(E3240)</f>
        <v>2</v>
      </c>
      <c r="K3240" s="3" t="n">
        <f aca="false">COUNTIFS($B$2:$B$4077,B3240,$C$2:$C$4077,C3240,$I$2:$I$4077,I3240)</f>
        <v>3</v>
      </c>
      <c r="L3240" s="3" t="n">
        <f aca="false">IF(COUNTIFS($B$2:B3240,B3240,$C$2:C3240,C3240,$I$2:I3240,I3240)=1,1,0)</f>
        <v>0</v>
      </c>
      <c r="M3240" s="3" t="n">
        <f aca="false">IF(K3240&gt;=Parametri!$B$1,1,0)</f>
        <v>1</v>
      </c>
      <c r="N3240" s="3" t="n">
        <f aca="false">L3240*M3240</f>
        <v>0</v>
      </c>
    </row>
    <row r="3241" customFormat="false" ht="15" hidden="false" customHeight="false" outlineLevel="0" collapsed="false">
      <c r="A3241" s="0" t="s">
        <v>4888</v>
      </c>
      <c r="B3241" s="0" t="s">
        <v>68</v>
      </c>
      <c r="C3241" s="0" t="s">
        <v>1892</v>
      </c>
      <c r="D3241" s="0" t="s">
        <v>63</v>
      </c>
      <c r="E3241" s="2" t="n">
        <v>46155</v>
      </c>
      <c r="F3241" s="3" t="s">
        <v>27</v>
      </c>
      <c r="G3241" s="3" t="s">
        <v>55</v>
      </c>
      <c r="H3241" s="3" t="s">
        <v>22</v>
      </c>
      <c r="I3241" s="3" t="n">
        <f aca="false">YEAR(E3241)</f>
        <v>2026</v>
      </c>
      <c r="J3241" s="3" t="n">
        <f aca="false">MONTH(E3241)</f>
        <v>5</v>
      </c>
      <c r="K3241" s="3" t="n">
        <f aca="false">COUNTIFS($B$2:$B$4077,B3241,$C$2:$C$4077,C3241,$I$2:$I$4077,I3241)</f>
        <v>1</v>
      </c>
      <c r="L3241" s="3" t="n">
        <f aca="false">IF(COUNTIFS($B$2:B3241,B3241,$C$2:C3241,C3241,$I$2:I3241,I3241)=1,1,0)</f>
        <v>1</v>
      </c>
      <c r="M3241" s="3" t="n">
        <f aca="false">IF(K3241&gt;=Parametri!$B$1,1,0)</f>
        <v>0</v>
      </c>
      <c r="N3241" s="3" t="n">
        <f aca="false">L3241*M3241</f>
        <v>0</v>
      </c>
    </row>
    <row r="3242" customFormat="false" ht="15" hidden="false" customHeight="false" outlineLevel="0" collapsed="false">
      <c r="A3242" s="0" t="s">
        <v>4889</v>
      </c>
      <c r="B3242" s="0" t="s">
        <v>17</v>
      </c>
      <c r="C3242" s="0" t="s">
        <v>1910</v>
      </c>
      <c r="D3242" s="0" t="s">
        <v>66</v>
      </c>
      <c r="E3242" s="2" t="n">
        <v>45612</v>
      </c>
      <c r="F3242" s="3" t="s">
        <v>20</v>
      </c>
      <c r="G3242" s="3" t="s">
        <v>55</v>
      </c>
      <c r="H3242" s="3" t="s">
        <v>44</v>
      </c>
      <c r="I3242" s="3" t="n">
        <f aca="false">YEAR(E3242)</f>
        <v>2024</v>
      </c>
      <c r="J3242" s="3" t="n">
        <f aca="false">MONTH(E3242)</f>
        <v>11</v>
      </c>
      <c r="K3242" s="3" t="n">
        <f aca="false">COUNTIFS($B$2:$B$4077,B3242,$C$2:$C$4077,C3242,$I$2:$I$4077,I3242)</f>
        <v>3</v>
      </c>
      <c r="L3242" s="3" t="n">
        <f aca="false">IF(COUNTIFS($B$2:B3242,B3242,$C$2:C3242,C3242,$I$2:I3242,I3242)=1,1,0)</f>
        <v>0</v>
      </c>
      <c r="M3242" s="3" t="n">
        <f aca="false">IF(K3242&gt;=Parametri!$B$1,1,0)</f>
        <v>1</v>
      </c>
      <c r="N3242" s="3" t="n">
        <f aca="false">L3242*M3242</f>
        <v>0</v>
      </c>
    </row>
    <row r="3243" customFormat="false" ht="15" hidden="false" customHeight="false" outlineLevel="0" collapsed="false">
      <c r="A3243" s="0" t="s">
        <v>4890</v>
      </c>
      <c r="B3243" s="0" t="s">
        <v>50</v>
      </c>
      <c r="C3243" s="0" t="s">
        <v>4630</v>
      </c>
      <c r="D3243" s="0" t="s">
        <v>66</v>
      </c>
      <c r="E3243" s="2" t="n">
        <v>45909</v>
      </c>
      <c r="F3243" s="3" t="s">
        <v>27</v>
      </c>
      <c r="G3243" s="3" t="s">
        <v>43</v>
      </c>
      <c r="H3243" s="3" t="s">
        <v>22</v>
      </c>
      <c r="I3243" s="3" t="n">
        <f aca="false">YEAR(E3243)</f>
        <v>2025</v>
      </c>
      <c r="J3243" s="3" t="n">
        <f aca="false">MONTH(E3243)</f>
        <v>9</v>
      </c>
      <c r="K3243" s="3" t="n">
        <f aca="false">COUNTIFS($B$2:$B$4077,B3243,$C$2:$C$4077,C3243,$I$2:$I$4077,I3243)</f>
        <v>1</v>
      </c>
      <c r="L3243" s="3" t="n">
        <f aca="false">IF(COUNTIFS($B$2:B3243,B3243,$C$2:C3243,C3243,$I$2:I3243,I3243)=1,1,0)</f>
        <v>1</v>
      </c>
      <c r="M3243" s="3" t="n">
        <f aca="false">IF(K3243&gt;=Parametri!$B$1,1,0)</f>
        <v>0</v>
      </c>
      <c r="N3243" s="3" t="n">
        <f aca="false">L3243*M3243</f>
        <v>0</v>
      </c>
    </row>
    <row r="3244" customFormat="false" ht="15" hidden="false" customHeight="false" outlineLevel="0" collapsed="false">
      <c r="A3244" s="0" t="s">
        <v>4891</v>
      </c>
      <c r="B3244" s="0" t="s">
        <v>17</v>
      </c>
      <c r="C3244" s="0" t="s">
        <v>231</v>
      </c>
      <c r="D3244" s="0" t="s">
        <v>38</v>
      </c>
      <c r="E3244" s="2" t="n">
        <v>46086</v>
      </c>
      <c r="F3244" s="3" t="s">
        <v>20</v>
      </c>
      <c r="G3244" s="3" t="s">
        <v>35</v>
      </c>
      <c r="H3244" s="3" t="s">
        <v>48</v>
      </c>
      <c r="I3244" s="3" t="n">
        <f aca="false">YEAR(E3244)</f>
        <v>2026</v>
      </c>
      <c r="J3244" s="3" t="n">
        <f aca="false">MONTH(E3244)</f>
        <v>3</v>
      </c>
      <c r="K3244" s="3" t="n">
        <f aca="false">COUNTIFS($B$2:$B$4077,B3244,$C$2:$C$4077,C3244,$I$2:$I$4077,I3244)</f>
        <v>3</v>
      </c>
      <c r="L3244" s="3" t="n">
        <f aca="false">IF(COUNTIFS($B$2:B3244,B3244,$C$2:C3244,C3244,$I$2:I3244,I3244)=1,1,0)</f>
        <v>0</v>
      </c>
      <c r="M3244" s="3" t="n">
        <f aca="false">IF(K3244&gt;=Parametri!$B$1,1,0)</f>
        <v>1</v>
      </c>
      <c r="N3244" s="3" t="n">
        <f aca="false">L3244*M3244</f>
        <v>0</v>
      </c>
    </row>
    <row r="3245" customFormat="false" ht="15" hidden="false" customHeight="false" outlineLevel="0" collapsed="false">
      <c r="A3245" s="0" t="s">
        <v>4892</v>
      </c>
      <c r="B3245" s="0" t="s">
        <v>68</v>
      </c>
      <c r="C3245" s="0" t="s">
        <v>730</v>
      </c>
      <c r="D3245" s="0" t="s">
        <v>33</v>
      </c>
      <c r="E3245" s="2" t="n">
        <v>46059</v>
      </c>
      <c r="F3245" s="3" t="s">
        <v>20</v>
      </c>
      <c r="G3245" s="3" t="s">
        <v>21</v>
      </c>
      <c r="H3245" s="3" t="s">
        <v>22</v>
      </c>
      <c r="I3245" s="3" t="n">
        <f aca="false">YEAR(E3245)</f>
        <v>2026</v>
      </c>
      <c r="J3245" s="3" t="n">
        <f aca="false">MONTH(E3245)</f>
        <v>2</v>
      </c>
      <c r="K3245" s="3" t="n">
        <f aca="false">COUNTIFS($B$2:$B$4077,B3245,$C$2:$C$4077,C3245,$I$2:$I$4077,I3245)</f>
        <v>4</v>
      </c>
      <c r="L3245" s="3" t="n">
        <f aca="false">IF(COUNTIFS($B$2:B3245,B3245,$C$2:C3245,C3245,$I$2:I3245,I3245)=1,1,0)</f>
        <v>0</v>
      </c>
      <c r="M3245" s="3" t="n">
        <f aca="false">IF(K3245&gt;=Parametri!$B$1,1,0)</f>
        <v>1</v>
      </c>
      <c r="N3245" s="3" t="n">
        <f aca="false">L3245*M3245</f>
        <v>0</v>
      </c>
    </row>
    <row r="3246" customFormat="false" ht="15" hidden="false" customHeight="false" outlineLevel="0" collapsed="false">
      <c r="A3246" s="0" t="s">
        <v>4893</v>
      </c>
      <c r="B3246" s="0" t="s">
        <v>79</v>
      </c>
      <c r="C3246" s="0" t="s">
        <v>497</v>
      </c>
      <c r="D3246" s="0" t="s">
        <v>19</v>
      </c>
      <c r="E3246" s="2" t="n">
        <v>45355</v>
      </c>
      <c r="F3246" s="3" t="s">
        <v>20</v>
      </c>
      <c r="G3246" s="3" t="s">
        <v>35</v>
      </c>
      <c r="H3246" s="3" t="s">
        <v>29</v>
      </c>
      <c r="I3246" s="3" t="n">
        <f aca="false">YEAR(E3246)</f>
        <v>2024</v>
      </c>
      <c r="J3246" s="3" t="n">
        <f aca="false">MONTH(E3246)</f>
        <v>3</v>
      </c>
      <c r="K3246" s="3" t="n">
        <f aca="false">COUNTIFS($B$2:$B$4077,B3246,$C$2:$C$4077,C3246,$I$2:$I$4077,I3246)</f>
        <v>2</v>
      </c>
      <c r="L3246" s="3" t="n">
        <f aca="false">IF(COUNTIFS($B$2:B3246,B3246,$C$2:C3246,C3246,$I$2:I3246,I3246)=1,1,0)</f>
        <v>0</v>
      </c>
      <c r="M3246" s="3" t="n">
        <f aca="false">IF(K3246&gt;=Parametri!$B$1,1,0)</f>
        <v>1</v>
      </c>
      <c r="N3246" s="3" t="n">
        <f aca="false">L3246*M3246</f>
        <v>0</v>
      </c>
    </row>
    <row r="3247" customFormat="false" ht="15" hidden="false" customHeight="false" outlineLevel="0" collapsed="false">
      <c r="A3247" s="0" t="s">
        <v>4894</v>
      </c>
      <c r="B3247" s="0" t="s">
        <v>57</v>
      </c>
      <c r="C3247" s="0" t="s">
        <v>583</v>
      </c>
      <c r="D3247" s="0" t="s">
        <v>77</v>
      </c>
      <c r="E3247" s="2" t="n">
        <v>46244</v>
      </c>
      <c r="F3247" s="3" t="s">
        <v>20</v>
      </c>
      <c r="G3247" s="3" t="s">
        <v>35</v>
      </c>
      <c r="H3247" s="3" t="s">
        <v>22</v>
      </c>
      <c r="I3247" s="3" t="n">
        <f aca="false">YEAR(E3247)</f>
        <v>2026</v>
      </c>
      <c r="J3247" s="3" t="n">
        <f aca="false">MONTH(E3247)</f>
        <v>8</v>
      </c>
      <c r="K3247" s="3" t="n">
        <f aca="false">COUNTIFS($B$2:$B$4077,B3247,$C$2:$C$4077,C3247,$I$2:$I$4077,I3247)</f>
        <v>2</v>
      </c>
      <c r="L3247" s="3" t="n">
        <f aca="false">IF(COUNTIFS($B$2:B3247,B3247,$C$2:C3247,C3247,$I$2:I3247,I3247)=1,1,0)</f>
        <v>1</v>
      </c>
      <c r="M3247" s="3" t="n">
        <f aca="false">IF(K3247&gt;=Parametri!$B$1,1,0)</f>
        <v>1</v>
      </c>
      <c r="N3247" s="3" t="n">
        <f aca="false">L3247*M3247</f>
        <v>1</v>
      </c>
    </row>
    <row r="3248" customFormat="false" ht="15" hidden="false" customHeight="false" outlineLevel="0" collapsed="false">
      <c r="A3248" s="0" t="s">
        <v>4895</v>
      </c>
      <c r="B3248" s="0" t="s">
        <v>50</v>
      </c>
      <c r="C3248" s="0" t="s">
        <v>3492</v>
      </c>
      <c r="D3248" s="0" t="s">
        <v>77</v>
      </c>
      <c r="E3248" s="2" t="n">
        <v>45318</v>
      </c>
      <c r="F3248" s="3" t="s">
        <v>20</v>
      </c>
      <c r="G3248" s="3" t="s">
        <v>21</v>
      </c>
      <c r="H3248" s="3" t="s">
        <v>22</v>
      </c>
      <c r="I3248" s="3" t="n">
        <f aca="false">YEAR(E3248)</f>
        <v>2024</v>
      </c>
      <c r="J3248" s="3" t="n">
        <f aca="false">MONTH(E3248)</f>
        <v>1</v>
      </c>
      <c r="K3248" s="3" t="n">
        <f aca="false">COUNTIFS($B$2:$B$4077,B3248,$C$2:$C$4077,C3248,$I$2:$I$4077,I3248)</f>
        <v>2</v>
      </c>
      <c r="L3248" s="3" t="n">
        <f aca="false">IF(COUNTIFS($B$2:B3248,B3248,$C$2:C3248,C3248,$I$2:I3248,I3248)=1,1,0)</f>
        <v>0</v>
      </c>
      <c r="M3248" s="3" t="n">
        <f aca="false">IF(K3248&gt;=Parametri!$B$1,1,0)</f>
        <v>1</v>
      </c>
      <c r="N3248" s="3" t="n">
        <f aca="false">L3248*M3248</f>
        <v>0</v>
      </c>
    </row>
    <row r="3249" customFormat="false" ht="15" hidden="false" customHeight="false" outlineLevel="0" collapsed="false">
      <c r="A3249" s="0" t="s">
        <v>4896</v>
      </c>
      <c r="B3249" s="0" t="s">
        <v>41</v>
      </c>
      <c r="C3249" s="0" t="s">
        <v>343</v>
      </c>
      <c r="D3249" s="0" t="s">
        <v>54</v>
      </c>
      <c r="E3249" s="2" t="n">
        <v>45738</v>
      </c>
      <c r="F3249" s="3" t="s">
        <v>20</v>
      </c>
      <c r="G3249" s="3" t="s">
        <v>104</v>
      </c>
      <c r="H3249" s="3" t="s">
        <v>104</v>
      </c>
      <c r="I3249" s="3" t="n">
        <f aca="false">YEAR(E3249)</f>
        <v>2025</v>
      </c>
      <c r="J3249" s="3" t="n">
        <f aca="false">MONTH(E3249)</f>
        <v>3</v>
      </c>
      <c r="K3249" s="3" t="n">
        <f aca="false">COUNTIFS($B$2:$B$4077,B3249,$C$2:$C$4077,C3249,$I$2:$I$4077,I3249)</f>
        <v>7</v>
      </c>
      <c r="L3249" s="3" t="n">
        <f aca="false">IF(COUNTIFS($B$2:B3249,B3249,$C$2:C3249,C3249,$I$2:I3249,I3249)=1,1,0)</f>
        <v>0</v>
      </c>
      <c r="M3249" s="3" t="n">
        <f aca="false">IF(K3249&gt;=Parametri!$B$1,1,0)</f>
        <v>1</v>
      </c>
      <c r="N3249" s="3" t="n">
        <f aca="false">L3249*M3249</f>
        <v>0</v>
      </c>
    </row>
    <row r="3250" customFormat="false" ht="15" hidden="false" customHeight="false" outlineLevel="0" collapsed="false">
      <c r="A3250" s="0" t="s">
        <v>4897</v>
      </c>
      <c r="B3250" s="0" t="s">
        <v>24</v>
      </c>
      <c r="C3250" s="0" t="s">
        <v>4898</v>
      </c>
      <c r="D3250" s="0" t="s">
        <v>33</v>
      </c>
      <c r="E3250" s="2" t="n">
        <v>46074</v>
      </c>
      <c r="F3250" s="3" t="s">
        <v>20</v>
      </c>
      <c r="G3250" s="3" t="s">
        <v>21</v>
      </c>
      <c r="H3250" s="3" t="s">
        <v>22</v>
      </c>
      <c r="I3250" s="3" t="n">
        <f aca="false">YEAR(E3250)</f>
        <v>2026</v>
      </c>
      <c r="J3250" s="3" t="n">
        <f aca="false">MONTH(E3250)</f>
        <v>2</v>
      </c>
      <c r="K3250" s="3" t="n">
        <f aca="false">COUNTIFS($B$2:$B$4077,B3250,$C$2:$C$4077,C3250,$I$2:$I$4077,I3250)</f>
        <v>2</v>
      </c>
      <c r="L3250" s="3" t="n">
        <f aca="false">IF(COUNTIFS($B$2:B3250,B3250,$C$2:C3250,C3250,$I$2:I3250,I3250)=1,1,0)</f>
        <v>1</v>
      </c>
      <c r="M3250" s="3" t="n">
        <f aca="false">IF(K3250&gt;=Parametri!$B$1,1,0)</f>
        <v>1</v>
      </c>
      <c r="N3250" s="3" t="n">
        <f aca="false">L3250*M3250</f>
        <v>1</v>
      </c>
    </row>
    <row r="3251" customFormat="false" ht="15" hidden="false" customHeight="false" outlineLevel="0" collapsed="false">
      <c r="A3251" s="0" t="s">
        <v>4899</v>
      </c>
      <c r="B3251" s="0" t="s">
        <v>68</v>
      </c>
      <c r="C3251" s="0" t="s">
        <v>2646</v>
      </c>
      <c r="D3251" s="0" t="s">
        <v>33</v>
      </c>
      <c r="E3251" s="2" t="n">
        <v>45903</v>
      </c>
      <c r="F3251" s="3" t="s">
        <v>20</v>
      </c>
      <c r="G3251" s="3" t="s">
        <v>35</v>
      </c>
      <c r="H3251" s="3" t="s">
        <v>48</v>
      </c>
      <c r="I3251" s="3" t="n">
        <f aca="false">YEAR(E3251)</f>
        <v>2025</v>
      </c>
      <c r="J3251" s="3" t="n">
        <f aca="false">MONTH(E3251)</f>
        <v>9</v>
      </c>
      <c r="K3251" s="3" t="n">
        <f aca="false">COUNTIFS($B$2:$B$4077,B3251,$C$2:$C$4077,C3251,$I$2:$I$4077,I3251)</f>
        <v>1</v>
      </c>
      <c r="L3251" s="3" t="n">
        <f aca="false">IF(COUNTIFS($B$2:B3251,B3251,$C$2:C3251,C3251,$I$2:I3251,I3251)=1,1,0)</f>
        <v>1</v>
      </c>
      <c r="M3251" s="3" t="n">
        <f aca="false">IF(K3251&gt;=Parametri!$B$1,1,0)</f>
        <v>0</v>
      </c>
      <c r="N3251" s="3" t="n">
        <f aca="false">L3251*M3251</f>
        <v>0</v>
      </c>
    </row>
    <row r="3252" customFormat="false" ht="15" hidden="false" customHeight="false" outlineLevel="0" collapsed="false">
      <c r="A3252" s="0" t="s">
        <v>4900</v>
      </c>
      <c r="B3252" s="0" t="s">
        <v>17</v>
      </c>
      <c r="C3252" s="0" t="s">
        <v>399</v>
      </c>
      <c r="D3252" s="0" t="s">
        <v>77</v>
      </c>
      <c r="E3252" s="2" t="n">
        <v>45464</v>
      </c>
      <c r="F3252" s="3" t="s">
        <v>20</v>
      </c>
      <c r="G3252" s="3" t="s">
        <v>39</v>
      </c>
      <c r="H3252" s="3" t="s">
        <v>22</v>
      </c>
      <c r="I3252" s="3" t="n">
        <f aca="false">YEAR(E3252)</f>
        <v>2024</v>
      </c>
      <c r="J3252" s="3" t="n">
        <f aca="false">MONTH(E3252)</f>
        <v>6</v>
      </c>
      <c r="K3252" s="3" t="n">
        <f aca="false">COUNTIFS($B$2:$B$4077,B3252,$C$2:$C$4077,C3252,$I$2:$I$4077,I3252)</f>
        <v>3</v>
      </c>
      <c r="L3252" s="3" t="n">
        <f aca="false">IF(COUNTIFS($B$2:B3252,B3252,$C$2:C3252,C3252,$I$2:I3252,I3252)=1,1,0)</f>
        <v>0</v>
      </c>
      <c r="M3252" s="3" t="n">
        <f aca="false">IF(K3252&gt;=Parametri!$B$1,1,0)</f>
        <v>1</v>
      </c>
      <c r="N3252" s="3" t="n">
        <f aca="false">L3252*M3252</f>
        <v>0</v>
      </c>
    </row>
    <row r="3253" customFormat="false" ht="15" hidden="false" customHeight="false" outlineLevel="0" collapsed="false">
      <c r="A3253" s="0" t="s">
        <v>4901</v>
      </c>
      <c r="B3253" s="0" t="s">
        <v>46</v>
      </c>
      <c r="C3253" s="0" t="s">
        <v>4902</v>
      </c>
      <c r="D3253" s="0" t="s">
        <v>66</v>
      </c>
      <c r="E3253" s="2" t="n">
        <v>45879</v>
      </c>
      <c r="F3253" s="3" t="s">
        <v>27</v>
      </c>
      <c r="G3253" s="3" t="s">
        <v>43</v>
      </c>
      <c r="H3253" s="3" t="s">
        <v>29</v>
      </c>
      <c r="I3253" s="3" t="n">
        <f aca="false">YEAR(E3253)</f>
        <v>2025</v>
      </c>
      <c r="J3253" s="3" t="n">
        <f aca="false">MONTH(E3253)</f>
        <v>8</v>
      </c>
      <c r="K3253" s="3" t="n">
        <f aca="false">COUNTIFS($B$2:$B$4077,B3253,$C$2:$C$4077,C3253,$I$2:$I$4077,I3253)</f>
        <v>1</v>
      </c>
      <c r="L3253" s="3" t="n">
        <f aca="false">IF(COUNTIFS($B$2:B3253,B3253,$C$2:C3253,C3253,$I$2:I3253,I3253)=1,1,0)</f>
        <v>1</v>
      </c>
      <c r="M3253" s="3" t="n">
        <f aca="false">IF(K3253&gt;=Parametri!$B$1,1,0)</f>
        <v>0</v>
      </c>
      <c r="N3253" s="3" t="n">
        <f aca="false">L3253*M3253</f>
        <v>0</v>
      </c>
    </row>
    <row r="3254" customFormat="false" ht="15" hidden="false" customHeight="false" outlineLevel="0" collapsed="false">
      <c r="A3254" s="0" t="s">
        <v>4903</v>
      </c>
      <c r="B3254" s="0" t="s">
        <v>68</v>
      </c>
      <c r="C3254" s="0" t="s">
        <v>2661</v>
      </c>
      <c r="D3254" s="0" t="s">
        <v>54</v>
      </c>
      <c r="E3254" s="2" t="n">
        <v>46251</v>
      </c>
      <c r="F3254" s="3" t="s">
        <v>27</v>
      </c>
      <c r="G3254" s="3" t="s">
        <v>43</v>
      </c>
      <c r="H3254" s="3" t="s">
        <v>29</v>
      </c>
      <c r="I3254" s="3" t="n">
        <f aca="false">YEAR(E3254)</f>
        <v>2026</v>
      </c>
      <c r="J3254" s="3" t="n">
        <f aca="false">MONTH(E3254)</f>
        <v>8</v>
      </c>
      <c r="K3254" s="3" t="n">
        <f aca="false">COUNTIFS($B$2:$B$4077,B3254,$C$2:$C$4077,C3254,$I$2:$I$4077,I3254)</f>
        <v>1</v>
      </c>
      <c r="L3254" s="3" t="n">
        <f aca="false">IF(COUNTIFS($B$2:B3254,B3254,$C$2:C3254,C3254,$I$2:I3254,I3254)=1,1,0)</f>
        <v>1</v>
      </c>
      <c r="M3254" s="3" t="n">
        <f aca="false">IF(K3254&gt;=Parametri!$B$1,1,0)</f>
        <v>0</v>
      </c>
      <c r="N3254" s="3" t="n">
        <f aca="false">L3254*M3254</f>
        <v>0</v>
      </c>
    </row>
    <row r="3255" customFormat="false" ht="15" hidden="false" customHeight="false" outlineLevel="0" collapsed="false">
      <c r="A3255" s="0" t="s">
        <v>4904</v>
      </c>
      <c r="B3255" s="0" t="s">
        <v>50</v>
      </c>
      <c r="C3255" s="0" t="s">
        <v>808</v>
      </c>
      <c r="D3255" s="0" t="s">
        <v>19</v>
      </c>
      <c r="E3255" s="2" t="n">
        <v>45342</v>
      </c>
      <c r="F3255" s="3" t="s">
        <v>27</v>
      </c>
      <c r="G3255" s="3" t="s">
        <v>21</v>
      </c>
      <c r="H3255" s="3" t="s">
        <v>22</v>
      </c>
      <c r="I3255" s="3" t="n">
        <f aca="false">YEAR(E3255)</f>
        <v>2024</v>
      </c>
      <c r="J3255" s="3" t="n">
        <f aca="false">MONTH(E3255)</f>
        <v>2</v>
      </c>
      <c r="K3255" s="3" t="n">
        <f aca="false">COUNTIFS($B$2:$B$4077,B3255,$C$2:$C$4077,C3255,$I$2:$I$4077,I3255)</f>
        <v>2</v>
      </c>
      <c r="L3255" s="3" t="n">
        <f aca="false">IF(COUNTIFS($B$2:B3255,B3255,$C$2:C3255,C3255,$I$2:I3255,I3255)=1,1,0)</f>
        <v>0</v>
      </c>
      <c r="M3255" s="3" t="n">
        <f aca="false">IF(K3255&gt;=Parametri!$B$1,1,0)</f>
        <v>1</v>
      </c>
      <c r="N3255" s="3" t="n">
        <f aca="false">L3255*M3255</f>
        <v>0</v>
      </c>
    </row>
    <row r="3256" customFormat="false" ht="15" hidden="false" customHeight="false" outlineLevel="0" collapsed="false">
      <c r="A3256" s="0" t="s">
        <v>4905</v>
      </c>
      <c r="B3256" s="0" t="s">
        <v>17</v>
      </c>
      <c r="C3256" s="0" t="s">
        <v>2567</v>
      </c>
      <c r="D3256" s="0" t="s">
        <v>77</v>
      </c>
      <c r="E3256" s="2" t="n">
        <v>45712</v>
      </c>
      <c r="F3256" s="3" t="s">
        <v>20</v>
      </c>
      <c r="G3256" s="3" t="s">
        <v>55</v>
      </c>
      <c r="H3256" s="3" t="s">
        <v>22</v>
      </c>
      <c r="I3256" s="3" t="n">
        <f aca="false">YEAR(E3256)</f>
        <v>2025</v>
      </c>
      <c r="J3256" s="3" t="n">
        <f aca="false">MONTH(E3256)</f>
        <v>2</v>
      </c>
      <c r="K3256" s="3" t="n">
        <f aca="false">COUNTIFS($B$2:$B$4077,B3256,$C$2:$C$4077,C3256,$I$2:$I$4077,I3256)</f>
        <v>3</v>
      </c>
      <c r="L3256" s="3" t="n">
        <f aca="false">IF(COUNTIFS($B$2:B3256,B3256,$C$2:C3256,C3256,$I$2:I3256,I3256)=1,1,0)</f>
        <v>0</v>
      </c>
      <c r="M3256" s="3" t="n">
        <f aca="false">IF(K3256&gt;=Parametri!$B$1,1,0)</f>
        <v>1</v>
      </c>
      <c r="N3256" s="3" t="n">
        <f aca="false">L3256*M3256</f>
        <v>0</v>
      </c>
    </row>
    <row r="3257" customFormat="false" ht="15" hidden="false" customHeight="false" outlineLevel="0" collapsed="false">
      <c r="A3257" s="0" t="s">
        <v>4906</v>
      </c>
      <c r="B3257" s="0" t="s">
        <v>17</v>
      </c>
      <c r="C3257" s="0" t="s">
        <v>2560</v>
      </c>
      <c r="D3257" s="0" t="s">
        <v>33</v>
      </c>
      <c r="E3257" s="2" t="n">
        <v>45596</v>
      </c>
      <c r="F3257" s="3" t="s">
        <v>20</v>
      </c>
      <c r="G3257" s="3" t="s">
        <v>21</v>
      </c>
      <c r="H3257" s="3" t="s">
        <v>22</v>
      </c>
      <c r="I3257" s="3" t="n">
        <f aca="false">YEAR(E3257)</f>
        <v>2024</v>
      </c>
      <c r="J3257" s="3" t="n">
        <f aca="false">MONTH(E3257)</f>
        <v>10</v>
      </c>
      <c r="K3257" s="3" t="n">
        <f aca="false">COUNTIFS($B$2:$B$4077,B3257,$C$2:$C$4077,C3257,$I$2:$I$4077,I3257)</f>
        <v>2</v>
      </c>
      <c r="L3257" s="3" t="n">
        <f aca="false">IF(COUNTIFS($B$2:B3257,B3257,$C$2:C3257,C3257,$I$2:I3257,I3257)=1,1,0)</f>
        <v>0</v>
      </c>
      <c r="M3257" s="3" t="n">
        <f aca="false">IF(K3257&gt;=Parametri!$B$1,1,0)</f>
        <v>1</v>
      </c>
      <c r="N3257" s="3" t="n">
        <f aca="false">L3257*M3257</f>
        <v>0</v>
      </c>
    </row>
    <row r="3258" customFormat="false" ht="15" hidden="false" customHeight="false" outlineLevel="0" collapsed="false">
      <c r="A3258" s="0" t="s">
        <v>4907</v>
      </c>
      <c r="B3258" s="0" t="s">
        <v>57</v>
      </c>
      <c r="C3258" s="0" t="s">
        <v>3477</v>
      </c>
      <c r="D3258" s="0" t="s">
        <v>54</v>
      </c>
      <c r="E3258" s="2" t="n">
        <v>46007</v>
      </c>
      <c r="F3258" s="3" t="s">
        <v>20</v>
      </c>
      <c r="G3258" s="3" t="s">
        <v>35</v>
      </c>
      <c r="H3258" s="3" t="s">
        <v>22</v>
      </c>
      <c r="I3258" s="3" t="n">
        <f aca="false">YEAR(E3258)</f>
        <v>2025</v>
      </c>
      <c r="J3258" s="3" t="n">
        <f aca="false">MONTH(E3258)</f>
        <v>12</v>
      </c>
      <c r="K3258" s="3" t="n">
        <f aca="false">COUNTIFS($B$2:$B$4077,B3258,$C$2:$C$4077,C3258,$I$2:$I$4077,I3258)</f>
        <v>3</v>
      </c>
      <c r="L3258" s="3" t="n">
        <f aca="false">IF(COUNTIFS($B$2:B3258,B3258,$C$2:C3258,C3258,$I$2:I3258,I3258)=1,1,0)</f>
        <v>1</v>
      </c>
      <c r="M3258" s="3" t="n">
        <f aca="false">IF(K3258&gt;=Parametri!$B$1,1,0)</f>
        <v>1</v>
      </c>
      <c r="N3258" s="3" t="n">
        <f aca="false">L3258*M3258</f>
        <v>1</v>
      </c>
    </row>
    <row r="3259" customFormat="false" ht="15" hidden="false" customHeight="false" outlineLevel="0" collapsed="false">
      <c r="A3259" s="0" t="s">
        <v>4908</v>
      </c>
      <c r="B3259" s="0" t="s">
        <v>57</v>
      </c>
      <c r="C3259" s="0" t="s">
        <v>4909</v>
      </c>
      <c r="D3259" s="0" t="s">
        <v>33</v>
      </c>
      <c r="E3259" s="2" t="n">
        <v>45639</v>
      </c>
      <c r="F3259" s="3" t="s">
        <v>34</v>
      </c>
      <c r="G3259" s="3" t="s">
        <v>35</v>
      </c>
      <c r="H3259" s="3" t="s">
        <v>22</v>
      </c>
      <c r="I3259" s="3" t="n">
        <f aca="false">YEAR(E3259)</f>
        <v>2024</v>
      </c>
      <c r="J3259" s="3" t="n">
        <f aca="false">MONTH(E3259)</f>
        <v>12</v>
      </c>
      <c r="K3259" s="3" t="n">
        <f aca="false">COUNTIFS($B$2:$B$4077,B3259,$C$2:$C$4077,C3259,$I$2:$I$4077,I3259)</f>
        <v>1</v>
      </c>
      <c r="L3259" s="3" t="n">
        <f aca="false">IF(COUNTIFS($B$2:B3259,B3259,$C$2:C3259,C3259,$I$2:I3259,I3259)=1,1,0)</f>
        <v>1</v>
      </c>
      <c r="M3259" s="3" t="n">
        <f aca="false">IF(K3259&gt;=Parametri!$B$1,1,0)</f>
        <v>0</v>
      </c>
      <c r="N3259" s="3" t="n">
        <f aca="false">L3259*M3259</f>
        <v>0</v>
      </c>
    </row>
    <row r="3260" customFormat="false" ht="15" hidden="false" customHeight="false" outlineLevel="0" collapsed="false">
      <c r="A3260" s="0" t="s">
        <v>4910</v>
      </c>
      <c r="B3260" s="0" t="s">
        <v>124</v>
      </c>
      <c r="C3260" s="0" t="s">
        <v>4886</v>
      </c>
      <c r="D3260" s="0" t="s">
        <v>63</v>
      </c>
      <c r="E3260" s="2" t="n">
        <v>45555</v>
      </c>
      <c r="F3260" s="3" t="s">
        <v>20</v>
      </c>
      <c r="G3260" s="3" t="s">
        <v>89</v>
      </c>
      <c r="H3260" s="3" t="s">
        <v>44</v>
      </c>
      <c r="I3260" s="3" t="n">
        <f aca="false">YEAR(E3260)</f>
        <v>2024</v>
      </c>
      <c r="J3260" s="3" t="n">
        <f aca="false">MONTH(E3260)</f>
        <v>9</v>
      </c>
      <c r="K3260" s="3" t="n">
        <f aca="false">COUNTIFS($B$2:$B$4077,B3260,$C$2:$C$4077,C3260,$I$2:$I$4077,I3260)</f>
        <v>1</v>
      </c>
      <c r="L3260" s="3" t="n">
        <f aca="false">IF(COUNTIFS($B$2:B3260,B3260,$C$2:C3260,C3260,$I$2:I3260,I3260)=1,1,0)</f>
        <v>1</v>
      </c>
      <c r="M3260" s="3" t="n">
        <f aca="false">IF(K3260&gt;=Parametri!$B$1,1,0)</f>
        <v>0</v>
      </c>
      <c r="N3260" s="3" t="n">
        <f aca="false">L3260*M3260</f>
        <v>0</v>
      </c>
    </row>
    <row r="3261" customFormat="false" ht="15" hidden="false" customHeight="false" outlineLevel="0" collapsed="false">
      <c r="A3261" s="0" t="s">
        <v>4911</v>
      </c>
      <c r="B3261" s="0" t="s">
        <v>79</v>
      </c>
      <c r="C3261" s="0" t="s">
        <v>1144</v>
      </c>
      <c r="D3261" s="0" t="s">
        <v>77</v>
      </c>
      <c r="E3261" s="2" t="n">
        <v>46262</v>
      </c>
      <c r="F3261" s="3" t="s">
        <v>20</v>
      </c>
      <c r="G3261" s="3" t="s">
        <v>21</v>
      </c>
      <c r="H3261" s="3" t="s">
        <v>48</v>
      </c>
      <c r="I3261" s="3" t="n">
        <f aca="false">YEAR(E3261)</f>
        <v>2026</v>
      </c>
      <c r="J3261" s="3" t="n">
        <f aca="false">MONTH(E3261)</f>
        <v>8</v>
      </c>
      <c r="K3261" s="3" t="n">
        <f aca="false">COUNTIFS($B$2:$B$4077,B3261,$C$2:$C$4077,C3261,$I$2:$I$4077,I3261)</f>
        <v>1</v>
      </c>
      <c r="L3261" s="3" t="n">
        <f aca="false">IF(COUNTIFS($B$2:B3261,B3261,$C$2:C3261,C3261,$I$2:I3261,I3261)=1,1,0)</f>
        <v>1</v>
      </c>
      <c r="M3261" s="3" t="n">
        <f aca="false">IF(K3261&gt;=Parametri!$B$1,1,0)</f>
        <v>0</v>
      </c>
      <c r="N3261" s="3" t="n">
        <f aca="false">L3261*M3261</f>
        <v>0</v>
      </c>
    </row>
    <row r="3262" customFormat="false" ht="15" hidden="false" customHeight="false" outlineLevel="0" collapsed="false">
      <c r="A3262" s="0" t="s">
        <v>4912</v>
      </c>
      <c r="B3262" s="0" t="s">
        <v>79</v>
      </c>
      <c r="C3262" s="0" t="s">
        <v>585</v>
      </c>
      <c r="D3262" s="0" t="s">
        <v>38</v>
      </c>
      <c r="E3262" s="2" t="n">
        <v>46100</v>
      </c>
      <c r="F3262" s="3" t="s">
        <v>20</v>
      </c>
      <c r="G3262" s="3" t="s">
        <v>43</v>
      </c>
      <c r="H3262" s="3" t="s">
        <v>29</v>
      </c>
      <c r="I3262" s="3" t="n">
        <f aca="false">YEAR(E3262)</f>
        <v>2026</v>
      </c>
      <c r="J3262" s="3" t="n">
        <f aca="false">MONTH(E3262)</f>
        <v>3</v>
      </c>
      <c r="K3262" s="3" t="n">
        <f aca="false">COUNTIFS($B$2:$B$4077,B3262,$C$2:$C$4077,C3262,$I$2:$I$4077,I3262)</f>
        <v>2</v>
      </c>
      <c r="L3262" s="3" t="n">
        <f aca="false">IF(COUNTIFS($B$2:B3262,B3262,$C$2:C3262,C3262,$I$2:I3262,I3262)=1,1,0)</f>
        <v>0</v>
      </c>
      <c r="M3262" s="3" t="n">
        <f aca="false">IF(K3262&gt;=Parametri!$B$1,1,0)</f>
        <v>1</v>
      </c>
      <c r="N3262" s="3" t="n">
        <f aca="false">L3262*M3262</f>
        <v>0</v>
      </c>
    </row>
    <row r="3263" customFormat="false" ht="15" hidden="false" customHeight="false" outlineLevel="0" collapsed="false">
      <c r="A3263" s="0" t="s">
        <v>4913</v>
      </c>
      <c r="B3263" s="0" t="s">
        <v>31</v>
      </c>
      <c r="C3263" s="0" t="s">
        <v>198</v>
      </c>
      <c r="D3263" s="0" t="s">
        <v>63</v>
      </c>
      <c r="E3263" s="2" t="n">
        <v>45390</v>
      </c>
      <c r="F3263" s="3" t="s">
        <v>34</v>
      </c>
      <c r="G3263" s="3" t="s">
        <v>55</v>
      </c>
      <c r="H3263" s="3" t="s">
        <v>44</v>
      </c>
      <c r="I3263" s="3" t="n">
        <f aca="false">YEAR(E3263)</f>
        <v>2024</v>
      </c>
      <c r="J3263" s="3" t="n">
        <f aca="false">MONTH(E3263)</f>
        <v>4</v>
      </c>
      <c r="K3263" s="3" t="n">
        <f aca="false">COUNTIFS($B$2:$B$4077,B3263,$C$2:$C$4077,C3263,$I$2:$I$4077,I3263)</f>
        <v>1</v>
      </c>
      <c r="L3263" s="3" t="n">
        <f aca="false">IF(COUNTIFS($B$2:B3263,B3263,$C$2:C3263,C3263,$I$2:I3263,I3263)=1,1,0)</f>
        <v>1</v>
      </c>
      <c r="M3263" s="3" t="n">
        <f aca="false">IF(K3263&gt;=Parametri!$B$1,1,0)</f>
        <v>0</v>
      </c>
      <c r="N3263" s="3" t="n">
        <f aca="false">L3263*M3263</f>
        <v>0</v>
      </c>
    </row>
    <row r="3264" customFormat="false" ht="15" hidden="false" customHeight="false" outlineLevel="0" collapsed="false">
      <c r="A3264" s="0" t="s">
        <v>4914</v>
      </c>
      <c r="B3264" s="0" t="s">
        <v>68</v>
      </c>
      <c r="C3264" s="0" t="s">
        <v>3557</v>
      </c>
      <c r="D3264" s="0" t="s">
        <v>38</v>
      </c>
      <c r="E3264" s="2" t="n">
        <v>46230</v>
      </c>
      <c r="F3264" s="3" t="s">
        <v>20</v>
      </c>
      <c r="G3264" s="3" t="s">
        <v>35</v>
      </c>
      <c r="H3264" s="3" t="s">
        <v>44</v>
      </c>
      <c r="I3264" s="3" t="n">
        <f aca="false">YEAR(E3264)</f>
        <v>2026</v>
      </c>
      <c r="J3264" s="3" t="n">
        <f aca="false">MONTH(E3264)</f>
        <v>7</v>
      </c>
      <c r="K3264" s="3" t="n">
        <f aca="false">COUNTIFS($B$2:$B$4077,B3264,$C$2:$C$4077,C3264,$I$2:$I$4077,I3264)</f>
        <v>2</v>
      </c>
      <c r="L3264" s="3" t="n">
        <f aca="false">IF(COUNTIFS($B$2:B3264,B3264,$C$2:C3264,C3264,$I$2:I3264,I3264)=1,1,0)</f>
        <v>0</v>
      </c>
      <c r="M3264" s="3" t="n">
        <f aca="false">IF(K3264&gt;=Parametri!$B$1,1,0)</f>
        <v>1</v>
      </c>
      <c r="N3264" s="3" t="n">
        <f aca="false">L3264*M3264</f>
        <v>0</v>
      </c>
    </row>
    <row r="3265" customFormat="false" ht="15" hidden="false" customHeight="false" outlineLevel="0" collapsed="false">
      <c r="A3265" s="0" t="s">
        <v>4915</v>
      </c>
      <c r="B3265" s="0" t="s">
        <v>24</v>
      </c>
      <c r="C3265" s="0" t="s">
        <v>1304</v>
      </c>
      <c r="D3265" s="0" t="s">
        <v>19</v>
      </c>
      <c r="E3265" s="2" t="n">
        <v>46030</v>
      </c>
      <c r="F3265" s="3" t="s">
        <v>34</v>
      </c>
      <c r="G3265" s="3" t="s">
        <v>72</v>
      </c>
      <c r="H3265" s="3" t="s">
        <v>29</v>
      </c>
      <c r="I3265" s="3" t="n">
        <f aca="false">YEAR(E3265)</f>
        <v>2026</v>
      </c>
      <c r="J3265" s="3" t="n">
        <f aca="false">MONTH(E3265)</f>
        <v>1</v>
      </c>
      <c r="K3265" s="3" t="n">
        <f aca="false">COUNTIFS($B$2:$B$4077,B3265,$C$2:$C$4077,C3265,$I$2:$I$4077,I3265)</f>
        <v>4</v>
      </c>
      <c r="L3265" s="3" t="n">
        <f aca="false">IF(COUNTIFS($B$2:B3265,B3265,$C$2:C3265,C3265,$I$2:I3265,I3265)=1,1,0)</f>
        <v>0</v>
      </c>
      <c r="M3265" s="3" t="n">
        <f aca="false">IF(K3265&gt;=Parametri!$B$1,1,0)</f>
        <v>1</v>
      </c>
      <c r="N3265" s="3" t="n">
        <f aca="false">L3265*M3265</f>
        <v>0</v>
      </c>
    </row>
    <row r="3266" customFormat="false" ht="15" hidden="false" customHeight="false" outlineLevel="0" collapsed="false">
      <c r="A3266" s="0" t="s">
        <v>4916</v>
      </c>
      <c r="B3266" s="0" t="s">
        <v>68</v>
      </c>
      <c r="C3266" s="0" t="s">
        <v>467</v>
      </c>
      <c r="D3266" s="0" t="s">
        <v>26</v>
      </c>
      <c r="E3266" s="2" t="n">
        <v>45759</v>
      </c>
      <c r="F3266" s="3" t="s">
        <v>20</v>
      </c>
      <c r="G3266" s="3" t="s">
        <v>55</v>
      </c>
      <c r="H3266" s="3" t="s">
        <v>48</v>
      </c>
      <c r="I3266" s="3" t="n">
        <f aca="false">YEAR(E3266)</f>
        <v>2025</v>
      </c>
      <c r="J3266" s="3" t="n">
        <f aca="false">MONTH(E3266)</f>
        <v>4</v>
      </c>
      <c r="K3266" s="3" t="n">
        <f aca="false">COUNTIFS($B$2:$B$4077,B3266,$C$2:$C$4077,C3266,$I$2:$I$4077,I3266)</f>
        <v>1</v>
      </c>
      <c r="L3266" s="3" t="n">
        <f aca="false">IF(COUNTIFS($B$2:B3266,B3266,$C$2:C3266,C3266,$I$2:I3266,I3266)=1,1,0)</f>
        <v>1</v>
      </c>
      <c r="M3266" s="3" t="n">
        <f aca="false">IF(K3266&gt;=Parametri!$B$1,1,0)</f>
        <v>0</v>
      </c>
      <c r="N3266" s="3" t="n">
        <f aca="false">L3266*M3266</f>
        <v>0</v>
      </c>
    </row>
    <row r="3267" customFormat="false" ht="15" hidden="false" customHeight="false" outlineLevel="0" collapsed="false">
      <c r="A3267" s="0" t="s">
        <v>4917</v>
      </c>
      <c r="B3267" s="0" t="s">
        <v>50</v>
      </c>
      <c r="C3267" s="0" t="s">
        <v>819</v>
      </c>
      <c r="D3267" s="0" t="s">
        <v>33</v>
      </c>
      <c r="E3267" s="2" t="n">
        <v>45546</v>
      </c>
      <c r="F3267" s="3" t="s">
        <v>20</v>
      </c>
      <c r="G3267" s="3" t="s">
        <v>72</v>
      </c>
      <c r="H3267" s="3" t="s">
        <v>44</v>
      </c>
      <c r="I3267" s="3" t="n">
        <f aca="false">YEAR(E3267)</f>
        <v>2024</v>
      </c>
      <c r="J3267" s="3" t="n">
        <f aca="false">MONTH(E3267)</f>
        <v>9</v>
      </c>
      <c r="K3267" s="3" t="n">
        <f aca="false">COUNTIFS($B$2:$B$4077,B3267,$C$2:$C$4077,C3267,$I$2:$I$4077,I3267)</f>
        <v>5</v>
      </c>
      <c r="L3267" s="3" t="n">
        <f aca="false">IF(COUNTIFS($B$2:B3267,B3267,$C$2:C3267,C3267,$I$2:I3267,I3267)=1,1,0)</f>
        <v>0</v>
      </c>
      <c r="M3267" s="3" t="n">
        <f aca="false">IF(K3267&gt;=Parametri!$B$1,1,0)</f>
        <v>1</v>
      </c>
      <c r="N3267" s="3" t="n">
        <f aca="false">L3267*M3267</f>
        <v>0</v>
      </c>
    </row>
    <row r="3268" customFormat="false" ht="15" hidden="false" customHeight="false" outlineLevel="0" collapsed="false">
      <c r="A3268" s="0" t="s">
        <v>4918</v>
      </c>
      <c r="B3268" s="0" t="s">
        <v>31</v>
      </c>
      <c r="C3268" s="0" t="s">
        <v>615</v>
      </c>
      <c r="D3268" s="0" t="s">
        <v>19</v>
      </c>
      <c r="E3268" s="2" t="n">
        <v>45738</v>
      </c>
      <c r="F3268" s="3" t="s">
        <v>20</v>
      </c>
      <c r="G3268" s="3" t="s">
        <v>28</v>
      </c>
      <c r="H3268" s="3" t="s">
        <v>44</v>
      </c>
      <c r="I3268" s="3" t="n">
        <f aca="false">YEAR(E3268)</f>
        <v>2025</v>
      </c>
      <c r="J3268" s="3" t="n">
        <f aca="false">MONTH(E3268)</f>
        <v>3</v>
      </c>
      <c r="K3268" s="3" t="n">
        <f aca="false">COUNTIFS($B$2:$B$4077,B3268,$C$2:$C$4077,C3268,$I$2:$I$4077,I3268)</f>
        <v>1</v>
      </c>
      <c r="L3268" s="3" t="n">
        <f aca="false">IF(COUNTIFS($B$2:B3268,B3268,$C$2:C3268,C3268,$I$2:I3268,I3268)=1,1,0)</f>
        <v>1</v>
      </c>
      <c r="M3268" s="3" t="n">
        <f aca="false">IF(K3268&gt;=Parametri!$B$1,1,0)</f>
        <v>0</v>
      </c>
      <c r="N3268" s="3" t="n">
        <f aca="false">L3268*M3268</f>
        <v>0</v>
      </c>
    </row>
    <row r="3269" customFormat="false" ht="15" hidden="false" customHeight="false" outlineLevel="0" collapsed="false">
      <c r="A3269" s="0" t="s">
        <v>4919</v>
      </c>
      <c r="B3269" s="0" t="s">
        <v>17</v>
      </c>
      <c r="C3269" s="0" t="s">
        <v>4821</v>
      </c>
      <c r="D3269" s="0" t="s">
        <v>54</v>
      </c>
      <c r="E3269" s="2" t="n">
        <v>46011</v>
      </c>
      <c r="F3269" s="3" t="s">
        <v>34</v>
      </c>
      <c r="G3269" s="3" t="s">
        <v>21</v>
      </c>
      <c r="H3269" s="3" t="s">
        <v>48</v>
      </c>
      <c r="I3269" s="3" t="n">
        <f aca="false">YEAR(E3269)</f>
        <v>2025</v>
      </c>
      <c r="J3269" s="3" t="n">
        <f aca="false">MONTH(E3269)</f>
        <v>12</v>
      </c>
      <c r="K3269" s="3" t="n">
        <f aca="false">COUNTIFS($B$2:$B$4077,B3269,$C$2:$C$4077,C3269,$I$2:$I$4077,I3269)</f>
        <v>3</v>
      </c>
      <c r="L3269" s="3" t="n">
        <f aca="false">IF(COUNTIFS($B$2:B3269,B3269,$C$2:C3269,C3269,$I$2:I3269,I3269)=1,1,0)</f>
        <v>0</v>
      </c>
      <c r="M3269" s="3" t="n">
        <f aca="false">IF(K3269&gt;=Parametri!$B$1,1,0)</f>
        <v>1</v>
      </c>
      <c r="N3269" s="3" t="n">
        <f aca="false">L3269*M3269</f>
        <v>0</v>
      </c>
    </row>
    <row r="3270" customFormat="false" ht="15" hidden="false" customHeight="false" outlineLevel="0" collapsed="false">
      <c r="A3270" s="0" t="s">
        <v>4920</v>
      </c>
      <c r="B3270" s="0" t="s">
        <v>17</v>
      </c>
      <c r="C3270" s="0" t="s">
        <v>3836</v>
      </c>
      <c r="D3270" s="0" t="s">
        <v>77</v>
      </c>
      <c r="E3270" s="2" t="n">
        <v>46021</v>
      </c>
      <c r="F3270" s="3" t="s">
        <v>20</v>
      </c>
      <c r="G3270" s="3" t="s">
        <v>21</v>
      </c>
      <c r="H3270" s="3" t="s">
        <v>29</v>
      </c>
      <c r="I3270" s="3" t="n">
        <f aca="false">YEAR(E3270)</f>
        <v>2025</v>
      </c>
      <c r="J3270" s="3" t="n">
        <f aca="false">MONTH(E3270)</f>
        <v>12</v>
      </c>
      <c r="K3270" s="3" t="n">
        <f aca="false">COUNTIFS($B$2:$B$4077,B3270,$C$2:$C$4077,C3270,$I$2:$I$4077,I3270)</f>
        <v>3</v>
      </c>
      <c r="L3270" s="3" t="n">
        <f aca="false">IF(COUNTIFS($B$2:B3270,B3270,$C$2:C3270,C3270,$I$2:I3270,I3270)=1,1,0)</f>
        <v>1</v>
      </c>
      <c r="M3270" s="3" t="n">
        <f aca="false">IF(K3270&gt;=Parametri!$B$1,1,0)</f>
        <v>1</v>
      </c>
      <c r="N3270" s="3" t="n">
        <f aca="false">L3270*M3270</f>
        <v>1</v>
      </c>
    </row>
    <row r="3271" customFormat="false" ht="15" hidden="false" customHeight="false" outlineLevel="0" collapsed="false">
      <c r="A3271" s="0" t="s">
        <v>4921</v>
      </c>
      <c r="B3271" s="0" t="s">
        <v>68</v>
      </c>
      <c r="C3271" s="0" t="s">
        <v>1368</v>
      </c>
      <c r="D3271" s="0" t="s">
        <v>54</v>
      </c>
      <c r="E3271" s="2" t="n">
        <v>45905</v>
      </c>
      <c r="F3271" s="3" t="s">
        <v>20</v>
      </c>
      <c r="G3271" s="3" t="s">
        <v>89</v>
      </c>
      <c r="H3271" s="3" t="s">
        <v>44</v>
      </c>
      <c r="I3271" s="3" t="n">
        <f aca="false">YEAR(E3271)</f>
        <v>2025</v>
      </c>
      <c r="J3271" s="3" t="n">
        <f aca="false">MONTH(E3271)</f>
        <v>9</v>
      </c>
      <c r="K3271" s="3" t="n">
        <f aca="false">COUNTIFS($B$2:$B$4077,B3271,$C$2:$C$4077,C3271,$I$2:$I$4077,I3271)</f>
        <v>1</v>
      </c>
      <c r="L3271" s="3" t="n">
        <f aca="false">IF(COUNTIFS($B$2:B3271,B3271,$C$2:C3271,C3271,$I$2:I3271,I3271)=1,1,0)</f>
        <v>1</v>
      </c>
      <c r="M3271" s="3" t="n">
        <f aca="false">IF(K3271&gt;=Parametri!$B$1,1,0)</f>
        <v>0</v>
      </c>
      <c r="N3271" s="3" t="n">
        <f aca="false">L3271*M3271</f>
        <v>0</v>
      </c>
    </row>
    <row r="3272" customFormat="false" ht="15" hidden="false" customHeight="false" outlineLevel="0" collapsed="false">
      <c r="A3272" s="0" t="s">
        <v>4922</v>
      </c>
      <c r="B3272" s="0" t="s">
        <v>68</v>
      </c>
      <c r="C3272" s="0" t="s">
        <v>4923</v>
      </c>
      <c r="D3272" s="0" t="s">
        <v>63</v>
      </c>
      <c r="E3272" s="2" t="n">
        <v>46111</v>
      </c>
      <c r="F3272" s="3" t="s">
        <v>34</v>
      </c>
      <c r="G3272" s="3" t="s">
        <v>21</v>
      </c>
      <c r="H3272" s="3" t="s">
        <v>29</v>
      </c>
      <c r="I3272" s="3" t="n">
        <f aca="false">YEAR(E3272)</f>
        <v>2026</v>
      </c>
      <c r="J3272" s="3" t="n">
        <f aca="false">MONTH(E3272)</f>
        <v>3</v>
      </c>
      <c r="K3272" s="3" t="n">
        <f aca="false">COUNTIFS($B$2:$B$4077,B3272,$C$2:$C$4077,C3272,$I$2:$I$4077,I3272)</f>
        <v>1</v>
      </c>
      <c r="L3272" s="3" t="n">
        <f aca="false">IF(COUNTIFS($B$2:B3272,B3272,$C$2:C3272,C3272,$I$2:I3272,I3272)=1,1,0)</f>
        <v>1</v>
      </c>
      <c r="M3272" s="3" t="n">
        <f aca="false">IF(K3272&gt;=Parametri!$B$1,1,0)</f>
        <v>0</v>
      </c>
      <c r="N3272" s="3" t="n">
        <f aca="false">L3272*M3272</f>
        <v>0</v>
      </c>
    </row>
    <row r="3273" customFormat="false" ht="15" hidden="false" customHeight="false" outlineLevel="0" collapsed="false">
      <c r="A3273" s="0" t="s">
        <v>4924</v>
      </c>
      <c r="B3273" s="0" t="s">
        <v>46</v>
      </c>
      <c r="C3273" s="0" t="s">
        <v>2263</v>
      </c>
      <c r="D3273" s="0" t="s">
        <v>66</v>
      </c>
      <c r="E3273" s="2" t="n">
        <v>46083</v>
      </c>
      <c r="F3273" s="3" t="s">
        <v>20</v>
      </c>
      <c r="G3273" s="3" t="s">
        <v>21</v>
      </c>
      <c r="H3273" s="3" t="s">
        <v>48</v>
      </c>
      <c r="I3273" s="3" t="n">
        <f aca="false">YEAR(E3273)</f>
        <v>2026</v>
      </c>
      <c r="J3273" s="3" t="n">
        <f aca="false">MONTH(E3273)</f>
        <v>3</v>
      </c>
      <c r="K3273" s="3" t="n">
        <f aca="false">COUNTIFS($B$2:$B$4077,B3273,$C$2:$C$4077,C3273,$I$2:$I$4077,I3273)</f>
        <v>1</v>
      </c>
      <c r="L3273" s="3" t="n">
        <f aca="false">IF(COUNTIFS($B$2:B3273,B3273,$C$2:C3273,C3273,$I$2:I3273,I3273)=1,1,0)</f>
        <v>1</v>
      </c>
      <c r="M3273" s="3" t="n">
        <f aca="false">IF(K3273&gt;=Parametri!$B$1,1,0)</f>
        <v>0</v>
      </c>
      <c r="N3273" s="3" t="n">
        <f aca="false">L3273*M3273</f>
        <v>0</v>
      </c>
    </row>
    <row r="3274" customFormat="false" ht="15" hidden="false" customHeight="false" outlineLevel="0" collapsed="false">
      <c r="A3274" s="0" t="s">
        <v>4925</v>
      </c>
      <c r="B3274" s="0" t="s">
        <v>50</v>
      </c>
      <c r="C3274" s="0" t="s">
        <v>4926</v>
      </c>
      <c r="D3274" s="0" t="s">
        <v>54</v>
      </c>
      <c r="E3274" s="2" t="n">
        <v>45395</v>
      </c>
      <c r="F3274" s="3" t="s">
        <v>27</v>
      </c>
      <c r="G3274" s="3" t="s">
        <v>35</v>
      </c>
      <c r="H3274" s="3" t="s">
        <v>44</v>
      </c>
      <c r="I3274" s="3" t="n">
        <f aca="false">YEAR(E3274)</f>
        <v>2024</v>
      </c>
      <c r="J3274" s="3" t="n">
        <f aca="false">MONTH(E3274)</f>
        <v>4</v>
      </c>
      <c r="K3274" s="3" t="n">
        <f aca="false">COUNTIFS($B$2:$B$4077,B3274,$C$2:$C$4077,C3274,$I$2:$I$4077,I3274)</f>
        <v>1</v>
      </c>
      <c r="L3274" s="3" t="n">
        <f aca="false">IF(COUNTIFS($B$2:B3274,B3274,$C$2:C3274,C3274,$I$2:I3274,I3274)=1,1,0)</f>
        <v>1</v>
      </c>
      <c r="M3274" s="3" t="n">
        <f aca="false">IF(K3274&gt;=Parametri!$B$1,1,0)</f>
        <v>0</v>
      </c>
      <c r="N3274" s="3" t="n">
        <f aca="false">L3274*M3274</f>
        <v>0</v>
      </c>
    </row>
    <row r="3275" customFormat="false" ht="15" hidden="false" customHeight="false" outlineLevel="0" collapsed="false">
      <c r="A3275" s="0" t="s">
        <v>4927</v>
      </c>
      <c r="B3275" s="0" t="s">
        <v>31</v>
      </c>
      <c r="C3275" s="0" t="s">
        <v>434</v>
      </c>
      <c r="D3275" s="0" t="s">
        <v>26</v>
      </c>
      <c r="E3275" s="2" t="n">
        <v>46231</v>
      </c>
      <c r="F3275" s="3" t="s">
        <v>20</v>
      </c>
      <c r="G3275" s="3" t="s">
        <v>39</v>
      </c>
      <c r="H3275" s="3" t="s">
        <v>44</v>
      </c>
      <c r="I3275" s="3" t="n">
        <f aca="false">YEAR(E3275)</f>
        <v>2026</v>
      </c>
      <c r="J3275" s="3" t="n">
        <f aca="false">MONTH(E3275)</f>
        <v>7</v>
      </c>
      <c r="K3275" s="3" t="n">
        <f aca="false">COUNTIFS($B$2:$B$4077,B3275,$C$2:$C$4077,C3275,$I$2:$I$4077,I3275)</f>
        <v>2</v>
      </c>
      <c r="L3275" s="3" t="n">
        <f aca="false">IF(COUNTIFS($B$2:B3275,B3275,$C$2:C3275,C3275,$I$2:I3275,I3275)=1,1,0)</f>
        <v>1</v>
      </c>
      <c r="M3275" s="3" t="n">
        <f aca="false">IF(K3275&gt;=Parametri!$B$1,1,0)</f>
        <v>1</v>
      </c>
      <c r="N3275" s="3" t="n">
        <f aca="false">L3275*M3275</f>
        <v>1</v>
      </c>
    </row>
    <row r="3276" customFormat="false" ht="15" hidden="false" customHeight="false" outlineLevel="0" collapsed="false">
      <c r="A3276" s="0" t="s">
        <v>4928</v>
      </c>
      <c r="B3276" s="0" t="s">
        <v>57</v>
      </c>
      <c r="C3276" s="0" t="s">
        <v>2960</v>
      </c>
      <c r="D3276" s="0" t="s">
        <v>33</v>
      </c>
      <c r="E3276" s="2" t="n">
        <v>45984</v>
      </c>
      <c r="F3276" s="3" t="s">
        <v>20</v>
      </c>
      <c r="G3276" s="3" t="s">
        <v>72</v>
      </c>
      <c r="H3276" s="3" t="s">
        <v>29</v>
      </c>
      <c r="I3276" s="3" t="n">
        <f aca="false">YEAR(E3276)</f>
        <v>2025</v>
      </c>
      <c r="J3276" s="3" t="n">
        <f aca="false">MONTH(E3276)</f>
        <v>11</v>
      </c>
      <c r="K3276" s="3" t="n">
        <f aca="false">COUNTIFS($B$2:$B$4077,B3276,$C$2:$C$4077,C3276,$I$2:$I$4077,I3276)</f>
        <v>2</v>
      </c>
      <c r="L3276" s="3" t="n">
        <f aca="false">IF(COUNTIFS($B$2:B3276,B3276,$C$2:C3276,C3276,$I$2:I3276,I3276)=1,1,0)</f>
        <v>1</v>
      </c>
      <c r="M3276" s="3" t="n">
        <f aca="false">IF(K3276&gt;=Parametri!$B$1,1,0)</f>
        <v>1</v>
      </c>
      <c r="N3276" s="3" t="n">
        <f aca="false">L3276*M3276</f>
        <v>1</v>
      </c>
    </row>
    <row r="3277" customFormat="false" ht="15" hidden="false" customHeight="false" outlineLevel="0" collapsed="false">
      <c r="A3277" s="0" t="s">
        <v>4929</v>
      </c>
      <c r="B3277" s="0" t="s">
        <v>124</v>
      </c>
      <c r="C3277" s="0" t="s">
        <v>368</v>
      </c>
      <c r="D3277" s="0" t="s">
        <v>26</v>
      </c>
      <c r="E3277" s="2" t="n">
        <v>46257</v>
      </c>
      <c r="F3277" s="3" t="s">
        <v>34</v>
      </c>
      <c r="G3277" s="3" t="s">
        <v>28</v>
      </c>
      <c r="H3277" s="3" t="s">
        <v>22</v>
      </c>
      <c r="I3277" s="3" t="n">
        <f aca="false">YEAR(E3277)</f>
        <v>2026</v>
      </c>
      <c r="J3277" s="3" t="n">
        <f aca="false">MONTH(E3277)</f>
        <v>8</v>
      </c>
      <c r="K3277" s="3" t="n">
        <f aca="false">COUNTIFS($B$2:$B$4077,B3277,$C$2:$C$4077,C3277,$I$2:$I$4077,I3277)</f>
        <v>2</v>
      </c>
      <c r="L3277" s="3" t="n">
        <f aca="false">IF(COUNTIFS($B$2:B3277,B3277,$C$2:C3277,C3277,$I$2:I3277,I3277)=1,1,0)</f>
        <v>0</v>
      </c>
      <c r="M3277" s="3" t="n">
        <f aca="false">IF(K3277&gt;=Parametri!$B$1,1,0)</f>
        <v>1</v>
      </c>
      <c r="N3277" s="3" t="n">
        <f aca="false">L3277*M3277</f>
        <v>0</v>
      </c>
    </row>
    <row r="3278" customFormat="false" ht="15" hidden="false" customHeight="false" outlineLevel="0" collapsed="false">
      <c r="A3278" s="0" t="s">
        <v>4930</v>
      </c>
      <c r="B3278" s="0" t="s">
        <v>31</v>
      </c>
      <c r="C3278" s="0" t="s">
        <v>1306</v>
      </c>
      <c r="D3278" s="0" t="s">
        <v>63</v>
      </c>
      <c r="E3278" s="2" t="n">
        <v>45915</v>
      </c>
      <c r="F3278" s="3" t="s">
        <v>20</v>
      </c>
      <c r="G3278" s="3" t="s">
        <v>72</v>
      </c>
      <c r="H3278" s="3" t="s">
        <v>48</v>
      </c>
      <c r="I3278" s="3" t="n">
        <f aca="false">YEAR(E3278)</f>
        <v>2025</v>
      </c>
      <c r="J3278" s="3" t="n">
        <f aca="false">MONTH(E3278)</f>
        <v>9</v>
      </c>
      <c r="K3278" s="3" t="n">
        <f aca="false">COUNTIFS($B$2:$B$4077,B3278,$C$2:$C$4077,C3278,$I$2:$I$4077,I3278)</f>
        <v>2</v>
      </c>
      <c r="L3278" s="3" t="n">
        <f aca="false">IF(COUNTIFS($B$2:B3278,B3278,$C$2:C3278,C3278,$I$2:I3278,I3278)=1,1,0)</f>
        <v>0</v>
      </c>
      <c r="M3278" s="3" t="n">
        <f aca="false">IF(K3278&gt;=Parametri!$B$1,1,0)</f>
        <v>1</v>
      </c>
      <c r="N3278" s="3" t="n">
        <f aca="false">L3278*M3278</f>
        <v>0</v>
      </c>
    </row>
    <row r="3279" customFormat="false" ht="15" hidden="false" customHeight="false" outlineLevel="0" collapsed="false">
      <c r="A3279" s="0" t="s">
        <v>4931</v>
      </c>
      <c r="B3279" s="0" t="s">
        <v>17</v>
      </c>
      <c r="C3279" s="0" t="s">
        <v>3455</v>
      </c>
      <c r="D3279" s="0" t="s">
        <v>19</v>
      </c>
      <c r="E3279" s="2" t="n">
        <v>46126</v>
      </c>
      <c r="F3279" s="3" t="s">
        <v>20</v>
      </c>
      <c r="G3279" s="3" t="s">
        <v>21</v>
      </c>
      <c r="H3279" s="3" t="s">
        <v>22</v>
      </c>
      <c r="I3279" s="3" t="n">
        <f aca="false">YEAR(E3279)</f>
        <v>2026</v>
      </c>
      <c r="J3279" s="3" t="n">
        <f aca="false">MONTH(E3279)</f>
        <v>4</v>
      </c>
      <c r="K3279" s="3" t="n">
        <f aca="false">COUNTIFS($B$2:$B$4077,B3279,$C$2:$C$4077,C3279,$I$2:$I$4077,I3279)</f>
        <v>1</v>
      </c>
      <c r="L3279" s="3" t="n">
        <f aca="false">IF(COUNTIFS($B$2:B3279,B3279,$C$2:C3279,C3279,$I$2:I3279,I3279)=1,1,0)</f>
        <v>1</v>
      </c>
      <c r="M3279" s="3" t="n">
        <f aca="false">IF(K3279&gt;=Parametri!$B$1,1,0)</f>
        <v>0</v>
      </c>
      <c r="N3279" s="3" t="n">
        <f aca="false">L3279*M3279</f>
        <v>0</v>
      </c>
    </row>
    <row r="3280" customFormat="false" ht="15" hidden="false" customHeight="false" outlineLevel="0" collapsed="false">
      <c r="A3280" s="0" t="s">
        <v>4932</v>
      </c>
      <c r="B3280" s="0" t="s">
        <v>46</v>
      </c>
      <c r="C3280" s="0" t="s">
        <v>4933</v>
      </c>
      <c r="D3280" s="0" t="s">
        <v>26</v>
      </c>
      <c r="E3280" s="2" t="n">
        <v>45409</v>
      </c>
      <c r="F3280" s="3" t="s">
        <v>20</v>
      </c>
      <c r="G3280" s="3" t="s">
        <v>72</v>
      </c>
      <c r="H3280" s="3" t="s">
        <v>44</v>
      </c>
      <c r="I3280" s="3" t="n">
        <f aca="false">YEAR(E3280)</f>
        <v>2024</v>
      </c>
      <c r="J3280" s="3" t="n">
        <f aca="false">MONTH(E3280)</f>
        <v>4</v>
      </c>
      <c r="K3280" s="3" t="n">
        <f aca="false">COUNTIFS($B$2:$B$4077,B3280,$C$2:$C$4077,C3280,$I$2:$I$4077,I3280)</f>
        <v>2</v>
      </c>
      <c r="L3280" s="3" t="n">
        <f aca="false">IF(COUNTIFS($B$2:B3280,B3280,$C$2:C3280,C3280,$I$2:I3280,I3280)=1,1,0)</f>
        <v>1</v>
      </c>
      <c r="M3280" s="3" t="n">
        <f aca="false">IF(K3280&gt;=Parametri!$B$1,1,0)</f>
        <v>1</v>
      </c>
      <c r="N3280" s="3" t="n">
        <f aca="false">L3280*M3280</f>
        <v>1</v>
      </c>
    </row>
    <row r="3281" customFormat="false" ht="15" hidden="false" customHeight="false" outlineLevel="0" collapsed="false">
      <c r="A3281" s="0" t="s">
        <v>4934</v>
      </c>
      <c r="B3281" s="0" t="s">
        <v>50</v>
      </c>
      <c r="C3281" s="0" t="s">
        <v>819</v>
      </c>
      <c r="D3281" s="0" t="s">
        <v>66</v>
      </c>
      <c r="E3281" s="2" t="n">
        <v>45888</v>
      </c>
      <c r="F3281" s="3" t="s">
        <v>20</v>
      </c>
      <c r="G3281" s="3" t="s">
        <v>43</v>
      </c>
      <c r="H3281" s="3" t="s">
        <v>48</v>
      </c>
      <c r="I3281" s="3" t="n">
        <f aca="false">YEAR(E3281)</f>
        <v>2025</v>
      </c>
      <c r="J3281" s="3" t="n">
        <f aca="false">MONTH(E3281)</f>
        <v>8</v>
      </c>
      <c r="K3281" s="3" t="n">
        <f aca="false">COUNTIFS($B$2:$B$4077,B3281,$C$2:$C$4077,C3281,$I$2:$I$4077,I3281)</f>
        <v>2</v>
      </c>
      <c r="L3281" s="3" t="n">
        <f aca="false">IF(COUNTIFS($B$2:B3281,B3281,$C$2:C3281,C3281,$I$2:I3281,I3281)=1,1,0)</f>
        <v>0</v>
      </c>
      <c r="M3281" s="3" t="n">
        <f aca="false">IF(K3281&gt;=Parametri!$B$1,1,0)</f>
        <v>1</v>
      </c>
      <c r="N3281" s="3" t="n">
        <f aca="false">L3281*M3281</f>
        <v>0</v>
      </c>
    </row>
    <row r="3282" customFormat="false" ht="15" hidden="false" customHeight="false" outlineLevel="0" collapsed="false">
      <c r="A3282" s="0" t="s">
        <v>4935</v>
      </c>
      <c r="B3282" s="0" t="s">
        <v>57</v>
      </c>
      <c r="C3282" s="0" t="s">
        <v>4009</v>
      </c>
      <c r="D3282" s="0" t="s">
        <v>19</v>
      </c>
      <c r="E3282" s="2" t="n">
        <v>45426</v>
      </c>
      <c r="F3282" s="3" t="s">
        <v>20</v>
      </c>
      <c r="G3282" s="3" t="s">
        <v>55</v>
      </c>
      <c r="H3282" s="3" t="s">
        <v>44</v>
      </c>
      <c r="I3282" s="3" t="n">
        <f aca="false">YEAR(E3282)</f>
        <v>2024</v>
      </c>
      <c r="J3282" s="3" t="n">
        <f aca="false">MONTH(E3282)</f>
        <v>5</v>
      </c>
      <c r="K3282" s="3" t="n">
        <f aca="false">COUNTIFS($B$2:$B$4077,B3282,$C$2:$C$4077,C3282,$I$2:$I$4077,I3282)</f>
        <v>2</v>
      </c>
      <c r="L3282" s="3" t="n">
        <f aca="false">IF(COUNTIFS($B$2:B3282,B3282,$C$2:C3282,C3282,$I$2:I3282,I3282)=1,1,0)</f>
        <v>0</v>
      </c>
      <c r="M3282" s="3" t="n">
        <f aca="false">IF(K3282&gt;=Parametri!$B$1,1,0)</f>
        <v>1</v>
      </c>
      <c r="N3282" s="3" t="n">
        <f aca="false">L3282*M3282</f>
        <v>0</v>
      </c>
    </row>
    <row r="3283" customFormat="false" ht="15" hidden="false" customHeight="false" outlineLevel="0" collapsed="false">
      <c r="A3283" s="0" t="s">
        <v>4936</v>
      </c>
      <c r="B3283" s="0" t="s">
        <v>46</v>
      </c>
      <c r="C3283" s="0" t="s">
        <v>2609</v>
      </c>
      <c r="D3283" s="0" t="s">
        <v>54</v>
      </c>
      <c r="E3283" s="2" t="n">
        <v>45400</v>
      </c>
      <c r="F3283" s="3" t="s">
        <v>34</v>
      </c>
      <c r="G3283" s="3" t="s">
        <v>21</v>
      </c>
      <c r="H3283" s="3" t="s">
        <v>44</v>
      </c>
      <c r="I3283" s="3" t="n">
        <f aca="false">YEAR(E3283)</f>
        <v>2024</v>
      </c>
      <c r="J3283" s="3" t="n">
        <f aca="false">MONTH(E3283)</f>
        <v>4</v>
      </c>
      <c r="K3283" s="3" t="n">
        <f aca="false">COUNTIFS($B$2:$B$4077,B3283,$C$2:$C$4077,C3283,$I$2:$I$4077,I3283)</f>
        <v>2</v>
      </c>
      <c r="L3283" s="3" t="n">
        <f aca="false">IF(COUNTIFS($B$2:B3283,B3283,$C$2:C3283,C3283,$I$2:I3283,I3283)=1,1,0)</f>
        <v>0</v>
      </c>
      <c r="M3283" s="3" t="n">
        <f aca="false">IF(K3283&gt;=Parametri!$B$1,1,0)</f>
        <v>1</v>
      </c>
      <c r="N3283" s="3" t="n">
        <f aca="false">L3283*M3283</f>
        <v>0</v>
      </c>
    </row>
    <row r="3284" customFormat="false" ht="15" hidden="false" customHeight="false" outlineLevel="0" collapsed="false">
      <c r="A3284" s="0" t="s">
        <v>4937</v>
      </c>
      <c r="B3284" s="0" t="s">
        <v>17</v>
      </c>
      <c r="C3284" s="0" t="s">
        <v>2478</v>
      </c>
      <c r="D3284" s="0" t="s">
        <v>38</v>
      </c>
      <c r="E3284" s="2" t="n">
        <v>45536</v>
      </c>
      <c r="F3284" s="3" t="s">
        <v>20</v>
      </c>
      <c r="G3284" s="3" t="s">
        <v>43</v>
      </c>
      <c r="H3284" s="3" t="s">
        <v>44</v>
      </c>
      <c r="I3284" s="3" t="n">
        <f aca="false">YEAR(E3284)</f>
        <v>2024</v>
      </c>
      <c r="J3284" s="3" t="n">
        <f aca="false">MONTH(E3284)</f>
        <v>9</v>
      </c>
      <c r="K3284" s="3" t="n">
        <f aca="false">COUNTIFS($B$2:$B$4077,B3284,$C$2:$C$4077,C3284,$I$2:$I$4077,I3284)</f>
        <v>3</v>
      </c>
      <c r="L3284" s="3" t="n">
        <f aca="false">IF(COUNTIFS($B$2:B3284,B3284,$C$2:C3284,C3284,$I$2:I3284,I3284)=1,1,0)</f>
        <v>0</v>
      </c>
      <c r="M3284" s="3" t="n">
        <f aca="false">IF(K3284&gt;=Parametri!$B$1,1,0)</f>
        <v>1</v>
      </c>
      <c r="N3284" s="3" t="n">
        <f aca="false">L3284*M3284</f>
        <v>0</v>
      </c>
    </row>
    <row r="3285" customFormat="false" ht="15" hidden="false" customHeight="false" outlineLevel="0" collapsed="false">
      <c r="A3285" s="0" t="s">
        <v>4938</v>
      </c>
      <c r="B3285" s="0" t="s">
        <v>79</v>
      </c>
      <c r="C3285" s="0" t="s">
        <v>883</v>
      </c>
      <c r="D3285" s="0" t="s">
        <v>19</v>
      </c>
      <c r="E3285" s="2" t="n">
        <v>45396</v>
      </c>
      <c r="F3285" s="3" t="s">
        <v>20</v>
      </c>
      <c r="G3285" s="3" t="s">
        <v>21</v>
      </c>
      <c r="H3285" s="3" t="s">
        <v>48</v>
      </c>
      <c r="I3285" s="3" t="n">
        <f aca="false">YEAR(E3285)</f>
        <v>2024</v>
      </c>
      <c r="J3285" s="3" t="n">
        <f aca="false">MONTH(E3285)</f>
        <v>4</v>
      </c>
      <c r="K3285" s="3" t="n">
        <f aca="false">COUNTIFS($B$2:$B$4077,B3285,$C$2:$C$4077,C3285,$I$2:$I$4077,I3285)</f>
        <v>1</v>
      </c>
      <c r="L3285" s="3" t="n">
        <f aca="false">IF(COUNTIFS($B$2:B3285,B3285,$C$2:C3285,C3285,$I$2:I3285,I3285)=1,1,0)</f>
        <v>1</v>
      </c>
      <c r="M3285" s="3" t="n">
        <f aca="false">IF(K3285&gt;=Parametri!$B$1,1,0)</f>
        <v>0</v>
      </c>
      <c r="N3285" s="3" t="n">
        <f aca="false">L3285*M3285</f>
        <v>0</v>
      </c>
    </row>
    <row r="3286" customFormat="false" ht="15" hidden="false" customHeight="false" outlineLevel="0" collapsed="false">
      <c r="A3286" s="0" t="s">
        <v>4939</v>
      </c>
      <c r="B3286" s="0" t="s">
        <v>41</v>
      </c>
      <c r="C3286" s="0" t="s">
        <v>188</v>
      </c>
      <c r="D3286" s="0" t="s">
        <v>33</v>
      </c>
      <c r="E3286" s="2" t="n">
        <v>45381</v>
      </c>
      <c r="F3286" s="3" t="s">
        <v>20</v>
      </c>
      <c r="G3286" s="3" t="s">
        <v>21</v>
      </c>
      <c r="H3286" s="3" t="s">
        <v>48</v>
      </c>
      <c r="I3286" s="3" t="n">
        <f aca="false">YEAR(E3286)</f>
        <v>2024</v>
      </c>
      <c r="J3286" s="3" t="n">
        <f aca="false">MONTH(E3286)</f>
        <v>3</v>
      </c>
      <c r="K3286" s="3" t="n">
        <f aca="false">COUNTIFS($B$2:$B$4077,B3286,$C$2:$C$4077,C3286,$I$2:$I$4077,I3286)</f>
        <v>1</v>
      </c>
      <c r="L3286" s="3" t="n">
        <f aca="false">IF(COUNTIFS($B$2:B3286,B3286,$C$2:C3286,C3286,$I$2:I3286,I3286)=1,1,0)</f>
        <v>1</v>
      </c>
      <c r="M3286" s="3" t="n">
        <f aca="false">IF(K3286&gt;=Parametri!$B$1,1,0)</f>
        <v>0</v>
      </c>
      <c r="N3286" s="3" t="n">
        <f aca="false">L3286*M3286</f>
        <v>0</v>
      </c>
    </row>
    <row r="3287" customFormat="false" ht="15" hidden="false" customHeight="false" outlineLevel="0" collapsed="false">
      <c r="A3287" s="0" t="s">
        <v>4940</v>
      </c>
      <c r="B3287" s="0" t="s">
        <v>24</v>
      </c>
      <c r="C3287" s="0" t="s">
        <v>4207</v>
      </c>
      <c r="D3287" s="0" t="s">
        <v>54</v>
      </c>
      <c r="E3287" s="2" t="n">
        <v>46227</v>
      </c>
      <c r="F3287" s="3" t="s">
        <v>20</v>
      </c>
      <c r="G3287" s="3" t="s">
        <v>72</v>
      </c>
      <c r="H3287" s="3" t="s">
        <v>22</v>
      </c>
      <c r="I3287" s="3" t="n">
        <f aca="false">YEAR(E3287)</f>
        <v>2026</v>
      </c>
      <c r="J3287" s="3" t="n">
        <f aca="false">MONTH(E3287)</f>
        <v>7</v>
      </c>
      <c r="K3287" s="3" t="n">
        <f aca="false">COUNTIFS($B$2:$B$4077,B3287,$C$2:$C$4077,C3287,$I$2:$I$4077,I3287)</f>
        <v>1</v>
      </c>
      <c r="L3287" s="3" t="n">
        <f aca="false">IF(COUNTIFS($B$2:B3287,B3287,$C$2:C3287,C3287,$I$2:I3287,I3287)=1,1,0)</f>
        <v>1</v>
      </c>
      <c r="M3287" s="3" t="n">
        <f aca="false">IF(K3287&gt;=Parametri!$B$1,1,0)</f>
        <v>0</v>
      </c>
      <c r="N3287" s="3" t="n">
        <f aca="false">L3287*M3287</f>
        <v>0</v>
      </c>
    </row>
    <row r="3288" customFormat="false" ht="15" hidden="false" customHeight="false" outlineLevel="0" collapsed="false">
      <c r="A3288" s="0" t="s">
        <v>4941</v>
      </c>
      <c r="B3288" s="0" t="s">
        <v>17</v>
      </c>
      <c r="C3288" s="0" t="s">
        <v>3836</v>
      </c>
      <c r="D3288" s="0" t="s">
        <v>66</v>
      </c>
      <c r="E3288" s="2" t="n">
        <v>45697</v>
      </c>
      <c r="F3288" s="3" t="s">
        <v>20</v>
      </c>
      <c r="G3288" s="3" t="s">
        <v>39</v>
      </c>
      <c r="H3288" s="3" t="s">
        <v>22</v>
      </c>
      <c r="I3288" s="3" t="n">
        <f aca="false">YEAR(E3288)</f>
        <v>2025</v>
      </c>
      <c r="J3288" s="3" t="n">
        <f aca="false">MONTH(E3288)</f>
        <v>2</v>
      </c>
      <c r="K3288" s="3" t="n">
        <f aca="false">COUNTIFS($B$2:$B$4077,B3288,$C$2:$C$4077,C3288,$I$2:$I$4077,I3288)</f>
        <v>3</v>
      </c>
      <c r="L3288" s="3" t="n">
        <f aca="false">IF(COUNTIFS($B$2:B3288,B3288,$C$2:C3288,C3288,$I$2:I3288,I3288)=1,1,0)</f>
        <v>0</v>
      </c>
      <c r="M3288" s="3" t="n">
        <f aca="false">IF(K3288&gt;=Parametri!$B$1,1,0)</f>
        <v>1</v>
      </c>
      <c r="N3288" s="3" t="n">
        <f aca="false">L3288*M3288</f>
        <v>0</v>
      </c>
    </row>
    <row r="3289" customFormat="false" ht="15" hidden="false" customHeight="false" outlineLevel="0" collapsed="false">
      <c r="A3289" s="0" t="s">
        <v>4942</v>
      </c>
      <c r="B3289" s="0" t="s">
        <v>68</v>
      </c>
      <c r="C3289" s="0" t="s">
        <v>4943</v>
      </c>
      <c r="D3289" s="0" t="s">
        <v>38</v>
      </c>
      <c r="E3289" s="2" t="n">
        <v>45521</v>
      </c>
      <c r="F3289" s="3" t="s">
        <v>104</v>
      </c>
      <c r="G3289" s="3" t="s">
        <v>104</v>
      </c>
      <c r="H3289" s="3" t="s">
        <v>104</v>
      </c>
      <c r="I3289" s="3" t="n">
        <f aca="false">YEAR(E3289)</f>
        <v>2024</v>
      </c>
      <c r="J3289" s="3" t="n">
        <f aca="false">MONTH(E3289)</f>
        <v>8</v>
      </c>
      <c r="K3289" s="3" t="n">
        <f aca="false">COUNTIFS($B$2:$B$4077,B3289,$C$2:$C$4077,C3289,$I$2:$I$4077,I3289)</f>
        <v>1</v>
      </c>
      <c r="L3289" s="3" t="n">
        <f aca="false">IF(COUNTIFS($B$2:B3289,B3289,$C$2:C3289,C3289,$I$2:I3289,I3289)=1,1,0)</f>
        <v>1</v>
      </c>
      <c r="M3289" s="3" t="n">
        <f aca="false">IF(K3289&gt;=Parametri!$B$1,1,0)</f>
        <v>0</v>
      </c>
      <c r="N3289" s="3" t="n">
        <f aca="false">L3289*M3289</f>
        <v>0</v>
      </c>
    </row>
    <row r="3290" customFormat="false" ht="15" hidden="false" customHeight="false" outlineLevel="0" collapsed="false">
      <c r="A3290" s="0" t="s">
        <v>4944</v>
      </c>
      <c r="B3290" s="0" t="s">
        <v>50</v>
      </c>
      <c r="C3290" s="0" t="s">
        <v>4945</v>
      </c>
      <c r="D3290" s="0" t="s">
        <v>54</v>
      </c>
      <c r="E3290" s="2" t="n">
        <v>45571</v>
      </c>
      <c r="F3290" s="3" t="s">
        <v>20</v>
      </c>
      <c r="G3290" s="3" t="s">
        <v>55</v>
      </c>
      <c r="H3290" s="3" t="s">
        <v>29</v>
      </c>
      <c r="I3290" s="3" t="n">
        <f aca="false">YEAR(E3290)</f>
        <v>2024</v>
      </c>
      <c r="J3290" s="3" t="n">
        <f aca="false">MONTH(E3290)</f>
        <v>10</v>
      </c>
      <c r="K3290" s="3" t="n">
        <f aca="false">COUNTIFS($B$2:$B$4077,B3290,$C$2:$C$4077,C3290,$I$2:$I$4077,I3290)</f>
        <v>1</v>
      </c>
      <c r="L3290" s="3" t="n">
        <f aca="false">IF(COUNTIFS($B$2:B3290,B3290,$C$2:C3290,C3290,$I$2:I3290,I3290)=1,1,0)</f>
        <v>1</v>
      </c>
      <c r="M3290" s="3" t="n">
        <f aca="false">IF(K3290&gt;=Parametri!$B$1,1,0)</f>
        <v>0</v>
      </c>
      <c r="N3290" s="3" t="n">
        <f aca="false">L3290*M3290</f>
        <v>0</v>
      </c>
    </row>
    <row r="3291" customFormat="false" ht="15" hidden="false" customHeight="false" outlineLevel="0" collapsed="false">
      <c r="A3291" s="0" t="s">
        <v>4946</v>
      </c>
      <c r="B3291" s="0" t="s">
        <v>17</v>
      </c>
      <c r="C3291" s="0" t="s">
        <v>791</v>
      </c>
      <c r="D3291" s="0" t="s">
        <v>63</v>
      </c>
      <c r="E3291" s="2" t="n">
        <v>45871</v>
      </c>
      <c r="F3291" s="3" t="s">
        <v>34</v>
      </c>
      <c r="G3291" s="3" t="s">
        <v>28</v>
      </c>
      <c r="H3291" s="3" t="s">
        <v>44</v>
      </c>
      <c r="I3291" s="3" t="n">
        <f aca="false">YEAR(E3291)</f>
        <v>2025</v>
      </c>
      <c r="J3291" s="3" t="n">
        <f aca="false">MONTH(E3291)</f>
        <v>8</v>
      </c>
      <c r="K3291" s="3" t="n">
        <f aca="false">COUNTIFS($B$2:$B$4077,B3291,$C$2:$C$4077,C3291,$I$2:$I$4077,I3291)</f>
        <v>2</v>
      </c>
      <c r="L3291" s="3" t="n">
        <f aca="false">IF(COUNTIFS($B$2:B3291,B3291,$C$2:C3291,C3291,$I$2:I3291,I3291)=1,1,0)</f>
        <v>0</v>
      </c>
      <c r="M3291" s="3" t="n">
        <f aca="false">IF(K3291&gt;=Parametri!$B$1,1,0)</f>
        <v>1</v>
      </c>
      <c r="N3291" s="3" t="n">
        <f aca="false">L3291*M3291</f>
        <v>0</v>
      </c>
    </row>
    <row r="3292" customFormat="false" ht="15" hidden="false" customHeight="false" outlineLevel="0" collapsed="false">
      <c r="A3292" s="0" t="s">
        <v>4947</v>
      </c>
      <c r="B3292" s="0" t="s">
        <v>41</v>
      </c>
      <c r="C3292" s="0" t="s">
        <v>1108</v>
      </c>
      <c r="D3292" s="0" t="s">
        <v>63</v>
      </c>
      <c r="E3292" s="2" t="n">
        <v>45814</v>
      </c>
      <c r="F3292" s="3" t="s">
        <v>20</v>
      </c>
      <c r="G3292" s="3" t="s">
        <v>21</v>
      </c>
      <c r="H3292" s="3" t="s">
        <v>44</v>
      </c>
      <c r="I3292" s="3" t="n">
        <f aca="false">YEAR(E3292)</f>
        <v>2025</v>
      </c>
      <c r="J3292" s="3" t="n">
        <f aca="false">MONTH(E3292)</f>
        <v>6</v>
      </c>
      <c r="K3292" s="3" t="n">
        <f aca="false">COUNTIFS($B$2:$B$4077,B3292,$C$2:$C$4077,C3292,$I$2:$I$4077,I3292)</f>
        <v>1</v>
      </c>
      <c r="L3292" s="3" t="n">
        <f aca="false">IF(COUNTIFS($B$2:B3292,B3292,$C$2:C3292,C3292,$I$2:I3292,I3292)=1,1,0)</f>
        <v>1</v>
      </c>
      <c r="M3292" s="3" t="n">
        <f aca="false">IF(K3292&gt;=Parametri!$B$1,1,0)</f>
        <v>0</v>
      </c>
      <c r="N3292" s="3" t="n">
        <f aca="false">L3292*M3292</f>
        <v>0</v>
      </c>
    </row>
    <row r="3293" customFormat="false" ht="15" hidden="false" customHeight="false" outlineLevel="0" collapsed="false">
      <c r="A3293" s="0" t="s">
        <v>4948</v>
      </c>
      <c r="B3293" s="0" t="s">
        <v>124</v>
      </c>
      <c r="C3293" s="0" t="s">
        <v>1135</v>
      </c>
      <c r="D3293" s="0" t="s">
        <v>54</v>
      </c>
      <c r="E3293" s="2" t="n">
        <v>45768</v>
      </c>
      <c r="F3293" s="3" t="s">
        <v>20</v>
      </c>
      <c r="G3293" s="3" t="s">
        <v>43</v>
      </c>
      <c r="H3293" s="3" t="s">
        <v>22</v>
      </c>
      <c r="I3293" s="3" t="n">
        <f aca="false">YEAR(E3293)</f>
        <v>2025</v>
      </c>
      <c r="J3293" s="3" t="n">
        <f aca="false">MONTH(E3293)</f>
        <v>4</v>
      </c>
      <c r="K3293" s="3" t="n">
        <f aca="false">COUNTIFS($B$2:$B$4077,B3293,$C$2:$C$4077,C3293,$I$2:$I$4077,I3293)</f>
        <v>3</v>
      </c>
      <c r="L3293" s="3" t="n">
        <f aca="false">IF(COUNTIFS($B$2:B3293,B3293,$C$2:C3293,C3293,$I$2:I3293,I3293)=1,1,0)</f>
        <v>0</v>
      </c>
      <c r="M3293" s="3" t="n">
        <f aca="false">IF(K3293&gt;=Parametri!$B$1,1,0)</f>
        <v>1</v>
      </c>
      <c r="N3293" s="3" t="n">
        <f aca="false">L3293*M3293</f>
        <v>0</v>
      </c>
    </row>
    <row r="3294" customFormat="false" ht="15" hidden="false" customHeight="false" outlineLevel="0" collapsed="false">
      <c r="A3294" s="0" t="s">
        <v>4949</v>
      </c>
      <c r="B3294" s="0" t="s">
        <v>79</v>
      </c>
      <c r="C3294" s="0" t="s">
        <v>2095</v>
      </c>
      <c r="D3294" s="0" t="s">
        <v>38</v>
      </c>
      <c r="E3294" s="2" t="n">
        <v>45359</v>
      </c>
      <c r="F3294" s="3" t="s">
        <v>34</v>
      </c>
      <c r="G3294" s="3" t="s">
        <v>104</v>
      </c>
      <c r="H3294" s="3" t="s">
        <v>44</v>
      </c>
      <c r="I3294" s="3" t="n">
        <f aca="false">YEAR(E3294)</f>
        <v>2024</v>
      </c>
      <c r="J3294" s="3" t="n">
        <f aca="false">MONTH(E3294)</f>
        <v>3</v>
      </c>
      <c r="K3294" s="3" t="n">
        <f aca="false">COUNTIFS($B$2:$B$4077,B3294,$C$2:$C$4077,C3294,$I$2:$I$4077,I3294)</f>
        <v>4</v>
      </c>
      <c r="L3294" s="3" t="n">
        <f aca="false">IF(COUNTIFS($B$2:B3294,B3294,$C$2:C3294,C3294,$I$2:I3294,I3294)=1,1,0)</f>
        <v>0</v>
      </c>
      <c r="M3294" s="3" t="n">
        <f aca="false">IF(K3294&gt;=Parametri!$B$1,1,0)</f>
        <v>1</v>
      </c>
      <c r="N3294" s="3" t="n">
        <f aca="false">L3294*M3294</f>
        <v>0</v>
      </c>
    </row>
    <row r="3295" customFormat="false" ht="15" hidden="false" customHeight="false" outlineLevel="0" collapsed="false">
      <c r="A3295" s="0" t="s">
        <v>4950</v>
      </c>
      <c r="B3295" s="0" t="s">
        <v>124</v>
      </c>
      <c r="C3295" s="0" t="s">
        <v>125</v>
      </c>
      <c r="D3295" s="0" t="s">
        <v>26</v>
      </c>
      <c r="E3295" s="2" t="n">
        <v>46141</v>
      </c>
      <c r="F3295" s="3" t="s">
        <v>34</v>
      </c>
      <c r="G3295" s="3" t="s">
        <v>55</v>
      </c>
      <c r="H3295" s="3" t="s">
        <v>44</v>
      </c>
      <c r="I3295" s="3" t="n">
        <f aca="false">YEAR(E3295)</f>
        <v>2026</v>
      </c>
      <c r="J3295" s="3" t="n">
        <f aca="false">MONTH(E3295)</f>
        <v>4</v>
      </c>
      <c r="K3295" s="3" t="n">
        <f aca="false">COUNTIFS($B$2:$B$4077,B3295,$C$2:$C$4077,C3295,$I$2:$I$4077,I3295)</f>
        <v>2</v>
      </c>
      <c r="L3295" s="3" t="n">
        <f aca="false">IF(COUNTIFS($B$2:B3295,B3295,$C$2:C3295,C3295,$I$2:I3295,I3295)=1,1,0)</f>
        <v>0</v>
      </c>
      <c r="M3295" s="3" t="n">
        <f aca="false">IF(K3295&gt;=Parametri!$B$1,1,0)</f>
        <v>1</v>
      </c>
      <c r="N3295" s="3" t="n">
        <f aca="false">L3295*M3295</f>
        <v>0</v>
      </c>
    </row>
    <row r="3296" customFormat="false" ht="15" hidden="false" customHeight="false" outlineLevel="0" collapsed="false">
      <c r="A3296" s="0" t="s">
        <v>4951</v>
      </c>
      <c r="B3296" s="0" t="s">
        <v>17</v>
      </c>
      <c r="C3296" s="0" t="s">
        <v>2844</v>
      </c>
      <c r="D3296" s="0" t="s">
        <v>33</v>
      </c>
      <c r="E3296" s="2" t="n">
        <v>45634</v>
      </c>
      <c r="F3296" s="3" t="s">
        <v>34</v>
      </c>
      <c r="G3296" s="3" t="s">
        <v>89</v>
      </c>
      <c r="H3296" s="3" t="s">
        <v>48</v>
      </c>
      <c r="I3296" s="3" t="n">
        <f aca="false">YEAR(E3296)</f>
        <v>2024</v>
      </c>
      <c r="J3296" s="3" t="n">
        <f aca="false">MONTH(E3296)</f>
        <v>12</v>
      </c>
      <c r="K3296" s="3" t="n">
        <f aca="false">COUNTIFS($B$2:$B$4077,B3296,$C$2:$C$4077,C3296,$I$2:$I$4077,I3296)</f>
        <v>2</v>
      </c>
      <c r="L3296" s="3" t="n">
        <f aca="false">IF(COUNTIFS($B$2:B3296,B3296,$C$2:C3296,C3296,$I$2:I3296,I3296)=1,1,0)</f>
        <v>0</v>
      </c>
      <c r="M3296" s="3" t="n">
        <f aca="false">IF(K3296&gt;=Parametri!$B$1,1,0)</f>
        <v>1</v>
      </c>
      <c r="N3296" s="3" t="n">
        <f aca="false">L3296*M3296</f>
        <v>0</v>
      </c>
    </row>
    <row r="3297" customFormat="false" ht="15" hidden="false" customHeight="false" outlineLevel="0" collapsed="false">
      <c r="A3297" s="0" t="s">
        <v>4952</v>
      </c>
      <c r="B3297" s="0" t="s">
        <v>124</v>
      </c>
      <c r="C3297" s="0" t="s">
        <v>410</v>
      </c>
      <c r="D3297" s="0" t="s">
        <v>54</v>
      </c>
      <c r="E3297" s="2" t="n">
        <v>46216</v>
      </c>
      <c r="F3297" s="3" t="s">
        <v>20</v>
      </c>
      <c r="G3297" s="3" t="s">
        <v>39</v>
      </c>
      <c r="H3297" s="3" t="s">
        <v>44</v>
      </c>
      <c r="I3297" s="3" t="n">
        <f aca="false">YEAR(E3297)</f>
        <v>2026</v>
      </c>
      <c r="J3297" s="3" t="n">
        <f aca="false">MONTH(E3297)</f>
        <v>7</v>
      </c>
      <c r="K3297" s="3" t="n">
        <f aca="false">COUNTIFS($B$2:$B$4077,B3297,$C$2:$C$4077,C3297,$I$2:$I$4077,I3297)</f>
        <v>6</v>
      </c>
      <c r="L3297" s="3" t="n">
        <f aca="false">IF(COUNTIFS($B$2:B3297,B3297,$C$2:C3297,C3297,$I$2:I3297,I3297)=1,1,0)</f>
        <v>0</v>
      </c>
      <c r="M3297" s="3" t="n">
        <f aca="false">IF(K3297&gt;=Parametri!$B$1,1,0)</f>
        <v>1</v>
      </c>
      <c r="N3297" s="3" t="n">
        <f aca="false">L3297*M3297</f>
        <v>0</v>
      </c>
    </row>
    <row r="3298" customFormat="false" ht="15" hidden="false" customHeight="false" outlineLevel="0" collapsed="false">
      <c r="A3298" s="0" t="s">
        <v>4953</v>
      </c>
      <c r="B3298" s="0" t="s">
        <v>57</v>
      </c>
      <c r="C3298" s="0" t="s">
        <v>288</v>
      </c>
      <c r="D3298" s="0" t="s">
        <v>66</v>
      </c>
      <c r="E3298" s="2" t="n">
        <v>45938</v>
      </c>
      <c r="F3298" s="3" t="s">
        <v>20</v>
      </c>
      <c r="G3298" s="3" t="s">
        <v>35</v>
      </c>
      <c r="H3298" s="3" t="s">
        <v>22</v>
      </c>
      <c r="I3298" s="3" t="n">
        <f aca="false">YEAR(E3298)</f>
        <v>2025</v>
      </c>
      <c r="J3298" s="3" t="n">
        <f aca="false">MONTH(E3298)</f>
        <v>10</v>
      </c>
      <c r="K3298" s="3" t="n">
        <f aca="false">COUNTIFS($B$2:$B$4077,B3298,$C$2:$C$4077,C3298,$I$2:$I$4077,I3298)</f>
        <v>3</v>
      </c>
      <c r="L3298" s="3" t="n">
        <f aca="false">IF(COUNTIFS($B$2:B3298,B3298,$C$2:C3298,C3298,$I$2:I3298,I3298)=1,1,0)</f>
        <v>0</v>
      </c>
      <c r="M3298" s="3" t="n">
        <f aca="false">IF(K3298&gt;=Parametri!$B$1,1,0)</f>
        <v>1</v>
      </c>
      <c r="N3298" s="3" t="n">
        <f aca="false">L3298*M3298</f>
        <v>0</v>
      </c>
    </row>
    <row r="3299" customFormat="false" ht="15" hidden="false" customHeight="false" outlineLevel="0" collapsed="false">
      <c r="A3299" s="0" t="s">
        <v>4954</v>
      </c>
      <c r="B3299" s="0" t="s">
        <v>68</v>
      </c>
      <c r="C3299" s="0" t="s">
        <v>2786</v>
      </c>
      <c r="D3299" s="0" t="s">
        <v>19</v>
      </c>
      <c r="E3299" s="2" t="n">
        <v>45975</v>
      </c>
      <c r="F3299" s="3" t="s">
        <v>20</v>
      </c>
      <c r="G3299" s="3" t="s">
        <v>21</v>
      </c>
      <c r="H3299" s="3" t="s">
        <v>22</v>
      </c>
      <c r="I3299" s="3" t="n">
        <f aca="false">YEAR(E3299)</f>
        <v>2025</v>
      </c>
      <c r="J3299" s="3" t="n">
        <f aca="false">MONTH(E3299)</f>
        <v>11</v>
      </c>
      <c r="K3299" s="3" t="n">
        <f aca="false">COUNTIFS($B$2:$B$4077,B3299,$C$2:$C$4077,C3299,$I$2:$I$4077,I3299)</f>
        <v>2</v>
      </c>
      <c r="L3299" s="3" t="n">
        <f aca="false">IF(COUNTIFS($B$2:B3299,B3299,$C$2:C3299,C3299,$I$2:I3299,I3299)=1,1,0)</f>
        <v>0</v>
      </c>
      <c r="M3299" s="3" t="n">
        <f aca="false">IF(K3299&gt;=Parametri!$B$1,1,0)</f>
        <v>1</v>
      </c>
      <c r="N3299" s="3" t="n">
        <f aca="false">L3299*M3299</f>
        <v>0</v>
      </c>
    </row>
    <row r="3300" customFormat="false" ht="15" hidden="false" customHeight="false" outlineLevel="0" collapsed="false">
      <c r="A3300" s="0" t="s">
        <v>4955</v>
      </c>
      <c r="B3300" s="0" t="s">
        <v>41</v>
      </c>
      <c r="C3300" s="0" t="s">
        <v>675</v>
      </c>
      <c r="D3300" s="0" t="s">
        <v>26</v>
      </c>
      <c r="E3300" s="2" t="n">
        <v>45774</v>
      </c>
      <c r="F3300" s="3" t="s">
        <v>34</v>
      </c>
      <c r="G3300" s="3" t="s">
        <v>104</v>
      </c>
      <c r="H3300" s="3" t="s">
        <v>104</v>
      </c>
      <c r="I3300" s="3" t="n">
        <f aca="false">YEAR(E3300)</f>
        <v>2025</v>
      </c>
      <c r="J3300" s="3" t="n">
        <f aca="false">MONTH(E3300)</f>
        <v>4</v>
      </c>
      <c r="K3300" s="3" t="n">
        <f aca="false">COUNTIFS($B$2:$B$4077,B3300,$C$2:$C$4077,C3300,$I$2:$I$4077,I3300)</f>
        <v>5</v>
      </c>
      <c r="L3300" s="3" t="n">
        <f aca="false">IF(COUNTIFS($B$2:B3300,B3300,$C$2:C3300,C3300,$I$2:I3300,I3300)=1,1,0)</f>
        <v>0</v>
      </c>
      <c r="M3300" s="3" t="n">
        <f aca="false">IF(K3300&gt;=Parametri!$B$1,1,0)</f>
        <v>1</v>
      </c>
      <c r="N3300" s="3" t="n">
        <f aca="false">L3300*M3300</f>
        <v>0</v>
      </c>
    </row>
    <row r="3301" customFormat="false" ht="15" hidden="false" customHeight="false" outlineLevel="0" collapsed="false">
      <c r="A3301" s="0" t="s">
        <v>4956</v>
      </c>
      <c r="B3301" s="0" t="s">
        <v>17</v>
      </c>
      <c r="C3301" s="0" t="s">
        <v>458</v>
      </c>
      <c r="D3301" s="0" t="s">
        <v>77</v>
      </c>
      <c r="E3301" s="2" t="n">
        <v>45669</v>
      </c>
      <c r="F3301" s="3" t="s">
        <v>20</v>
      </c>
      <c r="G3301" s="3" t="s">
        <v>21</v>
      </c>
      <c r="H3301" s="3" t="s">
        <v>29</v>
      </c>
      <c r="I3301" s="3" t="n">
        <f aca="false">YEAR(E3301)</f>
        <v>2025</v>
      </c>
      <c r="J3301" s="3" t="n">
        <f aca="false">MONTH(E3301)</f>
        <v>1</v>
      </c>
      <c r="K3301" s="3" t="n">
        <f aca="false">COUNTIFS($B$2:$B$4077,B3301,$C$2:$C$4077,C3301,$I$2:$I$4077,I3301)</f>
        <v>6</v>
      </c>
      <c r="L3301" s="3" t="n">
        <f aca="false">IF(COUNTIFS($B$2:B3301,B3301,$C$2:C3301,C3301,$I$2:I3301,I3301)=1,1,0)</f>
        <v>0</v>
      </c>
      <c r="M3301" s="3" t="n">
        <f aca="false">IF(K3301&gt;=Parametri!$B$1,1,0)</f>
        <v>1</v>
      </c>
      <c r="N3301" s="3" t="n">
        <f aca="false">L3301*M3301</f>
        <v>0</v>
      </c>
    </row>
    <row r="3302" customFormat="false" ht="15" hidden="false" customHeight="false" outlineLevel="0" collapsed="false">
      <c r="A3302" s="0" t="s">
        <v>4957</v>
      </c>
      <c r="B3302" s="0" t="s">
        <v>57</v>
      </c>
      <c r="C3302" s="0" t="s">
        <v>4863</v>
      </c>
      <c r="D3302" s="0" t="s">
        <v>26</v>
      </c>
      <c r="E3302" s="2" t="n">
        <v>45478</v>
      </c>
      <c r="F3302" s="3" t="s">
        <v>20</v>
      </c>
      <c r="G3302" s="3" t="s">
        <v>35</v>
      </c>
      <c r="H3302" s="3" t="s">
        <v>48</v>
      </c>
      <c r="I3302" s="3" t="n">
        <f aca="false">YEAR(E3302)</f>
        <v>2024</v>
      </c>
      <c r="J3302" s="3" t="n">
        <f aca="false">MONTH(E3302)</f>
        <v>7</v>
      </c>
      <c r="K3302" s="3" t="n">
        <f aca="false">COUNTIFS($B$2:$B$4077,B3302,$C$2:$C$4077,C3302,$I$2:$I$4077,I3302)</f>
        <v>1</v>
      </c>
      <c r="L3302" s="3" t="n">
        <f aca="false">IF(COUNTIFS($B$2:B3302,B3302,$C$2:C3302,C3302,$I$2:I3302,I3302)=1,1,0)</f>
        <v>1</v>
      </c>
      <c r="M3302" s="3" t="n">
        <f aca="false">IF(K3302&gt;=Parametri!$B$1,1,0)</f>
        <v>0</v>
      </c>
      <c r="N3302" s="3" t="n">
        <f aca="false">L3302*M3302</f>
        <v>0</v>
      </c>
    </row>
    <row r="3303" customFormat="false" ht="15" hidden="false" customHeight="false" outlineLevel="0" collapsed="false">
      <c r="A3303" s="0" t="s">
        <v>4958</v>
      </c>
      <c r="B3303" s="0" t="s">
        <v>41</v>
      </c>
      <c r="C3303" s="0" t="s">
        <v>4959</v>
      </c>
      <c r="D3303" s="0" t="s">
        <v>33</v>
      </c>
      <c r="E3303" s="2" t="n">
        <v>45752</v>
      </c>
      <c r="F3303" s="3" t="s">
        <v>34</v>
      </c>
      <c r="G3303" s="3" t="s">
        <v>35</v>
      </c>
      <c r="H3303" s="3" t="s">
        <v>44</v>
      </c>
      <c r="I3303" s="3" t="n">
        <f aca="false">YEAR(E3303)</f>
        <v>2025</v>
      </c>
      <c r="J3303" s="3" t="n">
        <f aca="false">MONTH(E3303)</f>
        <v>4</v>
      </c>
      <c r="K3303" s="3" t="n">
        <f aca="false">COUNTIFS($B$2:$B$4077,B3303,$C$2:$C$4077,C3303,$I$2:$I$4077,I3303)</f>
        <v>1</v>
      </c>
      <c r="L3303" s="3" t="n">
        <f aca="false">IF(COUNTIFS($B$2:B3303,B3303,$C$2:C3303,C3303,$I$2:I3303,I3303)=1,1,0)</f>
        <v>1</v>
      </c>
      <c r="M3303" s="3" t="n">
        <f aca="false">IF(K3303&gt;=Parametri!$B$1,1,0)</f>
        <v>0</v>
      </c>
      <c r="N3303" s="3" t="n">
        <f aca="false">L3303*M3303</f>
        <v>0</v>
      </c>
    </row>
    <row r="3304" customFormat="false" ht="15" hidden="false" customHeight="false" outlineLevel="0" collapsed="false">
      <c r="A3304" s="0" t="s">
        <v>4960</v>
      </c>
      <c r="B3304" s="0" t="s">
        <v>68</v>
      </c>
      <c r="C3304" s="0" t="s">
        <v>2683</v>
      </c>
      <c r="D3304" s="0" t="s">
        <v>19</v>
      </c>
      <c r="E3304" s="2" t="n">
        <v>45317</v>
      </c>
      <c r="F3304" s="3" t="s">
        <v>20</v>
      </c>
      <c r="G3304" s="3" t="s">
        <v>55</v>
      </c>
      <c r="H3304" s="3" t="s">
        <v>22</v>
      </c>
      <c r="I3304" s="3" t="n">
        <f aca="false">YEAR(E3304)</f>
        <v>2024</v>
      </c>
      <c r="J3304" s="3" t="n">
        <f aca="false">MONTH(E3304)</f>
        <v>1</v>
      </c>
      <c r="K3304" s="3" t="n">
        <f aca="false">COUNTIFS($B$2:$B$4077,B3304,$C$2:$C$4077,C3304,$I$2:$I$4077,I3304)</f>
        <v>2</v>
      </c>
      <c r="L3304" s="3" t="n">
        <f aca="false">IF(COUNTIFS($B$2:B3304,B3304,$C$2:C3304,C3304,$I$2:I3304,I3304)=1,1,0)</f>
        <v>0</v>
      </c>
      <c r="M3304" s="3" t="n">
        <f aca="false">IF(K3304&gt;=Parametri!$B$1,1,0)</f>
        <v>1</v>
      </c>
      <c r="N3304" s="3" t="n">
        <f aca="false">L3304*M3304</f>
        <v>0</v>
      </c>
    </row>
    <row r="3305" customFormat="false" ht="15" hidden="false" customHeight="false" outlineLevel="0" collapsed="false">
      <c r="A3305" s="0" t="s">
        <v>4961</v>
      </c>
      <c r="B3305" s="0" t="s">
        <v>50</v>
      </c>
      <c r="C3305" s="0" t="s">
        <v>3702</v>
      </c>
      <c r="D3305" s="0" t="s">
        <v>38</v>
      </c>
      <c r="E3305" s="2" t="n">
        <v>46070</v>
      </c>
      <c r="F3305" s="3" t="s">
        <v>20</v>
      </c>
      <c r="G3305" s="3" t="s">
        <v>43</v>
      </c>
      <c r="H3305" s="3" t="s">
        <v>44</v>
      </c>
      <c r="I3305" s="3" t="n">
        <f aca="false">YEAR(E3305)</f>
        <v>2026</v>
      </c>
      <c r="J3305" s="3" t="n">
        <f aca="false">MONTH(E3305)</f>
        <v>2</v>
      </c>
      <c r="K3305" s="3" t="n">
        <f aca="false">COUNTIFS($B$2:$B$4077,B3305,$C$2:$C$4077,C3305,$I$2:$I$4077,I3305)</f>
        <v>1</v>
      </c>
      <c r="L3305" s="3" t="n">
        <f aca="false">IF(COUNTIFS($B$2:B3305,B3305,$C$2:C3305,C3305,$I$2:I3305,I3305)=1,1,0)</f>
        <v>1</v>
      </c>
      <c r="M3305" s="3" t="n">
        <f aca="false">IF(K3305&gt;=Parametri!$B$1,1,0)</f>
        <v>0</v>
      </c>
      <c r="N3305" s="3" t="n">
        <f aca="false">L3305*M3305</f>
        <v>0</v>
      </c>
    </row>
    <row r="3306" customFormat="false" ht="15" hidden="false" customHeight="false" outlineLevel="0" collapsed="false">
      <c r="A3306" s="0" t="s">
        <v>4962</v>
      </c>
      <c r="B3306" s="0" t="s">
        <v>79</v>
      </c>
      <c r="C3306" s="0" t="s">
        <v>258</v>
      </c>
      <c r="D3306" s="0" t="s">
        <v>77</v>
      </c>
      <c r="E3306" s="2" t="n">
        <v>46160</v>
      </c>
      <c r="F3306" s="3" t="s">
        <v>20</v>
      </c>
      <c r="G3306" s="3" t="s">
        <v>43</v>
      </c>
      <c r="H3306" s="3" t="s">
        <v>44</v>
      </c>
      <c r="I3306" s="3" t="n">
        <f aca="false">YEAR(E3306)</f>
        <v>2026</v>
      </c>
      <c r="J3306" s="3" t="n">
        <f aca="false">MONTH(E3306)</f>
        <v>5</v>
      </c>
      <c r="K3306" s="3" t="n">
        <f aca="false">COUNTIFS($B$2:$B$4077,B3306,$C$2:$C$4077,C3306,$I$2:$I$4077,I3306)</f>
        <v>2</v>
      </c>
      <c r="L3306" s="3" t="n">
        <f aca="false">IF(COUNTIFS($B$2:B3306,B3306,$C$2:C3306,C3306,$I$2:I3306,I3306)=1,1,0)</f>
        <v>0</v>
      </c>
      <c r="M3306" s="3" t="n">
        <f aca="false">IF(K3306&gt;=Parametri!$B$1,1,0)</f>
        <v>1</v>
      </c>
      <c r="N3306" s="3" t="n">
        <f aca="false">L3306*M3306</f>
        <v>0</v>
      </c>
    </row>
    <row r="3307" customFormat="false" ht="15" hidden="false" customHeight="false" outlineLevel="0" collapsed="false">
      <c r="A3307" s="0" t="s">
        <v>4963</v>
      </c>
      <c r="B3307" s="0" t="s">
        <v>79</v>
      </c>
      <c r="C3307" s="0" t="s">
        <v>4964</v>
      </c>
      <c r="D3307" s="0" t="s">
        <v>54</v>
      </c>
      <c r="E3307" s="2" t="n">
        <v>46028</v>
      </c>
      <c r="F3307" s="3" t="s">
        <v>27</v>
      </c>
      <c r="G3307" s="3" t="s">
        <v>55</v>
      </c>
      <c r="H3307" s="3" t="s">
        <v>48</v>
      </c>
      <c r="I3307" s="3" t="n">
        <f aca="false">YEAR(E3307)</f>
        <v>2026</v>
      </c>
      <c r="J3307" s="3" t="n">
        <f aca="false">MONTH(E3307)</f>
        <v>1</v>
      </c>
      <c r="K3307" s="3" t="n">
        <f aca="false">COUNTIFS($B$2:$B$4077,B3307,$C$2:$C$4077,C3307,$I$2:$I$4077,I3307)</f>
        <v>1</v>
      </c>
      <c r="L3307" s="3" t="n">
        <f aca="false">IF(COUNTIFS($B$2:B3307,B3307,$C$2:C3307,C3307,$I$2:I3307,I3307)=1,1,0)</f>
        <v>1</v>
      </c>
      <c r="M3307" s="3" t="n">
        <f aca="false">IF(K3307&gt;=Parametri!$B$1,1,0)</f>
        <v>0</v>
      </c>
      <c r="N3307" s="3" t="n">
        <f aca="false">L3307*M3307</f>
        <v>0</v>
      </c>
    </row>
    <row r="3308" customFormat="false" ht="15" hidden="false" customHeight="false" outlineLevel="0" collapsed="false">
      <c r="A3308" s="0" t="s">
        <v>4965</v>
      </c>
      <c r="B3308" s="0" t="s">
        <v>124</v>
      </c>
      <c r="C3308" s="0" t="s">
        <v>4966</v>
      </c>
      <c r="D3308" s="0" t="s">
        <v>33</v>
      </c>
      <c r="E3308" s="2" t="n">
        <v>46144</v>
      </c>
      <c r="F3308" s="3" t="s">
        <v>27</v>
      </c>
      <c r="G3308" s="3" t="s">
        <v>55</v>
      </c>
      <c r="H3308" s="3" t="s">
        <v>48</v>
      </c>
      <c r="I3308" s="3" t="n">
        <f aca="false">YEAR(E3308)</f>
        <v>2026</v>
      </c>
      <c r="J3308" s="3" t="n">
        <f aca="false">MONTH(E3308)</f>
        <v>5</v>
      </c>
      <c r="K3308" s="3" t="n">
        <f aca="false">COUNTIFS($B$2:$B$4077,B3308,$C$2:$C$4077,C3308,$I$2:$I$4077,I3308)</f>
        <v>1</v>
      </c>
      <c r="L3308" s="3" t="n">
        <f aca="false">IF(COUNTIFS($B$2:B3308,B3308,$C$2:C3308,C3308,$I$2:I3308,I3308)=1,1,0)</f>
        <v>1</v>
      </c>
      <c r="M3308" s="3" t="n">
        <f aca="false">IF(K3308&gt;=Parametri!$B$1,1,0)</f>
        <v>0</v>
      </c>
      <c r="N3308" s="3" t="n">
        <f aca="false">L3308*M3308</f>
        <v>0</v>
      </c>
    </row>
    <row r="3309" customFormat="false" ht="15" hidden="false" customHeight="false" outlineLevel="0" collapsed="false">
      <c r="A3309" s="0" t="s">
        <v>4967</v>
      </c>
      <c r="B3309" s="0" t="s">
        <v>17</v>
      </c>
      <c r="C3309" s="0" t="s">
        <v>4243</v>
      </c>
      <c r="D3309" s="0" t="s">
        <v>63</v>
      </c>
      <c r="E3309" s="2" t="n">
        <v>45709</v>
      </c>
      <c r="F3309" s="3" t="s">
        <v>20</v>
      </c>
      <c r="G3309" s="3" t="s">
        <v>72</v>
      </c>
      <c r="H3309" s="3" t="s">
        <v>44</v>
      </c>
      <c r="I3309" s="3" t="n">
        <f aca="false">YEAR(E3309)</f>
        <v>2025</v>
      </c>
      <c r="J3309" s="3" t="n">
        <f aca="false">MONTH(E3309)</f>
        <v>2</v>
      </c>
      <c r="K3309" s="3" t="n">
        <f aca="false">COUNTIFS($B$2:$B$4077,B3309,$C$2:$C$4077,C3309,$I$2:$I$4077,I3309)</f>
        <v>1</v>
      </c>
      <c r="L3309" s="3" t="n">
        <f aca="false">IF(COUNTIFS($B$2:B3309,B3309,$C$2:C3309,C3309,$I$2:I3309,I3309)=1,1,0)</f>
        <v>1</v>
      </c>
      <c r="M3309" s="3" t="n">
        <f aca="false">IF(K3309&gt;=Parametri!$B$1,1,0)</f>
        <v>0</v>
      </c>
      <c r="N3309" s="3" t="n">
        <f aca="false">L3309*M3309</f>
        <v>0</v>
      </c>
    </row>
    <row r="3310" customFormat="false" ht="15" hidden="false" customHeight="false" outlineLevel="0" collapsed="false">
      <c r="A3310" s="0" t="s">
        <v>4968</v>
      </c>
      <c r="B3310" s="0" t="s">
        <v>41</v>
      </c>
      <c r="C3310" s="0" t="s">
        <v>4814</v>
      </c>
      <c r="D3310" s="0" t="s">
        <v>33</v>
      </c>
      <c r="E3310" s="2" t="n">
        <v>45882</v>
      </c>
      <c r="F3310" s="3" t="s">
        <v>27</v>
      </c>
      <c r="G3310" s="3" t="s">
        <v>89</v>
      </c>
      <c r="H3310" s="3" t="s">
        <v>44</v>
      </c>
      <c r="I3310" s="3" t="n">
        <f aca="false">YEAR(E3310)</f>
        <v>2025</v>
      </c>
      <c r="J3310" s="3" t="n">
        <f aca="false">MONTH(E3310)</f>
        <v>8</v>
      </c>
      <c r="K3310" s="3" t="n">
        <f aca="false">COUNTIFS($B$2:$B$4077,B3310,$C$2:$C$4077,C3310,$I$2:$I$4077,I3310)</f>
        <v>3</v>
      </c>
      <c r="L3310" s="3" t="n">
        <f aca="false">IF(COUNTIFS($B$2:B3310,B3310,$C$2:C3310,C3310,$I$2:I3310,I3310)=1,1,0)</f>
        <v>0</v>
      </c>
      <c r="M3310" s="3" t="n">
        <f aca="false">IF(K3310&gt;=Parametri!$B$1,1,0)</f>
        <v>1</v>
      </c>
      <c r="N3310" s="3" t="n">
        <f aca="false">L3310*M3310</f>
        <v>0</v>
      </c>
    </row>
    <row r="3311" customFormat="false" ht="15" hidden="false" customHeight="false" outlineLevel="0" collapsed="false">
      <c r="A3311" s="0" t="s">
        <v>4969</v>
      </c>
      <c r="B3311" s="0" t="s">
        <v>17</v>
      </c>
      <c r="C3311" s="0" t="s">
        <v>1888</v>
      </c>
      <c r="D3311" s="0" t="s">
        <v>33</v>
      </c>
      <c r="E3311" s="2" t="n">
        <v>45937</v>
      </c>
      <c r="F3311" s="3" t="s">
        <v>20</v>
      </c>
      <c r="G3311" s="3" t="s">
        <v>72</v>
      </c>
      <c r="H3311" s="3" t="s">
        <v>29</v>
      </c>
      <c r="I3311" s="3" t="n">
        <f aca="false">YEAR(E3311)</f>
        <v>2025</v>
      </c>
      <c r="J3311" s="3" t="n">
        <f aca="false">MONTH(E3311)</f>
        <v>10</v>
      </c>
      <c r="K3311" s="3" t="n">
        <f aca="false">COUNTIFS($B$2:$B$4077,B3311,$C$2:$C$4077,C3311,$I$2:$I$4077,I3311)</f>
        <v>2</v>
      </c>
      <c r="L3311" s="3" t="n">
        <f aca="false">IF(COUNTIFS($B$2:B3311,B3311,$C$2:C3311,C3311,$I$2:I3311,I3311)=1,1,0)</f>
        <v>0</v>
      </c>
      <c r="M3311" s="3" t="n">
        <f aca="false">IF(K3311&gt;=Parametri!$B$1,1,0)</f>
        <v>1</v>
      </c>
      <c r="N3311" s="3" t="n">
        <f aca="false">L3311*M3311</f>
        <v>0</v>
      </c>
    </row>
    <row r="3312" customFormat="false" ht="15" hidden="false" customHeight="false" outlineLevel="0" collapsed="false">
      <c r="A3312" s="0" t="s">
        <v>4970</v>
      </c>
      <c r="B3312" s="0" t="s">
        <v>24</v>
      </c>
      <c r="C3312" s="0" t="s">
        <v>4971</v>
      </c>
      <c r="D3312" s="0" t="s">
        <v>54</v>
      </c>
      <c r="E3312" s="2" t="n">
        <v>45521</v>
      </c>
      <c r="F3312" s="3" t="s">
        <v>20</v>
      </c>
      <c r="G3312" s="3" t="s">
        <v>89</v>
      </c>
      <c r="H3312" s="3" t="s">
        <v>22</v>
      </c>
      <c r="I3312" s="3" t="n">
        <f aca="false">YEAR(E3312)</f>
        <v>2024</v>
      </c>
      <c r="J3312" s="3" t="n">
        <f aca="false">MONTH(E3312)</f>
        <v>8</v>
      </c>
      <c r="K3312" s="3" t="n">
        <f aca="false">COUNTIFS($B$2:$B$4077,B3312,$C$2:$C$4077,C3312,$I$2:$I$4077,I3312)</f>
        <v>1</v>
      </c>
      <c r="L3312" s="3" t="n">
        <f aca="false">IF(COUNTIFS($B$2:B3312,B3312,$C$2:C3312,C3312,$I$2:I3312,I3312)=1,1,0)</f>
        <v>1</v>
      </c>
      <c r="M3312" s="3" t="n">
        <f aca="false">IF(K3312&gt;=Parametri!$B$1,1,0)</f>
        <v>0</v>
      </c>
      <c r="N3312" s="3" t="n">
        <f aca="false">L3312*M3312</f>
        <v>0</v>
      </c>
    </row>
    <row r="3313" customFormat="false" ht="15" hidden="false" customHeight="false" outlineLevel="0" collapsed="false">
      <c r="A3313" s="0" t="s">
        <v>4972</v>
      </c>
      <c r="B3313" s="0" t="s">
        <v>17</v>
      </c>
      <c r="C3313" s="0" t="s">
        <v>3900</v>
      </c>
      <c r="D3313" s="0" t="s">
        <v>33</v>
      </c>
      <c r="E3313" s="2" t="n">
        <v>45446</v>
      </c>
      <c r="F3313" s="3" t="s">
        <v>20</v>
      </c>
      <c r="G3313" s="3" t="s">
        <v>72</v>
      </c>
      <c r="H3313" s="3" t="s">
        <v>48</v>
      </c>
      <c r="I3313" s="3" t="n">
        <f aca="false">YEAR(E3313)</f>
        <v>2024</v>
      </c>
      <c r="J3313" s="3" t="n">
        <f aca="false">MONTH(E3313)</f>
        <v>6</v>
      </c>
      <c r="K3313" s="3" t="n">
        <f aca="false">COUNTIFS($B$2:$B$4077,B3313,$C$2:$C$4077,C3313,$I$2:$I$4077,I3313)</f>
        <v>2</v>
      </c>
      <c r="L3313" s="3" t="n">
        <f aca="false">IF(COUNTIFS($B$2:B3313,B3313,$C$2:C3313,C3313,$I$2:I3313,I3313)=1,1,0)</f>
        <v>0</v>
      </c>
      <c r="M3313" s="3" t="n">
        <f aca="false">IF(K3313&gt;=Parametri!$B$1,1,0)</f>
        <v>1</v>
      </c>
      <c r="N3313" s="3" t="n">
        <f aca="false">L3313*M3313</f>
        <v>0</v>
      </c>
    </row>
    <row r="3314" customFormat="false" ht="15" hidden="false" customHeight="false" outlineLevel="0" collapsed="false">
      <c r="A3314" s="0" t="s">
        <v>4973</v>
      </c>
      <c r="B3314" s="0" t="s">
        <v>68</v>
      </c>
      <c r="C3314" s="0" t="s">
        <v>4213</v>
      </c>
      <c r="D3314" s="0" t="s">
        <v>66</v>
      </c>
      <c r="E3314" s="2" t="n">
        <v>45798</v>
      </c>
      <c r="F3314" s="3" t="s">
        <v>20</v>
      </c>
      <c r="G3314" s="3" t="s">
        <v>35</v>
      </c>
      <c r="H3314" s="3" t="s">
        <v>29</v>
      </c>
      <c r="I3314" s="3" t="n">
        <f aca="false">YEAR(E3314)</f>
        <v>2025</v>
      </c>
      <c r="J3314" s="3" t="n">
        <f aca="false">MONTH(E3314)</f>
        <v>5</v>
      </c>
      <c r="K3314" s="3" t="n">
        <f aca="false">COUNTIFS($B$2:$B$4077,B3314,$C$2:$C$4077,C3314,$I$2:$I$4077,I3314)</f>
        <v>1</v>
      </c>
      <c r="L3314" s="3" t="n">
        <f aca="false">IF(COUNTIFS($B$2:B3314,B3314,$C$2:C3314,C3314,$I$2:I3314,I3314)=1,1,0)</f>
        <v>1</v>
      </c>
      <c r="M3314" s="3" t="n">
        <f aca="false">IF(K3314&gt;=Parametri!$B$1,1,0)</f>
        <v>0</v>
      </c>
      <c r="N3314" s="3" t="n">
        <f aca="false">L3314*M3314</f>
        <v>0</v>
      </c>
    </row>
    <row r="3315" customFormat="false" ht="15" hidden="false" customHeight="false" outlineLevel="0" collapsed="false">
      <c r="A3315" s="0" t="s">
        <v>4974</v>
      </c>
      <c r="B3315" s="0" t="s">
        <v>46</v>
      </c>
      <c r="C3315" s="0" t="s">
        <v>93</v>
      </c>
      <c r="D3315" s="0" t="s">
        <v>33</v>
      </c>
      <c r="E3315" s="2" t="n">
        <v>45992</v>
      </c>
      <c r="F3315" s="3" t="s">
        <v>34</v>
      </c>
      <c r="G3315" s="3" t="s">
        <v>39</v>
      </c>
      <c r="H3315" s="3" t="s">
        <v>29</v>
      </c>
      <c r="I3315" s="3" t="n">
        <f aca="false">YEAR(E3315)</f>
        <v>2025</v>
      </c>
      <c r="J3315" s="3" t="n">
        <f aca="false">MONTH(E3315)</f>
        <v>12</v>
      </c>
      <c r="K3315" s="3" t="n">
        <f aca="false">COUNTIFS($B$2:$B$4077,B3315,$C$2:$C$4077,C3315,$I$2:$I$4077,I3315)</f>
        <v>3</v>
      </c>
      <c r="L3315" s="3" t="n">
        <f aca="false">IF(COUNTIFS($B$2:B3315,B3315,$C$2:C3315,C3315,$I$2:I3315,I3315)=1,1,0)</f>
        <v>0</v>
      </c>
      <c r="M3315" s="3" t="n">
        <f aca="false">IF(K3315&gt;=Parametri!$B$1,1,0)</f>
        <v>1</v>
      </c>
      <c r="N3315" s="3" t="n">
        <f aca="false">L3315*M3315</f>
        <v>0</v>
      </c>
    </row>
    <row r="3316" customFormat="false" ht="15" hidden="false" customHeight="false" outlineLevel="0" collapsed="false">
      <c r="A3316" s="0" t="s">
        <v>4975</v>
      </c>
      <c r="B3316" s="0" t="s">
        <v>50</v>
      </c>
      <c r="C3316" s="0" t="s">
        <v>2780</v>
      </c>
      <c r="D3316" s="0" t="s">
        <v>54</v>
      </c>
      <c r="E3316" s="2" t="n">
        <v>45712</v>
      </c>
      <c r="F3316" s="3" t="s">
        <v>20</v>
      </c>
      <c r="G3316" s="3" t="s">
        <v>43</v>
      </c>
      <c r="H3316" s="3" t="s">
        <v>44</v>
      </c>
      <c r="I3316" s="3" t="n">
        <f aca="false">YEAR(E3316)</f>
        <v>2025</v>
      </c>
      <c r="J3316" s="3" t="n">
        <f aca="false">MONTH(E3316)</f>
        <v>2</v>
      </c>
      <c r="K3316" s="3" t="n">
        <f aca="false">COUNTIFS($B$2:$B$4077,B3316,$C$2:$C$4077,C3316,$I$2:$I$4077,I3316)</f>
        <v>2</v>
      </c>
      <c r="L3316" s="3" t="n">
        <f aca="false">IF(COUNTIFS($B$2:B3316,B3316,$C$2:C3316,C3316,$I$2:I3316,I3316)=1,1,0)</f>
        <v>0</v>
      </c>
      <c r="M3316" s="3" t="n">
        <f aca="false">IF(K3316&gt;=Parametri!$B$1,1,0)</f>
        <v>1</v>
      </c>
      <c r="N3316" s="3" t="n">
        <f aca="false">L3316*M3316</f>
        <v>0</v>
      </c>
    </row>
    <row r="3317" customFormat="false" ht="15" hidden="false" customHeight="false" outlineLevel="0" collapsed="false">
      <c r="A3317" s="0" t="s">
        <v>4976</v>
      </c>
      <c r="B3317" s="0" t="s">
        <v>24</v>
      </c>
      <c r="C3317" s="0" t="s">
        <v>4977</v>
      </c>
      <c r="D3317" s="0" t="s">
        <v>66</v>
      </c>
      <c r="E3317" s="2" t="n">
        <v>45883</v>
      </c>
      <c r="F3317" s="3" t="s">
        <v>20</v>
      </c>
      <c r="G3317" s="3" t="s">
        <v>89</v>
      </c>
      <c r="H3317" s="3" t="s">
        <v>29</v>
      </c>
      <c r="I3317" s="3" t="n">
        <f aca="false">YEAR(E3317)</f>
        <v>2025</v>
      </c>
      <c r="J3317" s="3" t="n">
        <f aca="false">MONTH(E3317)</f>
        <v>8</v>
      </c>
      <c r="K3317" s="3" t="n">
        <f aca="false">COUNTIFS($B$2:$B$4077,B3317,$C$2:$C$4077,C3317,$I$2:$I$4077,I3317)</f>
        <v>1</v>
      </c>
      <c r="L3317" s="3" t="n">
        <f aca="false">IF(COUNTIFS($B$2:B3317,B3317,$C$2:C3317,C3317,$I$2:I3317,I3317)=1,1,0)</f>
        <v>1</v>
      </c>
      <c r="M3317" s="3" t="n">
        <f aca="false">IF(K3317&gt;=Parametri!$B$1,1,0)</f>
        <v>0</v>
      </c>
      <c r="N3317" s="3" t="n">
        <f aca="false">L3317*M3317</f>
        <v>0</v>
      </c>
    </row>
    <row r="3318" customFormat="false" ht="15" hidden="false" customHeight="false" outlineLevel="0" collapsed="false">
      <c r="A3318" s="0" t="s">
        <v>4978</v>
      </c>
      <c r="B3318" s="0" t="s">
        <v>24</v>
      </c>
      <c r="C3318" s="0" t="s">
        <v>1718</v>
      </c>
      <c r="D3318" s="0" t="s">
        <v>66</v>
      </c>
      <c r="E3318" s="2" t="n">
        <v>45370</v>
      </c>
      <c r="F3318" s="3" t="s">
        <v>34</v>
      </c>
      <c r="G3318" s="3" t="s">
        <v>35</v>
      </c>
      <c r="H3318" s="3" t="s">
        <v>22</v>
      </c>
      <c r="I3318" s="3" t="n">
        <f aca="false">YEAR(E3318)</f>
        <v>2024</v>
      </c>
      <c r="J3318" s="3" t="n">
        <f aca="false">MONTH(E3318)</f>
        <v>3</v>
      </c>
      <c r="K3318" s="3" t="n">
        <f aca="false">COUNTIFS($B$2:$B$4077,B3318,$C$2:$C$4077,C3318,$I$2:$I$4077,I3318)</f>
        <v>2</v>
      </c>
      <c r="L3318" s="3" t="n">
        <f aca="false">IF(COUNTIFS($B$2:B3318,B3318,$C$2:C3318,C3318,$I$2:I3318,I3318)=1,1,0)</f>
        <v>0</v>
      </c>
      <c r="M3318" s="3" t="n">
        <f aca="false">IF(K3318&gt;=Parametri!$B$1,1,0)</f>
        <v>1</v>
      </c>
      <c r="N3318" s="3" t="n">
        <f aca="false">L3318*M3318</f>
        <v>0</v>
      </c>
    </row>
    <row r="3319" customFormat="false" ht="15" hidden="false" customHeight="false" outlineLevel="0" collapsed="false">
      <c r="A3319" s="0" t="s">
        <v>4979</v>
      </c>
      <c r="B3319" s="0" t="s">
        <v>68</v>
      </c>
      <c r="C3319" s="0" t="s">
        <v>4024</v>
      </c>
      <c r="D3319" s="0" t="s">
        <v>38</v>
      </c>
      <c r="E3319" s="2" t="n">
        <v>46209</v>
      </c>
      <c r="F3319" s="3" t="s">
        <v>20</v>
      </c>
      <c r="G3319" s="3" t="s">
        <v>43</v>
      </c>
      <c r="H3319" s="3" t="s">
        <v>48</v>
      </c>
      <c r="I3319" s="3" t="n">
        <f aca="false">YEAR(E3319)</f>
        <v>2026</v>
      </c>
      <c r="J3319" s="3" t="n">
        <f aca="false">MONTH(E3319)</f>
        <v>7</v>
      </c>
      <c r="K3319" s="3" t="n">
        <f aca="false">COUNTIFS($B$2:$B$4077,B3319,$C$2:$C$4077,C3319,$I$2:$I$4077,I3319)</f>
        <v>2</v>
      </c>
      <c r="L3319" s="3" t="n">
        <f aca="false">IF(COUNTIFS($B$2:B3319,B3319,$C$2:C3319,C3319,$I$2:I3319,I3319)=1,1,0)</f>
        <v>0</v>
      </c>
      <c r="M3319" s="3" t="n">
        <f aca="false">IF(K3319&gt;=Parametri!$B$1,1,0)</f>
        <v>1</v>
      </c>
      <c r="N3319" s="3" t="n">
        <f aca="false">L3319*M3319</f>
        <v>0</v>
      </c>
    </row>
    <row r="3320" customFormat="false" ht="15" hidden="false" customHeight="false" outlineLevel="0" collapsed="false">
      <c r="A3320" s="0" t="s">
        <v>4980</v>
      </c>
      <c r="B3320" s="0" t="s">
        <v>41</v>
      </c>
      <c r="C3320" s="0" t="s">
        <v>3104</v>
      </c>
      <c r="D3320" s="0" t="s">
        <v>26</v>
      </c>
      <c r="E3320" s="2" t="n">
        <v>45731</v>
      </c>
      <c r="F3320" s="3" t="s">
        <v>20</v>
      </c>
      <c r="G3320" s="3" t="s">
        <v>35</v>
      </c>
      <c r="H3320" s="3" t="s">
        <v>44</v>
      </c>
      <c r="I3320" s="3" t="n">
        <f aca="false">YEAR(E3320)</f>
        <v>2025</v>
      </c>
      <c r="J3320" s="3" t="n">
        <f aca="false">MONTH(E3320)</f>
        <v>3</v>
      </c>
      <c r="K3320" s="3" t="n">
        <f aca="false">COUNTIFS($B$2:$B$4077,B3320,$C$2:$C$4077,C3320,$I$2:$I$4077,I3320)</f>
        <v>2</v>
      </c>
      <c r="L3320" s="3" t="n">
        <f aca="false">IF(COUNTIFS($B$2:B3320,B3320,$C$2:C3320,C3320,$I$2:I3320,I3320)=1,1,0)</f>
        <v>0</v>
      </c>
      <c r="M3320" s="3" t="n">
        <f aca="false">IF(K3320&gt;=Parametri!$B$1,1,0)</f>
        <v>1</v>
      </c>
      <c r="N3320" s="3" t="n">
        <f aca="false">L3320*M3320</f>
        <v>0</v>
      </c>
    </row>
    <row r="3321" customFormat="false" ht="15" hidden="false" customHeight="false" outlineLevel="0" collapsed="false">
      <c r="A3321" s="0" t="s">
        <v>4981</v>
      </c>
      <c r="B3321" s="0" t="s">
        <v>124</v>
      </c>
      <c r="C3321" s="0" t="s">
        <v>4982</v>
      </c>
      <c r="D3321" s="0" t="s">
        <v>66</v>
      </c>
      <c r="E3321" s="2" t="n">
        <v>45449</v>
      </c>
      <c r="F3321" s="3" t="s">
        <v>27</v>
      </c>
      <c r="G3321" s="3" t="s">
        <v>28</v>
      </c>
      <c r="H3321" s="3" t="s">
        <v>29</v>
      </c>
      <c r="I3321" s="3" t="n">
        <f aca="false">YEAR(E3321)</f>
        <v>2024</v>
      </c>
      <c r="J3321" s="3" t="n">
        <f aca="false">MONTH(E3321)</f>
        <v>6</v>
      </c>
      <c r="K3321" s="3" t="n">
        <f aca="false">COUNTIFS($B$2:$B$4077,B3321,$C$2:$C$4077,C3321,$I$2:$I$4077,I3321)</f>
        <v>1</v>
      </c>
      <c r="L3321" s="3" t="n">
        <f aca="false">IF(COUNTIFS($B$2:B3321,B3321,$C$2:C3321,C3321,$I$2:I3321,I3321)=1,1,0)</f>
        <v>1</v>
      </c>
      <c r="M3321" s="3" t="n">
        <f aca="false">IF(K3321&gt;=Parametri!$B$1,1,0)</f>
        <v>0</v>
      </c>
      <c r="N3321" s="3" t="n">
        <f aca="false">L3321*M3321</f>
        <v>0</v>
      </c>
    </row>
    <row r="3322" customFormat="false" ht="15" hidden="false" customHeight="false" outlineLevel="0" collapsed="false">
      <c r="A3322" s="0" t="s">
        <v>4983</v>
      </c>
      <c r="B3322" s="0" t="s">
        <v>17</v>
      </c>
      <c r="C3322" s="0" t="s">
        <v>481</v>
      </c>
      <c r="D3322" s="0" t="s">
        <v>77</v>
      </c>
      <c r="E3322" s="2" t="n">
        <v>46187</v>
      </c>
      <c r="F3322" s="3" t="s">
        <v>20</v>
      </c>
      <c r="G3322" s="3" t="s">
        <v>28</v>
      </c>
      <c r="H3322" s="3" t="s">
        <v>22</v>
      </c>
      <c r="I3322" s="3" t="n">
        <f aca="false">YEAR(E3322)</f>
        <v>2026</v>
      </c>
      <c r="J3322" s="3" t="n">
        <f aca="false">MONTH(E3322)</f>
        <v>6</v>
      </c>
      <c r="K3322" s="3" t="n">
        <f aca="false">COUNTIFS($B$2:$B$4077,B3322,$C$2:$C$4077,C3322,$I$2:$I$4077,I3322)</f>
        <v>5</v>
      </c>
      <c r="L3322" s="3" t="n">
        <f aca="false">IF(COUNTIFS($B$2:B3322,B3322,$C$2:C3322,C3322,$I$2:I3322,I3322)=1,1,0)</f>
        <v>0</v>
      </c>
      <c r="M3322" s="3" t="n">
        <f aca="false">IF(K3322&gt;=Parametri!$B$1,1,0)</f>
        <v>1</v>
      </c>
      <c r="N3322" s="3" t="n">
        <f aca="false">L3322*M3322</f>
        <v>0</v>
      </c>
    </row>
    <row r="3323" customFormat="false" ht="15" hidden="false" customHeight="false" outlineLevel="0" collapsed="false">
      <c r="A3323" s="0" t="s">
        <v>4984</v>
      </c>
      <c r="B3323" s="0" t="s">
        <v>31</v>
      </c>
      <c r="C3323" s="0" t="s">
        <v>1604</v>
      </c>
      <c r="D3323" s="0" t="s">
        <v>63</v>
      </c>
      <c r="E3323" s="2" t="n">
        <v>45764</v>
      </c>
      <c r="F3323" s="3" t="s">
        <v>20</v>
      </c>
      <c r="G3323" s="3" t="s">
        <v>43</v>
      </c>
      <c r="H3323" s="3" t="s">
        <v>22</v>
      </c>
      <c r="I3323" s="3" t="n">
        <f aca="false">YEAR(E3323)</f>
        <v>2025</v>
      </c>
      <c r="J3323" s="3" t="n">
        <f aca="false">MONTH(E3323)</f>
        <v>4</v>
      </c>
      <c r="K3323" s="3" t="n">
        <f aca="false">COUNTIFS($B$2:$B$4077,B3323,$C$2:$C$4077,C3323,$I$2:$I$4077,I3323)</f>
        <v>4</v>
      </c>
      <c r="L3323" s="3" t="n">
        <f aca="false">IF(COUNTIFS($B$2:B3323,B3323,$C$2:C3323,C3323,$I$2:I3323,I3323)=1,1,0)</f>
        <v>0</v>
      </c>
      <c r="M3323" s="3" t="n">
        <f aca="false">IF(K3323&gt;=Parametri!$B$1,1,0)</f>
        <v>1</v>
      </c>
      <c r="N3323" s="3" t="n">
        <f aca="false">L3323*M3323</f>
        <v>0</v>
      </c>
    </row>
    <row r="3324" customFormat="false" ht="15" hidden="false" customHeight="false" outlineLevel="0" collapsed="false">
      <c r="A3324" s="0" t="s">
        <v>4985</v>
      </c>
      <c r="B3324" s="0" t="s">
        <v>57</v>
      </c>
      <c r="C3324" s="0" t="s">
        <v>2434</v>
      </c>
      <c r="D3324" s="0" t="s">
        <v>33</v>
      </c>
      <c r="E3324" s="2" t="n">
        <v>45858</v>
      </c>
      <c r="F3324" s="3" t="s">
        <v>20</v>
      </c>
      <c r="G3324" s="3" t="s">
        <v>89</v>
      </c>
      <c r="H3324" s="3" t="s">
        <v>22</v>
      </c>
      <c r="I3324" s="3" t="n">
        <f aca="false">YEAR(E3324)</f>
        <v>2025</v>
      </c>
      <c r="J3324" s="3" t="n">
        <f aca="false">MONTH(E3324)</f>
        <v>7</v>
      </c>
      <c r="K3324" s="3" t="n">
        <f aca="false">COUNTIFS($B$2:$B$4077,B3324,$C$2:$C$4077,C3324,$I$2:$I$4077,I3324)</f>
        <v>3</v>
      </c>
      <c r="L3324" s="3" t="n">
        <f aca="false">IF(COUNTIFS($B$2:B3324,B3324,$C$2:C3324,C3324,$I$2:I3324,I3324)=1,1,0)</f>
        <v>0</v>
      </c>
      <c r="M3324" s="3" t="n">
        <f aca="false">IF(K3324&gt;=Parametri!$B$1,1,0)</f>
        <v>1</v>
      </c>
      <c r="N3324" s="3" t="n">
        <f aca="false">L3324*M3324</f>
        <v>0</v>
      </c>
    </row>
    <row r="3325" customFormat="false" ht="15" hidden="false" customHeight="false" outlineLevel="0" collapsed="false">
      <c r="A3325" s="0" t="s">
        <v>4986</v>
      </c>
      <c r="B3325" s="0" t="s">
        <v>68</v>
      </c>
      <c r="C3325" s="0" t="s">
        <v>106</v>
      </c>
      <c r="D3325" s="0" t="s">
        <v>63</v>
      </c>
      <c r="E3325" s="2" t="n">
        <v>45489</v>
      </c>
      <c r="F3325" s="3" t="s">
        <v>34</v>
      </c>
      <c r="G3325" s="3" t="s">
        <v>35</v>
      </c>
      <c r="H3325" s="3" t="s">
        <v>44</v>
      </c>
      <c r="I3325" s="3" t="n">
        <f aca="false">YEAR(E3325)</f>
        <v>2024</v>
      </c>
      <c r="J3325" s="3" t="n">
        <f aca="false">MONTH(E3325)</f>
        <v>7</v>
      </c>
      <c r="K3325" s="3" t="n">
        <f aca="false">COUNTIFS($B$2:$B$4077,B3325,$C$2:$C$4077,C3325,$I$2:$I$4077,I3325)</f>
        <v>3</v>
      </c>
      <c r="L3325" s="3" t="n">
        <f aca="false">IF(COUNTIFS($B$2:B3325,B3325,$C$2:C3325,C3325,$I$2:I3325,I3325)=1,1,0)</f>
        <v>0</v>
      </c>
      <c r="M3325" s="3" t="n">
        <f aca="false">IF(K3325&gt;=Parametri!$B$1,1,0)</f>
        <v>1</v>
      </c>
      <c r="N3325" s="3" t="n">
        <f aca="false">L3325*M3325</f>
        <v>0</v>
      </c>
    </row>
    <row r="3326" customFormat="false" ht="15" hidden="false" customHeight="false" outlineLevel="0" collapsed="false">
      <c r="A3326" s="0" t="s">
        <v>4987</v>
      </c>
      <c r="B3326" s="0" t="s">
        <v>124</v>
      </c>
      <c r="C3326" s="0" t="s">
        <v>3585</v>
      </c>
      <c r="D3326" s="0" t="s">
        <v>54</v>
      </c>
      <c r="E3326" s="2" t="n">
        <v>46176</v>
      </c>
      <c r="F3326" s="3" t="s">
        <v>34</v>
      </c>
      <c r="G3326" s="3" t="s">
        <v>72</v>
      </c>
      <c r="H3326" s="3" t="s">
        <v>48</v>
      </c>
      <c r="I3326" s="3" t="n">
        <f aca="false">YEAR(E3326)</f>
        <v>2026</v>
      </c>
      <c r="J3326" s="3" t="n">
        <f aca="false">MONTH(E3326)</f>
        <v>6</v>
      </c>
      <c r="K3326" s="3" t="n">
        <f aca="false">COUNTIFS($B$2:$B$4077,B3326,$C$2:$C$4077,C3326,$I$2:$I$4077,I3326)</f>
        <v>3</v>
      </c>
      <c r="L3326" s="3" t="n">
        <f aca="false">IF(COUNTIFS($B$2:B3326,B3326,$C$2:C3326,C3326,$I$2:I3326,I3326)=1,1,0)</f>
        <v>0</v>
      </c>
      <c r="M3326" s="3" t="n">
        <f aca="false">IF(K3326&gt;=Parametri!$B$1,1,0)</f>
        <v>1</v>
      </c>
      <c r="N3326" s="3" t="n">
        <f aca="false">L3326*M3326</f>
        <v>0</v>
      </c>
    </row>
    <row r="3327" customFormat="false" ht="15" hidden="false" customHeight="false" outlineLevel="0" collapsed="false">
      <c r="A3327" s="0" t="s">
        <v>4988</v>
      </c>
      <c r="B3327" s="0" t="s">
        <v>50</v>
      </c>
      <c r="C3327" s="0" t="s">
        <v>3095</v>
      </c>
      <c r="D3327" s="0" t="s">
        <v>54</v>
      </c>
      <c r="E3327" s="2" t="n">
        <v>45744</v>
      </c>
      <c r="F3327" s="3" t="s">
        <v>34</v>
      </c>
      <c r="G3327" s="3" t="s">
        <v>35</v>
      </c>
      <c r="H3327" s="3" t="s">
        <v>44</v>
      </c>
      <c r="I3327" s="3" t="n">
        <f aca="false">YEAR(E3327)</f>
        <v>2025</v>
      </c>
      <c r="J3327" s="3" t="n">
        <f aca="false">MONTH(E3327)</f>
        <v>3</v>
      </c>
      <c r="K3327" s="3" t="n">
        <f aca="false">COUNTIFS($B$2:$B$4077,B3327,$C$2:$C$4077,C3327,$I$2:$I$4077,I3327)</f>
        <v>1</v>
      </c>
      <c r="L3327" s="3" t="n">
        <f aca="false">IF(COUNTIFS($B$2:B3327,B3327,$C$2:C3327,C3327,$I$2:I3327,I3327)=1,1,0)</f>
        <v>1</v>
      </c>
      <c r="M3327" s="3" t="n">
        <f aca="false">IF(K3327&gt;=Parametri!$B$1,1,0)</f>
        <v>0</v>
      </c>
      <c r="N3327" s="3" t="n">
        <f aca="false">L3327*M3327</f>
        <v>0</v>
      </c>
    </row>
    <row r="3328" customFormat="false" ht="15" hidden="false" customHeight="false" outlineLevel="0" collapsed="false">
      <c r="A3328" s="0" t="s">
        <v>4989</v>
      </c>
      <c r="B3328" s="0" t="s">
        <v>57</v>
      </c>
      <c r="C3328" s="0" t="s">
        <v>225</v>
      </c>
      <c r="D3328" s="0" t="s">
        <v>33</v>
      </c>
      <c r="E3328" s="2" t="n">
        <v>46211</v>
      </c>
      <c r="F3328" s="3" t="s">
        <v>20</v>
      </c>
      <c r="G3328" s="3" t="s">
        <v>39</v>
      </c>
      <c r="H3328" s="3" t="s">
        <v>22</v>
      </c>
      <c r="I3328" s="3" t="n">
        <f aca="false">YEAR(E3328)</f>
        <v>2026</v>
      </c>
      <c r="J3328" s="3" t="n">
        <f aca="false">MONTH(E3328)</f>
        <v>7</v>
      </c>
      <c r="K3328" s="3" t="n">
        <f aca="false">COUNTIFS($B$2:$B$4077,B3328,$C$2:$C$4077,C3328,$I$2:$I$4077,I3328)</f>
        <v>1</v>
      </c>
      <c r="L3328" s="3" t="n">
        <f aca="false">IF(COUNTIFS($B$2:B3328,B3328,$C$2:C3328,C3328,$I$2:I3328,I3328)=1,1,0)</f>
        <v>1</v>
      </c>
      <c r="M3328" s="3" t="n">
        <f aca="false">IF(K3328&gt;=Parametri!$B$1,1,0)</f>
        <v>0</v>
      </c>
      <c r="N3328" s="3" t="n">
        <f aca="false">L3328*M3328</f>
        <v>0</v>
      </c>
    </row>
    <row r="3329" customFormat="false" ht="15" hidden="false" customHeight="false" outlineLevel="0" collapsed="false">
      <c r="A3329" s="0" t="s">
        <v>4990</v>
      </c>
      <c r="B3329" s="0" t="s">
        <v>46</v>
      </c>
      <c r="C3329" s="0" t="s">
        <v>4991</v>
      </c>
      <c r="D3329" s="0" t="s">
        <v>63</v>
      </c>
      <c r="E3329" s="2" t="n">
        <v>45873</v>
      </c>
      <c r="F3329" s="3" t="s">
        <v>27</v>
      </c>
      <c r="G3329" s="3" t="s">
        <v>72</v>
      </c>
      <c r="H3329" s="3" t="s">
        <v>29</v>
      </c>
      <c r="I3329" s="3" t="n">
        <f aca="false">YEAR(E3329)</f>
        <v>2025</v>
      </c>
      <c r="J3329" s="3" t="n">
        <f aca="false">MONTH(E3329)</f>
        <v>8</v>
      </c>
      <c r="K3329" s="3" t="n">
        <f aca="false">COUNTIFS($B$2:$B$4077,B3329,$C$2:$C$4077,C3329,$I$2:$I$4077,I3329)</f>
        <v>1</v>
      </c>
      <c r="L3329" s="3" t="n">
        <f aca="false">IF(COUNTIFS($B$2:B3329,B3329,$C$2:C3329,C3329,$I$2:I3329,I3329)=1,1,0)</f>
        <v>1</v>
      </c>
      <c r="M3329" s="3" t="n">
        <f aca="false">IF(K3329&gt;=Parametri!$B$1,1,0)</f>
        <v>0</v>
      </c>
      <c r="N3329" s="3" t="n">
        <f aca="false">L3329*M3329</f>
        <v>0</v>
      </c>
    </row>
    <row r="3330" customFormat="false" ht="15" hidden="false" customHeight="false" outlineLevel="0" collapsed="false">
      <c r="A3330" s="0" t="s">
        <v>4992</v>
      </c>
      <c r="B3330" s="0" t="s">
        <v>124</v>
      </c>
      <c r="C3330" s="0" t="s">
        <v>235</v>
      </c>
      <c r="D3330" s="0" t="s">
        <v>19</v>
      </c>
      <c r="E3330" s="2" t="n">
        <v>45962</v>
      </c>
      <c r="F3330" s="3" t="s">
        <v>20</v>
      </c>
      <c r="G3330" s="3" t="s">
        <v>39</v>
      </c>
      <c r="H3330" s="3" t="s">
        <v>29</v>
      </c>
      <c r="I3330" s="3" t="n">
        <f aca="false">YEAR(E3330)</f>
        <v>2025</v>
      </c>
      <c r="J3330" s="3" t="n">
        <f aca="false">MONTH(E3330)</f>
        <v>11</v>
      </c>
      <c r="K3330" s="3" t="n">
        <f aca="false">COUNTIFS($B$2:$B$4077,B3330,$C$2:$C$4077,C3330,$I$2:$I$4077,I3330)</f>
        <v>1</v>
      </c>
      <c r="L3330" s="3" t="n">
        <f aca="false">IF(COUNTIFS($B$2:B3330,B3330,$C$2:C3330,C3330,$I$2:I3330,I3330)=1,1,0)</f>
        <v>1</v>
      </c>
      <c r="M3330" s="3" t="n">
        <f aca="false">IF(K3330&gt;=Parametri!$B$1,1,0)</f>
        <v>0</v>
      </c>
      <c r="N3330" s="3" t="n">
        <f aca="false">L3330*M3330</f>
        <v>0</v>
      </c>
    </row>
    <row r="3331" customFormat="false" ht="15" hidden="false" customHeight="false" outlineLevel="0" collapsed="false">
      <c r="A3331" s="0" t="s">
        <v>4993</v>
      </c>
      <c r="B3331" s="0" t="s">
        <v>50</v>
      </c>
      <c r="C3331" s="0" t="s">
        <v>2543</v>
      </c>
      <c r="D3331" s="0" t="s">
        <v>19</v>
      </c>
      <c r="E3331" s="2" t="n">
        <v>45526</v>
      </c>
      <c r="F3331" s="3" t="s">
        <v>20</v>
      </c>
      <c r="G3331" s="3" t="s">
        <v>43</v>
      </c>
      <c r="H3331" s="3" t="s">
        <v>48</v>
      </c>
      <c r="I3331" s="3" t="n">
        <f aca="false">YEAR(E3331)</f>
        <v>2024</v>
      </c>
      <c r="J3331" s="3" t="n">
        <f aca="false">MONTH(E3331)</f>
        <v>8</v>
      </c>
      <c r="K3331" s="3" t="n">
        <f aca="false">COUNTIFS($B$2:$B$4077,B3331,$C$2:$C$4077,C3331,$I$2:$I$4077,I3331)</f>
        <v>1</v>
      </c>
      <c r="L3331" s="3" t="n">
        <f aca="false">IF(COUNTIFS($B$2:B3331,B3331,$C$2:C3331,C3331,$I$2:I3331,I3331)=1,1,0)</f>
        <v>1</v>
      </c>
      <c r="M3331" s="3" t="n">
        <f aca="false">IF(K3331&gt;=Parametri!$B$1,1,0)</f>
        <v>0</v>
      </c>
      <c r="N3331" s="3" t="n">
        <f aca="false">L3331*M3331</f>
        <v>0</v>
      </c>
    </row>
    <row r="3332" customFormat="false" ht="15" hidden="false" customHeight="false" outlineLevel="0" collapsed="false">
      <c r="A3332" s="0" t="s">
        <v>4994</v>
      </c>
      <c r="B3332" s="0" t="s">
        <v>124</v>
      </c>
      <c r="C3332" s="0" t="s">
        <v>710</v>
      </c>
      <c r="D3332" s="0" t="s">
        <v>38</v>
      </c>
      <c r="E3332" s="2" t="n">
        <v>46134</v>
      </c>
      <c r="F3332" s="3" t="s">
        <v>20</v>
      </c>
      <c r="G3332" s="3" t="s">
        <v>43</v>
      </c>
      <c r="H3332" s="3" t="s">
        <v>48</v>
      </c>
      <c r="I3332" s="3" t="n">
        <f aca="false">YEAR(E3332)</f>
        <v>2026</v>
      </c>
      <c r="J3332" s="3" t="n">
        <f aca="false">MONTH(E3332)</f>
        <v>4</v>
      </c>
      <c r="K3332" s="3" t="n">
        <f aca="false">COUNTIFS($B$2:$B$4077,B3332,$C$2:$C$4077,C3332,$I$2:$I$4077,I3332)</f>
        <v>5</v>
      </c>
      <c r="L3332" s="3" t="n">
        <f aca="false">IF(COUNTIFS($B$2:B3332,B3332,$C$2:C3332,C3332,$I$2:I3332,I3332)=1,1,0)</f>
        <v>0</v>
      </c>
      <c r="M3332" s="3" t="n">
        <f aca="false">IF(K3332&gt;=Parametri!$B$1,1,0)</f>
        <v>1</v>
      </c>
      <c r="N3332" s="3" t="n">
        <f aca="false">L3332*M3332</f>
        <v>0</v>
      </c>
    </row>
    <row r="3333" customFormat="false" ht="15" hidden="false" customHeight="false" outlineLevel="0" collapsed="false">
      <c r="A3333" s="0" t="s">
        <v>4995</v>
      </c>
      <c r="B3333" s="0" t="s">
        <v>124</v>
      </c>
      <c r="C3333" s="0" t="s">
        <v>4996</v>
      </c>
      <c r="D3333" s="0" t="s">
        <v>33</v>
      </c>
      <c r="E3333" s="2" t="n">
        <v>45651</v>
      </c>
      <c r="F3333" s="3" t="s">
        <v>20</v>
      </c>
      <c r="G3333" s="3" t="s">
        <v>89</v>
      </c>
      <c r="H3333" s="3" t="s">
        <v>29</v>
      </c>
      <c r="I3333" s="3" t="n">
        <f aca="false">YEAR(E3333)</f>
        <v>2024</v>
      </c>
      <c r="J3333" s="3" t="n">
        <f aca="false">MONTH(E3333)</f>
        <v>12</v>
      </c>
      <c r="K3333" s="3" t="n">
        <f aca="false">COUNTIFS($B$2:$B$4077,B3333,$C$2:$C$4077,C3333,$I$2:$I$4077,I3333)</f>
        <v>1</v>
      </c>
      <c r="L3333" s="3" t="n">
        <f aca="false">IF(COUNTIFS($B$2:B3333,B3333,$C$2:C3333,C3333,$I$2:I3333,I3333)=1,1,0)</f>
        <v>1</v>
      </c>
      <c r="M3333" s="3" t="n">
        <f aca="false">IF(K3333&gt;=Parametri!$B$1,1,0)</f>
        <v>0</v>
      </c>
      <c r="N3333" s="3" t="n">
        <f aca="false">L3333*M3333</f>
        <v>0</v>
      </c>
    </row>
    <row r="3334" customFormat="false" ht="15" hidden="false" customHeight="false" outlineLevel="0" collapsed="false">
      <c r="A3334" s="0" t="s">
        <v>4997</v>
      </c>
      <c r="B3334" s="0" t="s">
        <v>50</v>
      </c>
      <c r="C3334" s="0" t="s">
        <v>1781</v>
      </c>
      <c r="D3334" s="0" t="s">
        <v>38</v>
      </c>
      <c r="E3334" s="2" t="n">
        <v>45510</v>
      </c>
      <c r="F3334" s="3" t="s">
        <v>20</v>
      </c>
      <c r="G3334" s="3" t="s">
        <v>55</v>
      </c>
      <c r="H3334" s="3" t="s">
        <v>29</v>
      </c>
      <c r="I3334" s="3" t="n">
        <f aca="false">YEAR(E3334)</f>
        <v>2024</v>
      </c>
      <c r="J3334" s="3" t="n">
        <f aca="false">MONTH(E3334)</f>
        <v>8</v>
      </c>
      <c r="K3334" s="3" t="n">
        <f aca="false">COUNTIFS($B$2:$B$4077,B3334,$C$2:$C$4077,C3334,$I$2:$I$4077,I3334)</f>
        <v>1</v>
      </c>
      <c r="L3334" s="3" t="n">
        <f aca="false">IF(COUNTIFS($B$2:B3334,B3334,$C$2:C3334,C3334,$I$2:I3334,I3334)=1,1,0)</f>
        <v>1</v>
      </c>
      <c r="M3334" s="3" t="n">
        <f aca="false">IF(K3334&gt;=Parametri!$B$1,1,0)</f>
        <v>0</v>
      </c>
      <c r="N3334" s="3" t="n">
        <f aca="false">L3334*M3334</f>
        <v>0</v>
      </c>
    </row>
    <row r="3335" customFormat="false" ht="15" hidden="false" customHeight="false" outlineLevel="0" collapsed="false">
      <c r="A3335" s="0" t="s">
        <v>4998</v>
      </c>
      <c r="B3335" s="0" t="s">
        <v>31</v>
      </c>
      <c r="C3335" s="0" t="s">
        <v>3170</v>
      </c>
      <c r="D3335" s="0" t="s">
        <v>54</v>
      </c>
      <c r="E3335" s="2" t="n">
        <v>46021</v>
      </c>
      <c r="F3335" s="3" t="s">
        <v>20</v>
      </c>
      <c r="G3335" s="3" t="s">
        <v>72</v>
      </c>
      <c r="H3335" s="3" t="s">
        <v>22</v>
      </c>
      <c r="I3335" s="3" t="n">
        <f aca="false">YEAR(E3335)</f>
        <v>2025</v>
      </c>
      <c r="J3335" s="3" t="n">
        <f aca="false">MONTH(E3335)</f>
        <v>12</v>
      </c>
      <c r="K3335" s="3" t="n">
        <f aca="false">COUNTIFS($B$2:$B$4077,B3335,$C$2:$C$4077,C3335,$I$2:$I$4077,I3335)</f>
        <v>2</v>
      </c>
      <c r="L3335" s="3" t="n">
        <f aca="false">IF(COUNTIFS($B$2:B3335,B3335,$C$2:C3335,C3335,$I$2:I3335,I3335)=1,1,0)</f>
        <v>0</v>
      </c>
      <c r="M3335" s="3" t="n">
        <f aca="false">IF(K3335&gt;=Parametri!$B$1,1,0)</f>
        <v>1</v>
      </c>
      <c r="N3335" s="3" t="n">
        <f aca="false">L3335*M3335</f>
        <v>0</v>
      </c>
    </row>
    <row r="3336" customFormat="false" ht="15" hidden="false" customHeight="false" outlineLevel="0" collapsed="false">
      <c r="A3336" s="0" t="s">
        <v>4999</v>
      </c>
      <c r="B3336" s="0" t="s">
        <v>50</v>
      </c>
      <c r="C3336" s="0" t="s">
        <v>5000</v>
      </c>
      <c r="D3336" s="0" t="s">
        <v>77</v>
      </c>
      <c r="E3336" s="2" t="n">
        <v>45576</v>
      </c>
      <c r="F3336" s="3" t="s">
        <v>27</v>
      </c>
      <c r="G3336" s="3" t="s">
        <v>21</v>
      </c>
      <c r="H3336" s="3" t="s">
        <v>22</v>
      </c>
      <c r="I3336" s="3" t="n">
        <f aca="false">YEAR(E3336)</f>
        <v>2024</v>
      </c>
      <c r="J3336" s="3" t="n">
        <f aca="false">MONTH(E3336)</f>
        <v>10</v>
      </c>
      <c r="K3336" s="3" t="n">
        <f aca="false">COUNTIFS($B$2:$B$4077,B3336,$C$2:$C$4077,C3336,$I$2:$I$4077,I3336)</f>
        <v>1</v>
      </c>
      <c r="L3336" s="3" t="n">
        <f aca="false">IF(COUNTIFS($B$2:B3336,B3336,$C$2:C3336,C3336,$I$2:I3336,I3336)=1,1,0)</f>
        <v>1</v>
      </c>
      <c r="M3336" s="3" t="n">
        <f aca="false">IF(K3336&gt;=Parametri!$B$1,1,0)</f>
        <v>0</v>
      </c>
      <c r="N3336" s="3" t="n">
        <f aca="false">L3336*M3336</f>
        <v>0</v>
      </c>
    </row>
    <row r="3337" customFormat="false" ht="15" hidden="false" customHeight="false" outlineLevel="0" collapsed="false">
      <c r="A3337" s="0" t="s">
        <v>5001</v>
      </c>
      <c r="B3337" s="0" t="s">
        <v>17</v>
      </c>
      <c r="C3337" s="0" t="s">
        <v>985</v>
      </c>
      <c r="D3337" s="0" t="s">
        <v>54</v>
      </c>
      <c r="E3337" s="2" t="n">
        <v>45359</v>
      </c>
      <c r="F3337" s="3" t="s">
        <v>20</v>
      </c>
      <c r="G3337" s="3" t="s">
        <v>28</v>
      </c>
      <c r="H3337" s="3" t="s">
        <v>29</v>
      </c>
      <c r="I3337" s="3" t="n">
        <f aca="false">YEAR(E3337)</f>
        <v>2024</v>
      </c>
      <c r="J3337" s="3" t="n">
        <f aca="false">MONTH(E3337)</f>
        <v>3</v>
      </c>
      <c r="K3337" s="3" t="n">
        <f aca="false">COUNTIFS($B$2:$B$4077,B3337,$C$2:$C$4077,C3337,$I$2:$I$4077,I3337)</f>
        <v>3</v>
      </c>
      <c r="L3337" s="3" t="n">
        <f aca="false">IF(COUNTIFS($B$2:B3337,B3337,$C$2:C3337,C3337,$I$2:I3337,I3337)=1,1,0)</f>
        <v>0</v>
      </c>
      <c r="M3337" s="3" t="n">
        <f aca="false">IF(K3337&gt;=Parametri!$B$1,1,0)</f>
        <v>1</v>
      </c>
      <c r="N3337" s="3" t="n">
        <f aca="false">L3337*M3337</f>
        <v>0</v>
      </c>
    </row>
    <row r="3338" customFormat="false" ht="15" hidden="false" customHeight="false" outlineLevel="0" collapsed="false">
      <c r="A3338" s="0" t="s">
        <v>5002</v>
      </c>
      <c r="B3338" s="0" t="s">
        <v>124</v>
      </c>
      <c r="C3338" s="0" t="s">
        <v>4136</v>
      </c>
      <c r="D3338" s="0" t="s">
        <v>26</v>
      </c>
      <c r="E3338" s="2" t="n">
        <v>45480</v>
      </c>
      <c r="F3338" s="3" t="s">
        <v>34</v>
      </c>
      <c r="G3338" s="3" t="s">
        <v>35</v>
      </c>
      <c r="H3338" s="3" t="s">
        <v>44</v>
      </c>
      <c r="I3338" s="3" t="n">
        <f aca="false">YEAR(E3338)</f>
        <v>2024</v>
      </c>
      <c r="J3338" s="3" t="n">
        <f aca="false">MONTH(E3338)</f>
        <v>7</v>
      </c>
      <c r="K3338" s="3" t="n">
        <f aca="false">COUNTIFS($B$2:$B$4077,B3338,$C$2:$C$4077,C3338,$I$2:$I$4077,I3338)</f>
        <v>1</v>
      </c>
      <c r="L3338" s="3" t="n">
        <f aca="false">IF(COUNTIFS($B$2:B3338,B3338,$C$2:C3338,C3338,$I$2:I3338,I3338)=1,1,0)</f>
        <v>1</v>
      </c>
      <c r="M3338" s="3" t="n">
        <f aca="false">IF(K3338&gt;=Parametri!$B$1,1,0)</f>
        <v>0</v>
      </c>
      <c r="N3338" s="3" t="n">
        <f aca="false">L3338*M3338</f>
        <v>0</v>
      </c>
    </row>
    <row r="3339" customFormat="false" ht="15" hidden="false" customHeight="false" outlineLevel="0" collapsed="false">
      <c r="A3339" s="0" t="s">
        <v>5003</v>
      </c>
      <c r="B3339" s="0" t="s">
        <v>50</v>
      </c>
      <c r="C3339" s="0" t="s">
        <v>5004</v>
      </c>
      <c r="D3339" s="0" t="s">
        <v>33</v>
      </c>
      <c r="E3339" s="2" t="n">
        <v>45800</v>
      </c>
      <c r="F3339" s="3" t="s">
        <v>27</v>
      </c>
      <c r="G3339" s="3" t="s">
        <v>72</v>
      </c>
      <c r="H3339" s="3" t="s">
        <v>48</v>
      </c>
      <c r="I3339" s="3" t="n">
        <f aca="false">YEAR(E3339)</f>
        <v>2025</v>
      </c>
      <c r="J3339" s="3" t="n">
        <f aca="false">MONTH(E3339)</f>
        <v>5</v>
      </c>
      <c r="K3339" s="3" t="n">
        <f aca="false">COUNTIFS($B$2:$B$4077,B3339,$C$2:$C$4077,C3339,$I$2:$I$4077,I3339)</f>
        <v>1</v>
      </c>
      <c r="L3339" s="3" t="n">
        <f aca="false">IF(COUNTIFS($B$2:B3339,B3339,$C$2:C3339,C3339,$I$2:I3339,I3339)=1,1,0)</f>
        <v>1</v>
      </c>
      <c r="M3339" s="3" t="n">
        <f aca="false">IF(K3339&gt;=Parametri!$B$1,1,0)</f>
        <v>0</v>
      </c>
      <c r="N3339" s="3" t="n">
        <f aca="false">L3339*M3339</f>
        <v>0</v>
      </c>
    </row>
    <row r="3340" customFormat="false" ht="15" hidden="false" customHeight="false" outlineLevel="0" collapsed="false">
      <c r="A3340" s="0" t="s">
        <v>5005</v>
      </c>
      <c r="B3340" s="0" t="s">
        <v>57</v>
      </c>
      <c r="C3340" s="0" t="s">
        <v>5006</v>
      </c>
      <c r="D3340" s="0" t="s">
        <v>38</v>
      </c>
      <c r="E3340" s="2" t="n">
        <v>45876</v>
      </c>
      <c r="F3340" s="3" t="s">
        <v>20</v>
      </c>
      <c r="G3340" s="3" t="s">
        <v>35</v>
      </c>
      <c r="H3340" s="3" t="s">
        <v>48</v>
      </c>
      <c r="I3340" s="3" t="n">
        <f aca="false">YEAR(E3340)</f>
        <v>2025</v>
      </c>
      <c r="J3340" s="3" t="n">
        <f aca="false">MONTH(E3340)</f>
        <v>8</v>
      </c>
      <c r="K3340" s="3" t="n">
        <f aca="false">COUNTIFS($B$2:$B$4077,B3340,$C$2:$C$4077,C3340,$I$2:$I$4077,I3340)</f>
        <v>1</v>
      </c>
      <c r="L3340" s="3" t="n">
        <f aca="false">IF(COUNTIFS($B$2:B3340,B3340,$C$2:C3340,C3340,$I$2:I3340,I3340)=1,1,0)</f>
        <v>1</v>
      </c>
      <c r="M3340" s="3" t="n">
        <f aca="false">IF(K3340&gt;=Parametri!$B$1,1,0)</f>
        <v>0</v>
      </c>
      <c r="N3340" s="3" t="n">
        <f aca="false">L3340*M3340</f>
        <v>0</v>
      </c>
    </row>
    <row r="3341" customFormat="false" ht="15" hidden="false" customHeight="false" outlineLevel="0" collapsed="false">
      <c r="A3341" s="0" t="s">
        <v>5007</v>
      </c>
      <c r="B3341" s="0" t="s">
        <v>46</v>
      </c>
      <c r="C3341" s="0" t="s">
        <v>5008</v>
      </c>
      <c r="D3341" s="0" t="s">
        <v>54</v>
      </c>
      <c r="E3341" s="2" t="n">
        <v>45776</v>
      </c>
      <c r="F3341" s="3" t="s">
        <v>20</v>
      </c>
      <c r="G3341" s="3" t="s">
        <v>55</v>
      </c>
      <c r="H3341" s="3" t="s">
        <v>48</v>
      </c>
      <c r="I3341" s="3" t="n">
        <f aca="false">YEAR(E3341)</f>
        <v>2025</v>
      </c>
      <c r="J3341" s="3" t="n">
        <f aca="false">MONTH(E3341)</f>
        <v>4</v>
      </c>
      <c r="K3341" s="3" t="n">
        <f aca="false">COUNTIFS($B$2:$B$4077,B3341,$C$2:$C$4077,C3341,$I$2:$I$4077,I3341)</f>
        <v>1</v>
      </c>
      <c r="L3341" s="3" t="n">
        <f aca="false">IF(COUNTIFS($B$2:B3341,B3341,$C$2:C3341,C3341,$I$2:I3341,I3341)=1,1,0)</f>
        <v>1</v>
      </c>
      <c r="M3341" s="3" t="n">
        <f aca="false">IF(K3341&gt;=Parametri!$B$1,1,0)</f>
        <v>0</v>
      </c>
      <c r="N3341" s="3" t="n">
        <f aca="false">L3341*M3341</f>
        <v>0</v>
      </c>
    </row>
    <row r="3342" customFormat="false" ht="15" hidden="false" customHeight="false" outlineLevel="0" collapsed="false">
      <c r="A3342" s="0" t="s">
        <v>5009</v>
      </c>
      <c r="B3342" s="0" t="s">
        <v>50</v>
      </c>
      <c r="C3342" s="0" t="s">
        <v>2438</v>
      </c>
      <c r="D3342" s="0" t="s">
        <v>26</v>
      </c>
      <c r="E3342" s="2" t="n">
        <v>45440</v>
      </c>
      <c r="F3342" s="3" t="s">
        <v>27</v>
      </c>
      <c r="G3342" s="3" t="s">
        <v>89</v>
      </c>
      <c r="H3342" s="3" t="s">
        <v>44</v>
      </c>
      <c r="I3342" s="3" t="n">
        <f aca="false">YEAR(E3342)</f>
        <v>2024</v>
      </c>
      <c r="J3342" s="3" t="n">
        <f aca="false">MONTH(E3342)</f>
        <v>5</v>
      </c>
      <c r="K3342" s="3" t="n">
        <f aca="false">COUNTIFS($B$2:$B$4077,B3342,$C$2:$C$4077,C3342,$I$2:$I$4077,I3342)</f>
        <v>2</v>
      </c>
      <c r="L3342" s="3" t="n">
        <f aca="false">IF(COUNTIFS($B$2:B3342,B3342,$C$2:C3342,C3342,$I$2:I3342,I3342)=1,1,0)</f>
        <v>0</v>
      </c>
      <c r="M3342" s="3" t="n">
        <f aca="false">IF(K3342&gt;=Parametri!$B$1,1,0)</f>
        <v>1</v>
      </c>
      <c r="N3342" s="3" t="n">
        <f aca="false">L3342*M3342</f>
        <v>0</v>
      </c>
    </row>
    <row r="3343" customFormat="false" ht="15" hidden="false" customHeight="false" outlineLevel="0" collapsed="false">
      <c r="A3343" s="0" t="s">
        <v>5010</v>
      </c>
      <c r="B3343" s="0" t="s">
        <v>24</v>
      </c>
      <c r="C3343" s="0" t="s">
        <v>5011</v>
      </c>
      <c r="D3343" s="0" t="s">
        <v>54</v>
      </c>
      <c r="E3343" s="2" t="n">
        <v>45457</v>
      </c>
      <c r="F3343" s="3" t="s">
        <v>27</v>
      </c>
      <c r="G3343" s="3" t="s">
        <v>43</v>
      </c>
      <c r="H3343" s="3" t="s">
        <v>29</v>
      </c>
      <c r="I3343" s="3" t="n">
        <f aca="false">YEAR(E3343)</f>
        <v>2024</v>
      </c>
      <c r="J3343" s="3" t="n">
        <f aca="false">MONTH(E3343)</f>
        <v>6</v>
      </c>
      <c r="K3343" s="3" t="n">
        <f aca="false">COUNTIFS($B$2:$B$4077,B3343,$C$2:$C$4077,C3343,$I$2:$I$4077,I3343)</f>
        <v>2</v>
      </c>
      <c r="L3343" s="3" t="n">
        <f aca="false">IF(COUNTIFS($B$2:B3343,B3343,$C$2:C3343,C3343,$I$2:I3343,I3343)=1,1,0)</f>
        <v>1</v>
      </c>
      <c r="M3343" s="3" t="n">
        <f aca="false">IF(K3343&gt;=Parametri!$B$1,1,0)</f>
        <v>1</v>
      </c>
      <c r="N3343" s="3" t="n">
        <f aca="false">L3343*M3343</f>
        <v>1</v>
      </c>
    </row>
    <row r="3344" customFormat="false" ht="15" hidden="false" customHeight="false" outlineLevel="0" collapsed="false">
      <c r="A3344" s="0" t="s">
        <v>5012</v>
      </c>
      <c r="B3344" s="0" t="s">
        <v>31</v>
      </c>
      <c r="C3344" s="0" t="s">
        <v>5013</v>
      </c>
      <c r="D3344" s="0" t="s">
        <v>26</v>
      </c>
      <c r="E3344" s="2" t="n">
        <v>45661</v>
      </c>
      <c r="F3344" s="3" t="s">
        <v>20</v>
      </c>
      <c r="G3344" s="3" t="s">
        <v>28</v>
      </c>
      <c r="H3344" s="3" t="s">
        <v>48</v>
      </c>
      <c r="I3344" s="3" t="n">
        <f aca="false">YEAR(E3344)</f>
        <v>2025</v>
      </c>
      <c r="J3344" s="3" t="n">
        <f aca="false">MONTH(E3344)</f>
        <v>1</v>
      </c>
      <c r="K3344" s="3" t="n">
        <f aca="false">COUNTIFS($B$2:$B$4077,B3344,$C$2:$C$4077,C3344,$I$2:$I$4077,I3344)</f>
        <v>1</v>
      </c>
      <c r="L3344" s="3" t="n">
        <f aca="false">IF(COUNTIFS($B$2:B3344,B3344,$C$2:C3344,C3344,$I$2:I3344,I3344)=1,1,0)</f>
        <v>1</v>
      </c>
      <c r="M3344" s="3" t="n">
        <f aca="false">IF(K3344&gt;=Parametri!$B$1,1,0)</f>
        <v>0</v>
      </c>
      <c r="N3344" s="3" t="n">
        <f aca="false">L3344*M3344</f>
        <v>0</v>
      </c>
    </row>
    <row r="3345" customFormat="false" ht="15" hidden="false" customHeight="false" outlineLevel="0" collapsed="false">
      <c r="A3345" s="0" t="s">
        <v>5014</v>
      </c>
      <c r="B3345" s="0" t="s">
        <v>79</v>
      </c>
      <c r="C3345" s="0" t="s">
        <v>417</v>
      </c>
      <c r="D3345" s="0" t="s">
        <v>38</v>
      </c>
      <c r="E3345" s="2" t="n">
        <v>45477</v>
      </c>
      <c r="F3345" s="3" t="s">
        <v>20</v>
      </c>
      <c r="G3345" s="3" t="s">
        <v>21</v>
      </c>
      <c r="H3345" s="3" t="s">
        <v>22</v>
      </c>
      <c r="I3345" s="3" t="n">
        <f aca="false">YEAR(E3345)</f>
        <v>2024</v>
      </c>
      <c r="J3345" s="3" t="n">
        <f aca="false">MONTH(E3345)</f>
        <v>7</v>
      </c>
      <c r="K3345" s="3" t="n">
        <f aca="false">COUNTIFS($B$2:$B$4077,B3345,$C$2:$C$4077,C3345,$I$2:$I$4077,I3345)</f>
        <v>2</v>
      </c>
      <c r="L3345" s="3" t="n">
        <f aca="false">IF(COUNTIFS($B$2:B3345,B3345,$C$2:C3345,C3345,$I$2:I3345,I3345)=1,1,0)</f>
        <v>0</v>
      </c>
      <c r="M3345" s="3" t="n">
        <f aca="false">IF(K3345&gt;=Parametri!$B$1,1,0)</f>
        <v>1</v>
      </c>
      <c r="N3345" s="3" t="n">
        <f aca="false">L3345*M3345</f>
        <v>0</v>
      </c>
    </row>
    <row r="3346" customFormat="false" ht="15" hidden="false" customHeight="false" outlineLevel="0" collapsed="false">
      <c r="A3346" s="0" t="s">
        <v>5015</v>
      </c>
      <c r="B3346" s="0" t="s">
        <v>124</v>
      </c>
      <c r="C3346" s="0" t="s">
        <v>410</v>
      </c>
      <c r="D3346" s="0" t="s">
        <v>66</v>
      </c>
      <c r="E3346" s="2" t="n">
        <v>45452</v>
      </c>
      <c r="F3346" s="3" t="s">
        <v>34</v>
      </c>
      <c r="G3346" s="3" t="s">
        <v>55</v>
      </c>
      <c r="H3346" s="3" t="s">
        <v>44</v>
      </c>
      <c r="I3346" s="3" t="n">
        <f aca="false">YEAR(E3346)</f>
        <v>2024</v>
      </c>
      <c r="J3346" s="3" t="n">
        <f aca="false">MONTH(E3346)</f>
        <v>6</v>
      </c>
      <c r="K3346" s="3" t="n">
        <f aca="false">COUNTIFS($B$2:$B$4077,B3346,$C$2:$C$4077,C3346,$I$2:$I$4077,I3346)</f>
        <v>4</v>
      </c>
      <c r="L3346" s="3" t="n">
        <f aca="false">IF(COUNTIFS($B$2:B3346,B3346,$C$2:C3346,C3346,$I$2:I3346,I3346)=1,1,0)</f>
        <v>0</v>
      </c>
      <c r="M3346" s="3" t="n">
        <f aca="false">IF(K3346&gt;=Parametri!$B$1,1,0)</f>
        <v>1</v>
      </c>
      <c r="N3346" s="3" t="n">
        <f aca="false">L3346*M3346</f>
        <v>0</v>
      </c>
    </row>
    <row r="3347" customFormat="false" ht="15" hidden="false" customHeight="false" outlineLevel="0" collapsed="false">
      <c r="A3347" s="0" t="s">
        <v>5016</v>
      </c>
      <c r="B3347" s="0" t="s">
        <v>24</v>
      </c>
      <c r="C3347" s="0" t="s">
        <v>960</v>
      </c>
      <c r="D3347" s="0" t="s">
        <v>19</v>
      </c>
      <c r="E3347" s="2" t="n">
        <v>45316</v>
      </c>
      <c r="F3347" s="3" t="s">
        <v>34</v>
      </c>
      <c r="G3347" s="3" t="s">
        <v>89</v>
      </c>
      <c r="H3347" s="3" t="s">
        <v>22</v>
      </c>
      <c r="I3347" s="3" t="n">
        <f aca="false">YEAR(E3347)</f>
        <v>2024</v>
      </c>
      <c r="J3347" s="3" t="n">
        <f aca="false">MONTH(E3347)</f>
        <v>1</v>
      </c>
      <c r="K3347" s="3" t="n">
        <f aca="false">COUNTIFS($B$2:$B$4077,B3347,$C$2:$C$4077,C3347,$I$2:$I$4077,I3347)</f>
        <v>1</v>
      </c>
      <c r="L3347" s="3" t="n">
        <f aca="false">IF(COUNTIFS($B$2:B3347,B3347,$C$2:C3347,C3347,$I$2:I3347,I3347)=1,1,0)</f>
        <v>1</v>
      </c>
      <c r="M3347" s="3" t="n">
        <f aca="false">IF(K3347&gt;=Parametri!$B$1,1,0)</f>
        <v>0</v>
      </c>
      <c r="N3347" s="3" t="n">
        <f aca="false">L3347*M3347</f>
        <v>0</v>
      </c>
    </row>
    <row r="3348" customFormat="false" ht="15" hidden="false" customHeight="false" outlineLevel="0" collapsed="false">
      <c r="A3348" s="0" t="s">
        <v>5017</v>
      </c>
      <c r="B3348" s="0" t="s">
        <v>31</v>
      </c>
      <c r="C3348" s="0" t="s">
        <v>1974</v>
      </c>
      <c r="D3348" s="0" t="s">
        <v>38</v>
      </c>
      <c r="E3348" s="2" t="n">
        <v>45890</v>
      </c>
      <c r="F3348" s="3" t="s">
        <v>20</v>
      </c>
      <c r="G3348" s="3" t="s">
        <v>89</v>
      </c>
      <c r="H3348" s="3" t="s">
        <v>22</v>
      </c>
      <c r="I3348" s="3" t="n">
        <f aca="false">YEAR(E3348)</f>
        <v>2025</v>
      </c>
      <c r="J3348" s="3" t="n">
        <f aca="false">MONTH(E3348)</f>
        <v>8</v>
      </c>
      <c r="K3348" s="3" t="n">
        <f aca="false">COUNTIFS($B$2:$B$4077,B3348,$C$2:$C$4077,C3348,$I$2:$I$4077,I3348)</f>
        <v>3</v>
      </c>
      <c r="L3348" s="3" t="n">
        <f aca="false">IF(COUNTIFS($B$2:B3348,B3348,$C$2:C3348,C3348,$I$2:I3348,I3348)=1,1,0)</f>
        <v>0</v>
      </c>
      <c r="M3348" s="3" t="n">
        <f aca="false">IF(K3348&gt;=Parametri!$B$1,1,0)</f>
        <v>1</v>
      </c>
      <c r="N3348" s="3" t="n">
        <f aca="false">L3348*M3348</f>
        <v>0</v>
      </c>
    </row>
    <row r="3349" customFormat="false" ht="15" hidden="false" customHeight="false" outlineLevel="0" collapsed="false">
      <c r="A3349" s="0" t="s">
        <v>5018</v>
      </c>
      <c r="B3349" s="0" t="s">
        <v>24</v>
      </c>
      <c r="C3349" s="0" t="s">
        <v>3062</v>
      </c>
      <c r="D3349" s="0" t="s">
        <v>77</v>
      </c>
      <c r="E3349" s="2" t="n">
        <v>46169</v>
      </c>
      <c r="F3349" s="3" t="s">
        <v>20</v>
      </c>
      <c r="G3349" s="3" t="s">
        <v>28</v>
      </c>
      <c r="H3349" s="3" t="s">
        <v>44</v>
      </c>
      <c r="I3349" s="3" t="n">
        <f aca="false">YEAR(E3349)</f>
        <v>2026</v>
      </c>
      <c r="J3349" s="3" t="n">
        <f aca="false">MONTH(E3349)</f>
        <v>5</v>
      </c>
      <c r="K3349" s="3" t="n">
        <f aca="false">COUNTIFS($B$2:$B$4077,B3349,$C$2:$C$4077,C3349,$I$2:$I$4077,I3349)</f>
        <v>2</v>
      </c>
      <c r="L3349" s="3" t="n">
        <f aca="false">IF(COUNTIFS($B$2:B3349,B3349,$C$2:C3349,C3349,$I$2:I3349,I3349)=1,1,0)</f>
        <v>0</v>
      </c>
      <c r="M3349" s="3" t="n">
        <f aca="false">IF(K3349&gt;=Parametri!$B$1,1,0)</f>
        <v>1</v>
      </c>
      <c r="N3349" s="3" t="n">
        <f aca="false">L3349*M3349</f>
        <v>0</v>
      </c>
    </row>
    <row r="3350" customFormat="false" ht="15" hidden="false" customHeight="false" outlineLevel="0" collapsed="false">
      <c r="A3350" s="0" t="s">
        <v>5019</v>
      </c>
      <c r="B3350" s="0" t="s">
        <v>41</v>
      </c>
      <c r="C3350" s="0" t="s">
        <v>3731</v>
      </c>
      <c r="D3350" s="0" t="s">
        <v>26</v>
      </c>
      <c r="E3350" s="2" t="n">
        <v>45699</v>
      </c>
      <c r="F3350" s="3" t="s">
        <v>20</v>
      </c>
      <c r="G3350" s="3" t="s">
        <v>35</v>
      </c>
      <c r="H3350" s="3" t="s">
        <v>22</v>
      </c>
      <c r="I3350" s="3" t="n">
        <f aca="false">YEAR(E3350)</f>
        <v>2025</v>
      </c>
      <c r="J3350" s="3" t="n">
        <f aca="false">MONTH(E3350)</f>
        <v>2</v>
      </c>
      <c r="K3350" s="3" t="n">
        <f aca="false">COUNTIFS($B$2:$B$4077,B3350,$C$2:$C$4077,C3350,$I$2:$I$4077,I3350)</f>
        <v>1</v>
      </c>
      <c r="L3350" s="3" t="n">
        <f aca="false">IF(COUNTIFS($B$2:B3350,B3350,$C$2:C3350,C3350,$I$2:I3350,I3350)=1,1,0)</f>
        <v>1</v>
      </c>
      <c r="M3350" s="3" t="n">
        <f aca="false">IF(K3350&gt;=Parametri!$B$1,1,0)</f>
        <v>0</v>
      </c>
      <c r="N3350" s="3" t="n">
        <f aca="false">L3350*M3350</f>
        <v>0</v>
      </c>
    </row>
    <row r="3351" customFormat="false" ht="15" hidden="false" customHeight="false" outlineLevel="0" collapsed="false">
      <c r="A3351" s="0" t="s">
        <v>5020</v>
      </c>
      <c r="B3351" s="0" t="s">
        <v>50</v>
      </c>
      <c r="C3351" s="0" t="s">
        <v>3246</v>
      </c>
      <c r="D3351" s="0" t="s">
        <v>54</v>
      </c>
      <c r="E3351" s="2" t="n">
        <v>45897</v>
      </c>
      <c r="F3351" s="3" t="s">
        <v>27</v>
      </c>
      <c r="G3351" s="3" t="s">
        <v>39</v>
      </c>
      <c r="H3351" s="3" t="s">
        <v>48</v>
      </c>
      <c r="I3351" s="3" t="n">
        <f aca="false">YEAR(E3351)</f>
        <v>2025</v>
      </c>
      <c r="J3351" s="3" t="n">
        <f aca="false">MONTH(E3351)</f>
        <v>8</v>
      </c>
      <c r="K3351" s="3" t="n">
        <f aca="false">COUNTIFS($B$2:$B$4077,B3351,$C$2:$C$4077,C3351,$I$2:$I$4077,I3351)</f>
        <v>3</v>
      </c>
      <c r="L3351" s="3" t="n">
        <f aca="false">IF(COUNTIFS($B$2:B3351,B3351,$C$2:C3351,C3351,$I$2:I3351,I3351)=1,1,0)</f>
        <v>0</v>
      </c>
      <c r="M3351" s="3" t="n">
        <f aca="false">IF(K3351&gt;=Parametri!$B$1,1,0)</f>
        <v>1</v>
      </c>
      <c r="N3351" s="3" t="n">
        <f aca="false">L3351*M3351</f>
        <v>0</v>
      </c>
    </row>
    <row r="3352" customFormat="false" ht="15" hidden="false" customHeight="false" outlineLevel="0" collapsed="false">
      <c r="A3352" s="0" t="s">
        <v>5021</v>
      </c>
      <c r="B3352" s="0" t="s">
        <v>41</v>
      </c>
      <c r="C3352" s="0" t="s">
        <v>5022</v>
      </c>
      <c r="D3352" s="0" t="s">
        <v>33</v>
      </c>
      <c r="E3352" s="2" t="n">
        <v>45553</v>
      </c>
      <c r="F3352" s="3" t="s">
        <v>27</v>
      </c>
      <c r="G3352" s="3" t="s">
        <v>72</v>
      </c>
      <c r="H3352" s="3" t="s">
        <v>48</v>
      </c>
      <c r="I3352" s="3" t="n">
        <f aca="false">YEAR(E3352)</f>
        <v>2024</v>
      </c>
      <c r="J3352" s="3" t="n">
        <f aca="false">MONTH(E3352)</f>
        <v>9</v>
      </c>
      <c r="K3352" s="3" t="n">
        <f aca="false">COUNTIFS($B$2:$B$4077,B3352,$C$2:$C$4077,C3352,$I$2:$I$4077,I3352)</f>
        <v>1</v>
      </c>
      <c r="L3352" s="3" t="n">
        <f aca="false">IF(COUNTIFS($B$2:B3352,B3352,$C$2:C3352,C3352,$I$2:I3352,I3352)=1,1,0)</f>
        <v>1</v>
      </c>
      <c r="M3352" s="3" t="n">
        <f aca="false">IF(K3352&gt;=Parametri!$B$1,1,0)</f>
        <v>0</v>
      </c>
      <c r="N3352" s="3" t="n">
        <f aca="false">L3352*M3352</f>
        <v>0</v>
      </c>
    </row>
    <row r="3353" customFormat="false" ht="15" hidden="false" customHeight="false" outlineLevel="0" collapsed="false">
      <c r="A3353" s="0" t="s">
        <v>5023</v>
      </c>
      <c r="B3353" s="0" t="s">
        <v>50</v>
      </c>
      <c r="C3353" s="0" t="s">
        <v>5024</v>
      </c>
      <c r="D3353" s="0" t="s">
        <v>54</v>
      </c>
      <c r="E3353" s="2" t="n">
        <v>45699</v>
      </c>
      <c r="F3353" s="3" t="s">
        <v>20</v>
      </c>
      <c r="G3353" s="3" t="s">
        <v>104</v>
      </c>
      <c r="H3353" s="3" t="s">
        <v>104</v>
      </c>
      <c r="I3353" s="3" t="n">
        <f aca="false">YEAR(E3353)</f>
        <v>2025</v>
      </c>
      <c r="J3353" s="3" t="n">
        <f aca="false">MONTH(E3353)</f>
        <v>2</v>
      </c>
      <c r="K3353" s="3" t="n">
        <f aca="false">COUNTIFS($B$2:$B$4077,B3353,$C$2:$C$4077,C3353,$I$2:$I$4077,I3353)</f>
        <v>1</v>
      </c>
      <c r="L3353" s="3" t="n">
        <f aca="false">IF(COUNTIFS($B$2:B3353,B3353,$C$2:C3353,C3353,$I$2:I3353,I3353)=1,1,0)</f>
        <v>1</v>
      </c>
      <c r="M3353" s="3" t="n">
        <f aca="false">IF(K3353&gt;=Parametri!$B$1,1,0)</f>
        <v>0</v>
      </c>
      <c r="N3353" s="3" t="n">
        <f aca="false">L3353*M3353</f>
        <v>0</v>
      </c>
    </row>
    <row r="3354" customFormat="false" ht="15" hidden="false" customHeight="false" outlineLevel="0" collapsed="false">
      <c r="A3354" s="0" t="s">
        <v>5025</v>
      </c>
      <c r="B3354" s="0" t="s">
        <v>124</v>
      </c>
      <c r="C3354" s="0" t="s">
        <v>1283</v>
      </c>
      <c r="D3354" s="0" t="s">
        <v>38</v>
      </c>
      <c r="E3354" s="2" t="n">
        <v>45432</v>
      </c>
      <c r="F3354" s="3" t="s">
        <v>20</v>
      </c>
      <c r="G3354" s="3" t="s">
        <v>21</v>
      </c>
      <c r="H3354" s="3" t="s">
        <v>48</v>
      </c>
      <c r="I3354" s="3" t="n">
        <f aca="false">YEAR(E3354)</f>
        <v>2024</v>
      </c>
      <c r="J3354" s="3" t="n">
        <f aca="false">MONTH(E3354)</f>
        <v>5</v>
      </c>
      <c r="K3354" s="3" t="n">
        <f aca="false">COUNTIFS($B$2:$B$4077,B3354,$C$2:$C$4077,C3354,$I$2:$I$4077,I3354)</f>
        <v>2</v>
      </c>
      <c r="L3354" s="3" t="n">
        <f aca="false">IF(COUNTIFS($B$2:B3354,B3354,$C$2:C3354,C3354,$I$2:I3354,I3354)=1,1,0)</f>
        <v>0</v>
      </c>
      <c r="M3354" s="3" t="n">
        <f aca="false">IF(K3354&gt;=Parametri!$B$1,1,0)</f>
        <v>1</v>
      </c>
      <c r="N3354" s="3" t="n">
        <f aca="false">L3354*M3354</f>
        <v>0</v>
      </c>
    </row>
    <row r="3355" customFormat="false" ht="15" hidden="false" customHeight="false" outlineLevel="0" collapsed="false">
      <c r="A3355" s="0" t="s">
        <v>5026</v>
      </c>
      <c r="B3355" s="0" t="s">
        <v>68</v>
      </c>
      <c r="C3355" s="0" t="s">
        <v>5027</v>
      </c>
      <c r="D3355" s="0" t="s">
        <v>66</v>
      </c>
      <c r="E3355" s="2" t="n">
        <v>45388</v>
      </c>
      <c r="F3355" s="3" t="s">
        <v>20</v>
      </c>
      <c r="G3355" s="3" t="s">
        <v>43</v>
      </c>
      <c r="H3355" s="3" t="s">
        <v>48</v>
      </c>
      <c r="I3355" s="3" t="n">
        <f aca="false">YEAR(E3355)</f>
        <v>2024</v>
      </c>
      <c r="J3355" s="3" t="n">
        <f aca="false">MONTH(E3355)</f>
        <v>4</v>
      </c>
      <c r="K3355" s="3" t="n">
        <f aca="false">COUNTIFS($B$2:$B$4077,B3355,$C$2:$C$4077,C3355,$I$2:$I$4077,I3355)</f>
        <v>1</v>
      </c>
      <c r="L3355" s="3" t="n">
        <f aca="false">IF(COUNTIFS($B$2:B3355,B3355,$C$2:C3355,C3355,$I$2:I3355,I3355)=1,1,0)</f>
        <v>1</v>
      </c>
      <c r="M3355" s="3" t="n">
        <f aca="false">IF(K3355&gt;=Parametri!$B$1,1,0)</f>
        <v>0</v>
      </c>
      <c r="N3355" s="3" t="n">
        <f aca="false">L3355*M3355</f>
        <v>0</v>
      </c>
    </row>
    <row r="3356" customFormat="false" ht="15" hidden="false" customHeight="false" outlineLevel="0" collapsed="false">
      <c r="A3356" s="0" t="s">
        <v>5028</v>
      </c>
      <c r="B3356" s="0" t="s">
        <v>31</v>
      </c>
      <c r="C3356" s="0" t="s">
        <v>1868</v>
      </c>
      <c r="D3356" s="0" t="s">
        <v>77</v>
      </c>
      <c r="E3356" s="2" t="n">
        <v>46239</v>
      </c>
      <c r="F3356" s="3" t="s">
        <v>20</v>
      </c>
      <c r="G3356" s="3" t="s">
        <v>55</v>
      </c>
      <c r="H3356" s="3" t="s">
        <v>48</v>
      </c>
      <c r="I3356" s="3" t="n">
        <f aca="false">YEAR(E3356)</f>
        <v>2026</v>
      </c>
      <c r="J3356" s="3" t="n">
        <f aca="false">MONTH(E3356)</f>
        <v>8</v>
      </c>
      <c r="K3356" s="3" t="n">
        <f aca="false">COUNTIFS($B$2:$B$4077,B3356,$C$2:$C$4077,C3356,$I$2:$I$4077,I3356)</f>
        <v>4</v>
      </c>
      <c r="L3356" s="3" t="n">
        <f aca="false">IF(COUNTIFS($B$2:B3356,B3356,$C$2:C3356,C3356,$I$2:I3356,I3356)=1,1,0)</f>
        <v>0</v>
      </c>
      <c r="M3356" s="3" t="n">
        <f aca="false">IF(K3356&gt;=Parametri!$B$1,1,0)</f>
        <v>1</v>
      </c>
      <c r="N3356" s="3" t="n">
        <f aca="false">L3356*M3356</f>
        <v>0</v>
      </c>
    </row>
    <row r="3357" customFormat="false" ht="15" hidden="false" customHeight="false" outlineLevel="0" collapsed="false">
      <c r="A3357" s="0" t="s">
        <v>5029</v>
      </c>
      <c r="B3357" s="0" t="s">
        <v>17</v>
      </c>
      <c r="C3357" s="0" t="s">
        <v>1198</v>
      </c>
      <c r="D3357" s="0" t="s">
        <v>63</v>
      </c>
      <c r="E3357" s="2" t="n">
        <v>45352</v>
      </c>
      <c r="F3357" s="3" t="s">
        <v>104</v>
      </c>
      <c r="G3357" s="3" t="s">
        <v>104</v>
      </c>
      <c r="H3357" s="3" t="s">
        <v>104</v>
      </c>
      <c r="I3357" s="3" t="n">
        <f aca="false">YEAR(E3357)</f>
        <v>2024</v>
      </c>
      <c r="J3357" s="3" t="n">
        <f aca="false">MONTH(E3357)</f>
        <v>3</v>
      </c>
      <c r="K3357" s="3" t="n">
        <f aca="false">COUNTIFS($B$2:$B$4077,B3357,$C$2:$C$4077,C3357,$I$2:$I$4077,I3357)</f>
        <v>2</v>
      </c>
      <c r="L3357" s="3" t="n">
        <f aca="false">IF(COUNTIFS($B$2:B3357,B3357,$C$2:C3357,C3357,$I$2:I3357,I3357)=1,1,0)</f>
        <v>0</v>
      </c>
      <c r="M3357" s="3" t="n">
        <f aca="false">IF(K3357&gt;=Parametri!$B$1,1,0)</f>
        <v>1</v>
      </c>
      <c r="N3357" s="3" t="n">
        <f aca="false">L3357*M3357</f>
        <v>0</v>
      </c>
    </row>
    <row r="3358" customFormat="false" ht="15" hidden="false" customHeight="false" outlineLevel="0" collapsed="false">
      <c r="A3358" s="0" t="s">
        <v>5030</v>
      </c>
      <c r="B3358" s="0" t="s">
        <v>68</v>
      </c>
      <c r="C3358" s="0" t="s">
        <v>5031</v>
      </c>
      <c r="D3358" s="0" t="s">
        <v>33</v>
      </c>
      <c r="E3358" s="2" t="n">
        <v>45500</v>
      </c>
      <c r="F3358" s="3" t="s">
        <v>20</v>
      </c>
      <c r="G3358" s="3" t="s">
        <v>72</v>
      </c>
      <c r="H3358" s="3" t="s">
        <v>29</v>
      </c>
      <c r="I3358" s="3" t="n">
        <f aca="false">YEAR(E3358)</f>
        <v>2024</v>
      </c>
      <c r="J3358" s="3" t="n">
        <f aca="false">MONTH(E3358)</f>
        <v>7</v>
      </c>
      <c r="K3358" s="3" t="n">
        <f aca="false">COUNTIFS($B$2:$B$4077,B3358,$C$2:$C$4077,C3358,$I$2:$I$4077,I3358)</f>
        <v>1</v>
      </c>
      <c r="L3358" s="3" t="n">
        <f aca="false">IF(COUNTIFS($B$2:B3358,B3358,$C$2:C3358,C3358,$I$2:I3358,I3358)=1,1,0)</f>
        <v>1</v>
      </c>
      <c r="M3358" s="3" t="n">
        <f aca="false">IF(K3358&gt;=Parametri!$B$1,1,0)</f>
        <v>0</v>
      </c>
      <c r="N3358" s="3" t="n">
        <f aca="false">L3358*M3358</f>
        <v>0</v>
      </c>
    </row>
    <row r="3359" customFormat="false" ht="15" hidden="false" customHeight="false" outlineLevel="0" collapsed="false">
      <c r="A3359" s="0" t="s">
        <v>5032</v>
      </c>
      <c r="B3359" s="0" t="s">
        <v>57</v>
      </c>
      <c r="C3359" s="0" t="s">
        <v>527</v>
      </c>
      <c r="D3359" s="0" t="s">
        <v>19</v>
      </c>
      <c r="E3359" s="2" t="n">
        <v>45819</v>
      </c>
      <c r="F3359" s="3" t="s">
        <v>27</v>
      </c>
      <c r="G3359" s="3" t="s">
        <v>55</v>
      </c>
      <c r="H3359" s="3" t="s">
        <v>48</v>
      </c>
      <c r="I3359" s="3" t="n">
        <f aca="false">YEAR(E3359)</f>
        <v>2025</v>
      </c>
      <c r="J3359" s="3" t="n">
        <f aca="false">MONTH(E3359)</f>
        <v>6</v>
      </c>
      <c r="K3359" s="3" t="n">
        <f aca="false">COUNTIFS($B$2:$B$4077,B3359,$C$2:$C$4077,C3359,$I$2:$I$4077,I3359)</f>
        <v>1</v>
      </c>
      <c r="L3359" s="3" t="n">
        <f aca="false">IF(COUNTIFS($B$2:B3359,B3359,$C$2:C3359,C3359,$I$2:I3359,I3359)=1,1,0)</f>
        <v>1</v>
      </c>
      <c r="M3359" s="3" t="n">
        <f aca="false">IF(K3359&gt;=Parametri!$B$1,1,0)</f>
        <v>0</v>
      </c>
      <c r="N3359" s="3" t="n">
        <f aca="false">L3359*M3359</f>
        <v>0</v>
      </c>
    </row>
    <row r="3360" customFormat="false" ht="15" hidden="false" customHeight="false" outlineLevel="0" collapsed="false">
      <c r="A3360" s="0" t="s">
        <v>5033</v>
      </c>
      <c r="B3360" s="0" t="s">
        <v>24</v>
      </c>
      <c r="C3360" s="0" t="s">
        <v>2280</v>
      </c>
      <c r="D3360" s="0" t="s">
        <v>33</v>
      </c>
      <c r="E3360" s="2" t="n">
        <v>45628</v>
      </c>
      <c r="F3360" s="3" t="s">
        <v>104</v>
      </c>
      <c r="G3360" s="3" t="s">
        <v>104</v>
      </c>
      <c r="H3360" s="3" t="s">
        <v>104</v>
      </c>
      <c r="I3360" s="3" t="n">
        <f aca="false">YEAR(E3360)</f>
        <v>2024</v>
      </c>
      <c r="J3360" s="3" t="n">
        <f aca="false">MONTH(E3360)</f>
        <v>12</v>
      </c>
      <c r="K3360" s="3" t="n">
        <f aca="false">COUNTIFS($B$2:$B$4077,B3360,$C$2:$C$4077,C3360,$I$2:$I$4077,I3360)</f>
        <v>3</v>
      </c>
      <c r="L3360" s="3" t="n">
        <f aca="false">IF(COUNTIFS($B$2:B3360,B3360,$C$2:C3360,C3360,$I$2:I3360,I3360)=1,1,0)</f>
        <v>0</v>
      </c>
      <c r="M3360" s="3" t="n">
        <f aca="false">IF(K3360&gt;=Parametri!$B$1,1,0)</f>
        <v>1</v>
      </c>
      <c r="N3360" s="3" t="n">
        <f aca="false">L3360*M3360</f>
        <v>0</v>
      </c>
    </row>
    <row r="3361" customFormat="false" ht="15" hidden="false" customHeight="false" outlineLevel="0" collapsed="false">
      <c r="A3361" s="0" t="s">
        <v>5034</v>
      </c>
      <c r="B3361" s="0" t="s">
        <v>50</v>
      </c>
      <c r="C3361" s="0" t="s">
        <v>5035</v>
      </c>
      <c r="D3361" s="0" t="s">
        <v>54</v>
      </c>
      <c r="E3361" s="2" t="n">
        <v>45483</v>
      </c>
      <c r="F3361" s="3" t="s">
        <v>20</v>
      </c>
      <c r="G3361" s="3" t="s">
        <v>28</v>
      </c>
      <c r="H3361" s="3" t="s">
        <v>22</v>
      </c>
      <c r="I3361" s="3" t="n">
        <f aca="false">YEAR(E3361)</f>
        <v>2024</v>
      </c>
      <c r="J3361" s="3" t="n">
        <f aca="false">MONTH(E3361)</f>
        <v>7</v>
      </c>
      <c r="K3361" s="3" t="n">
        <f aca="false">COUNTIFS($B$2:$B$4077,B3361,$C$2:$C$4077,C3361,$I$2:$I$4077,I3361)</f>
        <v>1</v>
      </c>
      <c r="L3361" s="3" t="n">
        <f aca="false">IF(COUNTIFS($B$2:B3361,B3361,$C$2:C3361,C3361,$I$2:I3361,I3361)=1,1,0)</f>
        <v>1</v>
      </c>
      <c r="M3361" s="3" t="n">
        <f aca="false">IF(K3361&gt;=Parametri!$B$1,1,0)</f>
        <v>0</v>
      </c>
      <c r="N3361" s="3" t="n">
        <f aca="false">L3361*M3361</f>
        <v>0</v>
      </c>
    </row>
    <row r="3362" customFormat="false" ht="15" hidden="false" customHeight="false" outlineLevel="0" collapsed="false">
      <c r="A3362" s="0" t="s">
        <v>5036</v>
      </c>
      <c r="B3362" s="0" t="s">
        <v>46</v>
      </c>
      <c r="C3362" s="0" t="s">
        <v>3758</v>
      </c>
      <c r="D3362" s="0" t="s">
        <v>33</v>
      </c>
      <c r="E3362" s="2" t="n">
        <v>46149</v>
      </c>
      <c r="F3362" s="3" t="s">
        <v>20</v>
      </c>
      <c r="G3362" s="3" t="s">
        <v>35</v>
      </c>
      <c r="H3362" s="3" t="s">
        <v>29</v>
      </c>
      <c r="I3362" s="3" t="n">
        <f aca="false">YEAR(E3362)</f>
        <v>2026</v>
      </c>
      <c r="J3362" s="3" t="n">
        <f aca="false">MONTH(E3362)</f>
        <v>5</v>
      </c>
      <c r="K3362" s="3" t="n">
        <f aca="false">COUNTIFS($B$2:$B$4077,B3362,$C$2:$C$4077,C3362,$I$2:$I$4077,I3362)</f>
        <v>1</v>
      </c>
      <c r="L3362" s="3" t="n">
        <f aca="false">IF(COUNTIFS($B$2:B3362,B3362,$C$2:C3362,C3362,$I$2:I3362,I3362)=1,1,0)</f>
        <v>1</v>
      </c>
      <c r="M3362" s="3" t="n">
        <f aca="false">IF(K3362&gt;=Parametri!$B$1,1,0)</f>
        <v>0</v>
      </c>
      <c r="N3362" s="3" t="n">
        <f aca="false">L3362*M3362</f>
        <v>0</v>
      </c>
    </row>
    <row r="3363" customFormat="false" ht="15" hidden="false" customHeight="false" outlineLevel="0" collapsed="false">
      <c r="A3363" s="0" t="s">
        <v>5037</v>
      </c>
      <c r="B3363" s="0" t="s">
        <v>57</v>
      </c>
      <c r="C3363" s="0" t="s">
        <v>3999</v>
      </c>
      <c r="D3363" s="0" t="s">
        <v>63</v>
      </c>
      <c r="E3363" s="2" t="n">
        <v>45932</v>
      </c>
      <c r="F3363" s="3" t="s">
        <v>20</v>
      </c>
      <c r="G3363" s="3" t="s">
        <v>72</v>
      </c>
      <c r="H3363" s="3" t="s">
        <v>29</v>
      </c>
      <c r="I3363" s="3" t="n">
        <f aca="false">YEAR(E3363)</f>
        <v>2025</v>
      </c>
      <c r="J3363" s="3" t="n">
        <f aca="false">MONTH(E3363)</f>
        <v>10</v>
      </c>
      <c r="K3363" s="3" t="n">
        <f aca="false">COUNTIFS($B$2:$B$4077,B3363,$C$2:$C$4077,C3363,$I$2:$I$4077,I3363)</f>
        <v>4</v>
      </c>
      <c r="L3363" s="3" t="n">
        <f aca="false">IF(COUNTIFS($B$2:B3363,B3363,$C$2:C3363,C3363,$I$2:I3363,I3363)=1,1,0)</f>
        <v>0</v>
      </c>
      <c r="M3363" s="3" t="n">
        <f aca="false">IF(K3363&gt;=Parametri!$B$1,1,0)</f>
        <v>1</v>
      </c>
      <c r="N3363" s="3" t="n">
        <f aca="false">L3363*M3363</f>
        <v>0</v>
      </c>
    </row>
    <row r="3364" customFormat="false" ht="15" hidden="false" customHeight="false" outlineLevel="0" collapsed="false">
      <c r="A3364" s="0" t="s">
        <v>5038</v>
      </c>
      <c r="B3364" s="0" t="s">
        <v>79</v>
      </c>
      <c r="C3364" s="0" t="s">
        <v>541</v>
      </c>
      <c r="D3364" s="0" t="s">
        <v>54</v>
      </c>
      <c r="E3364" s="2" t="n">
        <v>46012</v>
      </c>
      <c r="F3364" s="3" t="s">
        <v>20</v>
      </c>
      <c r="G3364" s="3" t="s">
        <v>39</v>
      </c>
      <c r="H3364" s="3" t="s">
        <v>29</v>
      </c>
      <c r="I3364" s="3" t="n">
        <f aca="false">YEAR(E3364)</f>
        <v>2025</v>
      </c>
      <c r="J3364" s="3" t="n">
        <f aca="false">MONTH(E3364)</f>
        <v>12</v>
      </c>
      <c r="K3364" s="3" t="n">
        <f aca="false">COUNTIFS($B$2:$B$4077,B3364,$C$2:$C$4077,C3364,$I$2:$I$4077,I3364)</f>
        <v>3</v>
      </c>
      <c r="L3364" s="3" t="n">
        <f aca="false">IF(COUNTIFS($B$2:B3364,B3364,$C$2:C3364,C3364,$I$2:I3364,I3364)=1,1,0)</f>
        <v>0</v>
      </c>
      <c r="M3364" s="3" t="n">
        <f aca="false">IF(K3364&gt;=Parametri!$B$1,1,0)</f>
        <v>1</v>
      </c>
      <c r="N3364" s="3" t="n">
        <f aca="false">L3364*M3364</f>
        <v>0</v>
      </c>
    </row>
    <row r="3365" customFormat="false" ht="15" hidden="false" customHeight="false" outlineLevel="0" collapsed="false">
      <c r="A3365" s="0" t="s">
        <v>5039</v>
      </c>
      <c r="B3365" s="0" t="s">
        <v>41</v>
      </c>
      <c r="C3365" s="0" t="s">
        <v>5022</v>
      </c>
      <c r="D3365" s="0" t="s">
        <v>26</v>
      </c>
      <c r="E3365" s="2" t="n">
        <v>46214</v>
      </c>
      <c r="F3365" s="3" t="s">
        <v>20</v>
      </c>
      <c r="G3365" s="3" t="s">
        <v>43</v>
      </c>
      <c r="H3365" s="3" t="s">
        <v>44</v>
      </c>
      <c r="I3365" s="3" t="n">
        <f aca="false">YEAR(E3365)</f>
        <v>2026</v>
      </c>
      <c r="J3365" s="3" t="n">
        <f aca="false">MONTH(E3365)</f>
        <v>7</v>
      </c>
      <c r="K3365" s="3" t="n">
        <f aca="false">COUNTIFS($B$2:$B$4077,B3365,$C$2:$C$4077,C3365,$I$2:$I$4077,I3365)</f>
        <v>1</v>
      </c>
      <c r="L3365" s="3" t="n">
        <f aca="false">IF(COUNTIFS($B$2:B3365,B3365,$C$2:C3365,C3365,$I$2:I3365,I3365)=1,1,0)</f>
        <v>1</v>
      </c>
      <c r="M3365" s="3" t="n">
        <f aca="false">IF(K3365&gt;=Parametri!$B$1,1,0)</f>
        <v>0</v>
      </c>
      <c r="N3365" s="3" t="n">
        <f aca="false">L3365*M3365</f>
        <v>0</v>
      </c>
    </row>
    <row r="3366" customFormat="false" ht="15" hidden="false" customHeight="false" outlineLevel="0" collapsed="false">
      <c r="A3366" s="0" t="s">
        <v>5040</v>
      </c>
      <c r="B3366" s="0" t="s">
        <v>124</v>
      </c>
      <c r="C3366" s="0" t="s">
        <v>5041</v>
      </c>
      <c r="D3366" s="0" t="s">
        <v>63</v>
      </c>
      <c r="E3366" s="2" t="n">
        <v>45625</v>
      </c>
      <c r="F3366" s="3" t="s">
        <v>20</v>
      </c>
      <c r="G3366" s="3" t="s">
        <v>55</v>
      </c>
      <c r="H3366" s="3" t="s">
        <v>29</v>
      </c>
      <c r="I3366" s="3" t="n">
        <f aca="false">YEAR(E3366)</f>
        <v>2024</v>
      </c>
      <c r="J3366" s="3" t="n">
        <f aca="false">MONTH(E3366)</f>
        <v>11</v>
      </c>
      <c r="K3366" s="3" t="n">
        <f aca="false">COUNTIFS($B$2:$B$4077,B3366,$C$2:$C$4077,C3366,$I$2:$I$4077,I3366)</f>
        <v>2</v>
      </c>
      <c r="L3366" s="3" t="n">
        <f aca="false">IF(COUNTIFS($B$2:B3366,B3366,$C$2:C3366,C3366,$I$2:I3366,I3366)=1,1,0)</f>
        <v>1</v>
      </c>
      <c r="M3366" s="3" t="n">
        <f aca="false">IF(K3366&gt;=Parametri!$B$1,1,0)</f>
        <v>1</v>
      </c>
      <c r="N3366" s="3" t="n">
        <f aca="false">L3366*M3366</f>
        <v>1</v>
      </c>
    </row>
    <row r="3367" customFormat="false" ht="15" hidden="false" customHeight="false" outlineLevel="0" collapsed="false">
      <c r="A3367" s="0" t="s">
        <v>5042</v>
      </c>
      <c r="B3367" s="0" t="s">
        <v>24</v>
      </c>
      <c r="C3367" s="0" t="s">
        <v>880</v>
      </c>
      <c r="D3367" s="0" t="s">
        <v>19</v>
      </c>
      <c r="E3367" s="2" t="n">
        <v>45807</v>
      </c>
      <c r="F3367" s="3" t="s">
        <v>20</v>
      </c>
      <c r="G3367" s="3" t="s">
        <v>89</v>
      </c>
      <c r="H3367" s="3" t="s">
        <v>22</v>
      </c>
      <c r="I3367" s="3" t="n">
        <f aca="false">YEAR(E3367)</f>
        <v>2025</v>
      </c>
      <c r="J3367" s="3" t="n">
        <f aca="false">MONTH(E3367)</f>
        <v>5</v>
      </c>
      <c r="K3367" s="3" t="n">
        <f aca="false">COUNTIFS($B$2:$B$4077,B3367,$C$2:$C$4077,C3367,$I$2:$I$4077,I3367)</f>
        <v>1</v>
      </c>
      <c r="L3367" s="3" t="n">
        <f aca="false">IF(COUNTIFS($B$2:B3367,B3367,$C$2:C3367,C3367,$I$2:I3367,I3367)=1,1,0)</f>
        <v>1</v>
      </c>
      <c r="M3367" s="3" t="n">
        <f aca="false">IF(K3367&gt;=Parametri!$B$1,1,0)</f>
        <v>0</v>
      </c>
      <c r="N3367" s="3" t="n">
        <f aca="false">L3367*M3367</f>
        <v>0</v>
      </c>
    </row>
    <row r="3368" customFormat="false" ht="15" hidden="false" customHeight="false" outlineLevel="0" collapsed="false">
      <c r="A3368" s="0" t="s">
        <v>5043</v>
      </c>
      <c r="B3368" s="0" t="s">
        <v>17</v>
      </c>
      <c r="C3368" s="0" t="s">
        <v>3796</v>
      </c>
      <c r="D3368" s="0" t="s">
        <v>54</v>
      </c>
      <c r="E3368" s="2" t="n">
        <v>46119</v>
      </c>
      <c r="F3368" s="3" t="s">
        <v>27</v>
      </c>
      <c r="G3368" s="3" t="s">
        <v>39</v>
      </c>
      <c r="H3368" s="3" t="s">
        <v>29</v>
      </c>
      <c r="I3368" s="3" t="n">
        <f aca="false">YEAR(E3368)</f>
        <v>2026</v>
      </c>
      <c r="J3368" s="3" t="n">
        <f aca="false">MONTH(E3368)</f>
        <v>4</v>
      </c>
      <c r="K3368" s="3" t="n">
        <f aca="false">COUNTIFS($B$2:$B$4077,B3368,$C$2:$C$4077,C3368,$I$2:$I$4077,I3368)</f>
        <v>1</v>
      </c>
      <c r="L3368" s="3" t="n">
        <f aca="false">IF(COUNTIFS($B$2:B3368,B3368,$C$2:C3368,C3368,$I$2:I3368,I3368)=1,1,0)</f>
        <v>1</v>
      </c>
      <c r="M3368" s="3" t="n">
        <f aca="false">IF(K3368&gt;=Parametri!$B$1,1,0)</f>
        <v>0</v>
      </c>
      <c r="N3368" s="3" t="n">
        <f aca="false">L3368*M3368</f>
        <v>0</v>
      </c>
    </row>
    <row r="3369" customFormat="false" ht="15" hidden="false" customHeight="false" outlineLevel="0" collapsed="false">
      <c r="A3369" s="0" t="s">
        <v>5044</v>
      </c>
      <c r="B3369" s="0" t="s">
        <v>17</v>
      </c>
      <c r="C3369" s="0" t="s">
        <v>110</v>
      </c>
      <c r="D3369" s="0" t="s">
        <v>19</v>
      </c>
      <c r="E3369" s="2" t="n">
        <v>45857</v>
      </c>
      <c r="F3369" s="3" t="s">
        <v>20</v>
      </c>
      <c r="G3369" s="3" t="s">
        <v>35</v>
      </c>
      <c r="H3369" s="3" t="s">
        <v>48</v>
      </c>
      <c r="I3369" s="3" t="n">
        <f aca="false">YEAR(E3369)</f>
        <v>2025</v>
      </c>
      <c r="J3369" s="3" t="n">
        <f aca="false">MONTH(E3369)</f>
        <v>7</v>
      </c>
      <c r="K3369" s="3" t="n">
        <f aca="false">COUNTIFS($B$2:$B$4077,B3369,$C$2:$C$4077,C3369,$I$2:$I$4077,I3369)</f>
        <v>1</v>
      </c>
      <c r="L3369" s="3" t="n">
        <f aca="false">IF(COUNTIFS($B$2:B3369,B3369,$C$2:C3369,C3369,$I$2:I3369,I3369)=1,1,0)</f>
        <v>1</v>
      </c>
      <c r="M3369" s="3" t="n">
        <f aca="false">IF(K3369&gt;=Parametri!$B$1,1,0)</f>
        <v>0</v>
      </c>
      <c r="N3369" s="3" t="n">
        <f aca="false">L3369*M3369</f>
        <v>0</v>
      </c>
    </row>
    <row r="3370" customFormat="false" ht="15" hidden="false" customHeight="false" outlineLevel="0" collapsed="false">
      <c r="A3370" s="0" t="s">
        <v>5045</v>
      </c>
      <c r="B3370" s="0" t="s">
        <v>41</v>
      </c>
      <c r="C3370" s="0" t="s">
        <v>2347</v>
      </c>
      <c r="D3370" s="0" t="s">
        <v>38</v>
      </c>
      <c r="E3370" s="2" t="n">
        <v>45375</v>
      </c>
      <c r="F3370" s="3" t="s">
        <v>27</v>
      </c>
      <c r="G3370" s="3" t="s">
        <v>55</v>
      </c>
      <c r="H3370" s="3" t="s">
        <v>44</v>
      </c>
      <c r="I3370" s="3" t="n">
        <f aca="false">YEAR(E3370)</f>
        <v>2024</v>
      </c>
      <c r="J3370" s="3" t="n">
        <f aca="false">MONTH(E3370)</f>
        <v>3</v>
      </c>
      <c r="K3370" s="3" t="n">
        <f aca="false">COUNTIFS($B$2:$B$4077,B3370,$C$2:$C$4077,C3370,$I$2:$I$4077,I3370)</f>
        <v>2</v>
      </c>
      <c r="L3370" s="3" t="n">
        <f aca="false">IF(COUNTIFS($B$2:B3370,B3370,$C$2:C3370,C3370,$I$2:I3370,I3370)=1,1,0)</f>
        <v>0</v>
      </c>
      <c r="M3370" s="3" t="n">
        <f aca="false">IF(K3370&gt;=Parametri!$B$1,1,0)</f>
        <v>1</v>
      </c>
      <c r="N3370" s="3" t="n">
        <f aca="false">L3370*M3370</f>
        <v>0</v>
      </c>
    </row>
    <row r="3371" customFormat="false" ht="15" hidden="false" customHeight="false" outlineLevel="0" collapsed="false">
      <c r="A3371" s="0" t="s">
        <v>5046</v>
      </c>
      <c r="B3371" s="0" t="s">
        <v>124</v>
      </c>
      <c r="C3371" s="0" t="s">
        <v>5047</v>
      </c>
      <c r="D3371" s="0" t="s">
        <v>54</v>
      </c>
      <c r="E3371" s="2" t="n">
        <v>45492</v>
      </c>
      <c r="F3371" s="3" t="s">
        <v>34</v>
      </c>
      <c r="G3371" s="3" t="s">
        <v>39</v>
      </c>
      <c r="H3371" s="3" t="s">
        <v>22</v>
      </c>
      <c r="I3371" s="3" t="n">
        <f aca="false">YEAR(E3371)</f>
        <v>2024</v>
      </c>
      <c r="J3371" s="3" t="n">
        <f aca="false">MONTH(E3371)</f>
        <v>7</v>
      </c>
      <c r="K3371" s="3" t="n">
        <f aca="false">COUNTIFS($B$2:$B$4077,B3371,$C$2:$C$4077,C3371,$I$2:$I$4077,I3371)</f>
        <v>1</v>
      </c>
      <c r="L3371" s="3" t="n">
        <f aca="false">IF(COUNTIFS($B$2:B3371,B3371,$C$2:C3371,C3371,$I$2:I3371,I3371)=1,1,0)</f>
        <v>1</v>
      </c>
      <c r="M3371" s="3" t="n">
        <f aca="false">IF(K3371&gt;=Parametri!$B$1,1,0)</f>
        <v>0</v>
      </c>
      <c r="N3371" s="3" t="n">
        <f aca="false">L3371*M3371</f>
        <v>0</v>
      </c>
    </row>
    <row r="3372" customFormat="false" ht="15" hidden="false" customHeight="false" outlineLevel="0" collapsed="false">
      <c r="A3372" s="0" t="s">
        <v>5048</v>
      </c>
      <c r="B3372" s="0" t="s">
        <v>41</v>
      </c>
      <c r="C3372" s="0" t="s">
        <v>1897</v>
      </c>
      <c r="D3372" s="0" t="s">
        <v>54</v>
      </c>
      <c r="E3372" s="2" t="n">
        <v>45806</v>
      </c>
      <c r="F3372" s="3" t="s">
        <v>20</v>
      </c>
      <c r="G3372" s="3" t="s">
        <v>72</v>
      </c>
      <c r="H3372" s="3" t="s">
        <v>29</v>
      </c>
      <c r="I3372" s="3" t="n">
        <f aca="false">YEAR(E3372)</f>
        <v>2025</v>
      </c>
      <c r="J3372" s="3" t="n">
        <f aca="false">MONTH(E3372)</f>
        <v>5</v>
      </c>
      <c r="K3372" s="3" t="n">
        <f aca="false">COUNTIFS($B$2:$B$4077,B3372,$C$2:$C$4077,C3372,$I$2:$I$4077,I3372)</f>
        <v>1</v>
      </c>
      <c r="L3372" s="3" t="n">
        <f aca="false">IF(COUNTIFS($B$2:B3372,B3372,$C$2:C3372,C3372,$I$2:I3372,I3372)=1,1,0)</f>
        <v>1</v>
      </c>
      <c r="M3372" s="3" t="n">
        <f aca="false">IF(K3372&gt;=Parametri!$B$1,1,0)</f>
        <v>0</v>
      </c>
      <c r="N3372" s="3" t="n">
        <f aca="false">L3372*M3372</f>
        <v>0</v>
      </c>
    </row>
    <row r="3373" customFormat="false" ht="15" hidden="false" customHeight="false" outlineLevel="0" collapsed="false">
      <c r="A3373" s="0" t="s">
        <v>5049</v>
      </c>
      <c r="B3373" s="0" t="s">
        <v>24</v>
      </c>
      <c r="C3373" s="0" t="s">
        <v>127</v>
      </c>
      <c r="D3373" s="0" t="s">
        <v>77</v>
      </c>
      <c r="E3373" s="2" t="n">
        <v>46122</v>
      </c>
      <c r="F3373" s="3" t="s">
        <v>27</v>
      </c>
      <c r="G3373" s="3" t="s">
        <v>21</v>
      </c>
      <c r="H3373" s="3" t="s">
        <v>29</v>
      </c>
      <c r="I3373" s="3" t="n">
        <f aca="false">YEAR(E3373)</f>
        <v>2026</v>
      </c>
      <c r="J3373" s="3" t="n">
        <f aca="false">MONTH(E3373)</f>
        <v>4</v>
      </c>
      <c r="K3373" s="3" t="n">
        <f aca="false">COUNTIFS($B$2:$B$4077,B3373,$C$2:$C$4077,C3373,$I$2:$I$4077,I3373)</f>
        <v>1</v>
      </c>
      <c r="L3373" s="3" t="n">
        <f aca="false">IF(COUNTIFS($B$2:B3373,B3373,$C$2:C3373,C3373,$I$2:I3373,I3373)=1,1,0)</f>
        <v>1</v>
      </c>
      <c r="M3373" s="3" t="n">
        <f aca="false">IF(K3373&gt;=Parametri!$B$1,1,0)</f>
        <v>0</v>
      </c>
      <c r="N3373" s="3" t="n">
        <f aca="false">L3373*M3373</f>
        <v>0</v>
      </c>
    </row>
    <row r="3374" customFormat="false" ht="15" hidden="false" customHeight="false" outlineLevel="0" collapsed="false">
      <c r="A3374" s="0" t="s">
        <v>5050</v>
      </c>
      <c r="B3374" s="0" t="s">
        <v>31</v>
      </c>
      <c r="C3374" s="0" t="s">
        <v>5051</v>
      </c>
      <c r="D3374" s="0" t="s">
        <v>26</v>
      </c>
      <c r="E3374" s="2" t="n">
        <v>46249</v>
      </c>
      <c r="F3374" s="3" t="s">
        <v>20</v>
      </c>
      <c r="G3374" s="3" t="s">
        <v>21</v>
      </c>
      <c r="H3374" s="3" t="s">
        <v>29</v>
      </c>
      <c r="I3374" s="3" t="n">
        <f aca="false">YEAR(E3374)</f>
        <v>2026</v>
      </c>
      <c r="J3374" s="3" t="n">
        <f aca="false">MONTH(E3374)</f>
        <v>8</v>
      </c>
      <c r="K3374" s="3" t="n">
        <f aca="false">COUNTIFS($B$2:$B$4077,B3374,$C$2:$C$4077,C3374,$I$2:$I$4077,I3374)</f>
        <v>1</v>
      </c>
      <c r="L3374" s="3" t="n">
        <f aca="false">IF(COUNTIFS($B$2:B3374,B3374,$C$2:C3374,C3374,$I$2:I3374,I3374)=1,1,0)</f>
        <v>1</v>
      </c>
      <c r="M3374" s="3" t="n">
        <f aca="false">IF(K3374&gt;=Parametri!$B$1,1,0)</f>
        <v>0</v>
      </c>
      <c r="N3374" s="3" t="n">
        <f aca="false">L3374*M3374</f>
        <v>0</v>
      </c>
    </row>
    <row r="3375" customFormat="false" ht="15" hidden="false" customHeight="false" outlineLevel="0" collapsed="false">
      <c r="A3375" s="0" t="s">
        <v>5052</v>
      </c>
      <c r="B3375" s="0" t="s">
        <v>24</v>
      </c>
      <c r="C3375" s="0" t="s">
        <v>2289</v>
      </c>
      <c r="D3375" s="0" t="s">
        <v>26</v>
      </c>
      <c r="E3375" s="2" t="n">
        <v>45393</v>
      </c>
      <c r="F3375" s="3" t="s">
        <v>20</v>
      </c>
      <c r="G3375" s="3" t="s">
        <v>21</v>
      </c>
      <c r="H3375" s="3" t="s">
        <v>44</v>
      </c>
      <c r="I3375" s="3" t="n">
        <f aca="false">YEAR(E3375)</f>
        <v>2024</v>
      </c>
      <c r="J3375" s="3" t="n">
        <f aca="false">MONTH(E3375)</f>
        <v>4</v>
      </c>
      <c r="K3375" s="3" t="n">
        <f aca="false">COUNTIFS($B$2:$B$4077,B3375,$C$2:$C$4077,C3375,$I$2:$I$4077,I3375)</f>
        <v>2</v>
      </c>
      <c r="L3375" s="3" t="n">
        <f aca="false">IF(COUNTIFS($B$2:B3375,B3375,$C$2:C3375,C3375,$I$2:I3375,I3375)=1,1,0)</f>
        <v>0</v>
      </c>
      <c r="M3375" s="3" t="n">
        <f aca="false">IF(K3375&gt;=Parametri!$B$1,1,0)</f>
        <v>1</v>
      </c>
      <c r="N3375" s="3" t="n">
        <f aca="false">L3375*M3375</f>
        <v>0</v>
      </c>
    </row>
    <row r="3376" customFormat="false" ht="15" hidden="false" customHeight="false" outlineLevel="0" collapsed="false">
      <c r="A3376" s="0" t="s">
        <v>5053</v>
      </c>
      <c r="B3376" s="0" t="s">
        <v>79</v>
      </c>
      <c r="C3376" s="0" t="s">
        <v>2917</v>
      </c>
      <c r="D3376" s="0" t="s">
        <v>66</v>
      </c>
      <c r="E3376" s="2" t="n">
        <v>45998</v>
      </c>
      <c r="F3376" s="3" t="s">
        <v>20</v>
      </c>
      <c r="G3376" s="3" t="s">
        <v>21</v>
      </c>
      <c r="H3376" s="3" t="s">
        <v>29</v>
      </c>
      <c r="I3376" s="3" t="n">
        <f aca="false">YEAR(E3376)</f>
        <v>2025</v>
      </c>
      <c r="J3376" s="3" t="n">
        <f aca="false">MONTH(E3376)</f>
        <v>12</v>
      </c>
      <c r="K3376" s="3" t="n">
        <f aca="false">COUNTIFS($B$2:$B$4077,B3376,$C$2:$C$4077,C3376,$I$2:$I$4077,I3376)</f>
        <v>3</v>
      </c>
      <c r="L3376" s="3" t="n">
        <f aca="false">IF(COUNTIFS($B$2:B3376,B3376,$C$2:C3376,C3376,$I$2:I3376,I3376)=1,1,0)</f>
        <v>0</v>
      </c>
      <c r="M3376" s="3" t="n">
        <f aca="false">IF(K3376&gt;=Parametri!$B$1,1,0)</f>
        <v>1</v>
      </c>
      <c r="N3376" s="3" t="n">
        <f aca="false">L3376*M3376</f>
        <v>0</v>
      </c>
    </row>
    <row r="3377" customFormat="false" ht="15" hidden="false" customHeight="false" outlineLevel="0" collapsed="false">
      <c r="A3377" s="0" t="s">
        <v>5054</v>
      </c>
      <c r="B3377" s="0" t="s">
        <v>68</v>
      </c>
      <c r="C3377" s="0" t="s">
        <v>1457</v>
      </c>
      <c r="D3377" s="0" t="s">
        <v>33</v>
      </c>
      <c r="E3377" s="2" t="n">
        <v>45458</v>
      </c>
      <c r="F3377" s="3" t="s">
        <v>27</v>
      </c>
      <c r="G3377" s="3" t="s">
        <v>55</v>
      </c>
      <c r="H3377" s="3" t="s">
        <v>22</v>
      </c>
      <c r="I3377" s="3" t="n">
        <f aca="false">YEAR(E3377)</f>
        <v>2024</v>
      </c>
      <c r="J3377" s="3" t="n">
        <f aca="false">MONTH(E3377)</f>
        <v>6</v>
      </c>
      <c r="K3377" s="3" t="n">
        <f aca="false">COUNTIFS($B$2:$B$4077,B3377,$C$2:$C$4077,C3377,$I$2:$I$4077,I3377)</f>
        <v>6</v>
      </c>
      <c r="L3377" s="3" t="n">
        <f aca="false">IF(COUNTIFS($B$2:B3377,B3377,$C$2:C3377,C3377,$I$2:I3377,I3377)=1,1,0)</f>
        <v>0</v>
      </c>
      <c r="M3377" s="3" t="n">
        <f aca="false">IF(K3377&gt;=Parametri!$B$1,1,0)</f>
        <v>1</v>
      </c>
      <c r="N3377" s="3" t="n">
        <f aca="false">L3377*M3377</f>
        <v>0</v>
      </c>
    </row>
    <row r="3378" customFormat="false" ht="15" hidden="false" customHeight="false" outlineLevel="0" collapsed="false">
      <c r="A3378" s="0" t="s">
        <v>5055</v>
      </c>
      <c r="B3378" s="0" t="s">
        <v>24</v>
      </c>
      <c r="C3378" s="0" t="s">
        <v>3751</v>
      </c>
      <c r="D3378" s="0" t="s">
        <v>19</v>
      </c>
      <c r="E3378" s="2" t="n">
        <v>45915</v>
      </c>
      <c r="F3378" s="3" t="s">
        <v>20</v>
      </c>
      <c r="G3378" s="3" t="s">
        <v>35</v>
      </c>
      <c r="H3378" s="3" t="s">
        <v>29</v>
      </c>
      <c r="I3378" s="3" t="n">
        <f aca="false">YEAR(E3378)</f>
        <v>2025</v>
      </c>
      <c r="J3378" s="3" t="n">
        <f aca="false">MONTH(E3378)</f>
        <v>9</v>
      </c>
      <c r="K3378" s="3" t="n">
        <f aca="false">COUNTIFS($B$2:$B$4077,B3378,$C$2:$C$4077,C3378,$I$2:$I$4077,I3378)</f>
        <v>1</v>
      </c>
      <c r="L3378" s="3" t="n">
        <f aca="false">IF(COUNTIFS($B$2:B3378,B3378,$C$2:C3378,C3378,$I$2:I3378,I3378)=1,1,0)</f>
        <v>1</v>
      </c>
      <c r="M3378" s="3" t="n">
        <f aca="false">IF(K3378&gt;=Parametri!$B$1,1,0)</f>
        <v>0</v>
      </c>
      <c r="N3378" s="3" t="n">
        <f aca="false">L3378*M3378</f>
        <v>0</v>
      </c>
    </row>
    <row r="3379" customFormat="false" ht="15" hidden="false" customHeight="false" outlineLevel="0" collapsed="false">
      <c r="A3379" s="0" t="s">
        <v>5056</v>
      </c>
      <c r="B3379" s="0" t="s">
        <v>31</v>
      </c>
      <c r="C3379" s="0" t="s">
        <v>2077</v>
      </c>
      <c r="D3379" s="0" t="s">
        <v>26</v>
      </c>
      <c r="E3379" s="2" t="n">
        <v>45644</v>
      </c>
      <c r="F3379" s="3" t="s">
        <v>34</v>
      </c>
      <c r="G3379" s="3" t="s">
        <v>28</v>
      </c>
      <c r="H3379" s="3" t="s">
        <v>44</v>
      </c>
      <c r="I3379" s="3" t="n">
        <f aca="false">YEAR(E3379)</f>
        <v>2024</v>
      </c>
      <c r="J3379" s="3" t="n">
        <f aca="false">MONTH(E3379)</f>
        <v>12</v>
      </c>
      <c r="K3379" s="3" t="n">
        <f aca="false">COUNTIFS($B$2:$B$4077,B3379,$C$2:$C$4077,C3379,$I$2:$I$4077,I3379)</f>
        <v>3</v>
      </c>
      <c r="L3379" s="3" t="n">
        <f aca="false">IF(COUNTIFS($B$2:B3379,B3379,$C$2:C3379,C3379,$I$2:I3379,I3379)=1,1,0)</f>
        <v>0</v>
      </c>
      <c r="M3379" s="3" t="n">
        <f aca="false">IF(K3379&gt;=Parametri!$B$1,1,0)</f>
        <v>1</v>
      </c>
      <c r="N3379" s="3" t="n">
        <f aca="false">L3379*M3379</f>
        <v>0</v>
      </c>
    </row>
    <row r="3380" customFormat="false" ht="15" hidden="false" customHeight="false" outlineLevel="0" collapsed="false">
      <c r="A3380" s="0" t="s">
        <v>5057</v>
      </c>
      <c r="B3380" s="0" t="s">
        <v>24</v>
      </c>
      <c r="C3380" s="0" t="s">
        <v>669</v>
      </c>
      <c r="D3380" s="0" t="s">
        <v>54</v>
      </c>
      <c r="E3380" s="2" t="n">
        <v>45672</v>
      </c>
      <c r="F3380" s="3" t="s">
        <v>20</v>
      </c>
      <c r="G3380" s="3" t="s">
        <v>72</v>
      </c>
      <c r="H3380" s="3" t="s">
        <v>22</v>
      </c>
      <c r="I3380" s="3" t="n">
        <f aca="false">YEAR(E3380)</f>
        <v>2025</v>
      </c>
      <c r="J3380" s="3" t="n">
        <f aca="false">MONTH(E3380)</f>
        <v>1</v>
      </c>
      <c r="K3380" s="3" t="n">
        <f aca="false">COUNTIFS($B$2:$B$4077,B3380,$C$2:$C$4077,C3380,$I$2:$I$4077,I3380)</f>
        <v>4</v>
      </c>
      <c r="L3380" s="3" t="n">
        <f aca="false">IF(COUNTIFS($B$2:B3380,B3380,$C$2:C3380,C3380,$I$2:I3380,I3380)=1,1,0)</f>
        <v>0</v>
      </c>
      <c r="M3380" s="3" t="n">
        <f aca="false">IF(K3380&gt;=Parametri!$B$1,1,0)</f>
        <v>1</v>
      </c>
      <c r="N3380" s="3" t="n">
        <f aca="false">L3380*M3380</f>
        <v>0</v>
      </c>
    </row>
    <row r="3381" customFormat="false" ht="15" hidden="false" customHeight="false" outlineLevel="0" collapsed="false">
      <c r="A3381" s="0" t="s">
        <v>5058</v>
      </c>
      <c r="B3381" s="0" t="s">
        <v>79</v>
      </c>
      <c r="C3381" s="0" t="s">
        <v>723</v>
      </c>
      <c r="D3381" s="0" t="s">
        <v>54</v>
      </c>
      <c r="E3381" s="2" t="n">
        <v>46026</v>
      </c>
      <c r="F3381" s="3" t="s">
        <v>20</v>
      </c>
      <c r="G3381" s="3" t="s">
        <v>55</v>
      </c>
      <c r="H3381" s="3" t="s">
        <v>44</v>
      </c>
      <c r="I3381" s="3" t="n">
        <f aca="false">YEAR(E3381)</f>
        <v>2026</v>
      </c>
      <c r="J3381" s="3" t="n">
        <f aca="false">MONTH(E3381)</f>
        <v>1</v>
      </c>
      <c r="K3381" s="3" t="n">
        <f aca="false">COUNTIFS($B$2:$B$4077,B3381,$C$2:$C$4077,C3381,$I$2:$I$4077,I3381)</f>
        <v>1</v>
      </c>
      <c r="L3381" s="3" t="n">
        <f aca="false">IF(COUNTIFS($B$2:B3381,B3381,$C$2:C3381,C3381,$I$2:I3381,I3381)=1,1,0)</f>
        <v>1</v>
      </c>
      <c r="M3381" s="3" t="n">
        <f aca="false">IF(K3381&gt;=Parametri!$B$1,1,0)</f>
        <v>0</v>
      </c>
      <c r="N3381" s="3" t="n">
        <f aca="false">L3381*M3381</f>
        <v>0</v>
      </c>
    </row>
    <row r="3382" customFormat="false" ht="15" hidden="false" customHeight="false" outlineLevel="0" collapsed="false">
      <c r="A3382" s="0" t="s">
        <v>5059</v>
      </c>
      <c r="B3382" s="0" t="s">
        <v>124</v>
      </c>
      <c r="C3382" s="0" t="s">
        <v>1040</v>
      </c>
      <c r="D3382" s="0" t="s">
        <v>38</v>
      </c>
      <c r="E3382" s="2" t="n">
        <v>46100</v>
      </c>
      <c r="F3382" s="3" t="s">
        <v>20</v>
      </c>
      <c r="G3382" s="3" t="s">
        <v>35</v>
      </c>
      <c r="H3382" s="3" t="s">
        <v>44</v>
      </c>
      <c r="I3382" s="3" t="n">
        <f aca="false">YEAR(E3382)</f>
        <v>2026</v>
      </c>
      <c r="J3382" s="3" t="n">
        <f aca="false">MONTH(E3382)</f>
        <v>3</v>
      </c>
      <c r="K3382" s="3" t="n">
        <f aca="false">COUNTIFS($B$2:$B$4077,B3382,$C$2:$C$4077,C3382,$I$2:$I$4077,I3382)</f>
        <v>5</v>
      </c>
      <c r="L3382" s="3" t="n">
        <f aca="false">IF(COUNTIFS($B$2:B3382,B3382,$C$2:C3382,C3382,$I$2:I3382,I3382)=1,1,0)</f>
        <v>0</v>
      </c>
      <c r="M3382" s="3" t="n">
        <f aca="false">IF(K3382&gt;=Parametri!$B$1,1,0)</f>
        <v>1</v>
      </c>
      <c r="N3382" s="3" t="n">
        <f aca="false">L3382*M3382</f>
        <v>0</v>
      </c>
    </row>
    <row r="3383" customFormat="false" ht="15" hidden="false" customHeight="false" outlineLevel="0" collapsed="false">
      <c r="A3383" s="0" t="s">
        <v>5060</v>
      </c>
      <c r="B3383" s="0" t="s">
        <v>17</v>
      </c>
      <c r="C3383" s="0" t="s">
        <v>2026</v>
      </c>
      <c r="D3383" s="0" t="s">
        <v>77</v>
      </c>
      <c r="E3383" s="2" t="n">
        <v>45375</v>
      </c>
      <c r="F3383" s="3" t="s">
        <v>27</v>
      </c>
      <c r="G3383" s="3" t="s">
        <v>43</v>
      </c>
      <c r="H3383" s="3" t="s">
        <v>29</v>
      </c>
      <c r="I3383" s="3" t="n">
        <f aca="false">YEAR(E3383)</f>
        <v>2024</v>
      </c>
      <c r="J3383" s="3" t="n">
        <f aca="false">MONTH(E3383)</f>
        <v>3</v>
      </c>
      <c r="K3383" s="3" t="n">
        <f aca="false">COUNTIFS($B$2:$B$4077,B3383,$C$2:$C$4077,C3383,$I$2:$I$4077,I3383)</f>
        <v>2</v>
      </c>
      <c r="L3383" s="3" t="n">
        <f aca="false">IF(COUNTIFS($B$2:B3383,B3383,$C$2:C3383,C3383,$I$2:I3383,I3383)=1,1,0)</f>
        <v>0</v>
      </c>
      <c r="M3383" s="3" t="n">
        <f aca="false">IF(K3383&gt;=Parametri!$B$1,1,0)</f>
        <v>1</v>
      </c>
      <c r="N3383" s="3" t="n">
        <f aca="false">L3383*M3383</f>
        <v>0</v>
      </c>
    </row>
    <row r="3384" customFormat="false" ht="15" hidden="false" customHeight="false" outlineLevel="0" collapsed="false">
      <c r="A3384" s="0" t="s">
        <v>5061</v>
      </c>
      <c r="B3384" s="0" t="s">
        <v>24</v>
      </c>
      <c r="C3384" s="0" t="s">
        <v>271</v>
      </c>
      <c r="D3384" s="0" t="s">
        <v>19</v>
      </c>
      <c r="E3384" s="2" t="n">
        <v>45991</v>
      </c>
      <c r="F3384" s="3" t="s">
        <v>20</v>
      </c>
      <c r="G3384" s="3" t="s">
        <v>39</v>
      </c>
      <c r="H3384" s="3" t="s">
        <v>29</v>
      </c>
      <c r="I3384" s="3" t="n">
        <f aca="false">YEAR(E3384)</f>
        <v>2025</v>
      </c>
      <c r="J3384" s="3" t="n">
        <f aca="false">MONTH(E3384)</f>
        <v>11</v>
      </c>
      <c r="K3384" s="3" t="n">
        <f aca="false">COUNTIFS($B$2:$B$4077,B3384,$C$2:$C$4077,C3384,$I$2:$I$4077,I3384)</f>
        <v>3</v>
      </c>
      <c r="L3384" s="3" t="n">
        <f aca="false">IF(COUNTIFS($B$2:B3384,B3384,$C$2:C3384,C3384,$I$2:I3384,I3384)=1,1,0)</f>
        <v>1</v>
      </c>
      <c r="M3384" s="3" t="n">
        <f aca="false">IF(K3384&gt;=Parametri!$B$1,1,0)</f>
        <v>1</v>
      </c>
      <c r="N3384" s="3" t="n">
        <f aca="false">L3384*M3384</f>
        <v>1</v>
      </c>
    </row>
    <row r="3385" customFormat="false" ht="15" hidden="false" customHeight="false" outlineLevel="0" collapsed="false">
      <c r="A3385" s="0" t="s">
        <v>5062</v>
      </c>
      <c r="B3385" s="0" t="s">
        <v>31</v>
      </c>
      <c r="C3385" s="0" t="s">
        <v>1621</v>
      </c>
      <c r="D3385" s="0" t="s">
        <v>77</v>
      </c>
      <c r="E3385" s="2" t="n">
        <v>45602</v>
      </c>
      <c r="F3385" s="3" t="s">
        <v>27</v>
      </c>
      <c r="G3385" s="3" t="s">
        <v>28</v>
      </c>
      <c r="H3385" s="3" t="s">
        <v>48</v>
      </c>
      <c r="I3385" s="3" t="n">
        <f aca="false">YEAR(E3385)</f>
        <v>2024</v>
      </c>
      <c r="J3385" s="3" t="n">
        <f aca="false">MONTH(E3385)</f>
        <v>11</v>
      </c>
      <c r="K3385" s="3" t="n">
        <f aca="false">COUNTIFS($B$2:$B$4077,B3385,$C$2:$C$4077,C3385,$I$2:$I$4077,I3385)</f>
        <v>1</v>
      </c>
      <c r="L3385" s="3" t="n">
        <f aca="false">IF(COUNTIFS($B$2:B3385,B3385,$C$2:C3385,C3385,$I$2:I3385,I3385)=1,1,0)</f>
        <v>1</v>
      </c>
      <c r="M3385" s="3" t="n">
        <f aca="false">IF(K3385&gt;=Parametri!$B$1,1,0)</f>
        <v>0</v>
      </c>
      <c r="N3385" s="3" t="n">
        <f aca="false">L3385*M3385</f>
        <v>0</v>
      </c>
    </row>
    <row r="3386" customFormat="false" ht="15" hidden="false" customHeight="false" outlineLevel="0" collapsed="false">
      <c r="A3386" s="0" t="s">
        <v>5063</v>
      </c>
      <c r="B3386" s="0" t="s">
        <v>17</v>
      </c>
      <c r="C3386" s="0" t="s">
        <v>62</v>
      </c>
      <c r="D3386" s="0" t="s">
        <v>38</v>
      </c>
      <c r="E3386" s="2" t="n">
        <v>45564</v>
      </c>
      <c r="F3386" s="3" t="s">
        <v>20</v>
      </c>
      <c r="G3386" s="3" t="s">
        <v>21</v>
      </c>
      <c r="H3386" s="3" t="s">
        <v>44</v>
      </c>
      <c r="I3386" s="3" t="n">
        <f aca="false">YEAR(E3386)</f>
        <v>2024</v>
      </c>
      <c r="J3386" s="3" t="n">
        <f aca="false">MONTH(E3386)</f>
        <v>9</v>
      </c>
      <c r="K3386" s="3" t="n">
        <f aca="false">COUNTIFS($B$2:$B$4077,B3386,$C$2:$C$4077,C3386,$I$2:$I$4077,I3386)</f>
        <v>2</v>
      </c>
      <c r="L3386" s="3" t="n">
        <f aca="false">IF(COUNTIFS($B$2:B3386,B3386,$C$2:C3386,C3386,$I$2:I3386,I3386)=1,1,0)</f>
        <v>0</v>
      </c>
      <c r="M3386" s="3" t="n">
        <f aca="false">IF(K3386&gt;=Parametri!$B$1,1,0)</f>
        <v>1</v>
      </c>
      <c r="N3386" s="3" t="n">
        <f aca="false">L3386*M3386</f>
        <v>0</v>
      </c>
    </row>
    <row r="3387" customFormat="false" ht="15" hidden="false" customHeight="false" outlineLevel="0" collapsed="false">
      <c r="A3387" s="0" t="s">
        <v>5064</v>
      </c>
      <c r="B3387" s="0" t="s">
        <v>46</v>
      </c>
      <c r="C3387" s="0" t="s">
        <v>5065</v>
      </c>
      <c r="D3387" s="0" t="s">
        <v>54</v>
      </c>
      <c r="E3387" s="2" t="n">
        <v>45539</v>
      </c>
      <c r="F3387" s="3" t="s">
        <v>20</v>
      </c>
      <c r="G3387" s="3" t="s">
        <v>43</v>
      </c>
      <c r="H3387" s="3" t="s">
        <v>44</v>
      </c>
      <c r="I3387" s="3" t="n">
        <f aca="false">YEAR(E3387)</f>
        <v>2024</v>
      </c>
      <c r="J3387" s="3" t="n">
        <f aca="false">MONTH(E3387)</f>
        <v>9</v>
      </c>
      <c r="K3387" s="3" t="n">
        <f aca="false">COUNTIFS($B$2:$B$4077,B3387,$C$2:$C$4077,C3387,$I$2:$I$4077,I3387)</f>
        <v>1</v>
      </c>
      <c r="L3387" s="3" t="n">
        <f aca="false">IF(COUNTIFS($B$2:B3387,B3387,$C$2:C3387,C3387,$I$2:I3387,I3387)=1,1,0)</f>
        <v>1</v>
      </c>
      <c r="M3387" s="3" t="n">
        <f aca="false">IF(K3387&gt;=Parametri!$B$1,1,0)</f>
        <v>0</v>
      </c>
      <c r="N3387" s="3" t="n">
        <f aca="false">L3387*M3387</f>
        <v>0</v>
      </c>
    </row>
    <row r="3388" customFormat="false" ht="15" hidden="false" customHeight="false" outlineLevel="0" collapsed="false">
      <c r="A3388" s="0" t="s">
        <v>5066</v>
      </c>
      <c r="B3388" s="0" t="s">
        <v>17</v>
      </c>
      <c r="C3388" s="0" t="s">
        <v>5067</v>
      </c>
      <c r="D3388" s="0" t="s">
        <v>38</v>
      </c>
      <c r="E3388" s="2" t="n">
        <v>46187</v>
      </c>
      <c r="F3388" s="3" t="s">
        <v>20</v>
      </c>
      <c r="G3388" s="3" t="s">
        <v>35</v>
      </c>
      <c r="H3388" s="3" t="s">
        <v>22</v>
      </c>
      <c r="I3388" s="3" t="n">
        <f aca="false">YEAR(E3388)</f>
        <v>2026</v>
      </c>
      <c r="J3388" s="3" t="n">
        <f aca="false">MONTH(E3388)</f>
        <v>6</v>
      </c>
      <c r="K3388" s="3" t="n">
        <f aca="false">COUNTIFS($B$2:$B$4077,B3388,$C$2:$C$4077,C3388,$I$2:$I$4077,I3388)</f>
        <v>1</v>
      </c>
      <c r="L3388" s="3" t="n">
        <f aca="false">IF(COUNTIFS($B$2:B3388,B3388,$C$2:C3388,C3388,$I$2:I3388,I3388)=1,1,0)</f>
        <v>1</v>
      </c>
      <c r="M3388" s="3" t="n">
        <f aca="false">IF(K3388&gt;=Parametri!$B$1,1,0)</f>
        <v>0</v>
      </c>
      <c r="N3388" s="3" t="n">
        <f aca="false">L3388*M3388</f>
        <v>0</v>
      </c>
    </row>
    <row r="3389" customFormat="false" ht="15" hidden="false" customHeight="false" outlineLevel="0" collapsed="false">
      <c r="A3389" s="0" t="s">
        <v>5068</v>
      </c>
      <c r="B3389" s="0" t="s">
        <v>17</v>
      </c>
      <c r="C3389" s="0" t="s">
        <v>4493</v>
      </c>
      <c r="D3389" s="0" t="s">
        <v>19</v>
      </c>
      <c r="E3389" s="2" t="n">
        <v>45447</v>
      </c>
      <c r="F3389" s="3" t="s">
        <v>20</v>
      </c>
      <c r="G3389" s="3" t="s">
        <v>28</v>
      </c>
      <c r="H3389" s="3" t="s">
        <v>44</v>
      </c>
      <c r="I3389" s="3" t="n">
        <f aca="false">YEAR(E3389)</f>
        <v>2024</v>
      </c>
      <c r="J3389" s="3" t="n">
        <f aca="false">MONTH(E3389)</f>
        <v>6</v>
      </c>
      <c r="K3389" s="3" t="n">
        <f aca="false">COUNTIFS($B$2:$B$4077,B3389,$C$2:$C$4077,C3389,$I$2:$I$4077,I3389)</f>
        <v>1</v>
      </c>
      <c r="L3389" s="3" t="n">
        <f aca="false">IF(COUNTIFS($B$2:B3389,B3389,$C$2:C3389,C3389,$I$2:I3389,I3389)=1,1,0)</f>
        <v>1</v>
      </c>
      <c r="M3389" s="3" t="n">
        <f aca="false">IF(K3389&gt;=Parametri!$B$1,1,0)</f>
        <v>0</v>
      </c>
      <c r="N3389" s="3" t="n">
        <f aca="false">L3389*M3389</f>
        <v>0</v>
      </c>
    </row>
    <row r="3390" customFormat="false" ht="15" hidden="false" customHeight="false" outlineLevel="0" collapsed="false">
      <c r="A3390" s="0" t="s">
        <v>5069</v>
      </c>
      <c r="B3390" s="0" t="s">
        <v>50</v>
      </c>
      <c r="C3390" s="0" t="s">
        <v>5070</v>
      </c>
      <c r="D3390" s="0" t="s">
        <v>33</v>
      </c>
      <c r="E3390" s="2" t="n">
        <v>45828</v>
      </c>
      <c r="F3390" s="3" t="s">
        <v>27</v>
      </c>
      <c r="G3390" s="3" t="s">
        <v>39</v>
      </c>
      <c r="H3390" s="3" t="s">
        <v>29</v>
      </c>
      <c r="I3390" s="3" t="n">
        <f aca="false">YEAR(E3390)</f>
        <v>2025</v>
      </c>
      <c r="J3390" s="3" t="n">
        <f aca="false">MONTH(E3390)</f>
        <v>6</v>
      </c>
      <c r="K3390" s="3" t="n">
        <f aca="false">COUNTIFS($B$2:$B$4077,B3390,$C$2:$C$4077,C3390,$I$2:$I$4077,I3390)</f>
        <v>1</v>
      </c>
      <c r="L3390" s="3" t="n">
        <f aca="false">IF(COUNTIFS($B$2:B3390,B3390,$C$2:C3390,C3390,$I$2:I3390,I3390)=1,1,0)</f>
        <v>1</v>
      </c>
      <c r="M3390" s="3" t="n">
        <f aca="false">IF(K3390&gt;=Parametri!$B$1,1,0)</f>
        <v>0</v>
      </c>
      <c r="N3390" s="3" t="n">
        <f aca="false">L3390*M3390</f>
        <v>0</v>
      </c>
    </row>
    <row r="3391" customFormat="false" ht="15" hidden="false" customHeight="false" outlineLevel="0" collapsed="false">
      <c r="A3391" s="0" t="s">
        <v>5071</v>
      </c>
      <c r="B3391" s="0" t="s">
        <v>57</v>
      </c>
      <c r="C3391" s="0" t="s">
        <v>288</v>
      </c>
      <c r="D3391" s="0" t="s">
        <v>38</v>
      </c>
      <c r="E3391" s="2" t="n">
        <v>45414</v>
      </c>
      <c r="F3391" s="3" t="s">
        <v>27</v>
      </c>
      <c r="G3391" s="3" t="s">
        <v>89</v>
      </c>
      <c r="H3391" s="3" t="s">
        <v>29</v>
      </c>
      <c r="I3391" s="3" t="n">
        <f aca="false">YEAR(E3391)</f>
        <v>2024</v>
      </c>
      <c r="J3391" s="3" t="n">
        <f aca="false">MONTH(E3391)</f>
        <v>5</v>
      </c>
      <c r="K3391" s="3" t="n">
        <f aca="false">COUNTIFS($B$2:$B$4077,B3391,$C$2:$C$4077,C3391,$I$2:$I$4077,I3391)</f>
        <v>7</v>
      </c>
      <c r="L3391" s="3" t="n">
        <f aca="false">IF(COUNTIFS($B$2:B3391,B3391,$C$2:C3391,C3391,$I$2:I3391,I3391)=1,1,0)</f>
        <v>0</v>
      </c>
      <c r="M3391" s="3" t="n">
        <f aca="false">IF(K3391&gt;=Parametri!$B$1,1,0)</f>
        <v>1</v>
      </c>
      <c r="N3391" s="3" t="n">
        <f aca="false">L3391*M3391</f>
        <v>0</v>
      </c>
    </row>
    <row r="3392" customFormat="false" ht="15" hidden="false" customHeight="false" outlineLevel="0" collapsed="false">
      <c r="A3392" s="0" t="s">
        <v>5072</v>
      </c>
      <c r="B3392" s="0" t="s">
        <v>46</v>
      </c>
      <c r="C3392" s="0" t="s">
        <v>3068</v>
      </c>
      <c r="D3392" s="0" t="s">
        <v>66</v>
      </c>
      <c r="E3392" s="2" t="n">
        <v>45548</v>
      </c>
      <c r="F3392" s="3" t="s">
        <v>20</v>
      </c>
      <c r="G3392" s="3" t="s">
        <v>35</v>
      </c>
      <c r="H3392" s="3" t="s">
        <v>48</v>
      </c>
      <c r="I3392" s="3" t="n">
        <f aca="false">YEAR(E3392)</f>
        <v>2024</v>
      </c>
      <c r="J3392" s="3" t="n">
        <f aca="false">MONTH(E3392)</f>
        <v>9</v>
      </c>
      <c r="K3392" s="3" t="n">
        <f aca="false">COUNTIFS($B$2:$B$4077,B3392,$C$2:$C$4077,C3392,$I$2:$I$4077,I3392)</f>
        <v>3</v>
      </c>
      <c r="L3392" s="3" t="n">
        <f aca="false">IF(COUNTIFS($B$2:B3392,B3392,$C$2:C3392,C3392,$I$2:I3392,I3392)=1,1,0)</f>
        <v>0</v>
      </c>
      <c r="M3392" s="3" t="n">
        <f aca="false">IF(K3392&gt;=Parametri!$B$1,1,0)</f>
        <v>1</v>
      </c>
      <c r="N3392" s="3" t="n">
        <f aca="false">L3392*M3392</f>
        <v>0</v>
      </c>
    </row>
    <row r="3393" customFormat="false" ht="15" hidden="false" customHeight="false" outlineLevel="0" collapsed="false">
      <c r="A3393" s="0" t="s">
        <v>5073</v>
      </c>
      <c r="B3393" s="0" t="s">
        <v>41</v>
      </c>
      <c r="C3393" s="0" t="s">
        <v>4003</v>
      </c>
      <c r="D3393" s="0" t="s">
        <v>77</v>
      </c>
      <c r="E3393" s="2" t="n">
        <v>45437</v>
      </c>
      <c r="F3393" s="3" t="s">
        <v>20</v>
      </c>
      <c r="G3393" s="3" t="s">
        <v>39</v>
      </c>
      <c r="H3393" s="3" t="s">
        <v>22</v>
      </c>
      <c r="I3393" s="3" t="n">
        <f aca="false">YEAR(E3393)</f>
        <v>2024</v>
      </c>
      <c r="J3393" s="3" t="n">
        <f aca="false">MONTH(E3393)</f>
        <v>5</v>
      </c>
      <c r="K3393" s="3" t="n">
        <f aca="false">COUNTIFS($B$2:$B$4077,B3393,$C$2:$C$4077,C3393,$I$2:$I$4077,I3393)</f>
        <v>1</v>
      </c>
      <c r="L3393" s="3" t="n">
        <f aca="false">IF(COUNTIFS($B$2:B3393,B3393,$C$2:C3393,C3393,$I$2:I3393,I3393)=1,1,0)</f>
        <v>1</v>
      </c>
      <c r="M3393" s="3" t="n">
        <f aca="false">IF(K3393&gt;=Parametri!$B$1,1,0)</f>
        <v>0</v>
      </c>
      <c r="N3393" s="3" t="n">
        <f aca="false">L3393*M3393</f>
        <v>0</v>
      </c>
    </row>
    <row r="3394" customFormat="false" ht="15" hidden="false" customHeight="false" outlineLevel="0" collapsed="false">
      <c r="A3394" s="0" t="s">
        <v>5074</v>
      </c>
      <c r="B3394" s="0" t="s">
        <v>24</v>
      </c>
      <c r="C3394" s="0" t="s">
        <v>325</v>
      </c>
      <c r="D3394" s="0" t="s">
        <v>38</v>
      </c>
      <c r="E3394" s="2" t="n">
        <v>45658</v>
      </c>
      <c r="F3394" s="3" t="s">
        <v>20</v>
      </c>
      <c r="G3394" s="3" t="s">
        <v>35</v>
      </c>
      <c r="H3394" s="3" t="s">
        <v>22</v>
      </c>
      <c r="I3394" s="3" t="n">
        <f aca="false">YEAR(E3394)</f>
        <v>2025</v>
      </c>
      <c r="J3394" s="3" t="n">
        <f aca="false">MONTH(E3394)</f>
        <v>1</v>
      </c>
      <c r="K3394" s="3" t="n">
        <f aca="false">COUNTIFS($B$2:$B$4077,B3394,$C$2:$C$4077,C3394,$I$2:$I$4077,I3394)</f>
        <v>4</v>
      </c>
      <c r="L3394" s="3" t="n">
        <f aca="false">IF(COUNTIFS($B$2:B3394,B3394,$C$2:C3394,C3394,$I$2:I3394,I3394)=1,1,0)</f>
        <v>0</v>
      </c>
      <c r="M3394" s="3" t="n">
        <f aca="false">IF(K3394&gt;=Parametri!$B$1,1,0)</f>
        <v>1</v>
      </c>
      <c r="N3394" s="3" t="n">
        <f aca="false">L3394*M3394</f>
        <v>0</v>
      </c>
    </row>
    <row r="3395" customFormat="false" ht="15" hidden="false" customHeight="false" outlineLevel="0" collapsed="false">
      <c r="A3395" s="0" t="s">
        <v>5075</v>
      </c>
      <c r="B3395" s="0" t="s">
        <v>41</v>
      </c>
      <c r="C3395" s="0" t="s">
        <v>1438</v>
      </c>
      <c r="D3395" s="0" t="s">
        <v>38</v>
      </c>
      <c r="E3395" s="2" t="n">
        <v>45661</v>
      </c>
      <c r="F3395" s="3" t="s">
        <v>27</v>
      </c>
      <c r="G3395" s="3" t="s">
        <v>43</v>
      </c>
      <c r="H3395" s="3" t="s">
        <v>48</v>
      </c>
      <c r="I3395" s="3" t="n">
        <f aca="false">YEAR(E3395)</f>
        <v>2025</v>
      </c>
      <c r="J3395" s="3" t="n">
        <f aca="false">MONTH(E3395)</f>
        <v>1</v>
      </c>
      <c r="K3395" s="3" t="n">
        <f aca="false">COUNTIFS($B$2:$B$4077,B3395,$C$2:$C$4077,C3395,$I$2:$I$4077,I3395)</f>
        <v>1</v>
      </c>
      <c r="L3395" s="3" t="n">
        <f aca="false">IF(COUNTIFS($B$2:B3395,B3395,$C$2:C3395,C3395,$I$2:I3395,I3395)=1,1,0)</f>
        <v>1</v>
      </c>
      <c r="M3395" s="3" t="n">
        <f aca="false">IF(K3395&gt;=Parametri!$B$1,1,0)</f>
        <v>0</v>
      </c>
      <c r="N3395" s="3" t="n">
        <f aca="false">L3395*M3395</f>
        <v>0</v>
      </c>
    </row>
    <row r="3396" customFormat="false" ht="15" hidden="false" customHeight="false" outlineLevel="0" collapsed="false">
      <c r="A3396" s="0" t="s">
        <v>5076</v>
      </c>
      <c r="B3396" s="0" t="s">
        <v>24</v>
      </c>
      <c r="C3396" s="0" t="s">
        <v>2937</v>
      </c>
      <c r="D3396" s="0" t="s">
        <v>66</v>
      </c>
      <c r="E3396" s="2" t="n">
        <v>45563</v>
      </c>
      <c r="F3396" s="3" t="s">
        <v>20</v>
      </c>
      <c r="G3396" s="3" t="s">
        <v>72</v>
      </c>
      <c r="H3396" s="3" t="s">
        <v>44</v>
      </c>
      <c r="I3396" s="3" t="n">
        <f aca="false">YEAR(E3396)</f>
        <v>2024</v>
      </c>
      <c r="J3396" s="3" t="n">
        <f aca="false">MONTH(E3396)</f>
        <v>9</v>
      </c>
      <c r="K3396" s="3" t="n">
        <f aca="false">COUNTIFS($B$2:$B$4077,B3396,$C$2:$C$4077,C3396,$I$2:$I$4077,I3396)</f>
        <v>1</v>
      </c>
      <c r="L3396" s="3" t="n">
        <f aca="false">IF(COUNTIFS($B$2:B3396,B3396,$C$2:C3396,C3396,$I$2:I3396,I3396)=1,1,0)</f>
        <v>1</v>
      </c>
      <c r="M3396" s="3" t="n">
        <f aca="false">IF(K3396&gt;=Parametri!$B$1,1,0)</f>
        <v>0</v>
      </c>
      <c r="N3396" s="3" t="n">
        <f aca="false">L3396*M3396</f>
        <v>0</v>
      </c>
    </row>
    <row r="3397" customFormat="false" ht="15" hidden="false" customHeight="false" outlineLevel="0" collapsed="false">
      <c r="A3397" s="0" t="s">
        <v>5077</v>
      </c>
      <c r="B3397" s="0" t="s">
        <v>41</v>
      </c>
      <c r="C3397" s="0" t="s">
        <v>1753</v>
      </c>
      <c r="D3397" s="0" t="s">
        <v>54</v>
      </c>
      <c r="E3397" s="2" t="n">
        <v>45394</v>
      </c>
      <c r="F3397" s="3" t="s">
        <v>27</v>
      </c>
      <c r="G3397" s="3" t="s">
        <v>21</v>
      </c>
      <c r="H3397" s="3" t="s">
        <v>22</v>
      </c>
      <c r="I3397" s="3" t="n">
        <f aca="false">YEAR(E3397)</f>
        <v>2024</v>
      </c>
      <c r="J3397" s="3" t="n">
        <f aca="false">MONTH(E3397)</f>
        <v>4</v>
      </c>
      <c r="K3397" s="3" t="n">
        <f aca="false">COUNTIFS($B$2:$B$4077,B3397,$C$2:$C$4077,C3397,$I$2:$I$4077,I3397)</f>
        <v>1</v>
      </c>
      <c r="L3397" s="3" t="n">
        <f aca="false">IF(COUNTIFS($B$2:B3397,B3397,$C$2:C3397,C3397,$I$2:I3397,I3397)=1,1,0)</f>
        <v>1</v>
      </c>
      <c r="M3397" s="3" t="n">
        <f aca="false">IF(K3397&gt;=Parametri!$B$1,1,0)</f>
        <v>0</v>
      </c>
      <c r="N3397" s="3" t="n">
        <f aca="false">L3397*M3397</f>
        <v>0</v>
      </c>
    </row>
    <row r="3398" customFormat="false" ht="15" hidden="false" customHeight="false" outlineLevel="0" collapsed="false">
      <c r="A3398" s="0" t="s">
        <v>5078</v>
      </c>
      <c r="B3398" s="0" t="s">
        <v>124</v>
      </c>
      <c r="C3398" s="0" t="s">
        <v>4982</v>
      </c>
      <c r="D3398" s="0" t="s">
        <v>38</v>
      </c>
      <c r="E3398" s="2" t="n">
        <v>45867</v>
      </c>
      <c r="F3398" s="3" t="s">
        <v>27</v>
      </c>
      <c r="G3398" s="3" t="s">
        <v>72</v>
      </c>
      <c r="H3398" s="3" t="s">
        <v>48</v>
      </c>
      <c r="I3398" s="3" t="n">
        <f aca="false">YEAR(E3398)</f>
        <v>2025</v>
      </c>
      <c r="J3398" s="3" t="n">
        <f aca="false">MONTH(E3398)</f>
        <v>7</v>
      </c>
      <c r="K3398" s="3" t="n">
        <f aca="false">COUNTIFS($B$2:$B$4077,B3398,$C$2:$C$4077,C3398,$I$2:$I$4077,I3398)</f>
        <v>1</v>
      </c>
      <c r="L3398" s="3" t="n">
        <f aca="false">IF(COUNTIFS($B$2:B3398,B3398,$C$2:C3398,C3398,$I$2:I3398,I3398)=1,1,0)</f>
        <v>1</v>
      </c>
      <c r="M3398" s="3" t="n">
        <f aca="false">IF(K3398&gt;=Parametri!$B$1,1,0)</f>
        <v>0</v>
      </c>
      <c r="N3398" s="3" t="n">
        <f aca="false">L3398*M3398</f>
        <v>0</v>
      </c>
    </row>
    <row r="3399" customFormat="false" ht="15" hidden="false" customHeight="false" outlineLevel="0" collapsed="false">
      <c r="A3399" s="0" t="s">
        <v>5079</v>
      </c>
      <c r="B3399" s="0" t="s">
        <v>79</v>
      </c>
      <c r="C3399" s="0" t="s">
        <v>5080</v>
      </c>
      <c r="D3399" s="0" t="s">
        <v>26</v>
      </c>
      <c r="E3399" s="2" t="n">
        <v>45893</v>
      </c>
      <c r="F3399" s="3" t="s">
        <v>20</v>
      </c>
      <c r="G3399" s="3" t="s">
        <v>39</v>
      </c>
      <c r="H3399" s="3" t="s">
        <v>22</v>
      </c>
      <c r="I3399" s="3" t="n">
        <f aca="false">YEAR(E3399)</f>
        <v>2025</v>
      </c>
      <c r="J3399" s="3" t="n">
        <f aca="false">MONTH(E3399)</f>
        <v>8</v>
      </c>
      <c r="K3399" s="3" t="n">
        <f aca="false">COUNTIFS($B$2:$B$4077,B3399,$C$2:$C$4077,C3399,$I$2:$I$4077,I3399)</f>
        <v>1</v>
      </c>
      <c r="L3399" s="3" t="n">
        <f aca="false">IF(COUNTIFS($B$2:B3399,B3399,$C$2:C3399,C3399,$I$2:I3399,I3399)=1,1,0)</f>
        <v>1</v>
      </c>
      <c r="M3399" s="3" t="n">
        <f aca="false">IF(K3399&gt;=Parametri!$B$1,1,0)</f>
        <v>0</v>
      </c>
      <c r="N3399" s="3" t="n">
        <f aca="false">L3399*M3399</f>
        <v>0</v>
      </c>
    </row>
    <row r="3400" customFormat="false" ht="15" hidden="false" customHeight="false" outlineLevel="0" collapsed="false">
      <c r="A3400" s="0" t="s">
        <v>5081</v>
      </c>
      <c r="B3400" s="0" t="s">
        <v>17</v>
      </c>
      <c r="C3400" s="0" t="s">
        <v>458</v>
      </c>
      <c r="D3400" s="0" t="s">
        <v>38</v>
      </c>
      <c r="E3400" s="2" t="n">
        <v>45973</v>
      </c>
      <c r="F3400" s="3" t="s">
        <v>34</v>
      </c>
      <c r="G3400" s="3" t="s">
        <v>72</v>
      </c>
      <c r="H3400" s="3" t="s">
        <v>44</v>
      </c>
      <c r="I3400" s="3" t="n">
        <f aca="false">YEAR(E3400)</f>
        <v>2025</v>
      </c>
      <c r="J3400" s="3" t="n">
        <f aca="false">MONTH(E3400)</f>
        <v>11</v>
      </c>
      <c r="K3400" s="3" t="n">
        <f aca="false">COUNTIFS($B$2:$B$4077,B3400,$C$2:$C$4077,C3400,$I$2:$I$4077,I3400)</f>
        <v>6</v>
      </c>
      <c r="L3400" s="3" t="n">
        <f aca="false">IF(COUNTIFS($B$2:B3400,B3400,$C$2:C3400,C3400,$I$2:I3400,I3400)=1,1,0)</f>
        <v>0</v>
      </c>
      <c r="M3400" s="3" t="n">
        <f aca="false">IF(K3400&gt;=Parametri!$B$1,1,0)</f>
        <v>1</v>
      </c>
      <c r="N3400" s="3" t="n">
        <f aca="false">L3400*M3400</f>
        <v>0</v>
      </c>
    </row>
    <row r="3401" customFormat="false" ht="15" hidden="false" customHeight="false" outlineLevel="0" collapsed="false">
      <c r="A3401" s="0" t="s">
        <v>5082</v>
      </c>
      <c r="B3401" s="0" t="s">
        <v>46</v>
      </c>
      <c r="C3401" s="0" t="s">
        <v>5083</v>
      </c>
      <c r="D3401" s="0" t="s">
        <v>33</v>
      </c>
      <c r="E3401" s="2" t="n">
        <v>45953</v>
      </c>
      <c r="F3401" s="3" t="s">
        <v>27</v>
      </c>
      <c r="G3401" s="3" t="s">
        <v>21</v>
      </c>
      <c r="H3401" s="3" t="s">
        <v>22</v>
      </c>
      <c r="I3401" s="3" t="n">
        <f aca="false">YEAR(E3401)</f>
        <v>2025</v>
      </c>
      <c r="J3401" s="3" t="n">
        <f aca="false">MONTH(E3401)</f>
        <v>10</v>
      </c>
      <c r="K3401" s="3" t="n">
        <f aca="false">COUNTIFS($B$2:$B$4077,B3401,$C$2:$C$4077,C3401,$I$2:$I$4077,I3401)</f>
        <v>1</v>
      </c>
      <c r="L3401" s="3" t="n">
        <f aca="false">IF(COUNTIFS($B$2:B3401,B3401,$C$2:C3401,C3401,$I$2:I3401,I3401)=1,1,0)</f>
        <v>1</v>
      </c>
      <c r="M3401" s="3" t="n">
        <f aca="false">IF(K3401&gt;=Parametri!$B$1,1,0)</f>
        <v>0</v>
      </c>
      <c r="N3401" s="3" t="n">
        <f aca="false">L3401*M3401</f>
        <v>0</v>
      </c>
    </row>
    <row r="3402" customFormat="false" ht="15" hidden="false" customHeight="false" outlineLevel="0" collapsed="false">
      <c r="A3402" s="0" t="s">
        <v>5084</v>
      </c>
      <c r="B3402" s="0" t="s">
        <v>79</v>
      </c>
      <c r="C3402" s="0" t="s">
        <v>3177</v>
      </c>
      <c r="D3402" s="0" t="s">
        <v>26</v>
      </c>
      <c r="E3402" s="2" t="n">
        <v>45946</v>
      </c>
      <c r="F3402" s="3" t="s">
        <v>20</v>
      </c>
      <c r="G3402" s="3" t="s">
        <v>72</v>
      </c>
      <c r="H3402" s="3" t="s">
        <v>48</v>
      </c>
      <c r="I3402" s="3" t="n">
        <f aca="false">YEAR(E3402)</f>
        <v>2025</v>
      </c>
      <c r="J3402" s="3" t="n">
        <f aca="false">MONTH(E3402)</f>
        <v>10</v>
      </c>
      <c r="K3402" s="3" t="n">
        <f aca="false">COUNTIFS($B$2:$B$4077,B3402,$C$2:$C$4077,C3402,$I$2:$I$4077,I3402)</f>
        <v>2</v>
      </c>
      <c r="L3402" s="3" t="n">
        <f aca="false">IF(COUNTIFS($B$2:B3402,B3402,$C$2:C3402,C3402,$I$2:I3402,I3402)=1,1,0)</f>
        <v>0</v>
      </c>
      <c r="M3402" s="3" t="n">
        <f aca="false">IF(K3402&gt;=Parametri!$B$1,1,0)</f>
        <v>1</v>
      </c>
      <c r="N3402" s="3" t="n">
        <f aca="false">L3402*M3402</f>
        <v>0</v>
      </c>
    </row>
    <row r="3403" customFormat="false" ht="15" hidden="false" customHeight="false" outlineLevel="0" collapsed="false">
      <c r="A3403" s="0" t="s">
        <v>5085</v>
      </c>
      <c r="B3403" s="0" t="s">
        <v>31</v>
      </c>
      <c r="C3403" s="0" t="s">
        <v>2023</v>
      </c>
      <c r="D3403" s="0" t="s">
        <v>26</v>
      </c>
      <c r="E3403" s="2" t="n">
        <v>45515</v>
      </c>
      <c r="F3403" s="3" t="s">
        <v>20</v>
      </c>
      <c r="G3403" s="3" t="s">
        <v>55</v>
      </c>
      <c r="H3403" s="3" t="s">
        <v>44</v>
      </c>
      <c r="I3403" s="3" t="n">
        <f aca="false">YEAR(E3403)</f>
        <v>2024</v>
      </c>
      <c r="J3403" s="3" t="n">
        <f aca="false">MONTH(E3403)</f>
        <v>8</v>
      </c>
      <c r="K3403" s="3" t="n">
        <f aca="false">COUNTIFS($B$2:$B$4077,B3403,$C$2:$C$4077,C3403,$I$2:$I$4077,I3403)</f>
        <v>2</v>
      </c>
      <c r="L3403" s="3" t="n">
        <f aca="false">IF(COUNTIFS($B$2:B3403,B3403,$C$2:C3403,C3403,$I$2:I3403,I3403)=1,1,0)</f>
        <v>0</v>
      </c>
      <c r="M3403" s="3" t="n">
        <f aca="false">IF(K3403&gt;=Parametri!$B$1,1,0)</f>
        <v>1</v>
      </c>
      <c r="N3403" s="3" t="n">
        <f aca="false">L3403*M3403</f>
        <v>0</v>
      </c>
    </row>
    <row r="3404" customFormat="false" ht="15" hidden="false" customHeight="false" outlineLevel="0" collapsed="false">
      <c r="A3404" s="0" t="s">
        <v>5086</v>
      </c>
      <c r="B3404" s="0" t="s">
        <v>17</v>
      </c>
      <c r="C3404" s="0" t="s">
        <v>5087</v>
      </c>
      <c r="D3404" s="0" t="s">
        <v>54</v>
      </c>
      <c r="E3404" s="2" t="n">
        <v>45978</v>
      </c>
      <c r="F3404" s="3" t="s">
        <v>27</v>
      </c>
      <c r="G3404" s="3" t="s">
        <v>21</v>
      </c>
      <c r="H3404" s="3" t="s">
        <v>48</v>
      </c>
      <c r="I3404" s="3" t="n">
        <f aca="false">YEAR(E3404)</f>
        <v>2025</v>
      </c>
      <c r="J3404" s="3" t="n">
        <f aca="false">MONTH(E3404)</f>
        <v>11</v>
      </c>
      <c r="K3404" s="3" t="n">
        <f aca="false">COUNTIFS($B$2:$B$4077,B3404,$C$2:$C$4077,C3404,$I$2:$I$4077,I3404)</f>
        <v>1</v>
      </c>
      <c r="L3404" s="3" t="n">
        <f aca="false">IF(COUNTIFS($B$2:B3404,B3404,$C$2:C3404,C3404,$I$2:I3404,I3404)=1,1,0)</f>
        <v>1</v>
      </c>
      <c r="M3404" s="3" t="n">
        <f aca="false">IF(K3404&gt;=Parametri!$B$1,1,0)</f>
        <v>0</v>
      </c>
      <c r="N3404" s="3" t="n">
        <f aca="false">L3404*M3404</f>
        <v>0</v>
      </c>
    </row>
    <row r="3405" customFormat="false" ht="15" hidden="false" customHeight="false" outlineLevel="0" collapsed="false">
      <c r="A3405" s="0" t="s">
        <v>5088</v>
      </c>
      <c r="B3405" s="0" t="s">
        <v>31</v>
      </c>
      <c r="C3405" s="0" t="s">
        <v>1767</v>
      </c>
      <c r="D3405" s="0" t="s">
        <v>26</v>
      </c>
      <c r="E3405" s="2" t="n">
        <v>45696</v>
      </c>
      <c r="F3405" s="3" t="s">
        <v>27</v>
      </c>
      <c r="G3405" s="3" t="s">
        <v>72</v>
      </c>
      <c r="H3405" s="3" t="s">
        <v>29</v>
      </c>
      <c r="I3405" s="3" t="n">
        <f aca="false">YEAR(E3405)</f>
        <v>2025</v>
      </c>
      <c r="J3405" s="3" t="n">
        <f aca="false">MONTH(E3405)</f>
        <v>2</v>
      </c>
      <c r="K3405" s="3" t="n">
        <f aca="false">COUNTIFS($B$2:$B$4077,B3405,$C$2:$C$4077,C3405,$I$2:$I$4077,I3405)</f>
        <v>3</v>
      </c>
      <c r="L3405" s="3" t="n">
        <f aca="false">IF(COUNTIFS($B$2:B3405,B3405,$C$2:C3405,C3405,$I$2:I3405,I3405)=1,1,0)</f>
        <v>0</v>
      </c>
      <c r="M3405" s="3" t="n">
        <f aca="false">IF(K3405&gt;=Parametri!$B$1,1,0)</f>
        <v>1</v>
      </c>
      <c r="N3405" s="3" t="n">
        <f aca="false">L3405*M3405</f>
        <v>0</v>
      </c>
    </row>
    <row r="3406" customFormat="false" ht="15" hidden="false" customHeight="false" outlineLevel="0" collapsed="false">
      <c r="A3406" s="0" t="s">
        <v>5089</v>
      </c>
      <c r="B3406" s="0" t="s">
        <v>17</v>
      </c>
      <c r="C3406" s="0" t="s">
        <v>2853</v>
      </c>
      <c r="D3406" s="0" t="s">
        <v>77</v>
      </c>
      <c r="E3406" s="2" t="n">
        <v>45652</v>
      </c>
      <c r="F3406" s="3" t="s">
        <v>20</v>
      </c>
      <c r="G3406" s="3" t="s">
        <v>28</v>
      </c>
      <c r="H3406" s="3" t="s">
        <v>22</v>
      </c>
      <c r="I3406" s="3" t="n">
        <f aca="false">YEAR(E3406)</f>
        <v>2024</v>
      </c>
      <c r="J3406" s="3" t="n">
        <f aca="false">MONTH(E3406)</f>
        <v>12</v>
      </c>
      <c r="K3406" s="3" t="n">
        <f aca="false">COUNTIFS($B$2:$B$4077,B3406,$C$2:$C$4077,C3406,$I$2:$I$4077,I3406)</f>
        <v>3</v>
      </c>
      <c r="L3406" s="3" t="n">
        <f aca="false">IF(COUNTIFS($B$2:B3406,B3406,$C$2:C3406,C3406,$I$2:I3406,I3406)=1,1,0)</f>
        <v>0</v>
      </c>
      <c r="M3406" s="3" t="n">
        <f aca="false">IF(K3406&gt;=Parametri!$B$1,1,0)</f>
        <v>1</v>
      </c>
      <c r="N3406" s="3" t="n">
        <f aca="false">L3406*M3406</f>
        <v>0</v>
      </c>
    </row>
    <row r="3407" customFormat="false" ht="15" hidden="false" customHeight="false" outlineLevel="0" collapsed="false">
      <c r="A3407" s="0" t="s">
        <v>5090</v>
      </c>
      <c r="B3407" s="0" t="s">
        <v>124</v>
      </c>
      <c r="C3407" s="0" t="s">
        <v>2467</v>
      </c>
      <c r="D3407" s="0" t="s">
        <v>26</v>
      </c>
      <c r="E3407" s="2" t="n">
        <v>45348</v>
      </c>
      <c r="F3407" s="3" t="s">
        <v>34</v>
      </c>
      <c r="G3407" s="3" t="s">
        <v>72</v>
      </c>
      <c r="H3407" s="3" t="s">
        <v>22</v>
      </c>
      <c r="I3407" s="3" t="n">
        <f aca="false">YEAR(E3407)</f>
        <v>2024</v>
      </c>
      <c r="J3407" s="3" t="n">
        <f aca="false">MONTH(E3407)</f>
        <v>2</v>
      </c>
      <c r="K3407" s="3" t="n">
        <f aca="false">COUNTIFS($B$2:$B$4077,B3407,$C$2:$C$4077,C3407,$I$2:$I$4077,I3407)</f>
        <v>2</v>
      </c>
      <c r="L3407" s="3" t="n">
        <f aca="false">IF(COUNTIFS($B$2:B3407,B3407,$C$2:C3407,C3407,$I$2:I3407,I3407)=1,1,0)</f>
        <v>0</v>
      </c>
      <c r="M3407" s="3" t="n">
        <f aca="false">IF(K3407&gt;=Parametri!$B$1,1,0)</f>
        <v>1</v>
      </c>
      <c r="N3407" s="3" t="n">
        <f aca="false">L3407*M3407</f>
        <v>0</v>
      </c>
    </row>
    <row r="3408" customFormat="false" ht="15" hidden="false" customHeight="false" outlineLevel="0" collapsed="false">
      <c r="A3408" s="0" t="s">
        <v>5091</v>
      </c>
      <c r="B3408" s="0" t="s">
        <v>17</v>
      </c>
      <c r="C3408" s="0" t="s">
        <v>18</v>
      </c>
      <c r="D3408" s="0" t="s">
        <v>26</v>
      </c>
      <c r="E3408" s="2" t="n">
        <v>46229</v>
      </c>
      <c r="F3408" s="3" t="s">
        <v>20</v>
      </c>
      <c r="G3408" s="3" t="s">
        <v>43</v>
      </c>
      <c r="H3408" s="3" t="s">
        <v>44</v>
      </c>
      <c r="I3408" s="3" t="n">
        <f aca="false">YEAR(E3408)</f>
        <v>2026</v>
      </c>
      <c r="J3408" s="3" t="n">
        <f aca="false">MONTH(E3408)</f>
        <v>7</v>
      </c>
      <c r="K3408" s="3" t="n">
        <f aca="false">COUNTIFS($B$2:$B$4077,B3408,$C$2:$C$4077,C3408,$I$2:$I$4077,I3408)</f>
        <v>3</v>
      </c>
      <c r="L3408" s="3" t="n">
        <f aca="false">IF(COUNTIFS($B$2:B3408,B3408,$C$2:C3408,C3408,$I$2:I3408,I3408)=1,1,0)</f>
        <v>0</v>
      </c>
      <c r="M3408" s="3" t="n">
        <f aca="false">IF(K3408&gt;=Parametri!$B$1,1,0)</f>
        <v>1</v>
      </c>
      <c r="N3408" s="3" t="n">
        <f aca="false">L3408*M3408</f>
        <v>0</v>
      </c>
    </row>
    <row r="3409" customFormat="false" ht="15" hidden="false" customHeight="false" outlineLevel="0" collapsed="false">
      <c r="A3409" s="0" t="s">
        <v>5092</v>
      </c>
      <c r="B3409" s="0" t="s">
        <v>17</v>
      </c>
      <c r="C3409" s="0" t="s">
        <v>4458</v>
      </c>
      <c r="D3409" s="0" t="s">
        <v>19</v>
      </c>
      <c r="E3409" s="2" t="n">
        <v>45585</v>
      </c>
      <c r="F3409" s="3" t="s">
        <v>27</v>
      </c>
      <c r="G3409" s="3" t="s">
        <v>39</v>
      </c>
      <c r="H3409" s="3" t="s">
        <v>48</v>
      </c>
      <c r="I3409" s="3" t="n">
        <f aca="false">YEAR(E3409)</f>
        <v>2024</v>
      </c>
      <c r="J3409" s="3" t="n">
        <f aca="false">MONTH(E3409)</f>
        <v>10</v>
      </c>
      <c r="K3409" s="3" t="n">
        <f aca="false">COUNTIFS($B$2:$B$4077,B3409,$C$2:$C$4077,C3409,$I$2:$I$4077,I3409)</f>
        <v>2</v>
      </c>
      <c r="L3409" s="3" t="n">
        <f aca="false">IF(COUNTIFS($B$2:B3409,B3409,$C$2:C3409,C3409,$I$2:I3409,I3409)=1,1,0)</f>
        <v>0</v>
      </c>
      <c r="M3409" s="3" t="n">
        <f aca="false">IF(K3409&gt;=Parametri!$B$1,1,0)</f>
        <v>1</v>
      </c>
      <c r="N3409" s="3" t="n">
        <f aca="false">L3409*M3409</f>
        <v>0</v>
      </c>
    </row>
    <row r="3410" customFormat="false" ht="15" hidden="false" customHeight="false" outlineLevel="0" collapsed="false">
      <c r="A3410" s="0" t="s">
        <v>5093</v>
      </c>
      <c r="B3410" s="0" t="s">
        <v>24</v>
      </c>
      <c r="C3410" s="0" t="s">
        <v>1473</v>
      </c>
      <c r="D3410" s="0" t="s">
        <v>66</v>
      </c>
      <c r="E3410" s="2" t="n">
        <v>45537</v>
      </c>
      <c r="F3410" s="3" t="s">
        <v>20</v>
      </c>
      <c r="G3410" s="3" t="s">
        <v>39</v>
      </c>
      <c r="H3410" s="3" t="s">
        <v>48</v>
      </c>
      <c r="I3410" s="3" t="n">
        <f aca="false">YEAR(E3410)</f>
        <v>2024</v>
      </c>
      <c r="J3410" s="3" t="n">
        <f aca="false">MONTH(E3410)</f>
        <v>9</v>
      </c>
      <c r="K3410" s="3" t="n">
        <f aca="false">COUNTIFS($B$2:$B$4077,B3410,$C$2:$C$4077,C3410,$I$2:$I$4077,I3410)</f>
        <v>1</v>
      </c>
      <c r="L3410" s="3" t="n">
        <f aca="false">IF(COUNTIFS($B$2:B3410,B3410,$C$2:C3410,C3410,$I$2:I3410,I3410)=1,1,0)</f>
        <v>1</v>
      </c>
      <c r="M3410" s="3" t="n">
        <f aca="false">IF(K3410&gt;=Parametri!$B$1,1,0)</f>
        <v>0</v>
      </c>
      <c r="N3410" s="3" t="n">
        <f aca="false">L3410*M3410</f>
        <v>0</v>
      </c>
    </row>
    <row r="3411" customFormat="false" ht="15" hidden="false" customHeight="false" outlineLevel="0" collapsed="false">
      <c r="A3411" s="0" t="s">
        <v>5094</v>
      </c>
      <c r="B3411" s="0" t="s">
        <v>31</v>
      </c>
      <c r="C3411" s="0" t="s">
        <v>3560</v>
      </c>
      <c r="D3411" s="0" t="s">
        <v>63</v>
      </c>
      <c r="E3411" s="2" t="n">
        <v>46135</v>
      </c>
      <c r="F3411" s="3" t="s">
        <v>20</v>
      </c>
      <c r="G3411" s="3" t="s">
        <v>28</v>
      </c>
      <c r="H3411" s="3" t="s">
        <v>44</v>
      </c>
      <c r="I3411" s="3" t="n">
        <f aca="false">YEAR(E3411)</f>
        <v>2026</v>
      </c>
      <c r="J3411" s="3" t="n">
        <f aca="false">MONTH(E3411)</f>
        <v>4</v>
      </c>
      <c r="K3411" s="3" t="n">
        <f aca="false">COUNTIFS($B$2:$B$4077,B3411,$C$2:$C$4077,C3411,$I$2:$I$4077,I3411)</f>
        <v>2</v>
      </c>
      <c r="L3411" s="3" t="n">
        <f aca="false">IF(COUNTIFS($B$2:B3411,B3411,$C$2:C3411,C3411,$I$2:I3411,I3411)=1,1,0)</f>
        <v>0</v>
      </c>
      <c r="M3411" s="3" t="n">
        <f aca="false">IF(K3411&gt;=Parametri!$B$1,1,0)</f>
        <v>1</v>
      </c>
      <c r="N3411" s="3" t="n">
        <f aca="false">L3411*M3411</f>
        <v>0</v>
      </c>
    </row>
    <row r="3412" customFormat="false" ht="15" hidden="false" customHeight="false" outlineLevel="0" collapsed="false">
      <c r="A3412" s="0" t="s">
        <v>5095</v>
      </c>
      <c r="B3412" s="0" t="s">
        <v>79</v>
      </c>
      <c r="C3412" s="0" t="s">
        <v>1144</v>
      </c>
      <c r="D3412" s="0" t="s">
        <v>26</v>
      </c>
      <c r="E3412" s="2" t="n">
        <v>45850</v>
      </c>
      <c r="F3412" s="3" t="s">
        <v>20</v>
      </c>
      <c r="G3412" s="3" t="s">
        <v>39</v>
      </c>
      <c r="H3412" s="3" t="s">
        <v>22</v>
      </c>
      <c r="I3412" s="3" t="n">
        <f aca="false">YEAR(E3412)</f>
        <v>2025</v>
      </c>
      <c r="J3412" s="3" t="n">
        <f aca="false">MONTH(E3412)</f>
        <v>7</v>
      </c>
      <c r="K3412" s="3" t="n">
        <f aca="false">COUNTIFS($B$2:$B$4077,B3412,$C$2:$C$4077,C3412,$I$2:$I$4077,I3412)</f>
        <v>5</v>
      </c>
      <c r="L3412" s="3" t="n">
        <f aca="false">IF(COUNTIFS($B$2:B3412,B3412,$C$2:C3412,C3412,$I$2:I3412,I3412)=1,1,0)</f>
        <v>0</v>
      </c>
      <c r="M3412" s="3" t="n">
        <f aca="false">IF(K3412&gt;=Parametri!$B$1,1,0)</f>
        <v>1</v>
      </c>
      <c r="N3412" s="3" t="n">
        <f aca="false">L3412*M3412</f>
        <v>0</v>
      </c>
    </row>
    <row r="3413" customFormat="false" ht="15" hidden="false" customHeight="false" outlineLevel="0" collapsed="false">
      <c r="A3413" s="0" t="s">
        <v>5096</v>
      </c>
      <c r="B3413" s="0" t="s">
        <v>31</v>
      </c>
      <c r="C3413" s="0" t="s">
        <v>168</v>
      </c>
      <c r="D3413" s="0" t="s">
        <v>26</v>
      </c>
      <c r="E3413" s="2" t="n">
        <v>46109</v>
      </c>
      <c r="F3413" s="3" t="s">
        <v>34</v>
      </c>
      <c r="G3413" s="3" t="s">
        <v>43</v>
      </c>
      <c r="H3413" s="3" t="s">
        <v>48</v>
      </c>
      <c r="I3413" s="3" t="n">
        <f aca="false">YEAR(E3413)</f>
        <v>2026</v>
      </c>
      <c r="J3413" s="3" t="n">
        <f aca="false">MONTH(E3413)</f>
        <v>3</v>
      </c>
      <c r="K3413" s="3" t="n">
        <f aca="false">COUNTIFS($B$2:$B$4077,B3413,$C$2:$C$4077,C3413,$I$2:$I$4077,I3413)</f>
        <v>1</v>
      </c>
      <c r="L3413" s="3" t="n">
        <f aca="false">IF(COUNTIFS($B$2:B3413,B3413,$C$2:C3413,C3413,$I$2:I3413,I3413)=1,1,0)</f>
        <v>1</v>
      </c>
      <c r="M3413" s="3" t="n">
        <f aca="false">IF(K3413&gt;=Parametri!$B$1,1,0)</f>
        <v>0</v>
      </c>
      <c r="N3413" s="3" t="n">
        <f aca="false">L3413*M3413</f>
        <v>0</v>
      </c>
    </row>
    <row r="3414" customFormat="false" ht="15" hidden="false" customHeight="false" outlineLevel="0" collapsed="false">
      <c r="A3414" s="0" t="s">
        <v>5097</v>
      </c>
      <c r="B3414" s="0" t="s">
        <v>79</v>
      </c>
      <c r="C3414" s="0" t="s">
        <v>2917</v>
      </c>
      <c r="D3414" s="0" t="s">
        <v>19</v>
      </c>
      <c r="E3414" s="2" t="n">
        <v>45582</v>
      </c>
      <c r="F3414" s="3" t="s">
        <v>20</v>
      </c>
      <c r="G3414" s="3" t="s">
        <v>21</v>
      </c>
      <c r="H3414" s="3" t="s">
        <v>48</v>
      </c>
      <c r="I3414" s="3" t="n">
        <f aca="false">YEAR(E3414)</f>
        <v>2024</v>
      </c>
      <c r="J3414" s="3" t="n">
        <f aca="false">MONTH(E3414)</f>
        <v>10</v>
      </c>
      <c r="K3414" s="3" t="n">
        <f aca="false">COUNTIFS($B$2:$B$4077,B3414,$C$2:$C$4077,C3414,$I$2:$I$4077,I3414)</f>
        <v>3</v>
      </c>
      <c r="L3414" s="3" t="n">
        <f aca="false">IF(COUNTIFS($B$2:B3414,B3414,$C$2:C3414,C3414,$I$2:I3414,I3414)=1,1,0)</f>
        <v>0</v>
      </c>
      <c r="M3414" s="3" t="n">
        <f aca="false">IF(K3414&gt;=Parametri!$B$1,1,0)</f>
        <v>1</v>
      </c>
      <c r="N3414" s="3" t="n">
        <f aca="false">L3414*M3414</f>
        <v>0</v>
      </c>
    </row>
    <row r="3415" customFormat="false" ht="15" hidden="false" customHeight="false" outlineLevel="0" collapsed="false">
      <c r="A3415" s="0" t="s">
        <v>5098</v>
      </c>
      <c r="B3415" s="0" t="s">
        <v>57</v>
      </c>
      <c r="C3415" s="0" t="s">
        <v>4786</v>
      </c>
      <c r="D3415" s="0" t="s">
        <v>66</v>
      </c>
      <c r="E3415" s="2" t="n">
        <v>45437</v>
      </c>
      <c r="F3415" s="3" t="s">
        <v>20</v>
      </c>
      <c r="G3415" s="3" t="s">
        <v>72</v>
      </c>
      <c r="H3415" s="3" t="s">
        <v>22</v>
      </c>
      <c r="I3415" s="3" t="n">
        <f aca="false">YEAR(E3415)</f>
        <v>2024</v>
      </c>
      <c r="J3415" s="3" t="n">
        <f aca="false">MONTH(E3415)</f>
        <v>5</v>
      </c>
      <c r="K3415" s="3" t="n">
        <f aca="false">COUNTIFS($B$2:$B$4077,B3415,$C$2:$C$4077,C3415,$I$2:$I$4077,I3415)</f>
        <v>1</v>
      </c>
      <c r="L3415" s="3" t="n">
        <f aca="false">IF(COUNTIFS($B$2:B3415,B3415,$C$2:C3415,C3415,$I$2:I3415,I3415)=1,1,0)</f>
        <v>1</v>
      </c>
      <c r="M3415" s="3" t="n">
        <f aca="false">IF(K3415&gt;=Parametri!$B$1,1,0)</f>
        <v>0</v>
      </c>
      <c r="N3415" s="3" t="n">
        <f aca="false">L3415*M3415</f>
        <v>0</v>
      </c>
    </row>
    <row r="3416" customFormat="false" ht="15" hidden="false" customHeight="false" outlineLevel="0" collapsed="false">
      <c r="A3416" s="0" t="s">
        <v>5099</v>
      </c>
      <c r="B3416" s="0" t="s">
        <v>124</v>
      </c>
      <c r="C3416" s="0" t="s">
        <v>393</v>
      </c>
      <c r="D3416" s="0" t="s">
        <v>66</v>
      </c>
      <c r="E3416" s="2" t="n">
        <v>45487</v>
      </c>
      <c r="F3416" s="3" t="s">
        <v>34</v>
      </c>
      <c r="G3416" s="3" t="s">
        <v>28</v>
      </c>
      <c r="H3416" s="3" t="s">
        <v>44</v>
      </c>
      <c r="I3416" s="3" t="n">
        <f aca="false">YEAR(E3416)</f>
        <v>2024</v>
      </c>
      <c r="J3416" s="3" t="n">
        <f aca="false">MONTH(E3416)</f>
        <v>7</v>
      </c>
      <c r="K3416" s="3" t="n">
        <f aca="false">COUNTIFS($B$2:$B$4077,B3416,$C$2:$C$4077,C3416,$I$2:$I$4077,I3416)</f>
        <v>3</v>
      </c>
      <c r="L3416" s="3" t="n">
        <f aca="false">IF(COUNTIFS($B$2:B3416,B3416,$C$2:C3416,C3416,$I$2:I3416,I3416)=1,1,0)</f>
        <v>0</v>
      </c>
      <c r="M3416" s="3" t="n">
        <f aca="false">IF(K3416&gt;=Parametri!$B$1,1,0)</f>
        <v>1</v>
      </c>
      <c r="N3416" s="3" t="n">
        <f aca="false">L3416*M3416</f>
        <v>0</v>
      </c>
    </row>
    <row r="3417" customFormat="false" ht="15" hidden="false" customHeight="false" outlineLevel="0" collapsed="false">
      <c r="A3417" s="0" t="s">
        <v>5100</v>
      </c>
      <c r="B3417" s="0" t="s">
        <v>46</v>
      </c>
      <c r="C3417" s="0" t="s">
        <v>1723</v>
      </c>
      <c r="D3417" s="0" t="s">
        <v>63</v>
      </c>
      <c r="E3417" s="2" t="n">
        <v>46232</v>
      </c>
      <c r="F3417" s="3" t="s">
        <v>34</v>
      </c>
      <c r="G3417" s="3" t="s">
        <v>21</v>
      </c>
      <c r="H3417" s="3" t="s">
        <v>22</v>
      </c>
      <c r="I3417" s="3" t="n">
        <f aca="false">YEAR(E3417)</f>
        <v>2026</v>
      </c>
      <c r="J3417" s="3" t="n">
        <f aca="false">MONTH(E3417)</f>
        <v>7</v>
      </c>
      <c r="K3417" s="3" t="n">
        <f aca="false">COUNTIFS($B$2:$B$4077,B3417,$C$2:$C$4077,C3417,$I$2:$I$4077,I3417)</f>
        <v>1</v>
      </c>
      <c r="L3417" s="3" t="n">
        <f aca="false">IF(COUNTIFS($B$2:B3417,B3417,$C$2:C3417,C3417,$I$2:I3417,I3417)=1,1,0)</f>
        <v>1</v>
      </c>
      <c r="M3417" s="3" t="n">
        <f aca="false">IF(K3417&gt;=Parametri!$B$1,1,0)</f>
        <v>0</v>
      </c>
      <c r="N3417" s="3" t="n">
        <f aca="false">L3417*M3417</f>
        <v>0</v>
      </c>
    </row>
    <row r="3418" customFormat="false" ht="15" hidden="false" customHeight="false" outlineLevel="0" collapsed="false">
      <c r="A3418" s="0" t="s">
        <v>5101</v>
      </c>
      <c r="B3418" s="0" t="s">
        <v>41</v>
      </c>
      <c r="C3418" s="0" t="s">
        <v>485</v>
      </c>
      <c r="D3418" s="0" t="s">
        <v>54</v>
      </c>
      <c r="E3418" s="2" t="n">
        <v>45535</v>
      </c>
      <c r="F3418" s="3" t="s">
        <v>27</v>
      </c>
      <c r="G3418" s="3" t="s">
        <v>21</v>
      </c>
      <c r="H3418" s="3" t="s">
        <v>22</v>
      </c>
      <c r="I3418" s="3" t="n">
        <f aca="false">YEAR(E3418)</f>
        <v>2024</v>
      </c>
      <c r="J3418" s="3" t="n">
        <f aca="false">MONTH(E3418)</f>
        <v>8</v>
      </c>
      <c r="K3418" s="3" t="n">
        <f aca="false">COUNTIFS($B$2:$B$4077,B3418,$C$2:$C$4077,C3418,$I$2:$I$4077,I3418)</f>
        <v>1</v>
      </c>
      <c r="L3418" s="3" t="n">
        <f aca="false">IF(COUNTIFS($B$2:B3418,B3418,$C$2:C3418,C3418,$I$2:I3418,I3418)=1,1,0)</f>
        <v>1</v>
      </c>
      <c r="M3418" s="3" t="n">
        <f aca="false">IF(K3418&gt;=Parametri!$B$1,1,0)</f>
        <v>0</v>
      </c>
      <c r="N3418" s="3" t="n">
        <f aca="false">L3418*M3418</f>
        <v>0</v>
      </c>
    </row>
    <row r="3419" customFormat="false" ht="15" hidden="false" customHeight="false" outlineLevel="0" collapsed="false">
      <c r="A3419" s="0" t="s">
        <v>5102</v>
      </c>
      <c r="B3419" s="0" t="s">
        <v>124</v>
      </c>
      <c r="C3419" s="0" t="s">
        <v>5041</v>
      </c>
      <c r="D3419" s="0" t="s">
        <v>26</v>
      </c>
      <c r="E3419" s="2" t="n">
        <v>45468</v>
      </c>
      <c r="F3419" s="3" t="s">
        <v>20</v>
      </c>
      <c r="G3419" s="3" t="s">
        <v>89</v>
      </c>
      <c r="H3419" s="3" t="s">
        <v>29</v>
      </c>
      <c r="I3419" s="3" t="n">
        <f aca="false">YEAR(E3419)</f>
        <v>2024</v>
      </c>
      <c r="J3419" s="3" t="n">
        <f aca="false">MONTH(E3419)</f>
        <v>6</v>
      </c>
      <c r="K3419" s="3" t="n">
        <f aca="false">COUNTIFS($B$2:$B$4077,B3419,$C$2:$C$4077,C3419,$I$2:$I$4077,I3419)</f>
        <v>2</v>
      </c>
      <c r="L3419" s="3" t="n">
        <f aca="false">IF(COUNTIFS($B$2:B3419,B3419,$C$2:C3419,C3419,$I$2:I3419,I3419)=1,1,0)</f>
        <v>0</v>
      </c>
      <c r="M3419" s="3" t="n">
        <f aca="false">IF(K3419&gt;=Parametri!$B$1,1,0)</f>
        <v>1</v>
      </c>
      <c r="N3419" s="3" t="n">
        <f aca="false">L3419*M3419</f>
        <v>0</v>
      </c>
    </row>
    <row r="3420" customFormat="false" ht="15" hidden="false" customHeight="false" outlineLevel="0" collapsed="false">
      <c r="A3420" s="0" t="s">
        <v>5103</v>
      </c>
      <c r="B3420" s="0" t="s">
        <v>124</v>
      </c>
      <c r="C3420" s="0" t="s">
        <v>3747</v>
      </c>
      <c r="D3420" s="0" t="s">
        <v>19</v>
      </c>
      <c r="E3420" s="2" t="n">
        <v>45746</v>
      </c>
      <c r="F3420" s="3" t="s">
        <v>20</v>
      </c>
      <c r="G3420" s="3" t="s">
        <v>43</v>
      </c>
      <c r="H3420" s="3" t="s">
        <v>44</v>
      </c>
      <c r="I3420" s="3" t="n">
        <f aca="false">YEAR(E3420)</f>
        <v>2025</v>
      </c>
      <c r="J3420" s="3" t="n">
        <f aca="false">MONTH(E3420)</f>
        <v>3</v>
      </c>
      <c r="K3420" s="3" t="n">
        <f aca="false">COUNTIFS($B$2:$B$4077,B3420,$C$2:$C$4077,C3420,$I$2:$I$4077,I3420)</f>
        <v>2</v>
      </c>
      <c r="L3420" s="3" t="n">
        <f aca="false">IF(COUNTIFS($B$2:B3420,B3420,$C$2:C3420,C3420,$I$2:I3420,I3420)=1,1,0)</f>
        <v>0</v>
      </c>
      <c r="M3420" s="3" t="n">
        <f aca="false">IF(K3420&gt;=Parametri!$B$1,1,0)</f>
        <v>1</v>
      </c>
      <c r="N3420" s="3" t="n">
        <f aca="false">L3420*M3420</f>
        <v>0</v>
      </c>
    </row>
    <row r="3421" customFormat="false" ht="15" hidden="false" customHeight="false" outlineLevel="0" collapsed="false">
      <c r="A3421" s="0" t="s">
        <v>5104</v>
      </c>
      <c r="B3421" s="0" t="s">
        <v>68</v>
      </c>
      <c r="C3421" s="0" t="s">
        <v>1068</v>
      </c>
      <c r="D3421" s="0" t="s">
        <v>77</v>
      </c>
      <c r="E3421" s="2" t="n">
        <v>45800</v>
      </c>
      <c r="F3421" s="3" t="s">
        <v>20</v>
      </c>
      <c r="G3421" s="3" t="s">
        <v>21</v>
      </c>
      <c r="H3421" s="3" t="s">
        <v>44</v>
      </c>
      <c r="I3421" s="3" t="n">
        <f aca="false">YEAR(E3421)</f>
        <v>2025</v>
      </c>
      <c r="J3421" s="3" t="n">
        <f aca="false">MONTH(E3421)</f>
        <v>5</v>
      </c>
      <c r="K3421" s="3" t="n">
        <f aca="false">COUNTIFS($B$2:$B$4077,B3421,$C$2:$C$4077,C3421,$I$2:$I$4077,I3421)</f>
        <v>2</v>
      </c>
      <c r="L3421" s="3" t="n">
        <f aca="false">IF(COUNTIFS($B$2:B3421,B3421,$C$2:C3421,C3421,$I$2:I3421,I3421)=1,1,0)</f>
        <v>0</v>
      </c>
      <c r="M3421" s="3" t="n">
        <f aca="false">IF(K3421&gt;=Parametri!$B$1,1,0)</f>
        <v>1</v>
      </c>
      <c r="N3421" s="3" t="n">
        <f aca="false">L3421*M3421</f>
        <v>0</v>
      </c>
    </row>
    <row r="3422" customFormat="false" ht="15" hidden="false" customHeight="false" outlineLevel="0" collapsed="false">
      <c r="A3422" s="0" t="s">
        <v>5105</v>
      </c>
      <c r="B3422" s="0" t="s">
        <v>124</v>
      </c>
      <c r="C3422" s="0" t="s">
        <v>410</v>
      </c>
      <c r="D3422" s="0" t="s">
        <v>19</v>
      </c>
      <c r="E3422" s="2" t="n">
        <v>46042</v>
      </c>
      <c r="F3422" s="3" t="s">
        <v>20</v>
      </c>
      <c r="G3422" s="3" t="s">
        <v>43</v>
      </c>
      <c r="H3422" s="3" t="s">
        <v>22</v>
      </c>
      <c r="I3422" s="3" t="n">
        <f aca="false">YEAR(E3422)</f>
        <v>2026</v>
      </c>
      <c r="J3422" s="3" t="n">
        <f aca="false">MONTH(E3422)</f>
        <v>1</v>
      </c>
      <c r="K3422" s="3" t="n">
        <f aca="false">COUNTIFS($B$2:$B$4077,B3422,$C$2:$C$4077,C3422,$I$2:$I$4077,I3422)</f>
        <v>6</v>
      </c>
      <c r="L3422" s="3" t="n">
        <f aca="false">IF(COUNTIFS($B$2:B3422,B3422,$C$2:C3422,C3422,$I$2:I3422,I3422)=1,1,0)</f>
        <v>0</v>
      </c>
      <c r="M3422" s="3" t="n">
        <f aca="false">IF(K3422&gt;=Parametri!$B$1,1,0)</f>
        <v>1</v>
      </c>
      <c r="N3422" s="3" t="n">
        <f aca="false">L3422*M3422</f>
        <v>0</v>
      </c>
    </row>
    <row r="3423" customFormat="false" ht="15" hidden="false" customHeight="false" outlineLevel="0" collapsed="false">
      <c r="A3423" s="0" t="s">
        <v>5106</v>
      </c>
      <c r="B3423" s="0" t="s">
        <v>17</v>
      </c>
      <c r="C3423" s="0" t="s">
        <v>62</v>
      </c>
      <c r="D3423" s="0" t="s">
        <v>38</v>
      </c>
      <c r="E3423" s="2" t="n">
        <v>45882</v>
      </c>
      <c r="F3423" s="3" t="s">
        <v>20</v>
      </c>
      <c r="G3423" s="3" t="s">
        <v>35</v>
      </c>
      <c r="H3423" s="3" t="s">
        <v>29</v>
      </c>
      <c r="I3423" s="3" t="n">
        <f aca="false">YEAR(E3423)</f>
        <v>2025</v>
      </c>
      <c r="J3423" s="3" t="n">
        <f aca="false">MONTH(E3423)</f>
        <v>8</v>
      </c>
      <c r="K3423" s="3" t="n">
        <f aca="false">COUNTIFS($B$2:$B$4077,B3423,$C$2:$C$4077,C3423,$I$2:$I$4077,I3423)</f>
        <v>3</v>
      </c>
      <c r="L3423" s="3" t="n">
        <f aca="false">IF(COUNTIFS($B$2:B3423,B3423,$C$2:C3423,C3423,$I$2:I3423,I3423)=1,1,0)</f>
        <v>0</v>
      </c>
      <c r="M3423" s="3" t="n">
        <f aca="false">IF(K3423&gt;=Parametri!$B$1,1,0)</f>
        <v>1</v>
      </c>
      <c r="N3423" s="3" t="n">
        <f aca="false">L3423*M3423</f>
        <v>0</v>
      </c>
    </row>
    <row r="3424" customFormat="false" ht="15" hidden="false" customHeight="false" outlineLevel="0" collapsed="false">
      <c r="A3424" s="0" t="s">
        <v>5107</v>
      </c>
      <c r="B3424" s="0" t="s">
        <v>57</v>
      </c>
      <c r="C3424" s="0" t="s">
        <v>1908</v>
      </c>
      <c r="D3424" s="0" t="s">
        <v>63</v>
      </c>
      <c r="E3424" s="2" t="n">
        <v>46119</v>
      </c>
      <c r="F3424" s="3" t="s">
        <v>20</v>
      </c>
      <c r="G3424" s="3" t="s">
        <v>55</v>
      </c>
      <c r="H3424" s="3" t="s">
        <v>22</v>
      </c>
      <c r="I3424" s="3" t="n">
        <f aca="false">YEAR(E3424)</f>
        <v>2026</v>
      </c>
      <c r="J3424" s="3" t="n">
        <f aca="false">MONTH(E3424)</f>
        <v>4</v>
      </c>
      <c r="K3424" s="3" t="n">
        <f aca="false">COUNTIFS($B$2:$B$4077,B3424,$C$2:$C$4077,C3424,$I$2:$I$4077,I3424)</f>
        <v>2</v>
      </c>
      <c r="L3424" s="3" t="n">
        <f aca="false">IF(COUNTIFS($B$2:B3424,B3424,$C$2:C3424,C3424,$I$2:I3424,I3424)=1,1,0)</f>
        <v>0</v>
      </c>
      <c r="M3424" s="3" t="n">
        <f aca="false">IF(K3424&gt;=Parametri!$B$1,1,0)</f>
        <v>1</v>
      </c>
      <c r="N3424" s="3" t="n">
        <f aca="false">L3424*M3424</f>
        <v>0</v>
      </c>
    </row>
    <row r="3425" customFormat="false" ht="15" hidden="false" customHeight="false" outlineLevel="0" collapsed="false">
      <c r="A3425" s="0" t="s">
        <v>5108</v>
      </c>
      <c r="B3425" s="0" t="s">
        <v>68</v>
      </c>
      <c r="C3425" s="0" t="s">
        <v>4150</v>
      </c>
      <c r="D3425" s="0" t="s">
        <v>77</v>
      </c>
      <c r="E3425" s="2" t="n">
        <v>45973</v>
      </c>
      <c r="F3425" s="3" t="s">
        <v>27</v>
      </c>
      <c r="G3425" s="3" t="s">
        <v>43</v>
      </c>
      <c r="H3425" s="3" t="s">
        <v>48</v>
      </c>
      <c r="I3425" s="3" t="n">
        <f aca="false">YEAR(E3425)</f>
        <v>2025</v>
      </c>
      <c r="J3425" s="3" t="n">
        <f aca="false">MONTH(E3425)</f>
        <v>11</v>
      </c>
      <c r="K3425" s="3" t="n">
        <f aca="false">COUNTIFS($B$2:$B$4077,B3425,$C$2:$C$4077,C3425,$I$2:$I$4077,I3425)</f>
        <v>1</v>
      </c>
      <c r="L3425" s="3" t="n">
        <f aca="false">IF(COUNTIFS($B$2:B3425,B3425,$C$2:C3425,C3425,$I$2:I3425,I3425)=1,1,0)</f>
        <v>1</v>
      </c>
      <c r="M3425" s="3" t="n">
        <f aca="false">IF(K3425&gt;=Parametri!$B$1,1,0)</f>
        <v>0</v>
      </c>
      <c r="N3425" s="3" t="n">
        <f aca="false">L3425*M3425</f>
        <v>0</v>
      </c>
    </row>
    <row r="3426" customFormat="false" ht="15" hidden="false" customHeight="false" outlineLevel="0" collapsed="false">
      <c r="A3426" s="0" t="s">
        <v>5109</v>
      </c>
      <c r="B3426" s="0" t="s">
        <v>50</v>
      </c>
      <c r="C3426" s="0" t="s">
        <v>5110</v>
      </c>
      <c r="D3426" s="0" t="s">
        <v>63</v>
      </c>
      <c r="E3426" s="2" t="n">
        <v>46202</v>
      </c>
      <c r="F3426" s="3" t="s">
        <v>20</v>
      </c>
      <c r="G3426" s="3" t="s">
        <v>55</v>
      </c>
      <c r="H3426" s="3" t="s">
        <v>22</v>
      </c>
      <c r="I3426" s="3" t="n">
        <f aca="false">YEAR(E3426)</f>
        <v>2026</v>
      </c>
      <c r="J3426" s="3" t="n">
        <f aca="false">MONTH(E3426)</f>
        <v>6</v>
      </c>
      <c r="K3426" s="3" t="n">
        <f aca="false">COUNTIFS($B$2:$B$4077,B3426,$C$2:$C$4077,C3426,$I$2:$I$4077,I3426)</f>
        <v>1</v>
      </c>
      <c r="L3426" s="3" t="n">
        <f aca="false">IF(COUNTIFS($B$2:B3426,B3426,$C$2:C3426,C3426,$I$2:I3426,I3426)=1,1,0)</f>
        <v>1</v>
      </c>
      <c r="M3426" s="3" t="n">
        <f aca="false">IF(K3426&gt;=Parametri!$B$1,1,0)</f>
        <v>0</v>
      </c>
      <c r="N3426" s="3" t="n">
        <f aca="false">L3426*M3426</f>
        <v>0</v>
      </c>
    </row>
    <row r="3427" customFormat="false" ht="15" hidden="false" customHeight="false" outlineLevel="0" collapsed="false">
      <c r="A3427" s="0" t="s">
        <v>5111</v>
      </c>
      <c r="B3427" s="0" t="s">
        <v>31</v>
      </c>
      <c r="C3427" s="0" t="s">
        <v>415</v>
      </c>
      <c r="D3427" s="0" t="s">
        <v>66</v>
      </c>
      <c r="E3427" s="2" t="n">
        <v>45454</v>
      </c>
      <c r="F3427" s="3" t="s">
        <v>20</v>
      </c>
      <c r="G3427" s="3" t="s">
        <v>21</v>
      </c>
      <c r="H3427" s="3" t="s">
        <v>44</v>
      </c>
      <c r="I3427" s="3" t="n">
        <f aca="false">YEAR(E3427)</f>
        <v>2024</v>
      </c>
      <c r="J3427" s="3" t="n">
        <f aca="false">MONTH(E3427)</f>
        <v>6</v>
      </c>
      <c r="K3427" s="3" t="n">
        <f aca="false">COUNTIFS($B$2:$B$4077,B3427,$C$2:$C$4077,C3427,$I$2:$I$4077,I3427)</f>
        <v>1</v>
      </c>
      <c r="L3427" s="3" t="n">
        <f aca="false">IF(COUNTIFS($B$2:B3427,B3427,$C$2:C3427,C3427,$I$2:I3427,I3427)=1,1,0)</f>
        <v>1</v>
      </c>
      <c r="M3427" s="3" t="n">
        <f aca="false">IF(K3427&gt;=Parametri!$B$1,1,0)</f>
        <v>0</v>
      </c>
      <c r="N3427" s="3" t="n">
        <f aca="false">L3427*M3427</f>
        <v>0</v>
      </c>
    </row>
    <row r="3428" customFormat="false" ht="15" hidden="false" customHeight="false" outlineLevel="0" collapsed="false">
      <c r="A3428" s="0" t="s">
        <v>5112</v>
      </c>
      <c r="B3428" s="0" t="s">
        <v>50</v>
      </c>
      <c r="C3428" s="0" t="s">
        <v>2607</v>
      </c>
      <c r="D3428" s="0" t="s">
        <v>77</v>
      </c>
      <c r="E3428" s="2" t="n">
        <v>46042</v>
      </c>
      <c r="F3428" s="3" t="s">
        <v>27</v>
      </c>
      <c r="G3428" s="3" t="s">
        <v>39</v>
      </c>
      <c r="H3428" s="3" t="s">
        <v>44</v>
      </c>
      <c r="I3428" s="3" t="n">
        <f aca="false">YEAR(E3428)</f>
        <v>2026</v>
      </c>
      <c r="J3428" s="3" t="n">
        <f aca="false">MONTH(E3428)</f>
        <v>1</v>
      </c>
      <c r="K3428" s="3" t="n">
        <f aca="false">COUNTIFS($B$2:$B$4077,B3428,$C$2:$C$4077,C3428,$I$2:$I$4077,I3428)</f>
        <v>1</v>
      </c>
      <c r="L3428" s="3" t="n">
        <f aca="false">IF(COUNTIFS($B$2:B3428,B3428,$C$2:C3428,C3428,$I$2:I3428,I3428)=1,1,0)</f>
        <v>1</v>
      </c>
      <c r="M3428" s="3" t="n">
        <f aca="false">IF(K3428&gt;=Parametri!$B$1,1,0)</f>
        <v>0</v>
      </c>
      <c r="N3428" s="3" t="n">
        <f aca="false">L3428*M3428</f>
        <v>0</v>
      </c>
    </row>
    <row r="3429" customFormat="false" ht="15" hidden="false" customHeight="false" outlineLevel="0" collapsed="false">
      <c r="A3429" s="0" t="s">
        <v>5113</v>
      </c>
      <c r="B3429" s="0" t="s">
        <v>50</v>
      </c>
      <c r="C3429" s="0" t="s">
        <v>5000</v>
      </c>
      <c r="D3429" s="0" t="s">
        <v>63</v>
      </c>
      <c r="E3429" s="2" t="n">
        <v>45928</v>
      </c>
      <c r="F3429" s="3" t="s">
        <v>20</v>
      </c>
      <c r="G3429" s="3" t="s">
        <v>89</v>
      </c>
      <c r="H3429" s="3" t="s">
        <v>48</v>
      </c>
      <c r="I3429" s="3" t="n">
        <f aca="false">YEAR(E3429)</f>
        <v>2025</v>
      </c>
      <c r="J3429" s="3" t="n">
        <f aca="false">MONTH(E3429)</f>
        <v>9</v>
      </c>
      <c r="K3429" s="3" t="n">
        <f aca="false">COUNTIFS($B$2:$B$4077,B3429,$C$2:$C$4077,C3429,$I$2:$I$4077,I3429)</f>
        <v>1</v>
      </c>
      <c r="L3429" s="3" t="n">
        <f aca="false">IF(COUNTIFS($B$2:B3429,B3429,$C$2:C3429,C3429,$I$2:I3429,I3429)=1,1,0)</f>
        <v>1</v>
      </c>
      <c r="M3429" s="3" t="n">
        <f aca="false">IF(K3429&gt;=Parametri!$B$1,1,0)</f>
        <v>0</v>
      </c>
      <c r="N3429" s="3" t="n">
        <f aca="false">L3429*M3429</f>
        <v>0</v>
      </c>
    </row>
    <row r="3430" customFormat="false" ht="15" hidden="false" customHeight="false" outlineLevel="0" collapsed="false">
      <c r="A3430" s="0" t="s">
        <v>5114</v>
      </c>
      <c r="B3430" s="0" t="s">
        <v>57</v>
      </c>
      <c r="C3430" s="0" t="s">
        <v>5115</v>
      </c>
      <c r="D3430" s="0" t="s">
        <v>19</v>
      </c>
      <c r="E3430" s="2" t="n">
        <v>45376</v>
      </c>
      <c r="F3430" s="3" t="s">
        <v>104</v>
      </c>
      <c r="G3430" s="3" t="s">
        <v>104</v>
      </c>
      <c r="H3430" s="3" t="s">
        <v>104</v>
      </c>
      <c r="I3430" s="3" t="n">
        <f aca="false">YEAR(E3430)</f>
        <v>2024</v>
      </c>
      <c r="J3430" s="3" t="n">
        <f aca="false">MONTH(E3430)</f>
        <v>3</v>
      </c>
      <c r="K3430" s="3" t="n">
        <f aca="false">COUNTIFS($B$2:$B$4077,B3430,$C$2:$C$4077,C3430,$I$2:$I$4077,I3430)</f>
        <v>1</v>
      </c>
      <c r="L3430" s="3" t="n">
        <f aca="false">IF(COUNTIFS($B$2:B3430,B3430,$C$2:C3430,C3430,$I$2:I3430,I3430)=1,1,0)</f>
        <v>1</v>
      </c>
      <c r="M3430" s="3" t="n">
        <f aca="false">IF(K3430&gt;=Parametri!$B$1,1,0)</f>
        <v>0</v>
      </c>
      <c r="N3430" s="3" t="n">
        <f aca="false">L3430*M3430</f>
        <v>0</v>
      </c>
    </row>
    <row r="3431" customFormat="false" ht="15" hidden="false" customHeight="false" outlineLevel="0" collapsed="false">
      <c r="A3431" s="0" t="s">
        <v>5116</v>
      </c>
      <c r="B3431" s="0" t="s">
        <v>41</v>
      </c>
      <c r="C3431" s="0" t="s">
        <v>4254</v>
      </c>
      <c r="D3431" s="0" t="s">
        <v>63</v>
      </c>
      <c r="E3431" s="2" t="n">
        <v>45772</v>
      </c>
      <c r="F3431" s="3" t="s">
        <v>20</v>
      </c>
      <c r="G3431" s="3" t="s">
        <v>39</v>
      </c>
      <c r="H3431" s="3" t="s">
        <v>44</v>
      </c>
      <c r="I3431" s="3" t="n">
        <f aca="false">YEAR(E3431)</f>
        <v>2025</v>
      </c>
      <c r="J3431" s="3" t="n">
        <f aca="false">MONTH(E3431)</f>
        <v>4</v>
      </c>
      <c r="K3431" s="3" t="n">
        <f aca="false">COUNTIFS($B$2:$B$4077,B3431,$C$2:$C$4077,C3431,$I$2:$I$4077,I3431)</f>
        <v>1</v>
      </c>
      <c r="L3431" s="3" t="n">
        <f aca="false">IF(COUNTIFS($B$2:B3431,B3431,$C$2:C3431,C3431,$I$2:I3431,I3431)=1,1,0)</f>
        <v>1</v>
      </c>
      <c r="M3431" s="3" t="n">
        <f aca="false">IF(K3431&gt;=Parametri!$B$1,1,0)</f>
        <v>0</v>
      </c>
      <c r="N3431" s="3" t="n">
        <f aca="false">L3431*M3431</f>
        <v>0</v>
      </c>
    </row>
    <row r="3432" customFormat="false" ht="15" hidden="false" customHeight="false" outlineLevel="0" collapsed="false">
      <c r="A3432" s="0" t="s">
        <v>5117</v>
      </c>
      <c r="B3432" s="0" t="s">
        <v>31</v>
      </c>
      <c r="C3432" s="0" t="s">
        <v>143</v>
      </c>
      <c r="D3432" s="0" t="s">
        <v>33</v>
      </c>
      <c r="E3432" s="2" t="n">
        <v>45881</v>
      </c>
      <c r="F3432" s="3" t="s">
        <v>20</v>
      </c>
      <c r="G3432" s="3" t="s">
        <v>89</v>
      </c>
      <c r="H3432" s="3" t="s">
        <v>44</v>
      </c>
      <c r="I3432" s="3" t="n">
        <f aca="false">YEAR(E3432)</f>
        <v>2025</v>
      </c>
      <c r="J3432" s="3" t="n">
        <f aca="false">MONTH(E3432)</f>
        <v>8</v>
      </c>
      <c r="K3432" s="3" t="n">
        <f aca="false">COUNTIFS($B$2:$B$4077,B3432,$C$2:$C$4077,C3432,$I$2:$I$4077,I3432)</f>
        <v>2</v>
      </c>
      <c r="L3432" s="3" t="n">
        <f aca="false">IF(COUNTIFS($B$2:B3432,B3432,$C$2:C3432,C3432,$I$2:I3432,I3432)=1,1,0)</f>
        <v>0</v>
      </c>
      <c r="M3432" s="3" t="n">
        <f aca="false">IF(K3432&gt;=Parametri!$B$1,1,0)</f>
        <v>1</v>
      </c>
      <c r="N3432" s="3" t="n">
        <f aca="false">L3432*M3432</f>
        <v>0</v>
      </c>
    </row>
    <row r="3433" customFormat="false" ht="15" hidden="false" customHeight="false" outlineLevel="0" collapsed="false">
      <c r="A3433" s="0" t="s">
        <v>5118</v>
      </c>
      <c r="B3433" s="0" t="s">
        <v>68</v>
      </c>
      <c r="C3433" s="0" t="s">
        <v>5119</v>
      </c>
      <c r="D3433" s="0" t="s">
        <v>26</v>
      </c>
      <c r="E3433" s="2" t="n">
        <v>46066</v>
      </c>
      <c r="F3433" s="3" t="s">
        <v>27</v>
      </c>
      <c r="G3433" s="3" t="s">
        <v>21</v>
      </c>
      <c r="H3433" s="3" t="s">
        <v>22</v>
      </c>
      <c r="I3433" s="3" t="n">
        <f aca="false">YEAR(E3433)</f>
        <v>2026</v>
      </c>
      <c r="J3433" s="3" t="n">
        <f aca="false">MONTH(E3433)</f>
        <v>2</v>
      </c>
      <c r="K3433" s="3" t="n">
        <f aca="false">COUNTIFS($B$2:$B$4077,B3433,$C$2:$C$4077,C3433,$I$2:$I$4077,I3433)</f>
        <v>1</v>
      </c>
      <c r="L3433" s="3" t="n">
        <f aca="false">IF(COUNTIFS($B$2:B3433,B3433,$C$2:C3433,C3433,$I$2:I3433,I3433)=1,1,0)</f>
        <v>1</v>
      </c>
      <c r="M3433" s="3" t="n">
        <f aca="false">IF(K3433&gt;=Parametri!$B$1,1,0)</f>
        <v>0</v>
      </c>
      <c r="N3433" s="3" t="n">
        <f aca="false">L3433*M3433</f>
        <v>0</v>
      </c>
    </row>
    <row r="3434" customFormat="false" ht="15" hidden="false" customHeight="false" outlineLevel="0" collapsed="false">
      <c r="A3434" s="0" t="s">
        <v>5120</v>
      </c>
      <c r="B3434" s="0" t="s">
        <v>17</v>
      </c>
      <c r="C3434" s="0" t="s">
        <v>2855</v>
      </c>
      <c r="D3434" s="0" t="s">
        <v>77</v>
      </c>
      <c r="E3434" s="2" t="n">
        <v>45428</v>
      </c>
      <c r="F3434" s="3" t="s">
        <v>20</v>
      </c>
      <c r="G3434" s="3" t="s">
        <v>43</v>
      </c>
      <c r="H3434" s="3" t="s">
        <v>22</v>
      </c>
      <c r="I3434" s="3" t="n">
        <f aca="false">YEAR(E3434)</f>
        <v>2024</v>
      </c>
      <c r="J3434" s="3" t="n">
        <f aca="false">MONTH(E3434)</f>
        <v>5</v>
      </c>
      <c r="K3434" s="3" t="n">
        <f aca="false">COUNTIFS($B$2:$B$4077,B3434,$C$2:$C$4077,C3434,$I$2:$I$4077,I3434)</f>
        <v>1</v>
      </c>
      <c r="L3434" s="3" t="n">
        <f aca="false">IF(COUNTIFS($B$2:B3434,B3434,$C$2:C3434,C3434,$I$2:I3434,I3434)=1,1,0)</f>
        <v>1</v>
      </c>
      <c r="M3434" s="3" t="n">
        <f aca="false">IF(K3434&gt;=Parametri!$B$1,1,0)</f>
        <v>0</v>
      </c>
      <c r="N3434" s="3" t="n">
        <f aca="false">L3434*M3434</f>
        <v>0</v>
      </c>
    </row>
    <row r="3435" customFormat="false" ht="15" hidden="false" customHeight="false" outlineLevel="0" collapsed="false">
      <c r="A3435" s="0" t="s">
        <v>5121</v>
      </c>
      <c r="B3435" s="0" t="s">
        <v>46</v>
      </c>
      <c r="C3435" s="0" t="s">
        <v>5122</v>
      </c>
      <c r="D3435" s="0" t="s">
        <v>54</v>
      </c>
      <c r="E3435" s="2" t="n">
        <v>45515</v>
      </c>
      <c r="F3435" s="3" t="s">
        <v>20</v>
      </c>
      <c r="G3435" s="3" t="s">
        <v>35</v>
      </c>
      <c r="H3435" s="3" t="s">
        <v>29</v>
      </c>
      <c r="I3435" s="3" t="n">
        <f aca="false">YEAR(E3435)</f>
        <v>2024</v>
      </c>
      <c r="J3435" s="3" t="n">
        <f aca="false">MONTH(E3435)</f>
        <v>8</v>
      </c>
      <c r="K3435" s="3" t="n">
        <f aca="false">COUNTIFS($B$2:$B$4077,B3435,$C$2:$C$4077,C3435,$I$2:$I$4077,I3435)</f>
        <v>1</v>
      </c>
      <c r="L3435" s="3" t="n">
        <f aca="false">IF(COUNTIFS($B$2:B3435,B3435,$C$2:C3435,C3435,$I$2:I3435,I3435)=1,1,0)</f>
        <v>1</v>
      </c>
      <c r="M3435" s="3" t="n">
        <f aca="false">IF(K3435&gt;=Parametri!$B$1,1,0)</f>
        <v>0</v>
      </c>
      <c r="N3435" s="3" t="n">
        <f aca="false">L3435*M3435</f>
        <v>0</v>
      </c>
    </row>
    <row r="3436" customFormat="false" ht="15" hidden="false" customHeight="false" outlineLevel="0" collapsed="false">
      <c r="A3436" s="0" t="s">
        <v>5123</v>
      </c>
      <c r="B3436" s="0" t="s">
        <v>46</v>
      </c>
      <c r="C3436" s="0" t="s">
        <v>3953</v>
      </c>
      <c r="D3436" s="0" t="s">
        <v>33</v>
      </c>
      <c r="E3436" s="2" t="n">
        <v>46158</v>
      </c>
      <c r="F3436" s="3" t="s">
        <v>20</v>
      </c>
      <c r="G3436" s="3" t="s">
        <v>43</v>
      </c>
      <c r="H3436" s="3" t="s">
        <v>44</v>
      </c>
      <c r="I3436" s="3" t="n">
        <f aca="false">YEAR(E3436)</f>
        <v>2026</v>
      </c>
      <c r="J3436" s="3" t="n">
        <f aca="false">MONTH(E3436)</f>
        <v>5</v>
      </c>
      <c r="K3436" s="3" t="n">
        <f aca="false">COUNTIFS($B$2:$B$4077,B3436,$C$2:$C$4077,C3436,$I$2:$I$4077,I3436)</f>
        <v>2</v>
      </c>
      <c r="L3436" s="3" t="n">
        <f aca="false">IF(COUNTIFS($B$2:B3436,B3436,$C$2:C3436,C3436,$I$2:I3436,I3436)=1,1,0)</f>
        <v>1</v>
      </c>
      <c r="M3436" s="3" t="n">
        <f aca="false">IF(K3436&gt;=Parametri!$B$1,1,0)</f>
        <v>1</v>
      </c>
      <c r="N3436" s="3" t="n">
        <f aca="false">L3436*M3436</f>
        <v>1</v>
      </c>
    </row>
    <row r="3437" customFormat="false" ht="15" hidden="false" customHeight="false" outlineLevel="0" collapsed="false">
      <c r="A3437" s="0" t="s">
        <v>5124</v>
      </c>
      <c r="B3437" s="0" t="s">
        <v>50</v>
      </c>
      <c r="C3437" s="0" t="s">
        <v>1218</v>
      </c>
      <c r="D3437" s="0" t="s">
        <v>33</v>
      </c>
      <c r="E3437" s="2" t="n">
        <v>45635</v>
      </c>
      <c r="F3437" s="3" t="s">
        <v>20</v>
      </c>
      <c r="G3437" s="3" t="s">
        <v>89</v>
      </c>
      <c r="H3437" s="3" t="s">
        <v>44</v>
      </c>
      <c r="I3437" s="3" t="n">
        <f aca="false">YEAR(E3437)</f>
        <v>2024</v>
      </c>
      <c r="J3437" s="3" t="n">
        <f aca="false">MONTH(E3437)</f>
        <v>12</v>
      </c>
      <c r="K3437" s="3" t="n">
        <f aca="false">COUNTIFS($B$2:$B$4077,B3437,$C$2:$C$4077,C3437,$I$2:$I$4077,I3437)</f>
        <v>2</v>
      </c>
      <c r="L3437" s="3" t="n">
        <f aca="false">IF(COUNTIFS($B$2:B3437,B3437,$C$2:C3437,C3437,$I$2:I3437,I3437)=1,1,0)</f>
        <v>0</v>
      </c>
      <c r="M3437" s="3" t="n">
        <f aca="false">IF(K3437&gt;=Parametri!$B$1,1,0)</f>
        <v>1</v>
      </c>
      <c r="N3437" s="3" t="n">
        <f aca="false">L3437*M3437</f>
        <v>0</v>
      </c>
    </row>
    <row r="3438" customFormat="false" ht="15" hidden="false" customHeight="false" outlineLevel="0" collapsed="false">
      <c r="A3438" s="0" t="s">
        <v>5125</v>
      </c>
      <c r="B3438" s="0" t="s">
        <v>79</v>
      </c>
      <c r="C3438" s="0" t="s">
        <v>2523</v>
      </c>
      <c r="D3438" s="0" t="s">
        <v>54</v>
      </c>
      <c r="E3438" s="2" t="n">
        <v>45718</v>
      </c>
      <c r="F3438" s="3" t="s">
        <v>27</v>
      </c>
      <c r="G3438" s="3" t="s">
        <v>55</v>
      </c>
      <c r="H3438" s="3" t="s">
        <v>22</v>
      </c>
      <c r="I3438" s="3" t="n">
        <f aca="false">YEAR(E3438)</f>
        <v>2025</v>
      </c>
      <c r="J3438" s="3" t="n">
        <f aca="false">MONTH(E3438)</f>
        <v>3</v>
      </c>
      <c r="K3438" s="3" t="n">
        <f aca="false">COUNTIFS($B$2:$B$4077,B3438,$C$2:$C$4077,C3438,$I$2:$I$4077,I3438)</f>
        <v>3</v>
      </c>
      <c r="L3438" s="3" t="n">
        <f aca="false">IF(COUNTIFS($B$2:B3438,B3438,$C$2:C3438,C3438,$I$2:I3438,I3438)=1,1,0)</f>
        <v>0</v>
      </c>
      <c r="M3438" s="3" t="n">
        <f aca="false">IF(K3438&gt;=Parametri!$B$1,1,0)</f>
        <v>1</v>
      </c>
      <c r="N3438" s="3" t="n">
        <f aca="false">L3438*M3438</f>
        <v>0</v>
      </c>
    </row>
    <row r="3439" customFormat="false" ht="15" hidden="false" customHeight="false" outlineLevel="0" collapsed="false">
      <c r="A3439" s="0" t="s">
        <v>5126</v>
      </c>
      <c r="B3439" s="0" t="s">
        <v>17</v>
      </c>
      <c r="C3439" s="0" t="s">
        <v>192</v>
      </c>
      <c r="D3439" s="0" t="s">
        <v>77</v>
      </c>
      <c r="E3439" s="2" t="n">
        <v>46227</v>
      </c>
      <c r="F3439" s="3" t="s">
        <v>20</v>
      </c>
      <c r="G3439" s="3" t="s">
        <v>55</v>
      </c>
      <c r="H3439" s="3" t="s">
        <v>48</v>
      </c>
      <c r="I3439" s="3" t="n">
        <f aca="false">YEAR(E3439)</f>
        <v>2026</v>
      </c>
      <c r="J3439" s="3" t="n">
        <f aca="false">MONTH(E3439)</f>
        <v>7</v>
      </c>
      <c r="K3439" s="3" t="n">
        <f aca="false">COUNTIFS($B$2:$B$4077,B3439,$C$2:$C$4077,C3439,$I$2:$I$4077,I3439)</f>
        <v>1</v>
      </c>
      <c r="L3439" s="3" t="n">
        <f aca="false">IF(COUNTIFS($B$2:B3439,B3439,$C$2:C3439,C3439,$I$2:I3439,I3439)=1,1,0)</f>
        <v>1</v>
      </c>
      <c r="M3439" s="3" t="n">
        <f aca="false">IF(K3439&gt;=Parametri!$B$1,1,0)</f>
        <v>0</v>
      </c>
      <c r="N3439" s="3" t="n">
        <f aca="false">L3439*M3439</f>
        <v>0</v>
      </c>
    </row>
    <row r="3440" customFormat="false" ht="15" hidden="false" customHeight="false" outlineLevel="0" collapsed="false">
      <c r="A3440" s="0" t="s">
        <v>5127</v>
      </c>
      <c r="B3440" s="0" t="s">
        <v>31</v>
      </c>
      <c r="C3440" s="0" t="s">
        <v>5128</v>
      </c>
      <c r="D3440" s="0" t="s">
        <v>38</v>
      </c>
      <c r="E3440" s="2" t="n">
        <v>46166</v>
      </c>
      <c r="F3440" s="3" t="s">
        <v>20</v>
      </c>
      <c r="G3440" s="3" t="s">
        <v>35</v>
      </c>
      <c r="H3440" s="3" t="s">
        <v>29</v>
      </c>
      <c r="I3440" s="3" t="n">
        <f aca="false">YEAR(E3440)</f>
        <v>2026</v>
      </c>
      <c r="J3440" s="3" t="n">
        <f aca="false">MONTH(E3440)</f>
        <v>5</v>
      </c>
      <c r="K3440" s="3" t="n">
        <f aca="false">COUNTIFS($B$2:$B$4077,B3440,$C$2:$C$4077,C3440,$I$2:$I$4077,I3440)</f>
        <v>1</v>
      </c>
      <c r="L3440" s="3" t="n">
        <f aca="false">IF(COUNTIFS($B$2:B3440,B3440,$C$2:C3440,C3440,$I$2:I3440,I3440)=1,1,0)</f>
        <v>1</v>
      </c>
      <c r="M3440" s="3" t="n">
        <f aca="false">IF(K3440&gt;=Parametri!$B$1,1,0)</f>
        <v>0</v>
      </c>
      <c r="N3440" s="3" t="n">
        <f aca="false">L3440*M3440</f>
        <v>0</v>
      </c>
    </row>
    <row r="3441" customFormat="false" ht="15" hidden="false" customHeight="false" outlineLevel="0" collapsed="false">
      <c r="A3441" s="0" t="s">
        <v>5129</v>
      </c>
      <c r="B3441" s="0" t="s">
        <v>79</v>
      </c>
      <c r="C3441" s="0" t="s">
        <v>299</v>
      </c>
      <c r="D3441" s="0" t="s">
        <v>26</v>
      </c>
      <c r="E3441" s="2" t="n">
        <v>45971</v>
      </c>
      <c r="F3441" s="3" t="s">
        <v>104</v>
      </c>
      <c r="G3441" s="3" t="s">
        <v>104</v>
      </c>
      <c r="H3441" s="3" t="s">
        <v>104</v>
      </c>
      <c r="I3441" s="3" t="n">
        <f aca="false">YEAR(E3441)</f>
        <v>2025</v>
      </c>
      <c r="J3441" s="3" t="n">
        <f aca="false">MONTH(E3441)</f>
        <v>11</v>
      </c>
      <c r="K3441" s="3" t="n">
        <f aca="false">COUNTIFS($B$2:$B$4077,B3441,$C$2:$C$4077,C3441,$I$2:$I$4077,I3441)</f>
        <v>3</v>
      </c>
      <c r="L3441" s="3" t="n">
        <f aca="false">IF(COUNTIFS($B$2:B3441,B3441,$C$2:C3441,C3441,$I$2:I3441,I3441)=1,1,0)</f>
        <v>0</v>
      </c>
      <c r="M3441" s="3" t="n">
        <f aca="false">IF(K3441&gt;=Parametri!$B$1,1,0)</f>
        <v>1</v>
      </c>
      <c r="N3441" s="3" t="n">
        <f aca="false">L3441*M3441</f>
        <v>0</v>
      </c>
    </row>
    <row r="3442" customFormat="false" ht="15" hidden="false" customHeight="false" outlineLevel="0" collapsed="false">
      <c r="A3442" s="0" t="s">
        <v>5130</v>
      </c>
      <c r="B3442" s="0" t="s">
        <v>68</v>
      </c>
      <c r="C3442" s="0" t="s">
        <v>5131</v>
      </c>
      <c r="D3442" s="0" t="s">
        <v>19</v>
      </c>
      <c r="E3442" s="2" t="n">
        <v>45531</v>
      </c>
      <c r="F3442" s="3" t="s">
        <v>20</v>
      </c>
      <c r="G3442" s="3" t="s">
        <v>89</v>
      </c>
      <c r="H3442" s="3" t="s">
        <v>29</v>
      </c>
      <c r="I3442" s="3" t="n">
        <f aca="false">YEAR(E3442)</f>
        <v>2024</v>
      </c>
      <c r="J3442" s="3" t="n">
        <f aca="false">MONTH(E3442)</f>
        <v>8</v>
      </c>
      <c r="K3442" s="3" t="n">
        <f aca="false">COUNTIFS($B$2:$B$4077,B3442,$C$2:$C$4077,C3442,$I$2:$I$4077,I3442)</f>
        <v>1</v>
      </c>
      <c r="L3442" s="3" t="n">
        <f aca="false">IF(COUNTIFS($B$2:B3442,B3442,$C$2:C3442,C3442,$I$2:I3442,I3442)=1,1,0)</f>
        <v>1</v>
      </c>
      <c r="M3442" s="3" t="n">
        <f aca="false">IF(K3442&gt;=Parametri!$B$1,1,0)</f>
        <v>0</v>
      </c>
      <c r="N3442" s="3" t="n">
        <f aca="false">L3442*M3442</f>
        <v>0</v>
      </c>
    </row>
    <row r="3443" customFormat="false" ht="15" hidden="false" customHeight="false" outlineLevel="0" collapsed="false">
      <c r="A3443" s="0" t="s">
        <v>5132</v>
      </c>
      <c r="B3443" s="0" t="s">
        <v>68</v>
      </c>
      <c r="C3443" s="0" t="s">
        <v>1837</v>
      </c>
      <c r="D3443" s="0" t="s">
        <v>26</v>
      </c>
      <c r="E3443" s="2" t="n">
        <v>45685</v>
      </c>
      <c r="F3443" s="3" t="s">
        <v>34</v>
      </c>
      <c r="G3443" s="3" t="s">
        <v>39</v>
      </c>
      <c r="H3443" s="3" t="s">
        <v>48</v>
      </c>
      <c r="I3443" s="3" t="n">
        <f aca="false">YEAR(E3443)</f>
        <v>2025</v>
      </c>
      <c r="J3443" s="3" t="n">
        <f aca="false">MONTH(E3443)</f>
        <v>1</v>
      </c>
      <c r="K3443" s="3" t="n">
        <f aca="false">COUNTIFS($B$2:$B$4077,B3443,$C$2:$C$4077,C3443,$I$2:$I$4077,I3443)</f>
        <v>2</v>
      </c>
      <c r="L3443" s="3" t="n">
        <f aca="false">IF(COUNTIFS($B$2:B3443,B3443,$C$2:C3443,C3443,$I$2:I3443,I3443)=1,1,0)</f>
        <v>1</v>
      </c>
      <c r="M3443" s="3" t="n">
        <f aca="false">IF(K3443&gt;=Parametri!$B$1,1,0)</f>
        <v>1</v>
      </c>
      <c r="N3443" s="3" t="n">
        <f aca="false">L3443*M3443</f>
        <v>1</v>
      </c>
    </row>
    <row r="3444" customFormat="false" ht="15" hidden="false" customHeight="false" outlineLevel="0" collapsed="false">
      <c r="A3444" s="0" t="s">
        <v>5133</v>
      </c>
      <c r="B3444" s="0" t="s">
        <v>124</v>
      </c>
      <c r="C3444" s="0" t="s">
        <v>710</v>
      </c>
      <c r="D3444" s="0" t="s">
        <v>77</v>
      </c>
      <c r="E3444" s="2" t="n">
        <v>46094</v>
      </c>
      <c r="F3444" s="3" t="s">
        <v>20</v>
      </c>
      <c r="G3444" s="3" t="s">
        <v>89</v>
      </c>
      <c r="H3444" s="3" t="s">
        <v>44</v>
      </c>
      <c r="I3444" s="3" t="n">
        <f aca="false">YEAR(E3444)</f>
        <v>2026</v>
      </c>
      <c r="J3444" s="3" t="n">
        <f aca="false">MONTH(E3444)</f>
        <v>3</v>
      </c>
      <c r="K3444" s="3" t="n">
        <f aca="false">COUNTIFS($B$2:$B$4077,B3444,$C$2:$C$4077,C3444,$I$2:$I$4077,I3444)</f>
        <v>5</v>
      </c>
      <c r="L3444" s="3" t="n">
        <f aca="false">IF(COUNTIFS($B$2:B3444,B3444,$C$2:C3444,C3444,$I$2:I3444,I3444)=1,1,0)</f>
        <v>0</v>
      </c>
      <c r="M3444" s="3" t="n">
        <f aca="false">IF(K3444&gt;=Parametri!$B$1,1,0)</f>
        <v>1</v>
      </c>
      <c r="N3444" s="3" t="n">
        <f aca="false">L3444*M3444</f>
        <v>0</v>
      </c>
    </row>
    <row r="3445" customFormat="false" ht="15" hidden="false" customHeight="false" outlineLevel="0" collapsed="false">
      <c r="A3445" s="0" t="s">
        <v>5134</v>
      </c>
      <c r="B3445" s="0" t="s">
        <v>41</v>
      </c>
      <c r="C3445" s="0" t="s">
        <v>3163</v>
      </c>
      <c r="D3445" s="0" t="s">
        <v>33</v>
      </c>
      <c r="E3445" s="2" t="n">
        <v>45673</v>
      </c>
      <c r="F3445" s="3" t="s">
        <v>20</v>
      </c>
      <c r="G3445" s="3" t="s">
        <v>21</v>
      </c>
      <c r="H3445" s="3" t="s">
        <v>48</v>
      </c>
      <c r="I3445" s="3" t="n">
        <f aca="false">YEAR(E3445)</f>
        <v>2025</v>
      </c>
      <c r="J3445" s="3" t="n">
        <f aca="false">MONTH(E3445)</f>
        <v>1</v>
      </c>
      <c r="K3445" s="3" t="n">
        <f aca="false">COUNTIFS($B$2:$B$4077,B3445,$C$2:$C$4077,C3445,$I$2:$I$4077,I3445)</f>
        <v>3</v>
      </c>
      <c r="L3445" s="3" t="n">
        <f aca="false">IF(COUNTIFS($B$2:B3445,B3445,$C$2:C3445,C3445,$I$2:I3445,I3445)=1,1,0)</f>
        <v>0</v>
      </c>
      <c r="M3445" s="3" t="n">
        <f aca="false">IF(K3445&gt;=Parametri!$B$1,1,0)</f>
        <v>1</v>
      </c>
      <c r="N3445" s="3" t="n">
        <f aca="false">L3445*M3445</f>
        <v>0</v>
      </c>
    </row>
    <row r="3446" customFormat="false" ht="15" hidden="false" customHeight="false" outlineLevel="0" collapsed="false">
      <c r="A3446" s="0" t="s">
        <v>5135</v>
      </c>
      <c r="B3446" s="0" t="s">
        <v>50</v>
      </c>
      <c r="C3446" s="0" t="s">
        <v>2988</v>
      </c>
      <c r="D3446" s="0" t="s">
        <v>77</v>
      </c>
      <c r="E3446" s="2" t="n">
        <v>46183</v>
      </c>
      <c r="F3446" s="3" t="s">
        <v>20</v>
      </c>
      <c r="G3446" s="3" t="s">
        <v>43</v>
      </c>
      <c r="H3446" s="3" t="s">
        <v>22</v>
      </c>
      <c r="I3446" s="3" t="n">
        <f aca="false">YEAR(E3446)</f>
        <v>2026</v>
      </c>
      <c r="J3446" s="3" t="n">
        <f aca="false">MONTH(E3446)</f>
        <v>6</v>
      </c>
      <c r="K3446" s="3" t="n">
        <f aca="false">COUNTIFS($B$2:$B$4077,B3446,$C$2:$C$4077,C3446,$I$2:$I$4077,I3446)</f>
        <v>1</v>
      </c>
      <c r="L3446" s="3" t="n">
        <f aca="false">IF(COUNTIFS($B$2:B3446,B3446,$C$2:C3446,C3446,$I$2:I3446,I3446)=1,1,0)</f>
        <v>1</v>
      </c>
      <c r="M3446" s="3" t="n">
        <f aca="false">IF(K3446&gt;=Parametri!$B$1,1,0)</f>
        <v>0</v>
      </c>
      <c r="N3446" s="3" t="n">
        <f aca="false">L3446*M3446</f>
        <v>0</v>
      </c>
    </row>
    <row r="3447" customFormat="false" ht="15" hidden="false" customHeight="false" outlineLevel="0" collapsed="false">
      <c r="A3447" s="0" t="s">
        <v>5136</v>
      </c>
      <c r="B3447" s="0" t="s">
        <v>31</v>
      </c>
      <c r="C3447" s="0" t="s">
        <v>5137</v>
      </c>
      <c r="D3447" s="0" t="s">
        <v>26</v>
      </c>
      <c r="E3447" s="2" t="n">
        <v>45298</v>
      </c>
      <c r="F3447" s="3" t="s">
        <v>20</v>
      </c>
      <c r="G3447" s="3" t="s">
        <v>55</v>
      </c>
      <c r="H3447" s="3" t="s">
        <v>48</v>
      </c>
      <c r="I3447" s="3" t="n">
        <f aca="false">YEAR(E3447)</f>
        <v>2024</v>
      </c>
      <c r="J3447" s="3" t="n">
        <f aca="false">MONTH(E3447)</f>
        <v>1</v>
      </c>
      <c r="K3447" s="3" t="n">
        <f aca="false">COUNTIFS($B$2:$B$4077,B3447,$C$2:$C$4077,C3447,$I$2:$I$4077,I3447)</f>
        <v>1</v>
      </c>
      <c r="L3447" s="3" t="n">
        <f aca="false">IF(COUNTIFS($B$2:B3447,B3447,$C$2:C3447,C3447,$I$2:I3447,I3447)=1,1,0)</f>
        <v>1</v>
      </c>
      <c r="M3447" s="3" t="n">
        <f aca="false">IF(K3447&gt;=Parametri!$B$1,1,0)</f>
        <v>0</v>
      </c>
      <c r="N3447" s="3" t="n">
        <f aca="false">L3447*M3447</f>
        <v>0</v>
      </c>
    </row>
    <row r="3448" customFormat="false" ht="15" hidden="false" customHeight="false" outlineLevel="0" collapsed="false">
      <c r="A3448" s="0" t="s">
        <v>5138</v>
      </c>
      <c r="B3448" s="0" t="s">
        <v>24</v>
      </c>
      <c r="C3448" s="0" t="s">
        <v>271</v>
      </c>
      <c r="D3448" s="0" t="s">
        <v>33</v>
      </c>
      <c r="E3448" s="2" t="n">
        <v>45503</v>
      </c>
      <c r="F3448" s="3" t="s">
        <v>27</v>
      </c>
      <c r="G3448" s="3" t="s">
        <v>35</v>
      </c>
      <c r="H3448" s="3" t="s">
        <v>22</v>
      </c>
      <c r="I3448" s="3" t="n">
        <f aca="false">YEAR(E3448)</f>
        <v>2024</v>
      </c>
      <c r="J3448" s="3" t="n">
        <f aca="false">MONTH(E3448)</f>
        <v>7</v>
      </c>
      <c r="K3448" s="3" t="n">
        <f aca="false">COUNTIFS($B$2:$B$4077,B3448,$C$2:$C$4077,C3448,$I$2:$I$4077,I3448)</f>
        <v>6</v>
      </c>
      <c r="L3448" s="3" t="n">
        <f aca="false">IF(COUNTIFS($B$2:B3448,B3448,$C$2:C3448,C3448,$I$2:I3448,I3448)=1,1,0)</f>
        <v>0</v>
      </c>
      <c r="M3448" s="3" t="n">
        <f aca="false">IF(K3448&gt;=Parametri!$B$1,1,0)</f>
        <v>1</v>
      </c>
      <c r="N3448" s="3" t="n">
        <f aca="false">L3448*M3448</f>
        <v>0</v>
      </c>
    </row>
    <row r="3449" customFormat="false" ht="15" hidden="false" customHeight="false" outlineLevel="0" collapsed="false">
      <c r="A3449" s="0" t="s">
        <v>5139</v>
      </c>
      <c r="B3449" s="0" t="s">
        <v>41</v>
      </c>
      <c r="C3449" s="0" t="s">
        <v>1403</v>
      </c>
      <c r="D3449" s="0" t="s">
        <v>33</v>
      </c>
      <c r="E3449" s="2" t="n">
        <v>45352</v>
      </c>
      <c r="F3449" s="3" t="s">
        <v>27</v>
      </c>
      <c r="G3449" s="3" t="s">
        <v>89</v>
      </c>
      <c r="H3449" s="3" t="s">
        <v>48</v>
      </c>
      <c r="I3449" s="3" t="n">
        <f aca="false">YEAR(E3449)</f>
        <v>2024</v>
      </c>
      <c r="J3449" s="3" t="n">
        <f aca="false">MONTH(E3449)</f>
        <v>3</v>
      </c>
      <c r="K3449" s="3" t="n">
        <f aca="false">COUNTIFS($B$2:$B$4077,B3449,$C$2:$C$4077,C3449,$I$2:$I$4077,I3449)</f>
        <v>2</v>
      </c>
      <c r="L3449" s="3" t="n">
        <f aca="false">IF(COUNTIFS($B$2:B3449,B3449,$C$2:C3449,C3449,$I$2:I3449,I3449)=1,1,0)</f>
        <v>0</v>
      </c>
      <c r="M3449" s="3" t="n">
        <f aca="false">IF(K3449&gt;=Parametri!$B$1,1,0)</f>
        <v>1</v>
      </c>
      <c r="N3449" s="3" t="n">
        <f aca="false">L3449*M3449</f>
        <v>0</v>
      </c>
    </row>
    <row r="3450" customFormat="false" ht="15" hidden="false" customHeight="false" outlineLevel="0" collapsed="false">
      <c r="A3450" s="0" t="s">
        <v>5140</v>
      </c>
      <c r="B3450" s="0" t="s">
        <v>79</v>
      </c>
      <c r="C3450" s="0" t="s">
        <v>1144</v>
      </c>
      <c r="D3450" s="0" t="s">
        <v>26</v>
      </c>
      <c r="E3450" s="2" t="n">
        <v>45727</v>
      </c>
      <c r="F3450" s="3" t="s">
        <v>20</v>
      </c>
      <c r="G3450" s="3" t="s">
        <v>39</v>
      </c>
      <c r="H3450" s="3" t="s">
        <v>29</v>
      </c>
      <c r="I3450" s="3" t="n">
        <f aca="false">YEAR(E3450)</f>
        <v>2025</v>
      </c>
      <c r="J3450" s="3" t="n">
        <f aca="false">MONTH(E3450)</f>
        <v>3</v>
      </c>
      <c r="K3450" s="3" t="n">
        <f aca="false">COUNTIFS($B$2:$B$4077,B3450,$C$2:$C$4077,C3450,$I$2:$I$4077,I3450)</f>
        <v>5</v>
      </c>
      <c r="L3450" s="3" t="n">
        <f aca="false">IF(COUNTIFS($B$2:B3450,B3450,$C$2:C3450,C3450,$I$2:I3450,I3450)=1,1,0)</f>
        <v>0</v>
      </c>
      <c r="M3450" s="3" t="n">
        <f aca="false">IF(K3450&gt;=Parametri!$B$1,1,0)</f>
        <v>1</v>
      </c>
      <c r="N3450" s="3" t="n">
        <f aca="false">L3450*M3450</f>
        <v>0</v>
      </c>
    </row>
    <row r="3451" customFormat="false" ht="15" hidden="false" customHeight="false" outlineLevel="0" collapsed="false">
      <c r="A3451" s="0" t="s">
        <v>5141</v>
      </c>
      <c r="B3451" s="0" t="s">
        <v>24</v>
      </c>
      <c r="C3451" s="0" t="s">
        <v>3421</v>
      </c>
      <c r="D3451" s="0" t="s">
        <v>33</v>
      </c>
      <c r="E3451" s="2" t="n">
        <v>45807</v>
      </c>
      <c r="F3451" s="3" t="s">
        <v>27</v>
      </c>
      <c r="G3451" s="3" t="s">
        <v>55</v>
      </c>
      <c r="H3451" s="3" t="s">
        <v>29</v>
      </c>
      <c r="I3451" s="3" t="n">
        <f aca="false">YEAR(E3451)</f>
        <v>2025</v>
      </c>
      <c r="J3451" s="3" t="n">
        <f aca="false">MONTH(E3451)</f>
        <v>5</v>
      </c>
      <c r="K3451" s="3" t="n">
        <f aca="false">COUNTIFS($B$2:$B$4077,B3451,$C$2:$C$4077,C3451,$I$2:$I$4077,I3451)</f>
        <v>1</v>
      </c>
      <c r="L3451" s="3" t="n">
        <f aca="false">IF(COUNTIFS($B$2:B3451,B3451,$C$2:C3451,C3451,$I$2:I3451,I3451)=1,1,0)</f>
        <v>1</v>
      </c>
      <c r="M3451" s="3" t="n">
        <f aca="false">IF(K3451&gt;=Parametri!$B$1,1,0)</f>
        <v>0</v>
      </c>
      <c r="N3451" s="3" t="n">
        <f aca="false">L3451*M3451</f>
        <v>0</v>
      </c>
    </row>
    <row r="3452" customFormat="false" ht="15" hidden="false" customHeight="false" outlineLevel="0" collapsed="false">
      <c r="A3452" s="0" t="s">
        <v>5142</v>
      </c>
      <c r="B3452" s="0" t="s">
        <v>79</v>
      </c>
      <c r="C3452" s="0" t="s">
        <v>931</v>
      </c>
      <c r="D3452" s="0" t="s">
        <v>33</v>
      </c>
      <c r="E3452" s="2" t="n">
        <v>45897</v>
      </c>
      <c r="F3452" s="3" t="s">
        <v>20</v>
      </c>
      <c r="G3452" s="3" t="s">
        <v>21</v>
      </c>
      <c r="H3452" s="3" t="s">
        <v>29</v>
      </c>
      <c r="I3452" s="3" t="n">
        <f aca="false">YEAR(E3452)</f>
        <v>2025</v>
      </c>
      <c r="J3452" s="3" t="n">
        <f aca="false">MONTH(E3452)</f>
        <v>8</v>
      </c>
      <c r="K3452" s="3" t="n">
        <f aca="false">COUNTIFS($B$2:$B$4077,B3452,$C$2:$C$4077,C3452,$I$2:$I$4077,I3452)</f>
        <v>5</v>
      </c>
      <c r="L3452" s="3" t="n">
        <f aca="false">IF(COUNTIFS($B$2:B3452,B3452,$C$2:C3452,C3452,$I$2:I3452,I3452)=1,1,0)</f>
        <v>0</v>
      </c>
      <c r="M3452" s="3" t="n">
        <f aca="false">IF(K3452&gt;=Parametri!$B$1,1,0)</f>
        <v>1</v>
      </c>
      <c r="N3452" s="3" t="n">
        <f aca="false">L3452*M3452</f>
        <v>0</v>
      </c>
    </row>
    <row r="3453" customFormat="false" ht="15" hidden="false" customHeight="false" outlineLevel="0" collapsed="false">
      <c r="A3453" s="0" t="s">
        <v>5143</v>
      </c>
      <c r="B3453" s="0" t="s">
        <v>31</v>
      </c>
      <c r="C3453" s="0" t="s">
        <v>778</v>
      </c>
      <c r="D3453" s="0" t="s">
        <v>26</v>
      </c>
      <c r="E3453" s="2" t="n">
        <v>45373</v>
      </c>
      <c r="F3453" s="3" t="s">
        <v>27</v>
      </c>
      <c r="G3453" s="3" t="s">
        <v>55</v>
      </c>
      <c r="H3453" s="3" t="s">
        <v>48</v>
      </c>
      <c r="I3453" s="3" t="n">
        <f aca="false">YEAR(E3453)</f>
        <v>2024</v>
      </c>
      <c r="J3453" s="3" t="n">
        <f aca="false">MONTH(E3453)</f>
        <v>3</v>
      </c>
      <c r="K3453" s="3" t="n">
        <f aca="false">COUNTIFS($B$2:$B$4077,B3453,$C$2:$C$4077,C3453,$I$2:$I$4077,I3453)</f>
        <v>5</v>
      </c>
      <c r="L3453" s="3" t="n">
        <f aca="false">IF(COUNTIFS($B$2:B3453,B3453,$C$2:C3453,C3453,$I$2:I3453,I3453)=1,1,0)</f>
        <v>0</v>
      </c>
      <c r="M3453" s="3" t="n">
        <f aca="false">IF(K3453&gt;=Parametri!$B$1,1,0)</f>
        <v>1</v>
      </c>
      <c r="N3453" s="3" t="n">
        <f aca="false">L3453*M3453</f>
        <v>0</v>
      </c>
    </row>
    <row r="3454" customFormat="false" ht="15" hidden="false" customHeight="false" outlineLevel="0" collapsed="false">
      <c r="A3454" s="0" t="s">
        <v>5144</v>
      </c>
      <c r="B3454" s="0" t="s">
        <v>79</v>
      </c>
      <c r="C3454" s="0" t="s">
        <v>80</v>
      </c>
      <c r="D3454" s="0" t="s">
        <v>38</v>
      </c>
      <c r="E3454" s="2" t="n">
        <v>46126</v>
      </c>
      <c r="F3454" s="3" t="s">
        <v>20</v>
      </c>
      <c r="G3454" s="3" t="s">
        <v>43</v>
      </c>
      <c r="H3454" s="3" t="s">
        <v>29</v>
      </c>
      <c r="I3454" s="3" t="n">
        <f aca="false">YEAR(E3454)</f>
        <v>2026</v>
      </c>
      <c r="J3454" s="3" t="n">
        <f aca="false">MONTH(E3454)</f>
        <v>4</v>
      </c>
      <c r="K3454" s="3" t="n">
        <f aca="false">COUNTIFS($B$2:$B$4077,B3454,$C$2:$C$4077,C3454,$I$2:$I$4077,I3454)</f>
        <v>1</v>
      </c>
      <c r="L3454" s="3" t="n">
        <f aca="false">IF(COUNTIFS($B$2:B3454,B3454,$C$2:C3454,C3454,$I$2:I3454,I3454)=1,1,0)</f>
        <v>1</v>
      </c>
      <c r="M3454" s="3" t="n">
        <f aca="false">IF(K3454&gt;=Parametri!$B$1,1,0)</f>
        <v>0</v>
      </c>
      <c r="N3454" s="3" t="n">
        <f aca="false">L3454*M3454</f>
        <v>0</v>
      </c>
    </row>
    <row r="3455" customFormat="false" ht="15" hidden="false" customHeight="false" outlineLevel="0" collapsed="false">
      <c r="A3455" s="0" t="s">
        <v>5145</v>
      </c>
      <c r="B3455" s="0" t="s">
        <v>41</v>
      </c>
      <c r="C3455" s="0" t="s">
        <v>5146</v>
      </c>
      <c r="D3455" s="0" t="s">
        <v>19</v>
      </c>
      <c r="E3455" s="2" t="n">
        <v>45638</v>
      </c>
      <c r="F3455" s="3" t="s">
        <v>20</v>
      </c>
      <c r="G3455" s="3" t="s">
        <v>39</v>
      </c>
      <c r="H3455" s="3" t="s">
        <v>29</v>
      </c>
      <c r="I3455" s="3" t="n">
        <f aca="false">YEAR(E3455)</f>
        <v>2024</v>
      </c>
      <c r="J3455" s="3" t="n">
        <f aca="false">MONTH(E3455)</f>
        <v>12</v>
      </c>
      <c r="K3455" s="3" t="n">
        <f aca="false">COUNTIFS($B$2:$B$4077,B3455,$C$2:$C$4077,C3455,$I$2:$I$4077,I3455)</f>
        <v>1</v>
      </c>
      <c r="L3455" s="3" t="n">
        <f aca="false">IF(COUNTIFS($B$2:B3455,B3455,$C$2:C3455,C3455,$I$2:I3455,I3455)=1,1,0)</f>
        <v>1</v>
      </c>
      <c r="M3455" s="3" t="n">
        <f aca="false">IF(K3455&gt;=Parametri!$B$1,1,0)</f>
        <v>0</v>
      </c>
      <c r="N3455" s="3" t="n">
        <f aca="false">L3455*M3455</f>
        <v>0</v>
      </c>
    </row>
    <row r="3456" customFormat="false" ht="15" hidden="false" customHeight="false" outlineLevel="0" collapsed="false">
      <c r="A3456" s="0" t="s">
        <v>5147</v>
      </c>
      <c r="B3456" s="0" t="s">
        <v>57</v>
      </c>
      <c r="C3456" s="0" t="s">
        <v>2374</v>
      </c>
      <c r="D3456" s="0" t="s">
        <v>26</v>
      </c>
      <c r="E3456" s="2" t="n">
        <v>46019</v>
      </c>
      <c r="F3456" s="3" t="s">
        <v>20</v>
      </c>
      <c r="G3456" s="3" t="s">
        <v>28</v>
      </c>
      <c r="H3456" s="3" t="s">
        <v>29</v>
      </c>
      <c r="I3456" s="3" t="n">
        <f aca="false">YEAR(E3456)</f>
        <v>2025</v>
      </c>
      <c r="J3456" s="3" t="n">
        <f aca="false">MONTH(E3456)</f>
        <v>12</v>
      </c>
      <c r="K3456" s="3" t="n">
        <f aca="false">COUNTIFS($B$2:$B$4077,B3456,$C$2:$C$4077,C3456,$I$2:$I$4077,I3456)</f>
        <v>2</v>
      </c>
      <c r="L3456" s="3" t="n">
        <f aca="false">IF(COUNTIFS($B$2:B3456,B3456,$C$2:C3456,C3456,$I$2:I3456,I3456)=1,1,0)</f>
        <v>0</v>
      </c>
      <c r="M3456" s="3" t="n">
        <f aca="false">IF(K3456&gt;=Parametri!$B$1,1,0)</f>
        <v>1</v>
      </c>
      <c r="N3456" s="3" t="n">
        <f aca="false">L3456*M3456</f>
        <v>0</v>
      </c>
    </row>
    <row r="3457" customFormat="false" ht="15" hidden="false" customHeight="false" outlineLevel="0" collapsed="false">
      <c r="A3457" s="0" t="s">
        <v>5148</v>
      </c>
      <c r="B3457" s="0" t="s">
        <v>79</v>
      </c>
      <c r="C3457" s="0" t="s">
        <v>4516</v>
      </c>
      <c r="D3457" s="0" t="s">
        <v>38</v>
      </c>
      <c r="E3457" s="2" t="n">
        <v>46177</v>
      </c>
      <c r="F3457" s="3" t="s">
        <v>34</v>
      </c>
      <c r="G3457" s="3" t="s">
        <v>21</v>
      </c>
      <c r="H3457" s="3" t="s">
        <v>29</v>
      </c>
      <c r="I3457" s="3" t="n">
        <f aca="false">YEAR(E3457)</f>
        <v>2026</v>
      </c>
      <c r="J3457" s="3" t="n">
        <f aca="false">MONTH(E3457)</f>
        <v>6</v>
      </c>
      <c r="K3457" s="3" t="n">
        <f aca="false">COUNTIFS($B$2:$B$4077,B3457,$C$2:$C$4077,C3457,$I$2:$I$4077,I3457)</f>
        <v>3</v>
      </c>
      <c r="L3457" s="3" t="n">
        <f aca="false">IF(COUNTIFS($B$2:B3457,B3457,$C$2:C3457,C3457,$I$2:I3457,I3457)=1,1,0)</f>
        <v>0</v>
      </c>
      <c r="M3457" s="3" t="n">
        <f aca="false">IF(K3457&gt;=Parametri!$B$1,1,0)</f>
        <v>1</v>
      </c>
      <c r="N3457" s="3" t="n">
        <f aca="false">L3457*M3457</f>
        <v>0</v>
      </c>
    </row>
    <row r="3458" customFormat="false" ht="15" hidden="false" customHeight="false" outlineLevel="0" collapsed="false">
      <c r="A3458" s="0" t="s">
        <v>5149</v>
      </c>
      <c r="B3458" s="0" t="s">
        <v>68</v>
      </c>
      <c r="C3458" s="0" t="s">
        <v>3831</v>
      </c>
      <c r="D3458" s="0" t="s">
        <v>77</v>
      </c>
      <c r="E3458" s="2" t="n">
        <v>46048</v>
      </c>
      <c r="F3458" s="3" t="s">
        <v>27</v>
      </c>
      <c r="G3458" s="3" t="s">
        <v>89</v>
      </c>
      <c r="H3458" s="3" t="s">
        <v>29</v>
      </c>
      <c r="I3458" s="3" t="n">
        <f aca="false">YEAR(E3458)</f>
        <v>2026</v>
      </c>
      <c r="J3458" s="3" t="n">
        <f aca="false">MONTH(E3458)</f>
        <v>1</v>
      </c>
      <c r="K3458" s="3" t="n">
        <f aca="false">COUNTIFS($B$2:$B$4077,B3458,$C$2:$C$4077,C3458,$I$2:$I$4077,I3458)</f>
        <v>3</v>
      </c>
      <c r="L3458" s="3" t="n">
        <f aca="false">IF(COUNTIFS($B$2:B3458,B3458,$C$2:C3458,C3458,$I$2:I3458,I3458)=1,1,0)</f>
        <v>0</v>
      </c>
      <c r="M3458" s="3" t="n">
        <f aca="false">IF(K3458&gt;=Parametri!$B$1,1,0)</f>
        <v>1</v>
      </c>
      <c r="N3458" s="3" t="n">
        <f aca="false">L3458*M3458</f>
        <v>0</v>
      </c>
    </row>
    <row r="3459" customFormat="false" ht="15" hidden="false" customHeight="false" outlineLevel="0" collapsed="false">
      <c r="A3459" s="0" t="s">
        <v>5150</v>
      </c>
      <c r="B3459" s="0" t="s">
        <v>41</v>
      </c>
      <c r="C3459" s="0" t="s">
        <v>5151</v>
      </c>
      <c r="D3459" s="0" t="s">
        <v>33</v>
      </c>
      <c r="E3459" s="2" t="n">
        <v>45757</v>
      </c>
      <c r="F3459" s="3" t="s">
        <v>34</v>
      </c>
      <c r="G3459" s="3" t="s">
        <v>89</v>
      </c>
      <c r="H3459" s="3" t="s">
        <v>48</v>
      </c>
      <c r="I3459" s="3" t="n">
        <f aca="false">YEAR(E3459)</f>
        <v>2025</v>
      </c>
      <c r="J3459" s="3" t="n">
        <f aca="false">MONTH(E3459)</f>
        <v>4</v>
      </c>
      <c r="K3459" s="3" t="n">
        <f aca="false">COUNTIFS($B$2:$B$4077,B3459,$C$2:$C$4077,C3459,$I$2:$I$4077,I3459)</f>
        <v>1</v>
      </c>
      <c r="L3459" s="3" t="n">
        <f aca="false">IF(COUNTIFS($B$2:B3459,B3459,$C$2:C3459,C3459,$I$2:I3459,I3459)=1,1,0)</f>
        <v>1</v>
      </c>
      <c r="M3459" s="3" t="n">
        <f aca="false">IF(K3459&gt;=Parametri!$B$1,1,0)</f>
        <v>0</v>
      </c>
      <c r="N3459" s="3" t="n">
        <f aca="false">L3459*M3459</f>
        <v>0</v>
      </c>
    </row>
    <row r="3460" customFormat="false" ht="15" hidden="false" customHeight="false" outlineLevel="0" collapsed="false">
      <c r="A3460" s="0" t="s">
        <v>5152</v>
      </c>
      <c r="B3460" s="0" t="s">
        <v>79</v>
      </c>
      <c r="C3460" s="0" t="s">
        <v>4268</v>
      </c>
      <c r="D3460" s="0" t="s">
        <v>26</v>
      </c>
      <c r="E3460" s="2" t="n">
        <v>46073</v>
      </c>
      <c r="F3460" s="3" t="s">
        <v>20</v>
      </c>
      <c r="G3460" s="3" t="s">
        <v>72</v>
      </c>
      <c r="H3460" s="3" t="s">
        <v>29</v>
      </c>
      <c r="I3460" s="3" t="n">
        <f aca="false">YEAR(E3460)</f>
        <v>2026</v>
      </c>
      <c r="J3460" s="3" t="n">
        <f aca="false">MONTH(E3460)</f>
        <v>2</v>
      </c>
      <c r="K3460" s="3" t="n">
        <f aca="false">COUNTIFS($B$2:$B$4077,B3460,$C$2:$C$4077,C3460,$I$2:$I$4077,I3460)</f>
        <v>1</v>
      </c>
      <c r="L3460" s="3" t="n">
        <f aca="false">IF(COUNTIFS($B$2:B3460,B3460,$C$2:C3460,C3460,$I$2:I3460,I3460)=1,1,0)</f>
        <v>1</v>
      </c>
      <c r="M3460" s="3" t="n">
        <f aca="false">IF(K3460&gt;=Parametri!$B$1,1,0)</f>
        <v>0</v>
      </c>
      <c r="N3460" s="3" t="n">
        <f aca="false">L3460*M3460</f>
        <v>0</v>
      </c>
    </row>
    <row r="3461" customFormat="false" ht="15" hidden="false" customHeight="false" outlineLevel="0" collapsed="false">
      <c r="A3461" s="0" t="s">
        <v>5153</v>
      </c>
      <c r="B3461" s="0" t="s">
        <v>41</v>
      </c>
      <c r="C3461" s="0" t="s">
        <v>776</v>
      </c>
      <c r="D3461" s="0" t="s">
        <v>19</v>
      </c>
      <c r="E3461" s="2" t="n">
        <v>45895</v>
      </c>
      <c r="F3461" s="3" t="s">
        <v>20</v>
      </c>
      <c r="G3461" s="3" t="s">
        <v>55</v>
      </c>
      <c r="H3461" s="3" t="s">
        <v>29</v>
      </c>
      <c r="I3461" s="3" t="n">
        <f aca="false">YEAR(E3461)</f>
        <v>2025</v>
      </c>
      <c r="J3461" s="3" t="n">
        <f aca="false">MONTH(E3461)</f>
        <v>8</v>
      </c>
      <c r="K3461" s="3" t="n">
        <f aca="false">COUNTIFS($B$2:$B$4077,B3461,$C$2:$C$4077,C3461,$I$2:$I$4077,I3461)</f>
        <v>2</v>
      </c>
      <c r="L3461" s="3" t="n">
        <f aca="false">IF(COUNTIFS($B$2:B3461,B3461,$C$2:C3461,C3461,$I$2:I3461,I3461)=1,1,0)</f>
        <v>0</v>
      </c>
      <c r="M3461" s="3" t="n">
        <f aca="false">IF(K3461&gt;=Parametri!$B$1,1,0)</f>
        <v>1</v>
      </c>
      <c r="N3461" s="3" t="n">
        <f aca="false">L3461*M3461</f>
        <v>0</v>
      </c>
    </row>
    <row r="3462" customFormat="false" ht="15" hidden="false" customHeight="false" outlineLevel="0" collapsed="false">
      <c r="A3462" s="0" t="s">
        <v>5154</v>
      </c>
      <c r="B3462" s="0" t="s">
        <v>41</v>
      </c>
      <c r="C3462" s="0" t="s">
        <v>456</v>
      </c>
      <c r="D3462" s="0" t="s">
        <v>63</v>
      </c>
      <c r="E3462" s="2" t="n">
        <v>45536</v>
      </c>
      <c r="F3462" s="3" t="s">
        <v>20</v>
      </c>
      <c r="G3462" s="3" t="s">
        <v>43</v>
      </c>
      <c r="H3462" s="3" t="s">
        <v>22</v>
      </c>
      <c r="I3462" s="3" t="n">
        <f aca="false">YEAR(E3462)</f>
        <v>2024</v>
      </c>
      <c r="J3462" s="3" t="n">
        <f aca="false">MONTH(E3462)</f>
        <v>9</v>
      </c>
      <c r="K3462" s="3" t="n">
        <f aca="false">COUNTIFS($B$2:$B$4077,B3462,$C$2:$C$4077,C3462,$I$2:$I$4077,I3462)</f>
        <v>2</v>
      </c>
      <c r="L3462" s="3" t="n">
        <f aca="false">IF(COUNTIFS($B$2:B3462,B3462,$C$2:C3462,C3462,$I$2:I3462,I3462)=1,1,0)</f>
        <v>0</v>
      </c>
      <c r="M3462" s="3" t="n">
        <f aca="false">IF(K3462&gt;=Parametri!$B$1,1,0)</f>
        <v>1</v>
      </c>
      <c r="N3462" s="3" t="n">
        <f aca="false">L3462*M3462</f>
        <v>0</v>
      </c>
    </row>
    <row r="3463" customFormat="false" ht="15" hidden="false" customHeight="false" outlineLevel="0" collapsed="false">
      <c r="A3463" s="0" t="s">
        <v>5155</v>
      </c>
      <c r="B3463" s="0" t="s">
        <v>46</v>
      </c>
      <c r="C3463" s="0" t="s">
        <v>65</v>
      </c>
      <c r="D3463" s="0" t="s">
        <v>63</v>
      </c>
      <c r="E3463" s="2" t="n">
        <v>45545</v>
      </c>
      <c r="F3463" s="3" t="s">
        <v>20</v>
      </c>
      <c r="G3463" s="3" t="s">
        <v>28</v>
      </c>
      <c r="H3463" s="3" t="s">
        <v>48</v>
      </c>
      <c r="I3463" s="3" t="n">
        <f aca="false">YEAR(E3463)</f>
        <v>2024</v>
      </c>
      <c r="J3463" s="3" t="n">
        <f aca="false">MONTH(E3463)</f>
        <v>9</v>
      </c>
      <c r="K3463" s="3" t="n">
        <f aca="false">COUNTIFS($B$2:$B$4077,B3463,$C$2:$C$4077,C3463,$I$2:$I$4077,I3463)</f>
        <v>7</v>
      </c>
      <c r="L3463" s="3" t="n">
        <f aca="false">IF(COUNTIFS($B$2:B3463,B3463,$C$2:C3463,C3463,$I$2:I3463,I3463)=1,1,0)</f>
        <v>0</v>
      </c>
      <c r="M3463" s="3" t="n">
        <f aca="false">IF(K3463&gt;=Parametri!$B$1,1,0)</f>
        <v>1</v>
      </c>
      <c r="N3463" s="3" t="n">
        <f aca="false">L3463*M3463</f>
        <v>0</v>
      </c>
    </row>
    <row r="3464" customFormat="false" ht="15" hidden="false" customHeight="false" outlineLevel="0" collapsed="false">
      <c r="A3464" s="0" t="s">
        <v>5156</v>
      </c>
      <c r="B3464" s="0" t="s">
        <v>24</v>
      </c>
      <c r="C3464" s="0" t="s">
        <v>974</v>
      </c>
      <c r="D3464" s="0" t="s">
        <v>33</v>
      </c>
      <c r="E3464" s="2" t="n">
        <v>45878</v>
      </c>
      <c r="F3464" s="3" t="s">
        <v>27</v>
      </c>
      <c r="G3464" s="3" t="s">
        <v>35</v>
      </c>
      <c r="H3464" s="3" t="s">
        <v>22</v>
      </c>
      <c r="I3464" s="3" t="n">
        <f aca="false">YEAR(E3464)</f>
        <v>2025</v>
      </c>
      <c r="J3464" s="3" t="n">
        <f aca="false">MONTH(E3464)</f>
        <v>8</v>
      </c>
      <c r="K3464" s="3" t="n">
        <f aca="false">COUNTIFS($B$2:$B$4077,B3464,$C$2:$C$4077,C3464,$I$2:$I$4077,I3464)</f>
        <v>1</v>
      </c>
      <c r="L3464" s="3" t="n">
        <f aca="false">IF(COUNTIFS($B$2:B3464,B3464,$C$2:C3464,C3464,$I$2:I3464,I3464)=1,1,0)</f>
        <v>1</v>
      </c>
      <c r="M3464" s="3" t="n">
        <f aca="false">IF(K3464&gt;=Parametri!$B$1,1,0)</f>
        <v>0</v>
      </c>
      <c r="N3464" s="3" t="n">
        <f aca="false">L3464*M3464</f>
        <v>0</v>
      </c>
    </row>
    <row r="3465" customFormat="false" ht="15" hidden="false" customHeight="false" outlineLevel="0" collapsed="false">
      <c r="A3465" s="0" t="s">
        <v>5157</v>
      </c>
      <c r="B3465" s="0" t="s">
        <v>17</v>
      </c>
      <c r="C3465" s="0" t="s">
        <v>2007</v>
      </c>
      <c r="D3465" s="0" t="s">
        <v>26</v>
      </c>
      <c r="E3465" s="2" t="n">
        <v>45597</v>
      </c>
      <c r="F3465" s="3" t="s">
        <v>20</v>
      </c>
      <c r="G3465" s="3" t="s">
        <v>55</v>
      </c>
      <c r="H3465" s="3" t="s">
        <v>29</v>
      </c>
      <c r="I3465" s="3" t="n">
        <f aca="false">YEAR(E3465)</f>
        <v>2024</v>
      </c>
      <c r="J3465" s="3" t="n">
        <f aca="false">MONTH(E3465)</f>
        <v>11</v>
      </c>
      <c r="K3465" s="3" t="n">
        <f aca="false">COUNTIFS($B$2:$B$4077,B3465,$C$2:$C$4077,C3465,$I$2:$I$4077,I3465)</f>
        <v>3</v>
      </c>
      <c r="L3465" s="3" t="n">
        <f aca="false">IF(COUNTIFS($B$2:B3465,B3465,$C$2:C3465,C3465,$I$2:I3465,I3465)=1,1,0)</f>
        <v>0</v>
      </c>
      <c r="M3465" s="3" t="n">
        <f aca="false">IF(K3465&gt;=Parametri!$B$1,1,0)</f>
        <v>1</v>
      </c>
      <c r="N3465" s="3" t="n">
        <f aca="false">L3465*M3465</f>
        <v>0</v>
      </c>
    </row>
    <row r="3466" customFormat="false" ht="15" hidden="false" customHeight="false" outlineLevel="0" collapsed="false">
      <c r="A3466" s="0" t="s">
        <v>5158</v>
      </c>
      <c r="B3466" s="0" t="s">
        <v>46</v>
      </c>
      <c r="C3466" s="0" t="s">
        <v>5159</v>
      </c>
      <c r="D3466" s="0" t="s">
        <v>77</v>
      </c>
      <c r="E3466" s="2" t="n">
        <v>45472</v>
      </c>
      <c r="F3466" s="3" t="s">
        <v>34</v>
      </c>
      <c r="G3466" s="3" t="s">
        <v>89</v>
      </c>
      <c r="H3466" s="3" t="s">
        <v>48</v>
      </c>
      <c r="I3466" s="3" t="n">
        <f aca="false">YEAR(E3466)</f>
        <v>2024</v>
      </c>
      <c r="J3466" s="3" t="n">
        <f aca="false">MONTH(E3466)</f>
        <v>6</v>
      </c>
      <c r="K3466" s="3" t="n">
        <f aca="false">COUNTIFS($B$2:$B$4077,B3466,$C$2:$C$4077,C3466,$I$2:$I$4077,I3466)</f>
        <v>1</v>
      </c>
      <c r="L3466" s="3" t="n">
        <f aca="false">IF(COUNTIFS($B$2:B3466,B3466,$C$2:C3466,C3466,$I$2:I3466,I3466)=1,1,0)</f>
        <v>1</v>
      </c>
      <c r="M3466" s="3" t="n">
        <f aca="false">IF(K3466&gt;=Parametri!$B$1,1,0)</f>
        <v>0</v>
      </c>
      <c r="N3466" s="3" t="n">
        <f aca="false">L3466*M3466</f>
        <v>0</v>
      </c>
    </row>
    <row r="3467" customFormat="false" ht="15" hidden="false" customHeight="false" outlineLevel="0" collapsed="false">
      <c r="A3467" s="0" t="s">
        <v>5160</v>
      </c>
      <c r="B3467" s="0" t="s">
        <v>46</v>
      </c>
      <c r="C3467" s="0" t="s">
        <v>1228</v>
      </c>
      <c r="D3467" s="0" t="s">
        <v>77</v>
      </c>
      <c r="E3467" s="2" t="n">
        <v>46226</v>
      </c>
      <c r="F3467" s="3" t="s">
        <v>20</v>
      </c>
      <c r="G3467" s="3" t="s">
        <v>39</v>
      </c>
      <c r="H3467" s="3" t="s">
        <v>44</v>
      </c>
      <c r="I3467" s="3" t="n">
        <f aca="false">YEAR(E3467)</f>
        <v>2026</v>
      </c>
      <c r="J3467" s="3" t="n">
        <f aca="false">MONTH(E3467)</f>
        <v>7</v>
      </c>
      <c r="K3467" s="3" t="n">
        <f aca="false">COUNTIFS($B$2:$B$4077,B3467,$C$2:$C$4077,C3467,$I$2:$I$4077,I3467)</f>
        <v>3</v>
      </c>
      <c r="L3467" s="3" t="n">
        <f aca="false">IF(COUNTIFS($B$2:B3467,B3467,$C$2:C3467,C3467,$I$2:I3467,I3467)=1,1,0)</f>
        <v>0</v>
      </c>
      <c r="M3467" s="3" t="n">
        <f aca="false">IF(K3467&gt;=Parametri!$B$1,1,0)</f>
        <v>1</v>
      </c>
      <c r="N3467" s="3" t="n">
        <f aca="false">L3467*M3467</f>
        <v>0</v>
      </c>
    </row>
    <row r="3468" customFormat="false" ht="15" hidden="false" customHeight="false" outlineLevel="0" collapsed="false">
      <c r="A3468" s="0" t="s">
        <v>5161</v>
      </c>
      <c r="B3468" s="0" t="s">
        <v>68</v>
      </c>
      <c r="C3468" s="0" t="s">
        <v>2051</v>
      </c>
      <c r="D3468" s="0" t="s">
        <v>66</v>
      </c>
      <c r="E3468" s="2" t="n">
        <v>45680</v>
      </c>
      <c r="F3468" s="3" t="s">
        <v>20</v>
      </c>
      <c r="G3468" s="3" t="s">
        <v>28</v>
      </c>
      <c r="H3468" s="3" t="s">
        <v>48</v>
      </c>
      <c r="I3468" s="3" t="n">
        <f aca="false">YEAR(E3468)</f>
        <v>2025</v>
      </c>
      <c r="J3468" s="3" t="n">
        <f aca="false">MONTH(E3468)</f>
        <v>1</v>
      </c>
      <c r="K3468" s="3" t="n">
        <f aca="false">COUNTIFS($B$2:$B$4077,B3468,$C$2:$C$4077,C3468,$I$2:$I$4077,I3468)</f>
        <v>2</v>
      </c>
      <c r="L3468" s="3" t="n">
        <f aca="false">IF(COUNTIFS($B$2:B3468,B3468,$C$2:C3468,C3468,$I$2:I3468,I3468)=1,1,0)</f>
        <v>0</v>
      </c>
      <c r="M3468" s="3" t="n">
        <f aca="false">IF(K3468&gt;=Parametri!$B$1,1,0)</f>
        <v>1</v>
      </c>
      <c r="N3468" s="3" t="n">
        <f aca="false">L3468*M3468</f>
        <v>0</v>
      </c>
    </row>
    <row r="3469" customFormat="false" ht="15" hidden="false" customHeight="false" outlineLevel="0" collapsed="false">
      <c r="A3469" s="0" t="s">
        <v>5162</v>
      </c>
      <c r="B3469" s="0" t="s">
        <v>17</v>
      </c>
      <c r="C3469" s="0" t="s">
        <v>1414</v>
      </c>
      <c r="D3469" s="0" t="s">
        <v>54</v>
      </c>
      <c r="E3469" s="2" t="n">
        <v>46180</v>
      </c>
      <c r="F3469" s="3" t="s">
        <v>34</v>
      </c>
      <c r="G3469" s="3" t="s">
        <v>72</v>
      </c>
      <c r="H3469" s="3" t="s">
        <v>29</v>
      </c>
      <c r="I3469" s="3" t="n">
        <f aca="false">YEAR(E3469)</f>
        <v>2026</v>
      </c>
      <c r="J3469" s="3" t="n">
        <f aca="false">MONTH(E3469)</f>
        <v>6</v>
      </c>
      <c r="K3469" s="3" t="n">
        <f aca="false">COUNTIFS($B$2:$B$4077,B3469,$C$2:$C$4077,C3469,$I$2:$I$4077,I3469)</f>
        <v>1</v>
      </c>
      <c r="L3469" s="3" t="n">
        <f aca="false">IF(COUNTIFS($B$2:B3469,B3469,$C$2:C3469,C3469,$I$2:I3469,I3469)=1,1,0)</f>
        <v>1</v>
      </c>
      <c r="M3469" s="3" t="n">
        <f aca="false">IF(K3469&gt;=Parametri!$B$1,1,0)</f>
        <v>0</v>
      </c>
      <c r="N3469" s="3" t="n">
        <f aca="false">L3469*M3469</f>
        <v>0</v>
      </c>
    </row>
    <row r="3470" customFormat="false" ht="15" hidden="false" customHeight="false" outlineLevel="0" collapsed="false">
      <c r="A3470" s="0" t="s">
        <v>5163</v>
      </c>
      <c r="B3470" s="0" t="s">
        <v>57</v>
      </c>
      <c r="C3470" s="0" t="s">
        <v>1034</v>
      </c>
      <c r="D3470" s="0" t="s">
        <v>66</v>
      </c>
      <c r="E3470" s="2" t="n">
        <v>45887</v>
      </c>
      <c r="F3470" s="3" t="s">
        <v>20</v>
      </c>
      <c r="G3470" s="3" t="s">
        <v>72</v>
      </c>
      <c r="H3470" s="3" t="s">
        <v>22</v>
      </c>
      <c r="I3470" s="3" t="n">
        <f aca="false">YEAR(E3470)</f>
        <v>2025</v>
      </c>
      <c r="J3470" s="3" t="n">
        <f aca="false">MONTH(E3470)</f>
        <v>8</v>
      </c>
      <c r="K3470" s="3" t="n">
        <f aca="false">COUNTIFS($B$2:$B$4077,B3470,$C$2:$C$4077,C3470,$I$2:$I$4077,I3470)</f>
        <v>1</v>
      </c>
      <c r="L3470" s="3" t="n">
        <f aca="false">IF(COUNTIFS($B$2:B3470,B3470,$C$2:C3470,C3470,$I$2:I3470,I3470)=1,1,0)</f>
        <v>1</v>
      </c>
      <c r="M3470" s="3" t="n">
        <f aca="false">IF(K3470&gt;=Parametri!$B$1,1,0)</f>
        <v>0</v>
      </c>
      <c r="N3470" s="3" t="n">
        <f aca="false">L3470*M3470</f>
        <v>0</v>
      </c>
    </row>
    <row r="3471" customFormat="false" ht="15" hidden="false" customHeight="false" outlineLevel="0" collapsed="false">
      <c r="A3471" s="0" t="s">
        <v>5164</v>
      </c>
      <c r="B3471" s="0" t="s">
        <v>24</v>
      </c>
      <c r="C3471" s="0" t="s">
        <v>444</v>
      </c>
      <c r="D3471" s="0" t="s">
        <v>66</v>
      </c>
      <c r="E3471" s="2" t="n">
        <v>46110</v>
      </c>
      <c r="F3471" s="3" t="s">
        <v>20</v>
      </c>
      <c r="G3471" s="3" t="s">
        <v>72</v>
      </c>
      <c r="H3471" s="3" t="s">
        <v>29</v>
      </c>
      <c r="I3471" s="3" t="n">
        <f aca="false">YEAR(E3471)</f>
        <v>2026</v>
      </c>
      <c r="J3471" s="3" t="n">
        <f aca="false">MONTH(E3471)</f>
        <v>3</v>
      </c>
      <c r="K3471" s="3" t="n">
        <f aca="false">COUNTIFS($B$2:$B$4077,B3471,$C$2:$C$4077,C3471,$I$2:$I$4077,I3471)</f>
        <v>2</v>
      </c>
      <c r="L3471" s="3" t="n">
        <f aca="false">IF(COUNTIFS($B$2:B3471,B3471,$C$2:C3471,C3471,$I$2:I3471,I3471)=1,1,0)</f>
        <v>0</v>
      </c>
      <c r="M3471" s="3" t="n">
        <f aca="false">IF(K3471&gt;=Parametri!$B$1,1,0)</f>
        <v>1</v>
      </c>
      <c r="N3471" s="3" t="n">
        <f aca="false">L3471*M3471</f>
        <v>0</v>
      </c>
    </row>
    <row r="3472" customFormat="false" ht="15" hidden="false" customHeight="false" outlineLevel="0" collapsed="false">
      <c r="A3472" s="0" t="s">
        <v>5165</v>
      </c>
      <c r="B3472" s="0" t="s">
        <v>17</v>
      </c>
      <c r="C3472" s="0" t="s">
        <v>3521</v>
      </c>
      <c r="D3472" s="0" t="s">
        <v>19</v>
      </c>
      <c r="E3472" s="2" t="n">
        <v>46234</v>
      </c>
      <c r="F3472" s="3" t="s">
        <v>20</v>
      </c>
      <c r="G3472" s="3" t="s">
        <v>35</v>
      </c>
      <c r="H3472" s="3" t="s">
        <v>44</v>
      </c>
      <c r="I3472" s="3" t="n">
        <f aca="false">YEAR(E3472)</f>
        <v>2026</v>
      </c>
      <c r="J3472" s="3" t="n">
        <f aca="false">MONTH(E3472)</f>
        <v>7</v>
      </c>
      <c r="K3472" s="3" t="n">
        <f aca="false">COUNTIFS($B$2:$B$4077,B3472,$C$2:$C$4077,C3472,$I$2:$I$4077,I3472)</f>
        <v>1</v>
      </c>
      <c r="L3472" s="3" t="n">
        <f aca="false">IF(COUNTIFS($B$2:B3472,B3472,$C$2:C3472,C3472,$I$2:I3472,I3472)=1,1,0)</f>
        <v>1</v>
      </c>
      <c r="M3472" s="3" t="n">
        <f aca="false">IF(K3472&gt;=Parametri!$B$1,1,0)</f>
        <v>0</v>
      </c>
      <c r="N3472" s="3" t="n">
        <f aca="false">L3472*M3472</f>
        <v>0</v>
      </c>
    </row>
    <row r="3473" customFormat="false" ht="15" hidden="false" customHeight="false" outlineLevel="0" collapsed="false">
      <c r="A3473" s="0" t="s">
        <v>5166</v>
      </c>
      <c r="B3473" s="0" t="s">
        <v>46</v>
      </c>
      <c r="C3473" s="0" t="s">
        <v>5167</v>
      </c>
      <c r="D3473" s="0" t="s">
        <v>38</v>
      </c>
      <c r="E3473" s="2" t="n">
        <v>45657</v>
      </c>
      <c r="F3473" s="3" t="s">
        <v>34</v>
      </c>
      <c r="G3473" s="3" t="s">
        <v>72</v>
      </c>
      <c r="H3473" s="3" t="s">
        <v>22</v>
      </c>
      <c r="I3473" s="3" t="n">
        <f aca="false">YEAR(E3473)</f>
        <v>2024</v>
      </c>
      <c r="J3473" s="3" t="n">
        <f aca="false">MONTH(E3473)</f>
        <v>12</v>
      </c>
      <c r="K3473" s="3" t="n">
        <f aca="false">COUNTIFS($B$2:$B$4077,B3473,$C$2:$C$4077,C3473,$I$2:$I$4077,I3473)</f>
        <v>1</v>
      </c>
      <c r="L3473" s="3" t="n">
        <f aca="false">IF(COUNTIFS($B$2:B3473,B3473,$C$2:C3473,C3473,$I$2:I3473,I3473)=1,1,0)</f>
        <v>1</v>
      </c>
      <c r="M3473" s="3" t="n">
        <f aca="false">IF(K3473&gt;=Parametri!$B$1,1,0)</f>
        <v>0</v>
      </c>
      <c r="N3473" s="3" t="n">
        <f aca="false">L3473*M3473</f>
        <v>0</v>
      </c>
    </row>
    <row r="3474" customFormat="false" ht="15" hidden="false" customHeight="false" outlineLevel="0" collapsed="false">
      <c r="A3474" s="0" t="s">
        <v>5168</v>
      </c>
      <c r="B3474" s="0" t="s">
        <v>31</v>
      </c>
      <c r="C3474" s="0" t="s">
        <v>778</v>
      </c>
      <c r="D3474" s="0" t="s">
        <v>33</v>
      </c>
      <c r="E3474" s="2" t="n">
        <v>45448</v>
      </c>
      <c r="F3474" s="3" t="s">
        <v>20</v>
      </c>
      <c r="G3474" s="3" t="s">
        <v>55</v>
      </c>
      <c r="H3474" s="3" t="s">
        <v>22</v>
      </c>
      <c r="I3474" s="3" t="n">
        <f aca="false">YEAR(E3474)</f>
        <v>2024</v>
      </c>
      <c r="J3474" s="3" t="n">
        <f aca="false">MONTH(E3474)</f>
        <v>6</v>
      </c>
      <c r="K3474" s="3" t="n">
        <f aca="false">COUNTIFS($B$2:$B$4077,B3474,$C$2:$C$4077,C3474,$I$2:$I$4077,I3474)</f>
        <v>5</v>
      </c>
      <c r="L3474" s="3" t="n">
        <f aca="false">IF(COUNTIFS($B$2:B3474,B3474,$C$2:C3474,C3474,$I$2:I3474,I3474)=1,1,0)</f>
        <v>0</v>
      </c>
      <c r="M3474" s="3" t="n">
        <f aca="false">IF(K3474&gt;=Parametri!$B$1,1,0)</f>
        <v>1</v>
      </c>
      <c r="N3474" s="3" t="n">
        <f aca="false">L3474*M3474</f>
        <v>0</v>
      </c>
    </row>
    <row r="3475" customFormat="false" ht="15" hidden="false" customHeight="false" outlineLevel="0" collapsed="false">
      <c r="A3475" s="0" t="s">
        <v>5169</v>
      </c>
      <c r="B3475" s="0" t="s">
        <v>79</v>
      </c>
      <c r="C3475" s="0" t="s">
        <v>3011</v>
      </c>
      <c r="D3475" s="0" t="s">
        <v>38</v>
      </c>
      <c r="E3475" s="2" t="n">
        <v>45412</v>
      </c>
      <c r="F3475" s="3" t="s">
        <v>27</v>
      </c>
      <c r="G3475" s="3" t="s">
        <v>72</v>
      </c>
      <c r="H3475" s="3" t="s">
        <v>29</v>
      </c>
      <c r="I3475" s="3" t="n">
        <f aca="false">YEAR(E3475)</f>
        <v>2024</v>
      </c>
      <c r="J3475" s="3" t="n">
        <f aca="false">MONTH(E3475)</f>
        <v>4</v>
      </c>
      <c r="K3475" s="3" t="n">
        <f aca="false">COUNTIFS($B$2:$B$4077,B3475,$C$2:$C$4077,C3475,$I$2:$I$4077,I3475)</f>
        <v>3</v>
      </c>
      <c r="L3475" s="3" t="n">
        <f aca="false">IF(COUNTIFS($B$2:B3475,B3475,$C$2:C3475,C3475,$I$2:I3475,I3475)=1,1,0)</f>
        <v>0</v>
      </c>
      <c r="M3475" s="3" t="n">
        <f aca="false">IF(K3475&gt;=Parametri!$B$1,1,0)</f>
        <v>1</v>
      </c>
      <c r="N3475" s="3" t="n">
        <f aca="false">L3475*M3475</f>
        <v>0</v>
      </c>
    </row>
    <row r="3476" customFormat="false" ht="15" hidden="false" customHeight="false" outlineLevel="0" collapsed="false">
      <c r="A3476" s="0" t="s">
        <v>5170</v>
      </c>
      <c r="B3476" s="0" t="s">
        <v>24</v>
      </c>
      <c r="C3476" s="0" t="s">
        <v>444</v>
      </c>
      <c r="D3476" s="0" t="s">
        <v>19</v>
      </c>
      <c r="E3476" s="2" t="n">
        <v>45557</v>
      </c>
      <c r="F3476" s="3" t="s">
        <v>20</v>
      </c>
      <c r="G3476" s="3" t="s">
        <v>55</v>
      </c>
      <c r="H3476" s="3" t="s">
        <v>22</v>
      </c>
      <c r="I3476" s="3" t="n">
        <f aca="false">YEAR(E3476)</f>
        <v>2024</v>
      </c>
      <c r="J3476" s="3" t="n">
        <f aca="false">MONTH(E3476)</f>
        <v>9</v>
      </c>
      <c r="K3476" s="3" t="n">
        <f aca="false">COUNTIFS($B$2:$B$4077,B3476,$C$2:$C$4077,C3476,$I$2:$I$4077,I3476)</f>
        <v>1</v>
      </c>
      <c r="L3476" s="3" t="n">
        <f aca="false">IF(COUNTIFS($B$2:B3476,B3476,$C$2:C3476,C3476,$I$2:I3476,I3476)=1,1,0)</f>
        <v>1</v>
      </c>
      <c r="M3476" s="3" t="n">
        <f aca="false">IF(K3476&gt;=Parametri!$B$1,1,0)</f>
        <v>0</v>
      </c>
      <c r="N3476" s="3" t="n">
        <f aca="false">L3476*M3476</f>
        <v>0</v>
      </c>
    </row>
    <row r="3477" customFormat="false" ht="15" hidden="false" customHeight="false" outlineLevel="0" collapsed="false">
      <c r="A3477" s="0" t="s">
        <v>5171</v>
      </c>
      <c r="B3477" s="0" t="s">
        <v>17</v>
      </c>
      <c r="C3477" s="0" t="s">
        <v>5172</v>
      </c>
      <c r="D3477" s="0" t="s">
        <v>38</v>
      </c>
      <c r="E3477" s="2" t="n">
        <v>45985</v>
      </c>
      <c r="F3477" s="3" t="s">
        <v>20</v>
      </c>
      <c r="G3477" s="3" t="s">
        <v>21</v>
      </c>
      <c r="H3477" s="3" t="s">
        <v>44</v>
      </c>
      <c r="I3477" s="3" t="n">
        <f aca="false">YEAR(E3477)</f>
        <v>2025</v>
      </c>
      <c r="J3477" s="3" t="n">
        <f aca="false">MONTH(E3477)</f>
        <v>11</v>
      </c>
      <c r="K3477" s="3" t="n">
        <f aca="false">COUNTIFS($B$2:$B$4077,B3477,$C$2:$C$4077,C3477,$I$2:$I$4077,I3477)</f>
        <v>1</v>
      </c>
      <c r="L3477" s="3" t="n">
        <f aca="false">IF(COUNTIFS($B$2:B3477,B3477,$C$2:C3477,C3477,$I$2:I3477,I3477)=1,1,0)</f>
        <v>1</v>
      </c>
      <c r="M3477" s="3" t="n">
        <f aca="false">IF(K3477&gt;=Parametri!$B$1,1,0)</f>
        <v>0</v>
      </c>
      <c r="N3477" s="3" t="n">
        <f aca="false">L3477*M3477</f>
        <v>0</v>
      </c>
    </row>
    <row r="3478" customFormat="false" ht="15" hidden="false" customHeight="false" outlineLevel="0" collapsed="false">
      <c r="A3478" s="0" t="s">
        <v>5173</v>
      </c>
      <c r="B3478" s="0" t="s">
        <v>24</v>
      </c>
      <c r="C3478" s="0" t="s">
        <v>5174</v>
      </c>
      <c r="D3478" s="0" t="s">
        <v>26</v>
      </c>
      <c r="E3478" s="2" t="n">
        <v>45623</v>
      </c>
      <c r="F3478" s="3" t="s">
        <v>27</v>
      </c>
      <c r="G3478" s="3" t="s">
        <v>39</v>
      </c>
      <c r="H3478" s="3" t="s">
        <v>44</v>
      </c>
      <c r="I3478" s="3" t="n">
        <f aca="false">YEAR(E3478)</f>
        <v>2024</v>
      </c>
      <c r="J3478" s="3" t="n">
        <f aca="false">MONTH(E3478)</f>
        <v>11</v>
      </c>
      <c r="K3478" s="3" t="n">
        <f aca="false">COUNTIFS($B$2:$B$4077,B3478,$C$2:$C$4077,C3478,$I$2:$I$4077,I3478)</f>
        <v>1</v>
      </c>
      <c r="L3478" s="3" t="n">
        <f aca="false">IF(COUNTIFS($B$2:B3478,B3478,$C$2:C3478,C3478,$I$2:I3478,I3478)=1,1,0)</f>
        <v>1</v>
      </c>
      <c r="M3478" s="3" t="n">
        <f aca="false">IF(K3478&gt;=Parametri!$B$1,1,0)</f>
        <v>0</v>
      </c>
      <c r="N3478" s="3" t="n">
        <f aca="false">L3478*M3478</f>
        <v>0</v>
      </c>
    </row>
    <row r="3479" customFormat="false" ht="15" hidden="false" customHeight="false" outlineLevel="0" collapsed="false">
      <c r="A3479" s="0" t="s">
        <v>5175</v>
      </c>
      <c r="B3479" s="0" t="s">
        <v>79</v>
      </c>
      <c r="C3479" s="0" t="s">
        <v>3376</v>
      </c>
      <c r="D3479" s="0" t="s">
        <v>77</v>
      </c>
      <c r="E3479" s="2" t="n">
        <v>46122</v>
      </c>
      <c r="F3479" s="3" t="s">
        <v>34</v>
      </c>
      <c r="G3479" s="3" t="s">
        <v>28</v>
      </c>
      <c r="H3479" s="3" t="s">
        <v>48</v>
      </c>
      <c r="I3479" s="3" t="n">
        <f aca="false">YEAR(E3479)</f>
        <v>2026</v>
      </c>
      <c r="J3479" s="3" t="n">
        <f aca="false">MONTH(E3479)</f>
        <v>4</v>
      </c>
      <c r="K3479" s="3" t="n">
        <f aca="false">COUNTIFS($B$2:$B$4077,B3479,$C$2:$C$4077,C3479,$I$2:$I$4077,I3479)</f>
        <v>2</v>
      </c>
      <c r="L3479" s="3" t="n">
        <f aca="false">IF(COUNTIFS($B$2:B3479,B3479,$C$2:C3479,C3479,$I$2:I3479,I3479)=1,1,0)</f>
        <v>1</v>
      </c>
      <c r="M3479" s="3" t="n">
        <f aca="false">IF(K3479&gt;=Parametri!$B$1,1,0)</f>
        <v>1</v>
      </c>
      <c r="N3479" s="3" t="n">
        <f aca="false">L3479*M3479</f>
        <v>1</v>
      </c>
    </row>
    <row r="3480" customFormat="false" ht="15" hidden="false" customHeight="false" outlineLevel="0" collapsed="false">
      <c r="A3480" s="0" t="s">
        <v>5176</v>
      </c>
      <c r="B3480" s="0" t="s">
        <v>31</v>
      </c>
      <c r="C3480" s="0" t="s">
        <v>784</v>
      </c>
      <c r="D3480" s="0" t="s">
        <v>66</v>
      </c>
      <c r="E3480" s="2" t="n">
        <v>45689</v>
      </c>
      <c r="F3480" s="3" t="s">
        <v>20</v>
      </c>
      <c r="G3480" s="3" t="s">
        <v>35</v>
      </c>
      <c r="H3480" s="3" t="s">
        <v>22</v>
      </c>
      <c r="I3480" s="3" t="n">
        <f aca="false">YEAR(E3480)</f>
        <v>2025</v>
      </c>
      <c r="J3480" s="3" t="n">
        <f aca="false">MONTH(E3480)</f>
        <v>2</v>
      </c>
      <c r="K3480" s="3" t="n">
        <f aca="false">COUNTIFS($B$2:$B$4077,B3480,$C$2:$C$4077,C3480,$I$2:$I$4077,I3480)</f>
        <v>1</v>
      </c>
      <c r="L3480" s="3" t="n">
        <f aca="false">IF(COUNTIFS($B$2:B3480,B3480,$C$2:C3480,C3480,$I$2:I3480,I3480)=1,1,0)</f>
        <v>1</v>
      </c>
      <c r="M3480" s="3" t="n">
        <f aca="false">IF(K3480&gt;=Parametri!$B$1,1,0)</f>
        <v>0</v>
      </c>
      <c r="N3480" s="3" t="n">
        <f aca="false">L3480*M3480</f>
        <v>0</v>
      </c>
    </row>
    <row r="3481" customFormat="false" ht="15" hidden="false" customHeight="false" outlineLevel="0" collapsed="false">
      <c r="A3481" s="0" t="s">
        <v>5177</v>
      </c>
      <c r="B3481" s="0" t="s">
        <v>31</v>
      </c>
      <c r="C3481" s="0" t="s">
        <v>1868</v>
      </c>
      <c r="D3481" s="0" t="s">
        <v>77</v>
      </c>
      <c r="E3481" s="2" t="n">
        <v>46105</v>
      </c>
      <c r="F3481" s="3" t="s">
        <v>20</v>
      </c>
      <c r="G3481" s="3" t="s">
        <v>35</v>
      </c>
      <c r="H3481" s="3" t="s">
        <v>29</v>
      </c>
      <c r="I3481" s="3" t="n">
        <f aca="false">YEAR(E3481)</f>
        <v>2026</v>
      </c>
      <c r="J3481" s="3" t="n">
        <f aca="false">MONTH(E3481)</f>
        <v>3</v>
      </c>
      <c r="K3481" s="3" t="n">
        <f aca="false">COUNTIFS($B$2:$B$4077,B3481,$C$2:$C$4077,C3481,$I$2:$I$4077,I3481)</f>
        <v>4</v>
      </c>
      <c r="L3481" s="3" t="n">
        <f aca="false">IF(COUNTIFS($B$2:B3481,B3481,$C$2:C3481,C3481,$I$2:I3481,I3481)=1,1,0)</f>
        <v>0</v>
      </c>
      <c r="M3481" s="3" t="n">
        <f aca="false">IF(K3481&gt;=Parametri!$B$1,1,0)</f>
        <v>1</v>
      </c>
      <c r="N3481" s="3" t="n">
        <f aca="false">L3481*M3481</f>
        <v>0</v>
      </c>
    </row>
    <row r="3482" customFormat="false" ht="15" hidden="false" customHeight="false" outlineLevel="0" collapsed="false">
      <c r="A3482" s="0" t="s">
        <v>5178</v>
      </c>
      <c r="B3482" s="0" t="s">
        <v>57</v>
      </c>
      <c r="C3482" s="0" t="s">
        <v>2890</v>
      </c>
      <c r="D3482" s="0" t="s">
        <v>38</v>
      </c>
      <c r="E3482" s="2" t="n">
        <v>45620</v>
      </c>
      <c r="F3482" s="3" t="s">
        <v>20</v>
      </c>
      <c r="G3482" s="3" t="s">
        <v>72</v>
      </c>
      <c r="H3482" s="3" t="s">
        <v>44</v>
      </c>
      <c r="I3482" s="3" t="n">
        <f aca="false">YEAR(E3482)</f>
        <v>2024</v>
      </c>
      <c r="J3482" s="3" t="n">
        <f aca="false">MONTH(E3482)</f>
        <v>11</v>
      </c>
      <c r="K3482" s="3" t="n">
        <f aca="false">COUNTIFS($B$2:$B$4077,B3482,$C$2:$C$4077,C3482,$I$2:$I$4077,I3482)</f>
        <v>2</v>
      </c>
      <c r="L3482" s="3" t="n">
        <f aca="false">IF(COUNTIFS($B$2:B3482,B3482,$C$2:C3482,C3482,$I$2:I3482,I3482)=1,1,0)</f>
        <v>0</v>
      </c>
      <c r="M3482" s="3" t="n">
        <f aca="false">IF(K3482&gt;=Parametri!$B$1,1,0)</f>
        <v>1</v>
      </c>
      <c r="N3482" s="3" t="n">
        <f aca="false">L3482*M3482</f>
        <v>0</v>
      </c>
    </row>
    <row r="3483" customFormat="false" ht="15" hidden="false" customHeight="false" outlineLevel="0" collapsed="false">
      <c r="A3483" s="0" t="s">
        <v>5179</v>
      </c>
      <c r="B3483" s="0" t="s">
        <v>46</v>
      </c>
      <c r="C3483" s="0" t="s">
        <v>885</v>
      </c>
      <c r="D3483" s="0" t="s">
        <v>63</v>
      </c>
      <c r="E3483" s="2" t="n">
        <v>46255</v>
      </c>
      <c r="F3483" s="3" t="s">
        <v>27</v>
      </c>
      <c r="G3483" s="3" t="s">
        <v>43</v>
      </c>
      <c r="H3483" s="3" t="s">
        <v>29</v>
      </c>
      <c r="I3483" s="3" t="n">
        <f aca="false">YEAR(E3483)</f>
        <v>2026</v>
      </c>
      <c r="J3483" s="3" t="n">
        <f aca="false">MONTH(E3483)</f>
        <v>8</v>
      </c>
      <c r="K3483" s="3" t="n">
        <f aca="false">COUNTIFS($B$2:$B$4077,B3483,$C$2:$C$4077,C3483,$I$2:$I$4077,I3483)</f>
        <v>2</v>
      </c>
      <c r="L3483" s="3" t="n">
        <f aca="false">IF(COUNTIFS($B$2:B3483,B3483,$C$2:C3483,C3483,$I$2:I3483,I3483)=1,1,0)</f>
        <v>0</v>
      </c>
      <c r="M3483" s="3" t="n">
        <f aca="false">IF(K3483&gt;=Parametri!$B$1,1,0)</f>
        <v>1</v>
      </c>
      <c r="N3483" s="3" t="n">
        <f aca="false">L3483*M3483</f>
        <v>0</v>
      </c>
    </row>
    <row r="3484" customFormat="false" ht="15" hidden="false" customHeight="false" outlineLevel="0" collapsed="false">
      <c r="A3484" s="0" t="s">
        <v>5180</v>
      </c>
      <c r="B3484" s="0" t="s">
        <v>79</v>
      </c>
      <c r="C3484" s="0" t="s">
        <v>1366</v>
      </c>
      <c r="D3484" s="0" t="s">
        <v>33</v>
      </c>
      <c r="E3484" s="2" t="n">
        <v>45395</v>
      </c>
      <c r="F3484" s="3" t="s">
        <v>27</v>
      </c>
      <c r="G3484" s="3" t="s">
        <v>35</v>
      </c>
      <c r="H3484" s="3" t="s">
        <v>29</v>
      </c>
      <c r="I3484" s="3" t="n">
        <f aca="false">YEAR(E3484)</f>
        <v>2024</v>
      </c>
      <c r="J3484" s="3" t="n">
        <f aca="false">MONTH(E3484)</f>
        <v>4</v>
      </c>
      <c r="K3484" s="3" t="n">
        <f aca="false">COUNTIFS($B$2:$B$4077,B3484,$C$2:$C$4077,C3484,$I$2:$I$4077,I3484)</f>
        <v>3</v>
      </c>
      <c r="L3484" s="3" t="n">
        <f aca="false">IF(COUNTIFS($B$2:B3484,B3484,$C$2:C3484,C3484,$I$2:I3484,I3484)=1,1,0)</f>
        <v>0</v>
      </c>
      <c r="M3484" s="3" t="n">
        <f aca="false">IF(K3484&gt;=Parametri!$B$1,1,0)</f>
        <v>1</v>
      </c>
      <c r="N3484" s="3" t="n">
        <f aca="false">L3484*M3484</f>
        <v>0</v>
      </c>
    </row>
    <row r="3485" customFormat="false" ht="15" hidden="false" customHeight="false" outlineLevel="0" collapsed="false">
      <c r="A3485" s="0" t="s">
        <v>5181</v>
      </c>
      <c r="B3485" s="0" t="s">
        <v>46</v>
      </c>
      <c r="C3485" s="0" t="s">
        <v>5182</v>
      </c>
      <c r="D3485" s="0" t="s">
        <v>63</v>
      </c>
      <c r="E3485" s="2" t="n">
        <v>46018</v>
      </c>
      <c r="F3485" s="3" t="s">
        <v>27</v>
      </c>
      <c r="G3485" s="3" t="s">
        <v>72</v>
      </c>
      <c r="H3485" s="3" t="s">
        <v>22</v>
      </c>
      <c r="I3485" s="3" t="n">
        <f aca="false">YEAR(E3485)</f>
        <v>2025</v>
      </c>
      <c r="J3485" s="3" t="n">
        <f aca="false">MONTH(E3485)</f>
        <v>12</v>
      </c>
      <c r="K3485" s="3" t="n">
        <f aca="false">COUNTIFS($B$2:$B$4077,B3485,$C$2:$C$4077,C3485,$I$2:$I$4077,I3485)</f>
        <v>1</v>
      </c>
      <c r="L3485" s="3" t="n">
        <f aca="false">IF(COUNTIFS($B$2:B3485,B3485,$C$2:C3485,C3485,$I$2:I3485,I3485)=1,1,0)</f>
        <v>1</v>
      </c>
      <c r="M3485" s="3" t="n">
        <f aca="false">IF(K3485&gt;=Parametri!$B$1,1,0)</f>
        <v>0</v>
      </c>
      <c r="N3485" s="3" t="n">
        <f aca="false">L3485*M3485</f>
        <v>0</v>
      </c>
    </row>
    <row r="3486" customFormat="false" ht="15" hidden="false" customHeight="false" outlineLevel="0" collapsed="false">
      <c r="A3486" s="0" t="s">
        <v>5183</v>
      </c>
      <c r="B3486" s="0" t="s">
        <v>41</v>
      </c>
      <c r="C3486" s="0" t="s">
        <v>2953</v>
      </c>
      <c r="D3486" s="0" t="s">
        <v>38</v>
      </c>
      <c r="E3486" s="2" t="n">
        <v>45641</v>
      </c>
      <c r="F3486" s="3" t="s">
        <v>34</v>
      </c>
      <c r="G3486" s="3" t="s">
        <v>35</v>
      </c>
      <c r="H3486" s="3" t="s">
        <v>29</v>
      </c>
      <c r="I3486" s="3" t="n">
        <f aca="false">YEAR(E3486)</f>
        <v>2024</v>
      </c>
      <c r="J3486" s="3" t="n">
        <f aca="false">MONTH(E3486)</f>
        <v>12</v>
      </c>
      <c r="K3486" s="3" t="n">
        <f aca="false">COUNTIFS($B$2:$B$4077,B3486,$C$2:$C$4077,C3486,$I$2:$I$4077,I3486)</f>
        <v>3</v>
      </c>
      <c r="L3486" s="3" t="n">
        <f aca="false">IF(COUNTIFS($B$2:B3486,B3486,$C$2:C3486,C3486,$I$2:I3486,I3486)=1,1,0)</f>
        <v>0</v>
      </c>
      <c r="M3486" s="3" t="n">
        <f aca="false">IF(K3486&gt;=Parametri!$B$1,1,0)</f>
        <v>1</v>
      </c>
      <c r="N3486" s="3" t="n">
        <f aca="false">L3486*M3486</f>
        <v>0</v>
      </c>
    </row>
    <row r="3487" customFormat="false" ht="15" hidden="false" customHeight="false" outlineLevel="0" collapsed="false">
      <c r="A3487" s="0" t="s">
        <v>5184</v>
      </c>
      <c r="B3487" s="0" t="s">
        <v>46</v>
      </c>
      <c r="C3487" s="0" t="s">
        <v>2360</v>
      </c>
      <c r="D3487" s="0" t="s">
        <v>38</v>
      </c>
      <c r="E3487" s="2" t="n">
        <v>45928</v>
      </c>
      <c r="F3487" s="3" t="s">
        <v>27</v>
      </c>
      <c r="G3487" s="3" t="s">
        <v>39</v>
      </c>
      <c r="H3487" s="3" t="s">
        <v>44</v>
      </c>
      <c r="I3487" s="3" t="n">
        <f aca="false">YEAR(E3487)</f>
        <v>2025</v>
      </c>
      <c r="J3487" s="3" t="n">
        <f aca="false">MONTH(E3487)</f>
        <v>9</v>
      </c>
      <c r="K3487" s="3" t="n">
        <f aca="false">COUNTIFS($B$2:$B$4077,B3487,$C$2:$C$4077,C3487,$I$2:$I$4077,I3487)</f>
        <v>1</v>
      </c>
      <c r="L3487" s="3" t="n">
        <f aca="false">IF(COUNTIFS($B$2:B3487,B3487,$C$2:C3487,C3487,$I$2:I3487,I3487)=1,1,0)</f>
        <v>1</v>
      </c>
      <c r="M3487" s="3" t="n">
        <f aca="false">IF(K3487&gt;=Parametri!$B$1,1,0)</f>
        <v>0</v>
      </c>
      <c r="N3487" s="3" t="n">
        <f aca="false">L3487*M3487</f>
        <v>0</v>
      </c>
    </row>
    <row r="3488" customFormat="false" ht="15" hidden="false" customHeight="false" outlineLevel="0" collapsed="false">
      <c r="A3488" s="0" t="s">
        <v>5185</v>
      </c>
      <c r="B3488" s="0" t="s">
        <v>68</v>
      </c>
      <c r="C3488" s="0" t="s">
        <v>732</v>
      </c>
      <c r="D3488" s="0" t="s">
        <v>33</v>
      </c>
      <c r="E3488" s="2" t="n">
        <v>45750</v>
      </c>
      <c r="F3488" s="3" t="s">
        <v>20</v>
      </c>
      <c r="G3488" s="3" t="s">
        <v>55</v>
      </c>
      <c r="H3488" s="3" t="s">
        <v>29</v>
      </c>
      <c r="I3488" s="3" t="n">
        <f aca="false">YEAR(E3488)</f>
        <v>2025</v>
      </c>
      <c r="J3488" s="3" t="n">
        <f aca="false">MONTH(E3488)</f>
        <v>4</v>
      </c>
      <c r="K3488" s="3" t="n">
        <f aca="false">COUNTIFS($B$2:$B$4077,B3488,$C$2:$C$4077,C3488,$I$2:$I$4077,I3488)</f>
        <v>4</v>
      </c>
      <c r="L3488" s="3" t="n">
        <f aca="false">IF(COUNTIFS($B$2:B3488,B3488,$C$2:C3488,C3488,$I$2:I3488,I3488)=1,1,0)</f>
        <v>0</v>
      </c>
      <c r="M3488" s="3" t="n">
        <f aca="false">IF(K3488&gt;=Parametri!$B$1,1,0)</f>
        <v>1</v>
      </c>
      <c r="N3488" s="3" t="n">
        <f aca="false">L3488*M3488</f>
        <v>0</v>
      </c>
    </row>
    <row r="3489" customFormat="false" ht="15" hidden="false" customHeight="false" outlineLevel="0" collapsed="false">
      <c r="A3489" s="0" t="s">
        <v>5186</v>
      </c>
      <c r="B3489" s="0" t="s">
        <v>68</v>
      </c>
      <c r="C3489" s="0" t="s">
        <v>2168</v>
      </c>
      <c r="D3489" s="0" t="s">
        <v>54</v>
      </c>
      <c r="E3489" s="2" t="n">
        <v>45546</v>
      </c>
      <c r="F3489" s="3" t="s">
        <v>34</v>
      </c>
      <c r="G3489" s="3" t="s">
        <v>104</v>
      </c>
      <c r="H3489" s="3" t="s">
        <v>104</v>
      </c>
      <c r="I3489" s="3" t="n">
        <f aca="false">YEAR(E3489)</f>
        <v>2024</v>
      </c>
      <c r="J3489" s="3" t="n">
        <f aca="false">MONTH(E3489)</f>
        <v>9</v>
      </c>
      <c r="K3489" s="3" t="n">
        <f aca="false">COUNTIFS($B$2:$B$4077,B3489,$C$2:$C$4077,C3489,$I$2:$I$4077,I3489)</f>
        <v>1</v>
      </c>
      <c r="L3489" s="3" t="n">
        <f aca="false">IF(COUNTIFS($B$2:B3489,B3489,$C$2:C3489,C3489,$I$2:I3489,I3489)=1,1,0)</f>
        <v>1</v>
      </c>
      <c r="M3489" s="3" t="n">
        <f aca="false">IF(K3489&gt;=Parametri!$B$1,1,0)</f>
        <v>0</v>
      </c>
      <c r="N3489" s="3" t="n">
        <f aca="false">L3489*M3489</f>
        <v>0</v>
      </c>
    </row>
    <row r="3490" customFormat="false" ht="15" hidden="false" customHeight="false" outlineLevel="0" collapsed="false">
      <c r="A3490" s="0" t="s">
        <v>5187</v>
      </c>
      <c r="B3490" s="0" t="s">
        <v>31</v>
      </c>
      <c r="C3490" s="0" t="s">
        <v>712</v>
      </c>
      <c r="D3490" s="0" t="s">
        <v>19</v>
      </c>
      <c r="E3490" s="2" t="n">
        <v>45419</v>
      </c>
      <c r="F3490" s="3" t="s">
        <v>20</v>
      </c>
      <c r="G3490" s="3" t="s">
        <v>55</v>
      </c>
      <c r="H3490" s="3" t="s">
        <v>44</v>
      </c>
      <c r="I3490" s="3" t="n">
        <f aca="false">YEAR(E3490)</f>
        <v>2024</v>
      </c>
      <c r="J3490" s="3" t="n">
        <f aca="false">MONTH(E3490)</f>
        <v>5</v>
      </c>
      <c r="K3490" s="3" t="n">
        <f aca="false">COUNTIFS($B$2:$B$4077,B3490,$C$2:$C$4077,C3490,$I$2:$I$4077,I3490)</f>
        <v>5</v>
      </c>
      <c r="L3490" s="3" t="n">
        <f aca="false">IF(COUNTIFS($B$2:B3490,B3490,$C$2:C3490,C3490,$I$2:I3490,I3490)=1,1,0)</f>
        <v>0</v>
      </c>
      <c r="M3490" s="3" t="n">
        <f aca="false">IF(K3490&gt;=Parametri!$B$1,1,0)</f>
        <v>1</v>
      </c>
      <c r="N3490" s="3" t="n">
        <f aca="false">L3490*M3490</f>
        <v>0</v>
      </c>
    </row>
    <row r="3491" customFormat="false" ht="15" hidden="false" customHeight="false" outlineLevel="0" collapsed="false">
      <c r="A3491" s="0" t="s">
        <v>5188</v>
      </c>
      <c r="B3491" s="0" t="s">
        <v>68</v>
      </c>
      <c r="C3491" s="0" t="s">
        <v>730</v>
      </c>
      <c r="D3491" s="0" t="s">
        <v>26</v>
      </c>
      <c r="E3491" s="2" t="n">
        <v>45472</v>
      </c>
      <c r="F3491" s="3" t="s">
        <v>27</v>
      </c>
      <c r="G3491" s="3" t="s">
        <v>72</v>
      </c>
      <c r="H3491" s="3" t="s">
        <v>48</v>
      </c>
      <c r="I3491" s="3" t="n">
        <f aca="false">YEAR(E3491)</f>
        <v>2024</v>
      </c>
      <c r="J3491" s="3" t="n">
        <f aca="false">MONTH(E3491)</f>
        <v>6</v>
      </c>
      <c r="K3491" s="3" t="n">
        <f aca="false">COUNTIFS($B$2:$B$4077,B3491,$C$2:$C$4077,C3491,$I$2:$I$4077,I3491)</f>
        <v>5</v>
      </c>
      <c r="L3491" s="3" t="n">
        <f aca="false">IF(COUNTIFS($B$2:B3491,B3491,$C$2:C3491,C3491,$I$2:I3491,I3491)=1,1,0)</f>
        <v>0</v>
      </c>
      <c r="M3491" s="3" t="n">
        <f aca="false">IF(K3491&gt;=Parametri!$B$1,1,0)</f>
        <v>1</v>
      </c>
      <c r="N3491" s="3" t="n">
        <f aca="false">L3491*M3491</f>
        <v>0</v>
      </c>
    </row>
    <row r="3492" customFormat="false" ht="15" hidden="false" customHeight="false" outlineLevel="0" collapsed="false">
      <c r="A3492" s="0" t="s">
        <v>5189</v>
      </c>
      <c r="B3492" s="0" t="s">
        <v>50</v>
      </c>
      <c r="C3492" s="0" t="s">
        <v>5190</v>
      </c>
      <c r="D3492" s="0" t="s">
        <v>26</v>
      </c>
      <c r="E3492" s="2" t="n">
        <v>46218</v>
      </c>
      <c r="F3492" s="3" t="s">
        <v>20</v>
      </c>
      <c r="G3492" s="3" t="s">
        <v>89</v>
      </c>
      <c r="H3492" s="3" t="s">
        <v>48</v>
      </c>
      <c r="I3492" s="3" t="n">
        <f aca="false">YEAR(E3492)</f>
        <v>2026</v>
      </c>
      <c r="J3492" s="3" t="n">
        <f aca="false">MONTH(E3492)</f>
        <v>7</v>
      </c>
      <c r="K3492" s="3" t="n">
        <f aca="false">COUNTIFS($B$2:$B$4077,B3492,$C$2:$C$4077,C3492,$I$2:$I$4077,I3492)</f>
        <v>1</v>
      </c>
      <c r="L3492" s="3" t="n">
        <f aca="false">IF(COUNTIFS($B$2:B3492,B3492,$C$2:C3492,C3492,$I$2:I3492,I3492)=1,1,0)</f>
        <v>1</v>
      </c>
      <c r="M3492" s="3" t="n">
        <f aca="false">IF(K3492&gt;=Parametri!$B$1,1,0)</f>
        <v>0</v>
      </c>
      <c r="N3492" s="3" t="n">
        <f aca="false">L3492*M3492</f>
        <v>0</v>
      </c>
    </row>
    <row r="3493" customFormat="false" ht="15" hidden="false" customHeight="false" outlineLevel="0" collapsed="false">
      <c r="A3493" s="0" t="s">
        <v>5191</v>
      </c>
      <c r="B3493" s="0" t="s">
        <v>17</v>
      </c>
      <c r="C3493" s="0" t="s">
        <v>2174</v>
      </c>
      <c r="D3493" s="0" t="s">
        <v>26</v>
      </c>
      <c r="E3493" s="2" t="n">
        <v>45860</v>
      </c>
      <c r="F3493" s="3" t="s">
        <v>20</v>
      </c>
      <c r="G3493" s="3" t="s">
        <v>55</v>
      </c>
      <c r="H3493" s="3" t="s">
        <v>44</v>
      </c>
      <c r="I3493" s="3" t="n">
        <f aca="false">YEAR(E3493)</f>
        <v>2025</v>
      </c>
      <c r="J3493" s="3" t="n">
        <f aca="false">MONTH(E3493)</f>
        <v>7</v>
      </c>
      <c r="K3493" s="3" t="n">
        <f aca="false">COUNTIFS($B$2:$B$4077,B3493,$C$2:$C$4077,C3493,$I$2:$I$4077,I3493)</f>
        <v>1</v>
      </c>
      <c r="L3493" s="3" t="n">
        <f aca="false">IF(COUNTIFS($B$2:B3493,B3493,$C$2:C3493,C3493,$I$2:I3493,I3493)=1,1,0)</f>
        <v>1</v>
      </c>
      <c r="M3493" s="3" t="n">
        <f aca="false">IF(K3493&gt;=Parametri!$B$1,1,0)</f>
        <v>0</v>
      </c>
      <c r="N3493" s="3" t="n">
        <f aca="false">L3493*M3493</f>
        <v>0</v>
      </c>
    </row>
    <row r="3494" customFormat="false" ht="15" hidden="false" customHeight="false" outlineLevel="0" collapsed="false">
      <c r="A3494" s="0" t="s">
        <v>5192</v>
      </c>
      <c r="B3494" s="0" t="s">
        <v>68</v>
      </c>
      <c r="C3494" s="0" t="s">
        <v>5193</v>
      </c>
      <c r="D3494" s="0" t="s">
        <v>66</v>
      </c>
      <c r="E3494" s="2" t="n">
        <v>45901</v>
      </c>
      <c r="F3494" s="3" t="s">
        <v>20</v>
      </c>
      <c r="G3494" s="3" t="s">
        <v>35</v>
      </c>
      <c r="H3494" s="3" t="s">
        <v>48</v>
      </c>
      <c r="I3494" s="3" t="n">
        <f aca="false">YEAR(E3494)</f>
        <v>2025</v>
      </c>
      <c r="J3494" s="3" t="n">
        <f aca="false">MONTH(E3494)</f>
        <v>9</v>
      </c>
      <c r="K3494" s="3" t="n">
        <f aca="false">COUNTIFS($B$2:$B$4077,B3494,$C$2:$C$4077,C3494,$I$2:$I$4077,I3494)</f>
        <v>1</v>
      </c>
      <c r="L3494" s="3" t="n">
        <f aca="false">IF(COUNTIFS($B$2:B3494,B3494,$C$2:C3494,C3494,$I$2:I3494,I3494)=1,1,0)</f>
        <v>1</v>
      </c>
      <c r="M3494" s="3" t="n">
        <f aca="false">IF(K3494&gt;=Parametri!$B$1,1,0)</f>
        <v>0</v>
      </c>
      <c r="N3494" s="3" t="n">
        <f aca="false">L3494*M3494</f>
        <v>0</v>
      </c>
    </row>
    <row r="3495" customFormat="false" ht="15" hidden="false" customHeight="false" outlineLevel="0" collapsed="false">
      <c r="A3495" s="0" t="s">
        <v>5194</v>
      </c>
      <c r="B3495" s="0" t="s">
        <v>41</v>
      </c>
      <c r="C3495" s="0" t="s">
        <v>5195</v>
      </c>
      <c r="D3495" s="0" t="s">
        <v>63</v>
      </c>
      <c r="E3495" s="2" t="n">
        <v>45487</v>
      </c>
      <c r="F3495" s="3" t="s">
        <v>20</v>
      </c>
      <c r="G3495" s="3" t="s">
        <v>39</v>
      </c>
      <c r="H3495" s="3" t="s">
        <v>48</v>
      </c>
      <c r="I3495" s="3" t="n">
        <f aca="false">YEAR(E3495)</f>
        <v>2024</v>
      </c>
      <c r="J3495" s="3" t="n">
        <f aca="false">MONTH(E3495)</f>
        <v>7</v>
      </c>
      <c r="K3495" s="3" t="n">
        <f aca="false">COUNTIFS($B$2:$B$4077,B3495,$C$2:$C$4077,C3495,$I$2:$I$4077,I3495)</f>
        <v>1</v>
      </c>
      <c r="L3495" s="3" t="n">
        <f aca="false">IF(COUNTIFS($B$2:B3495,B3495,$C$2:C3495,C3495,$I$2:I3495,I3495)=1,1,0)</f>
        <v>1</v>
      </c>
      <c r="M3495" s="3" t="n">
        <f aca="false">IF(K3495&gt;=Parametri!$B$1,1,0)</f>
        <v>0</v>
      </c>
      <c r="N3495" s="3" t="n">
        <f aca="false">L3495*M3495</f>
        <v>0</v>
      </c>
    </row>
    <row r="3496" customFormat="false" ht="15" hidden="false" customHeight="false" outlineLevel="0" collapsed="false">
      <c r="A3496" s="0" t="s">
        <v>5196</v>
      </c>
      <c r="B3496" s="0" t="s">
        <v>79</v>
      </c>
      <c r="C3496" s="0" t="s">
        <v>1521</v>
      </c>
      <c r="D3496" s="0" t="s">
        <v>77</v>
      </c>
      <c r="E3496" s="2" t="n">
        <v>46104</v>
      </c>
      <c r="F3496" s="3" t="s">
        <v>20</v>
      </c>
      <c r="G3496" s="3" t="s">
        <v>28</v>
      </c>
      <c r="H3496" s="3" t="s">
        <v>22</v>
      </c>
      <c r="I3496" s="3" t="n">
        <f aca="false">YEAR(E3496)</f>
        <v>2026</v>
      </c>
      <c r="J3496" s="3" t="n">
        <f aca="false">MONTH(E3496)</f>
        <v>3</v>
      </c>
      <c r="K3496" s="3" t="n">
        <f aca="false">COUNTIFS($B$2:$B$4077,B3496,$C$2:$C$4077,C3496,$I$2:$I$4077,I3496)</f>
        <v>2</v>
      </c>
      <c r="L3496" s="3" t="n">
        <f aca="false">IF(COUNTIFS($B$2:B3496,B3496,$C$2:C3496,C3496,$I$2:I3496,I3496)=1,1,0)</f>
        <v>1</v>
      </c>
      <c r="M3496" s="3" t="n">
        <f aca="false">IF(K3496&gt;=Parametri!$B$1,1,0)</f>
        <v>1</v>
      </c>
      <c r="N3496" s="3" t="n">
        <f aca="false">L3496*M3496</f>
        <v>1</v>
      </c>
    </row>
    <row r="3497" customFormat="false" ht="15" hidden="false" customHeight="false" outlineLevel="0" collapsed="false">
      <c r="A3497" s="0" t="s">
        <v>5197</v>
      </c>
      <c r="B3497" s="0" t="s">
        <v>124</v>
      </c>
      <c r="C3497" s="0" t="s">
        <v>901</v>
      </c>
      <c r="D3497" s="0" t="s">
        <v>63</v>
      </c>
      <c r="E3497" s="2" t="n">
        <v>45610</v>
      </c>
      <c r="F3497" s="3" t="s">
        <v>20</v>
      </c>
      <c r="G3497" s="3" t="s">
        <v>72</v>
      </c>
      <c r="H3497" s="3" t="s">
        <v>44</v>
      </c>
      <c r="I3497" s="3" t="n">
        <f aca="false">YEAR(E3497)</f>
        <v>2024</v>
      </c>
      <c r="J3497" s="3" t="n">
        <f aca="false">MONTH(E3497)</f>
        <v>11</v>
      </c>
      <c r="K3497" s="3" t="n">
        <f aca="false">COUNTIFS($B$2:$B$4077,B3497,$C$2:$C$4077,C3497,$I$2:$I$4077,I3497)</f>
        <v>3</v>
      </c>
      <c r="L3497" s="3" t="n">
        <f aca="false">IF(COUNTIFS($B$2:B3497,B3497,$C$2:C3497,C3497,$I$2:I3497,I3497)=1,1,0)</f>
        <v>0</v>
      </c>
      <c r="M3497" s="3" t="n">
        <f aca="false">IF(K3497&gt;=Parametri!$B$1,1,0)</f>
        <v>1</v>
      </c>
      <c r="N3497" s="3" t="n">
        <f aca="false">L3497*M3497</f>
        <v>0</v>
      </c>
    </row>
    <row r="3498" customFormat="false" ht="15" hidden="false" customHeight="false" outlineLevel="0" collapsed="false">
      <c r="A3498" s="0" t="s">
        <v>5198</v>
      </c>
      <c r="B3498" s="0" t="s">
        <v>79</v>
      </c>
      <c r="C3498" s="0" t="s">
        <v>258</v>
      </c>
      <c r="D3498" s="0" t="s">
        <v>33</v>
      </c>
      <c r="E3498" s="2" t="n">
        <v>45948</v>
      </c>
      <c r="F3498" s="3" t="s">
        <v>20</v>
      </c>
      <c r="G3498" s="3" t="s">
        <v>43</v>
      </c>
      <c r="H3498" s="3" t="s">
        <v>48</v>
      </c>
      <c r="I3498" s="3" t="n">
        <f aca="false">YEAR(E3498)</f>
        <v>2025</v>
      </c>
      <c r="J3498" s="3" t="n">
        <f aca="false">MONTH(E3498)</f>
        <v>10</v>
      </c>
      <c r="K3498" s="3" t="n">
        <f aca="false">COUNTIFS($B$2:$B$4077,B3498,$C$2:$C$4077,C3498,$I$2:$I$4077,I3498)</f>
        <v>2</v>
      </c>
      <c r="L3498" s="3" t="n">
        <f aca="false">IF(COUNTIFS($B$2:B3498,B3498,$C$2:C3498,C3498,$I$2:I3498,I3498)=1,1,0)</f>
        <v>0</v>
      </c>
      <c r="M3498" s="3" t="n">
        <f aca="false">IF(K3498&gt;=Parametri!$B$1,1,0)</f>
        <v>1</v>
      </c>
      <c r="N3498" s="3" t="n">
        <f aca="false">L3498*M3498</f>
        <v>0</v>
      </c>
    </row>
    <row r="3499" customFormat="false" ht="15" hidden="false" customHeight="false" outlineLevel="0" collapsed="false">
      <c r="A3499" s="0" t="s">
        <v>5199</v>
      </c>
      <c r="B3499" s="0" t="s">
        <v>31</v>
      </c>
      <c r="C3499" s="0" t="s">
        <v>1077</v>
      </c>
      <c r="D3499" s="0" t="s">
        <v>26</v>
      </c>
      <c r="E3499" s="2" t="n">
        <v>45612</v>
      </c>
      <c r="F3499" s="3" t="s">
        <v>34</v>
      </c>
      <c r="G3499" s="3" t="s">
        <v>104</v>
      </c>
      <c r="H3499" s="3" t="s">
        <v>104</v>
      </c>
      <c r="I3499" s="3" t="n">
        <f aca="false">YEAR(E3499)</f>
        <v>2024</v>
      </c>
      <c r="J3499" s="3" t="n">
        <f aca="false">MONTH(E3499)</f>
        <v>11</v>
      </c>
      <c r="K3499" s="3" t="n">
        <f aca="false">COUNTIFS($B$2:$B$4077,B3499,$C$2:$C$4077,C3499,$I$2:$I$4077,I3499)</f>
        <v>1</v>
      </c>
      <c r="L3499" s="3" t="n">
        <f aca="false">IF(COUNTIFS($B$2:B3499,B3499,$C$2:C3499,C3499,$I$2:I3499,I3499)=1,1,0)</f>
        <v>1</v>
      </c>
      <c r="M3499" s="3" t="n">
        <f aca="false">IF(K3499&gt;=Parametri!$B$1,1,0)</f>
        <v>0</v>
      </c>
      <c r="N3499" s="3" t="n">
        <f aca="false">L3499*M3499</f>
        <v>0</v>
      </c>
    </row>
    <row r="3500" customFormat="false" ht="15" hidden="false" customHeight="false" outlineLevel="0" collapsed="false">
      <c r="A3500" s="0" t="s">
        <v>5200</v>
      </c>
      <c r="B3500" s="0" t="s">
        <v>57</v>
      </c>
      <c r="C3500" s="0" t="s">
        <v>2383</v>
      </c>
      <c r="D3500" s="0" t="s">
        <v>26</v>
      </c>
      <c r="E3500" s="2" t="n">
        <v>45508</v>
      </c>
      <c r="F3500" s="3" t="s">
        <v>20</v>
      </c>
      <c r="G3500" s="3" t="s">
        <v>43</v>
      </c>
      <c r="H3500" s="3" t="s">
        <v>44</v>
      </c>
      <c r="I3500" s="3" t="n">
        <f aca="false">YEAR(E3500)</f>
        <v>2024</v>
      </c>
      <c r="J3500" s="3" t="n">
        <f aca="false">MONTH(E3500)</f>
        <v>8</v>
      </c>
      <c r="K3500" s="3" t="n">
        <f aca="false">COUNTIFS($B$2:$B$4077,B3500,$C$2:$C$4077,C3500,$I$2:$I$4077,I3500)</f>
        <v>1</v>
      </c>
      <c r="L3500" s="3" t="n">
        <f aca="false">IF(COUNTIFS($B$2:B3500,B3500,$C$2:C3500,C3500,$I$2:I3500,I3500)=1,1,0)</f>
        <v>1</v>
      </c>
      <c r="M3500" s="3" t="n">
        <f aca="false">IF(K3500&gt;=Parametri!$B$1,1,0)</f>
        <v>0</v>
      </c>
      <c r="N3500" s="3" t="n">
        <f aca="false">L3500*M3500</f>
        <v>0</v>
      </c>
    </row>
    <row r="3501" customFormat="false" ht="15" hidden="false" customHeight="false" outlineLevel="0" collapsed="false">
      <c r="A3501" s="0" t="s">
        <v>5201</v>
      </c>
      <c r="B3501" s="0" t="s">
        <v>17</v>
      </c>
      <c r="C3501" s="0" t="s">
        <v>671</v>
      </c>
      <c r="D3501" s="0" t="s">
        <v>77</v>
      </c>
      <c r="E3501" s="2" t="n">
        <v>46140</v>
      </c>
      <c r="F3501" s="3" t="s">
        <v>20</v>
      </c>
      <c r="G3501" s="3" t="s">
        <v>39</v>
      </c>
      <c r="H3501" s="3" t="s">
        <v>22</v>
      </c>
      <c r="I3501" s="3" t="n">
        <f aca="false">YEAR(E3501)</f>
        <v>2026</v>
      </c>
      <c r="J3501" s="3" t="n">
        <f aca="false">MONTH(E3501)</f>
        <v>4</v>
      </c>
      <c r="K3501" s="3" t="n">
        <f aca="false">COUNTIFS($B$2:$B$4077,B3501,$C$2:$C$4077,C3501,$I$2:$I$4077,I3501)</f>
        <v>2</v>
      </c>
      <c r="L3501" s="3" t="n">
        <f aca="false">IF(COUNTIFS($B$2:B3501,B3501,$C$2:C3501,C3501,$I$2:I3501,I3501)=1,1,0)</f>
        <v>0</v>
      </c>
      <c r="M3501" s="3" t="n">
        <f aca="false">IF(K3501&gt;=Parametri!$B$1,1,0)</f>
        <v>1</v>
      </c>
      <c r="N3501" s="3" t="n">
        <f aca="false">L3501*M3501</f>
        <v>0</v>
      </c>
    </row>
    <row r="3502" customFormat="false" ht="15" hidden="false" customHeight="false" outlineLevel="0" collapsed="false">
      <c r="A3502" s="0" t="s">
        <v>5202</v>
      </c>
      <c r="B3502" s="0" t="s">
        <v>68</v>
      </c>
      <c r="C3502" s="0" t="s">
        <v>4727</v>
      </c>
      <c r="D3502" s="0" t="s">
        <v>19</v>
      </c>
      <c r="E3502" s="2" t="n">
        <v>45862</v>
      </c>
      <c r="F3502" s="3" t="s">
        <v>20</v>
      </c>
      <c r="G3502" s="3" t="s">
        <v>35</v>
      </c>
      <c r="H3502" s="3" t="s">
        <v>44</v>
      </c>
      <c r="I3502" s="3" t="n">
        <f aca="false">YEAR(E3502)</f>
        <v>2025</v>
      </c>
      <c r="J3502" s="3" t="n">
        <f aca="false">MONTH(E3502)</f>
        <v>7</v>
      </c>
      <c r="K3502" s="3" t="n">
        <f aca="false">COUNTIFS($B$2:$B$4077,B3502,$C$2:$C$4077,C3502,$I$2:$I$4077,I3502)</f>
        <v>1</v>
      </c>
      <c r="L3502" s="3" t="n">
        <f aca="false">IF(COUNTIFS($B$2:B3502,B3502,$C$2:C3502,C3502,$I$2:I3502,I3502)=1,1,0)</f>
        <v>1</v>
      </c>
      <c r="M3502" s="3" t="n">
        <f aca="false">IF(K3502&gt;=Parametri!$B$1,1,0)</f>
        <v>0</v>
      </c>
      <c r="N3502" s="3" t="n">
        <f aca="false">L3502*M3502</f>
        <v>0</v>
      </c>
    </row>
    <row r="3503" customFormat="false" ht="15" hidden="false" customHeight="false" outlineLevel="0" collapsed="false">
      <c r="A3503" s="0" t="s">
        <v>5203</v>
      </c>
      <c r="B3503" s="0" t="s">
        <v>124</v>
      </c>
      <c r="C3503" s="0" t="s">
        <v>1346</v>
      </c>
      <c r="D3503" s="0" t="s">
        <v>26</v>
      </c>
      <c r="E3503" s="2" t="n">
        <v>46038</v>
      </c>
      <c r="F3503" s="3" t="s">
        <v>20</v>
      </c>
      <c r="G3503" s="3" t="s">
        <v>39</v>
      </c>
      <c r="H3503" s="3" t="s">
        <v>44</v>
      </c>
      <c r="I3503" s="3" t="n">
        <f aca="false">YEAR(E3503)</f>
        <v>2026</v>
      </c>
      <c r="J3503" s="3" t="n">
        <f aca="false">MONTH(E3503)</f>
        <v>1</v>
      </c>
      <c r="K3503" s="3" t="n">
        <f aca="false">COUNTIFS($B$2:$B$4077,B3503,$C$2:$C$4077,C3503,$I$2:$I$4077,I3503)</f>
        <v>1</v>
      </c>
      <c r="L3503" s="3" t="n">
        <f aca="false">IF(COUNTIFS($B$2:B3503,B3503,$C$2:C3503,C3503,$I$2:I3503,I3503)=1,1,0)</f>
        <v>1</v>
      </c>
      <c r="M3503" s="3" t="n">
        <f aca="false">IF(K3503&gt;=Parametri!$B$1,1,0)</f>
        <v>0</v>
      </c>
      <c r="N3503" s="3" t="n">
        <f aca="false">L3503*M3503</f>
        <v>0</v>
      </c>
    </row>
    <row r="3504" customFormat="false" ht="15" hidden="false" customHeight="false" outlineLevel="0" collapsed="false">
      <c r="A3504" s="0" t="s">
        <v>5204</v>
      </c>
      <c r="B3504" s="0" t="s">
        <v>57</v>
      </c>
      <c r="C3504" s="0" t="s">
        <v>1711</v>
      </c>
      <c r="D3504" s="0" t="s">
        <v>63</v>
      </c>
      <c r="E3504" s="2" t="n">
        <v>45487</v>
      </c>
      <c r="F3504" s="3" t="s">
        <v>20</v>
      </c>
      <c r="G3504" s="3" t="s">
        <v>28</v>
      </c>
      <c r="H3504" s="3" t="s">
        <v>48</v>
      </c>
      <c r="I3504" s="3" t="n">
        <f aca="false">YEAR(E3504)</f>
        <v>2024</v>
      </c>
      <c r="J3504" s="3" t="n">
        <f aca="false">MONTH(E3504)</f>
        <v>7</v>
      </c>
      <c r="K3504" s="3" t="n">
        <f aca="false">COUNTIFS($B$2:$B$4077,B3504,$C$2:$C$4077,C3504,$I$2:$I$4077,I3504)</f>
        <v>2</v>
      </c>
      <c r="L3504" s="3" t="n">
        <f aca="false">IF(COUNTIFS($B$2:B3504,B3504,$C$2:C3504,C3504,$I$2:I3504,I3504)=1,1,0)</f>
        <v>0</v>
      </c>
      <c r="M3504" s="3" t="n">
        <f aca="false">IF(K3504&gt;=Parametri!$B$1,1,0)</f>
        <v>1</v>
      </c>
      <c r="N3504" s="3" t="n">
        <f aca="false">L3504*M3504</f>
        <v>0</v>
      </c>
    </row>
    <row r="3505" customFormat="false" ht="15" hidden="false" customHeight="false" outlineLevel="0" collapsed="false">
      <c r="A3505" s="0" t="s">
        <v>5205</v>
      </c>
      <c r="B3505" s="0" t="s">
        <v>41</v>
      </c>
      <c r="C3505" s="0" t="s">
        <v>5206</v>
      </c>
      <c r="D3505" s="0" t="s">
        <v>66</v>
      </c>
      <c r="E3505" s="2" t="n">
        <v>46000</v>
      </c>
      <c r="F3505" s="3" t="s">
        <v>20</v>
      </c>
      <c r="G3505" s="3" t="s">
        <v>21</v>
      </c>
      <c r="H3505" s="3" t="s">
        <v>48</v>
      </c>
      <c r="I3505" s="3" t="n">
        <f aca="false">YEAR(E3505)</f>
        <v>2025</v>
      </c>
      <c r="J3505" s="3" t="n">
        <f aca="false">MONTH(E3505)</f>
        <v>12</v>
      </c>
      <c r="K3505" s="3" t="n">
        <f aca="false">COUNTIFS($B$2:$B$4077,B3505,$C$2:$C$4077,C3505,$I$2:$I$4077,I3505)</f>
        <v>1</v>
      </c>
      <c r="L3505" s="3" t="n">
        <f aca="false">IF(COUNTIFS($B$2:B3505,B3505,$C$2:C3505,C3505,$I$2:I3505,I3505)=1,1,0)</f>
        <v>1</v>
      </c>
      <c r="M3505" s="3" t="n">
        <f aca="false">IF(K3505&gt;=Parametri!$B$1,1,0)</f>
        <v>0</v>
      </c>
      <c r="N3505" s="3" t="n">
        <f aca="false">L3505*M3505</f>
        <v>0</v>
      </c>
    </row>
    <row r="3506" customFormat="false" ht="15" hidden="false" customHeight="false" outlineLevel="0" collapsed="false">
      <c r="A3506" s="0" t="s">
        <v>5207</v>
      </c>
      <c r="B3506" s="0" t="s">
        <v>50</v>
      </c>
      <c r="C3506" s="0" t="s">
        <v>1218</v>
      </c>
      <c r="D3506" s="0" t="s">
        <v>77</v>
      </c>
      <c r="E3506" s="2" t="n">
        <v>45936</v>
      </c>
      <c r="F3506" s="3" t="s">
        <v>20</v>
      </c>
      <c r="G3506" s="3" t="s">
        <v>35</v>
      </c>
      <c r="H3506" s="3" t="s">
        <v>44</v>
      </c>
      <c r="I3506" s="3" t="n">
        <f aca="false">YEAR(E3506)</f>
        <v>2025</v>
      </c>
      <c r="J3506" s="3" t="n">
        <f aca="false">MONTH(E3506)</f>
        <v>10</v>
      </c>
      <c r="K3506" s="3" t="n">
        <f aca="false">COUNTIFS($B$2:$B$4077,B3506,$C$2:$C$4077,C3506,$I$2:$I$4077,I3506)</f>
        <v>4</v>
      </c>
      <c r="L3506" s="3" t="n">
        <f aca="false">IF(COUNTIFS($B$2:B3506,B3506,$C$2:C3506,C3506,$I$2:I3506,I3506)=1,1,0)</f>
        <v>0</v>
      </c>
      <c r="M3506" s="3" t="n">
        <f aca="false">IF(K3506&gt;=Parametri!$B$1,1,0)</f>
        <v>1</v>
      </c>
      <c r="N3506" s="3" t="n">
        <f aca="false">L3506*M3506</f>
        <v>0</v>
      </c>
    </row>
    <row r="3507" customFormat="false" ht="15" hidden="false" customHeight="false" outlineLevel="0" collapsed="false">
      <c r="A3507" s="0" t="s">
        <v>5208</v>
      </c>
      <c r="B3507" s="0" t="s">
        <v>50</v>
      </c>
      <c r="C3507" s="0" t="s">
        <v>3117</v>
      </c>
      <c r="D3507" s="0" t="s">
        <v>26</v>
      </c>
      <c r="E3507" s="2" t="n">
        <v>45885</v>
      </c>
      <c r="F3507" s="3" t="s">
        <v>27</v>
      </c>
      <c r="G3507" s="3" t="s">
        <v>43</v>
      </c>
      <c r="H3507" s="3" t="s">
        <v>22</v>
      </c>
      <c r="I3507" s="3" t="n">
        <f aca="false">YEAR(E3507)</f>
        <v>2025</v>
      </c>
      <c r="J3507" s="3" t="n">
        <f aca="false">MONTH(E3507)</f>
        <v>8</v>
      </c>
      <c r="K3507" s="3" t="n">
        <f aca="false">COUNTIFS($B$2:$B$4077,B3507,$C$2:$C$4077,C3507,$I$2:$I$4077,I3507)</f>
        <v>1</v>
      </c>
      <c r="L3507" s="3" t="n">
        <f aca="false">IF(COUNTIFS($B$2:B3507,B3507,$C$2:C3507,C3507,$I$2:I3507,I3507)=1,1,0)</f>
        <v>1</v>
      </c>
      <c r="M3507" s="3" t="n">
        <f aca="false">IF(K3507&gt;=Parametri!$B$1,1,0)</f>
        <v>0</v>
      </c>
      <c r="N3507" s="3" t="n">
        <f aca="false">L3507*M3507</f>
        <v>0</v>
      </c>
    </row>
    <row r="3508" customFormat="false" ht="15" hidden="false" customHeight="false" outlineLevel="0" collapsed="false">
      <c r="A3508" s="0" t="s">
        <v>5209</v>
      </c>
      <c r="B3508" s="0" t="s">
        <v>41</v>
      </c>
      <c r="C3508" s="0" t="s">
        <v>4425</v>
      </c>
      <c r="D3508" s="0" t="s">
        <v>26</v>
      </c>
      <c r="E3508" s="2" t="n">
        <v>45504</v>
      </c>
      <c r="F3508" s="3" t="s">
        <v>20</v>
      </c>
      <c r="G3508" s="3" t="s">
        <v>89</v>
      </c>
      <c r="H3508" s="3" t="s">
        <v>48</v>
      </c>
      <c r="I3508" s="3" t="n">
        <f aca="false">YEAR(E3508)</f>
        <v>2024</v>
      </c>
      <c r="J3508" s="3" t="n">
        <f aca="false">MONTH(E3508)</f>
        <v>7</v>
      </c>
      <c r="K3508" s="3" t="n">
        <f aca="false">COUNTIFS($B$2:$B$4077,B3508,$C$2:$C$4077,C3508,$I$2:$I$4077,I3508)</f>
        <v>1</v>
      </c>
      <c r="L3508" s="3" t="n">
        <f aca="false">IF(COUNTIFS($B$2:B3508,B3508,$C$2:C3508,C3508,$I$2:I3508,I3508)=1,1,0)</f>
        <v>1</v>
      </c>
      <c r="M3508" s="3" t="n">
        <f aca="false">IF(K3508&gt;=Parametri!$B$1,1,0)</f>
        <v>0</v>
      </c>
      <c r="N3508" s="3" t="n">
        <f aca="false">L3508*M3508</f>
        <v>0</v>
      </c>
    </row>
    <row r="3509" customFormat="false" ht="15" hidden="false" customHeight="false" outlineLevel="0" collapsed="false">
      <c r="A3509" s="0" t="s">
        <v>5210</v>
      </c>
      <c r="B3509" s="0" t="s">
        <v>46</v>
      </c>
      <c r="C3509" s="0" t="s">
        <v>1685</v>
      </c>
      <c r="D3509" s="0" t="s">
        <v>63</v>
      </c>
      <c r="E3509" s="2" t="n">
        <v>46221</v>
      </c>
      <c r="F3509" s="3" t="s">
        <v>34</v>
      </c>
      <c r="G3509" s="3" t="s">
        <v>35</v>
      </c>
      <c r="H3509" s="3" t="s">
        <v>29</v>
      </c>
      <c r="I3509" s="3" t="n">
        <f aca="false">YEAR(E3509)</f>
        <v>2026</v>
      </c>
      <c r="J3509" s="3" t="n">
        <f aca="false">MONTH(E3509)</f>
        <v>7</v>
      </c>
      <c r="K3509" s="3" t="n">
        <f aca="false">COUNTIFS($B$2:$B$4077,B3509,$C$2:$C$4077,C3509,$I$2:$I$4077,I3509)</f>
        <v>1</v>
      </c>
      <c r="L3509" s="3" t="n">
        <f aca="false">IF(COUNTIFS($B$2:B3509,B3509,$C$2:C3509,C3509,$I$2:I3509,I3509)=1,1,0)</f>
        <v>1</v>
      </c>
      <c r="M3509" s="3" t="n">
        <f aca="false">IF(K3509&gt;=Parametri!$B$1,1,0)</f>
        <v>0</v>
      </c>
      <c r="N3509" s="3" t="n">
        <f aca="false">L3509*M3509</f>
        <v>0</v>
      </c>
    </row>
    <row r="3510" customFormat="false" ht="15" hidden="false" customHeight="false" outlineLevel="0" collapsed="false">
      <c r="A3510" s="0" t="s">
        <v>5211</v>
      </c>
      <c r="B3510" s="0" t="s">
        <v>17</v>
      </c>
      <c r="C3510" s="0" t="s">
        <v>3836</v>
      </c>
      <c r="D3510" s="0" t="s">
        <v>66</v>
      </c>
      <c r="E3510" s="2" t="n">
        <v>45836</v>
      </c>
      <c r="F3510" s="3" t="s">
        <v>27</v>
      </c>
      <c r="G3510" s="3" t="s">
        <v>21</v>
      </c>
      <c r="H3510" s="3" t="s">
        <v>48</v>
      </c>
      <c r="I3510" s="3" t="n">
        <f aca="false">YEAR(E3510)</f>
        <v>2025</v>
      </c>
      <c r="J3510" s="3" t="n">
        <f aca="false">MONTH(E3510)</f>
        <v>6</v>
      </c>
      <c r="K3510" s="3" t="n">
        <f aca="false">COUNTIFS($B$2:$B$4077,B3510,$C$2:$C$4077,C3510,$I$2:$I$4077,I3510)</f>
        <v>3</v>
      </c>
      <c r="L3510" s="3" t="n">
        <f aca="false">IF(COUNTIFS($B$2:B3510,B3510,$C$2:C3510,C3510,$I$2:I3510,I3510)=1,1,0)</f>
        <v>0</v>
      </c>
      <c r="M3510" s="3" t="n">
        <f aca="false">IF(K3510&gt;=Parametri!$B$1,1,0)</f>
        <v>1</v>
      </c>
      <c r="N3510" s="3" t="n">
        <f aca="false">L3510*M3510</f>
        <v>0</v>
      </c>
    </row>
    <row r="3511" customFormat="false" ht="15" hidden="false" customHeight="false" outlineLevel="0" collapsed="false">
      <c r="A3511" s="0" t="s">
        <v>5212</v>
      </c>
      <c r="B3511" s="0" t="s">
        <v>68</v>
      </c>
      <c r="C3511" s="0" t="s">
        <v>243</v>
      </c>
      <c r="D3511" s="0" t="s">
        <v>19</v>
      </c>
      <c r="E3511" s="2" t="n">
        <v>45330</v>
      </c>
      <c r="F3511" s="3" t="s">
        <v>20</v>
      </c>
      <c r="G3511" s="3" t="s">
        <v>21</v>
      </c>
      <c r="H3511" s="3" t="s">
        <v>44</v>
      </c>
      <c r="I3511" s="3" t="n">
        <f aca="false">YEAR(E3511)</f>
        <v>2024</v>
      </c>
      <c r="J3511" s="3" t="n">
        <f aca="false">MONTH(E3511)</f>
        <v>2</v>
      </c>
      <c r="K3511" s="3" t="n">
        <f aca="false">COUNTIFS($B$2:$B$4077,B3511,$C$2:$C$4077,C3511,$I$2:$I$4077,I3511)</f>
        <v>4</v>
      </c>
      <c r="L3511" s="3" t="n">
        <f aca="false">IF(COUNTIFS($B$2:B3511,B3511,$C$2:C3511,C3511,$I$2:I3511,I3511)=1,1,0)</f>
        <v>0</v>
      </c>
      <c r="M3511" s="3" t="n">
        <f aca="false">IF(K3511&gt;=Parametri!$B$1,1,0)</f>
        <v>1</v>
      </c>
      <c r="N3511" s="3" t="n">
        <f aca="false">L3511*M3511</f>
        <v>0</v>
      </c>
    </row>
    <row r="3512" customFormat="false" ht="15" hidden="false" customHeight="false" outlineLevel="0" collapsed="false">
      <c r="A3512" s="0" t="s">
        <v>5213</v>
      </c>
      <c r="B3512" s="0" t="s">
        <v>41</v>
      </c>
      <c r="C3512" s="0" t="s">
        <v>5214</v>
      </c>
      <c r="D3512" s="0" t="s">
        <v>63</v>
      </c>
      <c r="E3512" s="2" t="n">
        <v>45939</v>
      </c>
      <c r="F3512" s="3" t="s">
        <v>27</v>
      </c>
      <c r="G3512" s="3" t="s">
        <v>55</v>
      </c>
      <c r="H3512" s="3" t="s">
        <v>29</v>
      </c>
      <c r="I3512" s="3" t="n">
        <f aca="false">YEAR(E3512)</f>
        <v>2025</v>
      </c>
      <c r="J3512" s="3" t="n">
        <f aca="false">MONTH(E3512)</f>
        <v>10</v>
      </c>
      <c r="K3512" s="3" t="n">
        <f aca="false">COUNTIFS($B$2:$B$4077,B3512,$C$2:$C$4077,C3512,$I$2:$I$4077,I3512)</f>
        <v>1</v>
      </c>
      <c r="L3512" s="3" t="n">
        <f aca="false">IF(COUNTIFS($B$2:B3512,B3512,$C$2:C3512,C3512,$I$2:I3512,I3512)=1,1,0)</f>
        <v>1</v>
      </c>
      <c r="M3512" s="3" t="n">
        <f aca="false">IF(K3512&gt;=Parametri!$B$1,1,0)</f>
        <v>0</v>
      </c>
      <c r="N3512" s="3" t="n">
        <f aca="false">L3512*M3512</f>
        <v>0</v>
      </c>
    </row>
    <row r="3513" customFormat="false" ht="15" hidden="false" customHeight="false" outlineLevel="0" collapsed="false">
      <c r="A3513" s="0" t="s">
        <v>5215</v>
      </c>
      <c r="B3513" s="0" t="s">
        <v>124</v>
      </c>
      <c r="C3513" s="0" t="s">
        <v>3962</v>
      </c>
      <c r="D3513" s="0" t="s">
        <v>19</v>
      </c>
      <c r="E3513" s="2" t="n">
        <v>46168</v>
      </c>
      <c r="F3513" s="3" t="s">
        <v>20</v>
      </c>
      <c r="G3513" s="3" t="s">
        <v>28</v>
      </c>
      <c r="H3513" s="3" t="s">
        <v>29</v>
      </c>
      <c r="I3513" s="3" t="n">
        <f aca="false">YEAR(E3513)</f>
        <v>2026</v>
      </c>
      <c r="J3513" s="3" t="n">
        <f aca="false">MONTH(E3513)</f>
        <v>5</v>
      </c>
      <c r="K3513" s="3" t="n">
        <f aca="false">COUNTIFS($B$2:$B$4077,B3513,$C$2:$C$4077,C3513,$I$2:$I$4077,I3513)</f>
        <v>2</v>
      </c>
      <c r="L3513" s="3" t="n">
        <f aca="false">IF(COUNTIFS($B$2:B3513,B3513,$C$2:C3513,C3513,$I$2:I3513,I3513)=1,1,0)</f>
        <v>0</v>
      </c>
      <c r="M3513" s="3" t="n">
        <f aca="false">IF(K3513&gt;=Parametri!$B$1,1,0)</f>
        <v>1</v>
      </c>
      <c r="N3513" s="3" t="n">
        <f aca="false">L3513*M3513</f>
        <v>0</v>
      </c>
    </row>
    <row r="3514" customFormat="false" ht="15" hidden="false" customHeight="false" outlineLevel="0" collapsed="false">
      <c r="A3514" s="0" t="s">
        <v>5216</v>
      </c>
      <c r="B3514" s="0" t="s">
        <v>57</v>
      </c>
      <c r="C3514" s="0" t="s">
        <v>5217</v>
      </c>
      <c r="D3514" s="0" t="s">
        <v>63</v>
      </c>
      <c r="E3514" s="2" t="n">
        <v>46256</v>
      </c>
      <c r="F3514" s="3" t="s">
        <v>27</v>
      </c>
      <c r="G3514" s="3" t="s">
        <v>72</v>
      </c>
      <c r="H3514" s="3" t="s">
        <v>22</v>
      </c>
      <c r="I3514" s="3" t="n">
        <f aca="false">YEAR(E3514)</f>
        <v>2026</v>
      </c>
      <c r="J3514" s="3" t="n">
        <f aca="false">MONTH(E3514)</f>
        <v>8</v>
      </c>
      <c r="K3514" s="3" t="n">
        <f aca="false">COUNTIFS($B$2:$B$4077,B3514,$C$2:$C$4077,C3514,$I$2:$I$4077,I3514)</f>
        <v>1</v>
      </c>
      <c r="L3514" s="3" t="n">
        <f aca="false">IF(COUNTIFS($B$2:B3514,B3514,$C$2:C3514,C3514,$I$2:I3514,I3514)=1,1,0)</f>
        <v>1</v>
      </c>
      <c r="M3514" s="3" t="n">
        <f aca="false">IF(K3514&gt;=Parametri!$B$1,1,0)</f>
        <v>0</v>
      </c>
      <c r="N3514" s="3" t="n">
        <f aca="false">L3514*M3514</f>
        <v>0</v>
      </c>
    </row>
    <row r="3515" customFormat="false" ht="15" hidden="false" customHeight="false" outlineLevel="0" collapsed="false">
      <c r="A3515" s="0" t="s">
        <v>5218</v>
      </c>
      <c r="B3515" s="0" t="s">
        <v>79</v>
      </c>
      <c r="C3515" s="0" t="s">
        <v>2714</v>
      </c>
      <c r="D3515" s="0" t="s">
        <v>77</v>
      </c>
      <c r="E3515" s="2" t="n">
        <v>45588</v>
      </c>
      <c r="F3515" s="3" t="s">
        <v>34</v>
      </c>
      <c r="G3515" s="3" t="s">
        <v>39</v>
      </c>
      <c r="H3515" s="3" t="s">
        <v>44</v>
      </c>
      <c r="I3515" s="3" t="n">
        <f aca="false">YEAR(E3515)</f>
        <v>2024</v>
      </c>
      <c r="J3515" s="3" t="n">
        <f aca="false">MONTH(E3515)</f>
        <v>10</v>
      </c>
      <c r="K3515" s="3" t="n">
        <f aca="false">COUNTIFS($B$2:$B$4077,B3515,$C$2:$C$4077,C3515,$I$2:$I$4077,I3515)</f>
        <v>1</v>
      </c>
      <c r="L3515" s="3" t="n">
        <f aca="false">IF(COUNTIFS($B$2:B3515,B3515,$C$2:C3515,C3515,$I$2:I3515,I3515)=1,1,0)</f>
        <v>1</v>
      </c>
      <c r="M3515" s="3" t="n">
        <f aca="false">IF(K3515&gt;=Parametri!$B$1,1,0)</f>
        <v>0</v>
      </c>
      <c r="N3515" s="3" t="n">
        <f aca="false">L3515*M3515</f>
        <v>0</v>
      </c>
    </row>
    <row r="3516" customFormat="false" ht="15" hidden="false" customHeight="false" outlineLevel="0" collapsed="false">
      <c r="A3516" s="0" t="s">
        <v>5219</v>
      </c>
      <c r="B3516" s="0" t="s">
        <v>57</v>
      </c>
      <c r="C3516" s="0" t="s">
        <v>4742</v>
      </c>
      <c r="D3516" s="0" t="s">
        <v>38</v>
      </c>
      <c r="E3516" s="2" t="n">
        <v>45720</v>
      </c>
      <c r="F3516" s="3" t="s">
        <v>20</v>
      </c>
      <c r="G3516" s="3" t="s">
        <v>28</v>
      </c>
      <c r="H3516" s="3" t="s">
        <v>29</v>
      </c>
      <c r="I3516" s="3" t="n">
        <f aca="false">YEAR(E3516)</f>
        <v>2025</v>
      </c>
      <c r="J3516" s="3" t="n">
        <f aca="false">MONTH(E3516)</f>
        <v>3</v>
      </c>
      <c r="K3516" s="3" t="n">
        <f aca="false">COUNTIFS($B$2:$B$4077,B3516,$C$2:$C$4077,C3516,$I$2:$I$4077,I3516)</f>
        <v>2</v>
      </c>
      <c r="L3516" s="3" t="n">
        <f aca="false">IF(COUNTIFS($B$2:B3516,B3516,$C$2:C3516,C3516,$I$2:I3516,I3516)=1,1,0)</f>
        <v>0</v>
      </c>
      <c r="M3516" s="3" t="n">
        <f aca="false">IF(K3516&gt;=Parametri!$B$1,1,0)</f>
        <v>1</v>
      </c>
      <c r="N3516" s="3" t="n">
        <f aca="false">L3516*M3516</f>
        <v>0</v>
      </c>
    </row>
    <row r="3517" customFormat="false" ht="15" hidden="false" customHeight="false" outlineLevel="0" collapsed="false">
      <c r="A3517" s="0" t="s">
        <v>5220</v>
      </c>
      <c r="B3517" s="0" t="s">
        <v>68</v>
      </c>
      <c r="C3517" s="0" t="s">
        <v>563</v>
      </c>
      <c r="D3517" s="0" t="s">
        <v>77</v>
      </c>
      <c r="E3517" s="2" t="n">
        <v>46033</v>
      </c>
      <c r="F3517" s="3" t="s">
        <v>20</v>
      </c>
      <c r="G3517" s="3" t="s">
        <v>43</v>
      </c>
      <c r="H3517" s="3" t="s">
        <v>48</v>
      </c>
      <c r="I3517" s="3" t="n">
        <f aca="false">YEAR(E3517)</f>
        <v>2026</v>
      </c>
      <c r="J3517" s="3" t="n">
        <f aca="false">MONTH(E3517)</f>
        <v>1</v>
      </c>
      <c r="K3517" s="3" t="n">
        <f aca="false">COUNTIFS($B$2:$B$4077,B3517,$C$2:$C$4077,C3517,$I$2:$I$4077,I3517)</f>
        <v>3</v>
      </c>
      <c r="L3517" s="3" t="n">
        <f aca="false">IF(COUNTIFS($B$2:B3517,B3517,$C$2:C3517,C3517,$I$2:I3517,I3517)=1,1,0)</f>
        <v>0</v>
      </c>
      <c r="M3517" s="3" t="n">
        <f aca="false">IF(K3517&gt;=Parametri!$B$1,1,0)</f>
        <v>1</v>
      </c>
      <c r="N3517" s="3" t="n">
        <f aca="false">L3517*M3517</f>
        <v>0</v>
      </c>
    </row>
    <row r="3518" customFormat="false" ht="15" hidden="false" customHeight="false" outlineLevel="0" collapsed="false">
      <c r="A3518" s="0" t="s">
        <v>5221</v>
      </c>
      <c r="B3518" s="0" t="s">
        <v>79</v>
      </c>
      <c r="C3518" s="0" t="s">
        <v>1366</v>
      </c>
      <c r="D3518" s="0" t="s">
        <v>54</v>
      </c>
      <c r="E3518" s="2" t="n">
        <v>45910</v>
      </c>
      <c r="F3518" s="3" t="s">
        <v>20</v>
      </c>
      <c r="G3518" s="3" t="s">
        <v>39</v>
      </c>
      <c r="H3518" s="3" t="s">
        <v>44</v>
      </c>
      <c r="I3518" s="3" t="n">
        <f aca="false">YEAR(E3518)</f>
        <v>2025</v>
      </c>
      <c r="J3518" s="3" t="n">
        <f aca="false">MONTH(E3518)</f>
        <v>9</v>
      </c>
      <c r="K3518" s="3" t="n">
        <f aca="false">COUNTIFS($B$2:$B$4077,B3518,$C$2:$C$4077,C3518,$I$2:$I$4077,I3518)</f>
        <v>5</v>
      </c>
      <c r="L3518" s="3" t="n">
        <f aca="false">IF(COUNTIFS($B$2:B3518,B3518,$C$2:C3518,C3518,$I$2:I3518,I3518)=1,1,0)</f>
        <v>0</v>
      </c>
      <c r="M3518" s="3" t="n">
        <f aca="false">IF(K3518&gt;=Parametri!$B$1,1,0)</f>
        <v>1</v>
      </c>
      <c r="N3518" s="3" t="n">
        <f aca="false">L3518*M3518</f>
        <v>0</v>
      </c>
    </row>
    <row r="3519" customFormat="false" ht="15" hidden="false" customHeight="false" outlineLevel="0" collapsed="false">
      <c r="A3519" s="0" t="s">
        <v>5222</v>
      </c>
      <c r="B3519" s="0" t="s">
        <v>68</v>
      </c>
      <c r="C3519" s="0" t="s">
        <v>5223</v>
      </c>
      <c r="D3519" s="0" t="s">
        <v>26</v>
      </c>
      <c r="E3519" s="2" t="n">
        <v>45443</v>
      </c>
      <c r="F3519" s="3" t="s">
        <v>20</v>
      </c>
      <c r="G3519" s="3" t="s">
        <v>55</v>
      </c>
      <c r="H3519" s="3" t="s">
        <v>48</v>
      </c>
      <c r="I3519" s="3" t="n">
        <f aca="false">YEAR(E3519)</f>
        <v>2024</v>
      </c>
      <c r="J3519" s="3" t="n">
        <f aca="false">MONTH(E3519)</f>
        <v>5</v>
      </c>
      <c r="K3519" s="3" t="n">
        <f aca="false">COUNTIFS($B$2:$B$4077,B3519,$C$2:$C$4077,C3519,$I$2:$I$4077,I3519)</f>
        <v>1</v>
      </c>
      <c r="L3519" s="3" t="n">
        <f aca="false">IF(COUNTIFS($B$2:B3519,B3519,$C$2:C3519,C3519,$I$2:I3519,I3519)=1,1,0)</f>
        <v>1</v>
      </c>
      <c r="M3519" s="3" t="n">
        <f aca="false">IF(K3519&gt;=Parametri!$B$1,1,0)</f>
        <v>0</v>
      </c>
      <c r="N3519" s="3" t="n">
        <f aca="false">L3519*M3519</f>
        <v>0</v>
      </c>
    </row>
    <row r="3520" customFormat="false" ht="15" hidden="false" customHeight="false" outlineLevel="0" collapsed="false">
      <c r="A3520" s="0" t="s">
        <v>5224</v>
      </c>
      <c r="B3520" s="0" t="s">
        <v>17</v>
      </c>
      <c r="C3520" s="0" t="s">
        <v>2701</v>
      </c>
      <c r="D3520" s="0" t="s">
        <v>77</v>
      </c>
      <c r="E3520" s="2" t="n">
        <v>46068</v>
      </c>
      <c r="F3520" s="3" t="s">
        <v>104</v>
      </c>
      <c r="G3520" s="3" t="s">
        <v>104</v>
      </c>
      <c r="H3520" s="3" t="s">
        <v>104</v>
      </c>
      <c r="I3520" s="3" t="n">
        <f aca="false">YEAR(E3520)</f>
        <v>2026</v>
      </c>
      <c r="J3520" s="3" t="n">
        <f aca="false">MONTH(E3520)</f>
        <v>2</v>
      </c>
      <c r="K3520" s="3" t="n">
        <f aca="false">COUNTIFS($B$2:$B$4077,B3520,$C$2:$C$4077,C3520,$I$2:$I$4077,I3520)</f>
        <v>1</v>
      </c>
      <c r="L3520" s="3" t="n">
        <f aca="false">IF(COUNTIFS($B$2:B3520,B3520,$C$2:C3520,C3520,$I$2:I3520,I3520)=1,1,0)</f>
        <v>1</v>
      </c>
      <c r="M3520" s="3" t="n">
        <f aca="false">IF(K3520&gt;=Parametri!$B$1,1,0)</f>
        <v>0</v>
      </c>
      <c r="N3520" s="3" t="n">
        <f aca="false">L3520*M3520</f>
        <v>0</v>
      </c>
    </row>
    <row r="3521" customFormat="false" ht="15" hidden="false" customHeight="false" outlineLevel="0" collapsed="false">
      <c r="A3521" s="0" t="s">
        <v>5225</v>
      </c>
      <c r="B3521" s="0" t="s">
        <v>124</v>
      </c>
      <c r="C3521" s="0" t="s">
        <v>3801</v>
      </c>
      <c r="D3521" s="0" t="s">
        <v>26</v>
      </c>
      <c r="E3521" s="2" t="n">
        <v>45780</v>
      </c>
      <c r="F3521" s="3" t="s">
        <v>27</v>
      </c>
      <c r="G3521" s="3" t="s">
        <v>35</v>
      </c>
      <c r="H3521" s="3" t="s">
        <v>22</v>
      </c>
      <c r="I3521" s="3" t="n">
        <f aca="false">YEAR(E3521)</f>
        <v>2025</v>
      </c>
      <c r="J3521" s="3" t="n">
        <f aca="false">MONTH(E3521)</f>
        <v>5</v>
      </c>
      <c r="K3521" s="3" t="n">
        <f aca="false">COUNTIFS($B$2:$B$4077,B3521,$C$2:$C$4077,C3521,$I$2:$I$4077,I3521)</f>
        <v>1</v>
      </c>
      <c r="L3521" s="3" t="n">
        <f aca="false">IF(COUNTIFS($B$2:B3521,B3521,$C$2:C3521,C3521,$I$2:I3521,I3521)=1,1,0)</f>
        <v>1</v>
      </c>
      <c r="M3521" s="3" t="n">
        <f aca="false">IF(K3521&gt;=Parametri!$B$1,1,0)</f>
        <v>0</v>
      </c>
      <c r="N3521" s="3" t="n">
        <f aca="false">L3521*M3521</f>
        <v>0</v>
      </c>
    </row>
    <row r="3522" customFormat="false" ht="15" hidden="false" customHeight="false" outlineLevel="0" collapsed="false">
      <c r="A3522" s="0" t="s">
        <v>5226</v>
      </c>
      <c r="B3522" s="0" t="s">
        <v>57</v>
      </c>
      <c r="C3522" s="0" t="s">
        <v>4031</v>
      </c>
      <c r="D3522" s="0" t="s">
        <v>54</v>
      </c>
      <c r="E3522" s="2" t="n">
        <v>46032</v>
      </c>
      <c r="F3522" s="3" t="s">
        <v>34</v>
      </c>
      <c r="G3522" s="3" t="s">
        <v>21</v>
      </c>
      <c r="H3522" s="3" t="s">
        <v>22</v>
      </c>
      <c r="I3522" s="3" t="n">
        <f aca="false">YEAR(E3522)</f>
        <v>2026</v>
      </c>
      <c r="J3522" s="3" t="n">
        <f aca="false">MONTH(E3522)</f>
        <v>1</v>
      </c>
      <c r="K3522" s="3" t="n">
        <f aca="false">COUNTIFS($B$2:$B$4077,B3522,$C$2:$C$4077,C3522,$I$2:$I$4077,I3522)</f>
        <v>2</v>
      </c>
      <c r="L3522" s="3" t="n">
        <f aca="false">IF(COUNTIFS($B$2:B3522,B3522,$C$2:C3522,C3522,$I$2:I3522,I3522)=1,1,0)</f>
        <v>0</v>
      </c>
      <c r="M3522" s="3" t="n">
        <f aca="false">IF(K3522&gt;=Parametri!$B$1,1,0)</f>
        <v>1</v>
      </c>
      <c r="N3522" s="3" t="n">
        <f aca="false">L3522*M3522</f>
        <v>0</v>
      </c>
    </row>
    <row r="3523" customFormat="false" ht="15" hidden="false" customHeight="false" outlineLevel="0" collapsed="false">
      <c r="A3523" s="0" t="s">
        <v>5227</v>
      </c>
      <c r="B3523" s="0" t="s">
        <v>24</v>
      </c>
      <c r="C3523" s="0" t="s">
        <v>2037</v>
      </c>
      <c r="D3523" s="0" t="s">
        <v>19</v>
      </c>
      <c r="E3523" s="2" t="n">
        <v>45958</v>
      </c>
      <c r="F3523" s="3" t="s">
        <v>20</v>
      </c>
      <c r="G3523" s="3" t="s">
        <v>55</v>
      </c>
      <c r="H3523" s="3" t="s">
        <v>29</v>
      </c>
      <c r="I3523" s="3" t="n">
        <f aca="false">YEAR(E3523)</f>
        <v>2025</v>
      </c>
      <c r="J3523" s="3" t="n">
        <f aca="false">MONTH(E3523)</f>
        <v>10</v>
      </c>
      <c r="K3523" s="3" t="n">
        <f aca="false">COUNTIFS($B$2:$B$4077,B3523,$C$2:$C$4077,C3523,$I$2:$I$4077,I3523)</f>
        <v>1</v>
      </c>
      <c r="L3523" s="3" t="n">
        <f aca="false">IF(COUNTIFS($B$2:B3523,B3523,$C$2:C3523,C3523,$I$2:I3523,I3523)=1,1,0)</f>
        <v>1</v>
      </c>
      <c r="M3523" s="3" t="n">
        <f aca="false">IF(K3523&gt;=Parametri!$B$1,1,0)</f>
        <v>0</v>
      </c>
      <c r="N3523" s="3" t="n">
        <f aca="false">L3523*M3523</f>
        <v>0</v>
      </c>
    </row>
    <row r="3524" customFormat="false" ht="15" hidden="false" customHeight="false" outlineLevel="0" collapsed="false">
      <c r="A3524" s="0" t="s">
        <v>5228</v>
      </c>
      <c r="B3524" s="0" t="s">
        <v>50</v>
      </c>
      <c r="C3524" s="0" t="s">
        <v>3251</v>
      </c>
      <c r="D3524" s="0" t="s">
        <v>26</v>
      </c>
      <c r="E3524" s="2" t="n">
        <v>45617</v>
      </c>
      <c r="F3524" s="3" t="s">
        <v>20</v>
      </c>
      <c r="G3524" s="3" t="s">
        <v>39</v>
      </c>
      <c r="H3524" s="3" t="s">
        <v>22</v>
      </c>
      <c r="I3524" s="3" t="n">
        <f aca="false">YEAR(E3524)</f>
        <v>2024</v>
      </c>
      <c r="J3524" s="3" t="n">
        <f aca="false">MONTH(E3524)</f>
        <v>11</v>
      </c>
      <c r="K3524" s="3" t="n">
        <f aca="false">COUNTIFS($B$2:$B$4077,B3524,$C$2:$C$4077,C3524,$I$2:$I$4077,I3524)</f>
        <v>4</v>
      </c>
      <c r="L3524" s="3" t="n">
        <f aca="false">IF(COUNTIFS($B$2:B3524,B3524,$C$2:C3524,C3524,$I$2:I3524,I3524)=1,1,0)</f>
        <v>0</v>
      </c>
      <c r="M3524" s="3" t="n">
        <f aca="false">IF(K3524&gt;=Parametri!$B$1,1,0)</f>
        <v>1</v>
      </c>
      <c r="N3524" s="3" t="n">
        <f aca="false">L3524*M3524</f>
        <v>0</v>
      </c>
    </row>
    <row r="3525" customFormat="false" ht="15" hidden="false" customHeight="false" outlineLevel="0" collapsed="false">
      <c r="A3525" s="0" t="s">
        <v>5229</v>
      </c>
      <c r="B3525" s="0" t="s">
        <v>17</v>
      </c>
      <c r="C3525" s="0" t="s">
        <v>5230</v>
      </c>
      <c r="D3525" s="0" t="s">
        <v>77</v>
      </c>
      <c r="E3525" s="2" t="n">
        <v>45415</v>
      </c>
      <c r="F3525" s="3" t="s">
        <v>27</v>
      </c>
      <c r="G3525" s="3" t="s">
        <v>89</v>
      </c>
      <c r="H3525" s="3" t="s">
        <v>29</v>
      </c>
      <c r="I3525" s="3" t="n">
        <f aca="false">YEAR(E3525)</f>
        <v>2024</v>
      </c>
      <c r="J3525" s="3" t="n">
        <f aca="false">MONTH(E3525)</f>
        <v>5</v>
      </c>
      <c r="K3525" s="3" t="n">
        <f aca="false">COUNTIFS($B$2:$B$4077,B3525,$C$2:$C$4077,C3525,$I$2:$I$4077,I3525)</f>
        <v>1</v>
      </c>
      <c r="L3525" s="3" t="n">
        <f aca="false">IF(COUNTIFS($B$2:B3525,B3525,$C$2:C3525,C3525,$I$2:I3525,I3525)=1,1,0)</f>
        <v>1</v>
      </c>
      <c r="M3525" s="3" t="n">
        <f aca="false">IF(K3525&gt;=Parametri!$B$1,1,0)</f>
        <v>0</v>
      </c>
      <c r="N3525" s="3" t="n">
        <f aca="false">L3525*M3525</f>
        <v>0</v>
      </c>
    </row>
    <row r="3526" customFormat="false" ht="15" hidden="false" customHeight="false" outlineLevel="0" collapsed="false">
      <c r="A3526" s="0" t="s">
        <v>5231</v>
      </c>
      <c r="B3526" s="0" t="s">
        <v>17</v>
      </c>
      <c r="C3526" s="0" t="s">
        <v>458</v>
      </c>
      <c r="D3526" s="0" t="s">
        <v>33</v>
      </c>
      <c r="E3526" s="2" t="n">
        <v>45506</v>
      </c>
      <c r="F3526" s="3" t="s">
        <v>27</v>
      </c>
      <c r="G3526" s="3" t="s">
        <v>55</v>
      </c>
      <c r="H3526" s="3" t="s">
        <v>48</v>
      </c>
      <c r="I3526" s="3" t="n">
        <f aca="false">YEAR(E3526)</f>
        <v>2024</v>
      </c>
      <c r="J3526" s="3" t="n">
        <f aca="false">MONTH(E3526)</f>
        <v>8</v>
      </c>
      <c r="K3526" s="3" t="n">
        <f aca="false">COUNTIFS($B$2:$B$4077,B3526,$C$2:$C$4077,C3526,$I$2:$I$4077,I3526)</f>
        <v>2</v>
      </c>
      <c r="L3526" s="3" t="n">
        <f aca="false">IF(COUNTIFS($B$2:B3526,B3526,$C$2:C3526,C3526,$I$2:I3526,I3526)=1,1,0)</f>
        <v>0</v>
      </c>
      <c r="M3526" s="3" t="n">
        <f aca="false">IF(K3526&gt;=Parametri!$B$1,1,0)</f>
        <v>1</v>
      </c>
      <c r="N3526" s="3" t="n">
        <f aca="false">L3526*M3526</f>
        <v>0</v>
      </c>
    </row>
    <row r="3527" customFormat="false" ht="15" hidden="false" customHeight="false" outlineLevel="0" collapsed="false">
      <c r="A3527" s="0" t="s">
        <v>5232</v>
      </c>
      <c r="B3527" s="0" t="s">
        <v>57</v>
      </c>
      <c r="C3527" s="0" t="s">
        <v>583</v>
      </c>
      <c r="D3527" s="0" t="s">
        <v>66</v>
      </c>
      <c r="E3527" s="2" t="n">
        <v>45681</v>
      </c>
      <c r="F3527" s="3" t="s">
        <v>20</v>
      </c>
      <c r="G3527" s="3" t="s">
        <v>35</v>
      </c>
      <c r="H3527" s="3" t="s">
        <v>29</v>
      </c>
      <c r="I3527" s="3" t="n">
        <f aca="false">YEAR(E3527)</f>
        <v>2025</v>
      </c>
      <c r="J3527" s="3" t="n">
        <f aca="false">MONTH(E3527)</f>
        <v>1</v>
      </c>
      <c r="K3527" s="3" t="n">
        <f aca="false">COUNTIFS($B$2:$B$4077,B3527,$C$2:$C$4077,C3527,$I$2:$I$4077,I3527)</f>
        <v>4</v>
      </c>
      <c r="L3527" s="3" t="n">
        <f aca="false">IF(COUNTIFS($B$2:B3527,B3527,$C$2:C3527,C3527,$I$2:I3527,I3527)=1,1,0)</f>
        <v>0</v>
      </c>
      <c r="M3527" s="3" t="n">
        <f aca="false">IF(K3527&gt;=Parametri!$B$1,1,0)</f>
        <v>1</v>
      </c>
      <c r="N3527" s="3" t="n">
        <f aca="false">L3527*M3527</f>
        <v>0</v>
      </c>
    </row>
    <row r="3528" customFormat="false" ht="15" hidden="false" customHeight="false" outlineLevel="0" collapsed="false">
      <c r="A3528" s="0" t="s">
        <v>5233</v>
      </c>
      <c r="B3528" s="0" t="s">
        <v>50</v>
      </c>
      <c r="C3528" s="0" t="s">
        <v>5234</v>
      </c>
      <c r="D3528" s="0" t="s">
        <v>63</v>
      </c>
      <c r="E3528" s="2" t="n">
        <v>45658</v>
      </c>
      <c r="F3528" s="3" t="s">
        <v>20</v>
      </c>
      <c r="G3528" s="3" t="s">
        <v>55</v>
      </c>
      <c r="H3528" s="3" t="s">
        <v>44</v>
      </c>
      <c r="I3528" s="3" t="n">
        <f aca="false">YEAR(E3528)</f>
        <v>2025</v>
      </c>
      <c r="J3528" s="3" t="n">
        <f aca="false">MONTH(E3528)</f>
        <v>1</v>
      </c>
      <c r="K3528" s="3" t="n">
        <f aca="false">COUNTIFS($B$2:$B$4077,B3528,$C$2:$C$4077,C3528,$I$2:$I$4077,I3528)</f>
        <v>1</v>
      </c>
      <c r="L3528" s="3" t="n">
        <f aca="false">IF(COUNTIFS($B$2:B3528,B3528,$C$2:C3528,C3528,$I$2:I3528,I3528)=1,1,0)</f>
        <v>1</v>
      </c>
      <c r="M3528" s="3" t="n">
        <f aca="false">IF(K3528&gt;=Parametri!$B$1,1,0)</f>
        <v>0</v>
      </c>
      <c r="N3528" s="3" t="n">
        <f aca="false">L3528*M3528</f>
        <v>0</v>
      </c>
    </row>
    <row r="3529" customFormat="false" ht="15" hidden="false" customHeight="false" outlineLevel="0" collapsed="false">
      <c r="A3529" s="0" t="s">
        <v>5235</v>
      </c>
      <c r="B3529" s="0" t="s">
        <v>31</v>
      </c>
      <c r="C3529" s="0" t="s">
        <v>2121</v>
      </c>
      <c r="D3529" s="0" t="s">
        <v>33</v>
      </c>
      <c r="E3529" s="2" t="n">
        <v>45728</v>
      </c>
      <c r="F3529" s="3" t="s">
        <v>20</v>
      </c>
      <c r="G3529" s="3" t="s">
        <v>39</v>
      </c>
      <c r="H3529" s="3" t="s">
        <v>48</v>
      </c>
      <c r="I3529" s="3" t="n">
        <f aca="false">YEAR(E3529)</f>
        <v>2025</v>
      </c>
      <c r="J3529" s="3" t="n">
        <f aca="false">MONTH(E3529)</f>
        <v>3</v>
      </c>
      <c r="K3529" s="3" t="n">
        <f aca="false">COUNTIFS($B$2:$B$4077,B3529,$C$2:$C$4077,C3529,$I$2:$I$4077,I3529)</f>
        <v>2</v>
      </c>
      <c r="L3529" s="3" t="n">
        <f aca="false">IF(COUNTIFS($B$2:B3529,B3529,$C$2:C3529,C3529,$I$2:I3529,I3529)=1,1,0)</f>
        <v>0</v>
      </c>
      <c r="M3529" s="3" t="n">
        <f aca="false">IF(K3529&gt;=Parametri!$B$1,1,0)</f>
        <v>1</v>
      </c>
      <c r="N3529" s="3" t="n">
        <f aca="false">L3529*M3529</f>
        <v>0</v>
      </c>
    </row>
    <row r="3530" customFormat="false" ht="15" hidden="false" customHeight="false" outlineLevel="0" collapsed="false">
      <c r="A3530" s="0" t="s">
        <v>5236</v>
      </c>
      <c r="B3530" s="0" t="s">
        <v>124</v>
      </c>
      <c r="C3530" s="0" t="s">
        <v>2129</v>
      </c>
      <c r="D3530" s="0" t="s">
        <v>63</v>
      </c>
      <c r="E3530" s="2" t="n">
        <v>45705</v>
      </c>
      <c r="F3530" s="3" t="s">
        <v>34</v>
      </c>
      <c r="G3530" s="3" t="s">
        <v>72</v>
      </c>
      <c r="H3530" s="3" t="s">
        <v>29</v>
      </c>
      <c r="I3530" s="3" t="n">
        <f aca="false">YEAR(E3530)</f>
        <v>2025</v>
      </c>
      <c r="J3530" s="3" t="n">
        <f aca="false">MONTH(E3530)</f>
        <v>2</v>
      </c>
      <c r="K3530" s="3" t="n">
        <f aca="false">COUNTIFS($B$2:$B$4077,B3530,$C$2:$C$4077,C3530,$I$2:$I$4077,I3530)</f>
        <v>2</v>
      </c>
      <c r="L3530" s="3" t="n">
        <f aca="false">IF(COUNTIFS($B$2:B3530,B3530,$C$2:C3530,C3530,$I$2:I3530,I3530)=1,1,0)</f>
        <v>0</v>
      </c>
      <c r="M3530" s="3" t="n">
        <f aca="false">IF(K3530&gt;=Parametri!$B$1,1,0)</f>
        <v>1</v>
      </c>
      <c r="N3530" s="3" t="n">
        <f aca="false">L3530*M3530</f>
        <v>0</v>
      </c>
    </row>
    <row r="3531" customFormat="false" ht="15" hidden="false" customHeight="false" outlineLevel="0" collapsed="false">
      <c r="A3531" s="0" t="s">
        <v>5237</v>
      </c>
      <c r="B3531" s="0" t="s">
        <v>57</v>
      </c>
      <c r="C3531" s="0" t="s">
        <v>1034</v>
      </c>
      <c r="D3531" s="0" t="s">
        <v>54</v>
      </c>
      <c r="E3531" s="2" t="n">
        <v>45366</v>
      </c>
      <c r="F3531" s="3" t="s">
        <v>20</v>
      </c>
      <c r="G3531" s="3" t="s">
        <v>39</v>
      </c>
      <c r="H3531" s="3" t="s">
        <v>48</v>
      </c>
      <c r="I3531" s="3" t="n">
        <f aca="false">YEAR(E3531)</f>
        <v>2024</v>
      </c>
      <c r="J3531" s="3" t="n">
        <f aca="false">MONTH(E3531)</f>
        <v>3</v>
      </c>
      <c r="K3531" s="3" t="n">
        <f aca="false">COUNTIFS($B$2:$B$4077,B3531,$C$2:$C$4077,C3531,$I$2:$I$4077,I3531)</f>
        <v>2</v>
      </c>
      <c r="L3531" s="3" t="n">
        <f aca="false">IF(COUNTIFS($B$2:B3531,B3531,$C$2:C3531,C3531,$I$2:I3531,I3531)=1,1,0)</f>
        <v>0</v>
      </c>
      <c r="M3531" s="3" t="n">
        <f aca="false">IF(K3531&gt;=Parametri!$B$1,1,0)</f>
        <v>1</v>
      </c>
      <c r="N3531" s="3" t="n">
        <f aca="false">L3531*M3531</f>
        <v>0</v>
      </c>
    </row>
    <row r="3532" customFormat="false" ht="15" hidden="false" customHeight="false" outlineLevel="0" collapsed="false">
      <c r="A3532" s="0" t="s">
        <v>5238</v>
      </c>
      <c r="B3532" s="0" t="s">
        <v>57</v>
      </c>
      <c r="C3532" s="0" t="s">
        <v>5239</v>
      </c>
      <c r="D3532" s="0" t="s">
        <v>19</v>
      </c>
      <c r="E3532" s="2" t="n">
        <v>45696</v>
      </c>
      <c r="F3532" s="3" t="s">
        <v>20</v>
      </c>
      <c r="G3532" s="3" t="s">
        <v>43</v>
      </c>
      <c r="H3532" s="3" t="s">
        <v>29</v>
      </c>
      <c r="I3532" s="3" t="n">
        <f aca="false">YEAR(E3532)</f>
        <v>2025</v>
      </c>
      <c r="J3532" s="3" t="n">
        <f aca="false">MONTH(E3532)</f>
        <v>2</v>
      </c>
      <c r="K3532" s="3" t="n">
        <f aca="false">COUNTIFS($B$2:$B$4077,B3532,$C$2:$C$4077,C3532,$I$2:$I$4077,I3532)</f>
        <v>1</v>
      </c>
      <c r="L3532" s="3" t="n">
        <f aca="false">IF(COUNTIFS($B$2:B3532,B3532,$C$2:C3532,C3532,$I$2:I3532,I3532)=1,1,0)</f>
        <v>1</v>
      </c>
      <c r="M3532" s="3" t="n">
        <f aca="false">IF(K3532&gt;=Parametri!$B$1,1,0)</f>
        <v>0</v>
      </c>
      <c r="N3532" s="3" t="n">
        <f aca="false">L3532*M3532</f>
        <v>0</v>
      </c>
    </row>
    <row r="3533" customFormat="false" ht="15" hidden="false" customHeight="false" outlineLevel="0" collapsed="false">
      <c r="A3533" s="0" t="s">
        <v>5240</v>
      </c>
      <c r="B3533" s="0" t="s">
        <v>79</v>
      </c>
      <c r="C3533" s="0" t="s">
        <v>350</v>
      </c>
      <c r="D3533" s="0" t="s">
        <v>33</v>
      </c>
      <c r="E3533" s="2" t="n">
        <v>45594</v>
      </c>
      <c r="F3533" s="3" t="s">
        <v>27</v>
      </c>
      <c r="G3533" s="3" t="s">
        <v>21</v>
      </c>
      <c r="H3533" s="3" t="s">
        <v>29</v>
      </c>
      <c r="I3533" s="3" t="n">
        <f aca="false">YEAR(E3533)</f>
        <v>2024</v>
      </c>
      <c r="J3533" s="3" t="n">
        <f aca="false">MONTH(E3533)</f>
        <v>10</v>
      </c>
      <c r="K3533" s="3" t="n">
        <f aca="false">COUNTIFS($B$2:$B$4077,B3533,$C$2:$C$4077,C3533,$I$2:$I$4077,I3533)</f>
        <v>2</v>
      </c>
      <c r="L3533" s="3" t="n">
        <f aca="false">IF(COUNTIFS($B$2:B3533,B3533,$C$2:C3533,C3533,$I$2:I3533,I3533)=1,1,0)</f>
        <v>0</v>
      </c>
      <c r="M3533" s="3" t="n">
        <f aca="false">IF(K3533&gt;=Parametri!$B$1,1,0)</f>
        <v>1</v>
      </c>
      <c r="N3533" s="3" t="n">
        <f aca="false">L3533*M3533</f>
        <v>0</v>
      </c>
    </row>
    <row r="3534" customFormat="false" ht="15" hidden="false" customHeight="false" outlineLevel="0" collapsed="false">
      <c r="A3534" s="0" t="s">
        <v>5241</v>
      </c>
      <c r="B3534" s="0" t="s">
        <v>46</v>
      </c>
      <c r="C3534" s="0" t="s">
        <v>988</v>
      </c>
      <c r="D3534" s="0" t="s">
        <v>54</v>
      </c>
      <c r="E3534" s="2" t="n">
        <v>46198</v>
      </c>
      <c r="F3534" s="3" t="s">
        <v>20</v>
      </c>
      <c r="G3534" s="3" t="s">
        <v>72</v>
      </c>
      <c r="H3534" s="3" t="s">
        <v>29</v>
      </c>
      <c r="I3534" s="3" t="n">
        <f aca="false">YEAR(E3534)</f>
        <v>2026</v>
      </c>
      <c r="J3534" s="3" t="n">
        <f aca="false">MONTH(E3534)</f>
        <v>6</v>
      </c>
      <c r="K3534" s="3" t="n">
        <f aca="false">COUNTIFS($B$2:$B$4077,B3534,$C$2:$C$4077,C3534,$I$2:$I$4077,I3534)</f>
        <v>3</v>
      </c>
      <c r="L3534" s="3" t="n">
        <f aca="false">IF(COUNTIFS($B$2:B3534,B3534,$C$2:C3534,C3534,$I$2:I3534,I3534)=1,1,0)</f>
        <v>0</v>
      </c>
      <c r="M3534" s="3" t="n">
        <f aca="false">IF(K3534&gt;=Parametri!$B$1,1,0)</f>
        <v>1</v>
      </c>
      <c r="N3534" s="3" t="n">
        <f aca="false">L3534*M3534</f>
        <v>0</v>
      </c>
    </row>
    <row r="3535" customFormat="false" ht="15" hidden="false" customHeight="false" outlineLevel="0" collapsed="false">
      <c r="A3535" s="0" t="s">
        <v>5242</v>
      </c>
      <c r="B3535" s="0" t="s">
        <v>46</v>
      </c>
      <c r="C3535" s="0" t="s">
        <v>1751</v>
      </c>
      <c r="D3535" s="0" t="s">
        <v>63</v>
      </c>
      <c r="E3535" s="2" t="n">
        <v>45335</v>
      </c>
      <c r="F3535" s="3" t="s">
        <v>104</v>
      </c>
      <c r="G3535" s="3" t="s">
        <v>104</v>
      </c>
      <c r="H3535" s="3" t="s">
        <v>104</v>
      </c>
      <c r="I3535" s="3" t="n">
        <f aca="false">YEAR(E3535)</f>
        <v>2024</v>
      </c>
      <c r="J3535" s="3" t="n">
        <f aca="false">MONTH(E3535)</f>
        <v>2</v>
      </c>
      <c r="K3535" s="3" t="n">
        <f aca="false">COUNTIFS($B$2:$B$4077,B3535,$C$2:$C$4077,C3535,$I$2:$I$4077,I3535)</f>
        <v>2</v>
      </c>
      <c r="L3535" s="3" t="n">
        <f aca="false">IF(COUNTIFS($B$2:B3535,B3535,$C$2:C3535,C3535,$I$2:I3535,I3535)=1,1,0)</f>
        <v>0</v>
      </c>
      <c r="M3535" s="3" t="n">
        <f aca="false">IF(K3535&gt;=Parametri!$B$1,1,0)</f>
        <v>1</v>
      </c>
      <c r="N3535" s="3" t="n">
        <f aca="false">L3535*M3535</f>
        <v>0</v>
      </c>
    </row>
    <row r="3536" customFormat="false" ht="15" hidden="false" customHeight="false" outlineLevel="0" collapsed="false">
      <c r="A3536" s="0" t="s">
        <v>5243</v>
      </c>
      <c r="B3536" s="0" t="s">
        <v>57</v>
      </c>
      <c r="C3536" s="0" t="s">
        <v>2136</v>
      </c>
      <c r="D3536" s="0" t="s">
        <v>33</v>
      </c>
      <c r="E3536" s="2" t="n">
        <v>45293</v>
      </c>
      <c r="F3536" s="3" t="s">
        <v>20</v>
      </c>
      <c r="G3536" s="3" t="s">
        <v>28</v>
      </c>
      <c r="H3536" s="3" t="s">
        <v>44</v>
      </c>
      <c r="I3536" s="3" t="n">
        <f aca="false">YEAR(E3536)</f>
        <v>2024</v>
      </c>
      <c r="J3536" s="3" t="n">
        <f aca="false">MONTH(E3536)</f>
        <v>1</v>
      </c>
      <c r="K3536" s="3" t="n">
        <f aca="false">COUNTIFS($B$2:$B$4077,B3536,$C$2:$C$4077,C3536,$I$2:$I$4077,I3536)</f>
        <v>2</v>
      </c>
      <c r="L3536" s="3" t="n">
        <f aca="false">IF(COUNTIFS($B$2:B3536,B3536,$C$2:C3536,C3536,$I$2:I3536,I3536)=1,1,0)</f>
        <v>0</v>
      </c>
      <c r="M3536" s="3" t="n">
        <f aca="false">IF(K3536&gt;=Parametri!$B$1,1,0)</f>
        <v>1</v>
      </c>
      <c r="N3536" s="3" t="n">
        <f aca="false">L3536*M3536</f>
        <v>0</v>
      </c>
    </row>
    <row r="3537" customFormat="false" ht="15" hidden="false" customHeight="false" outlineLevel="0" collapsed="false">
      <c r="A3537" s="0" t="s">
        <v>5244</v>
      </c>
      <c r="B3537" s="0" t="s">
        <v>57</v>
      </c>
      <c r="C3537" s="0" t="s">
        <v>1908</v>
      </c>
      <c r="D3537" s="0" t="s">
        <v>38</v>
      </c>
      <c r="E3537" s="2" t="n">
        <v>45786</v>
      </c>
      <c r="F3537" s="3" t="s">
        <v>20</v>
      </c>
      <c r="G3537" s="3" t="s">
        <v>35</v>
      </c>
      <c r="H3537" s="3" t="s">
        <v>44</v>
      </c>
      <c r="I3537" s="3" t="n">
        <f aca="false">YEAR(E3537)</f>
        <v>2025</v>
      </c>
      <c r="J3537" s="3" t="n">
        <f aca="false">MONTH(E3537)</f>
        <v>5</v>
      </c>
      <c r="K3537" s="3" t="n">
        <f aca="false">COUNTIFS($B$2:$B$4077,B3537,$C$2:$C$4077,C3537,$I$2:$I$4077,I3537)</f>
        <v>1</v>
      </c>
      <c r="L3537" s="3" t="n">
        <f aca="false">IF(COUNTIFS($B$2:B3537,B3537,$C$2:C3537,C3537,$I$2:I3537,I3537)=1,1,0)</f>
        <v>1</v>
      </c>
      <c r="M3537" s="3" t="n">
        <f aca="false">IF(K3537&gt;=Parametri!$B$1,1,0)</f>
        <v>0</v>
      </c>
      <c r="N3537" s="3" t="n">
        <f aca="false">L3537*M3537</f>
        <v>0</v>
      </c>
    </row>
    <row r="3538" customFormat="false" ht="15" hidden="false" customHeight="false" outlineLevel="0" collapsed="false">
      <c r="A3538" s="0" t="s">
        <v>5245</v>
      </c>
      <c r="B3538" s="0" t="s">
        <v>50</v>
      </c>
      <c r="C3538" s="0" t="s">
        <v>5246</v>
      </c>
      <c r="D3538" s="0" t="s">
        <v>19</v>
      </c>
      <c r="E3538" s="2" t="n">
        <v>46140</v>
      </c>
      <c r="F3538" s="3" t="s">
        <v>34</v>
      </c>
      <c r="G3538" s="3" t="s">
        <v>55</v>
      </c>
      <c r="H3538" s="3" t="s">
        <v>22</v>
      </c>
      <c r="I3538" s="3" t="n">
        <f aca="false">YEAR(E3538)</f>
        <v>2026</v>
      </c>
      <c r="J3538" s="3" t="n">
        <f aca="false">MONTH(E3538)</f>
        <v>4</v>
      </c>
      <c r="K3538" s="3" t="n">
        <f aca="false">COUNTIFS($B$2:$B$4077,B3538,$C$2:$C$4077,C3538,$I$2:$I$4077,I3538)</f>
        <v>1</v>
      </c>
      <c r="L3538" s="3" t="n">
        <f aca="false">IF(COUNTIFS($B$2:B3538,B3538,$C$2:C3538,C3538,$I$2:I3538,I3538)=1,1,0)</f>
        <v>1</v>
      </c>
      <c r="M3538" s="3" t="n">
        <f aca="false">IF(K3538&gt;=Parametri!$B$1,1,0)</f>
        <v>0</v>
      </c>
      <c r="N3538" s="3" t="n">
        <f aca="false">L3538*M3538</f>
        <v>0</v>
      </c>
    </row>
    <row r="3539" customFormat="false" ht="15" hidden="false" customHeight="false" outlineLevel="0" collapsed="false">
      <c r="A3539" s="0" t="s">
        <v>5247</v>
      </c>
      <c r="B3539" s="0" t="s">
        <v>17</v>
      </c>
      <c r="C3539" s="0" t="s">
        <v>364</v>
      </c>
      <c r="D3539" s="0" t="s">
        <v>77</v>
      </c>
      <c r="E3539" s="2" t="n">
        <v>45553</v>
      </c>
      <c r="F3539" s="3" t="s">
        <v>20</v>
      </c>
      <c r="G3539" s="3" t="s">
        <v>55</v>
      </c>
      <c r="H3539" s="3" t="s">
        <v>29</v>
      </c>
      <c r="I3539" s="3" t="n">
        <f aca="false">YEAR(E3539)</f>
        <v>2024</v>
      </c>
      <c r="J3539" s="3" t="n">
        <f aca="false">MONTH(E3539)</f>
        <v>9</v>
      </c>
      <c r="K3539" s="3" t="n">
        <f aca="false">COUNTIFS($B$2:$B$4077,B3539,$C$2:$C$4077,C3539,$I$2:$I$4077,I3539)</f>
        <v>2</v>
      </c>
      <c r="L3539" s="3" t="n">
        <f aca="false">IF(COUNTIFS($B$2:B3539,B3539,$C$2:C3539,C3539,$I$2:I3539,I3539)=1,1,0)</f>
        <v>0</v>
      </c>
      <c r="M3539" s="3" t="n">
        <f aca="false">IF(K3539&gt;=Parametri!$B$1,1,0)</f>
        <v>1</v>
      </c>
      <c r="N3539" s="3" t="n">
        <f aca="false">L3539*M3539</f>
        <v>0</v>
      </c>
    </row>
    <row r="3540" customFormat="false" ht="15" hidden="false" customHeight="false" outlineLevel="0" collapsed="false">
      <c r="A3540" s="0" t="s">
        <v>5248</v>
      </c>
      <c r="B3540" s="0" t="s">
        <v>24</v>
      </c>
      <c r="C3540" s="0" t="s">
        <v>636</v>
      </c>
      <c r="D3540" s="0" t="s">
        <v>54</v>
      </c>
      <c r="E3540" s="2" t="n">
        <v>45424</v>
      </c>
      <c r="F3540" s="3" t="s">
        <v>20</v>
      </c>
      <c r="G3540" s="3" t="s">
        <v>89</v>
      </c>
      <c r="H3540" s="3" t="s">
        <v>22</v>
      </c>
      <c r="I3540" s="3" t="n">
        <f aca="false">YEAR(E3540)</f>
        <v>2024</v>
      </c>
      <c r="J3540" s="3" t="n">
        <f aca="false">MONTH(E3540)</f>
        <v>5</v>
      </c>
      <c r="K3540" s="3" t="n">
        <f aca="false">COUNTIFS($B$2:$B$4077,B3540,$C$2:$C$4077,C3540,$I$2:$I$4077,I3540)</f>
        <v>2</v>
      </c>
      <c r="L3540" s="3" t="n">
        <f aca="false">IF(COUNTIFS($B$2:B3540,B3540,$C$2:C3540,C3540,$I$2:I3540,I3540)=1,1,0)</f>
        <v>0</v>
      </c>
      <c r="M3540" s="3" t="n">
        <f aca="false">IF(K3540&gt;=Parametri!$B$1,1,0)</f>
        <v>1</v>
      </c>
      <c r="N3540" s="3" t="n">
        <f aca="false">L3540*M3540</f>
        <v>0</v>
      </c>
    </row>
    <row r="3541" customFormat="false" ht="15" hidden="false" customHeight="false" outlineLevel="0" collapsed="false">
      <c r="A3541" s="0" t="s">
        <v>5249</v>
      </c>
      <c r="B3541" s="0" t="s">
        <v>57</v>
      </c>
      <c r="C3541" s="0" t="s">
        <v>1044</v>
      </c>
      <c r="D3541" s="0" t="s">
        <v>26</v>
      </c>
      <c r="E3541" s="2" t="n">
        <v>45306</v>
      </c>
      <c r="F3541" s="3" t="s">
        <v>20</v>
      </c>
      <c r="G3541" s="3" t="s">
        <v>21</v>
      </c>
      <c r="H3541" s="3" t="s">
        <v>44</v>
      </c>
      <c r="I3541" s="3" t="n">
        <f aca="false">YEAR(E3541)</f>
        <v>2024</v>
      </c>
      <c r="J3541" s="3" t="n">
        <f aca="false">MONTH(E3541)</f>
        <v>1</v>
      </c>
      <c r="K3541" s="3" t="n">
        <f aca="false">COUNTIFS($B$2:$B$4077,B3541,$C$2:$C$4077,C3541,$I$2:$I$4077,I3541)</f>
        <v>3</v>
      </c>
      <c r="L3541" s="3" t="n">
        <f aca="false">IF(COUNTIFS($B$2:B3541,B3541,$C$2:C3541,C3541,$I$2:I3541,I3541)=1,1,0)</f>
        <v>0</v>
      </c>
      <c r="M3541" s="3" t="n">
        <f aca="false">IF(K3541&gt;=Parametri!$B$1,1,0)</f>
        <v>1</v>
      </c>
      <c r="N3541" s="3" t="n">
        <f aca="false">L3541*M3541</f>
        <v>0</v>
      </c>
    </row>
    <row r="3542" customFormat="false" ht="15" hidden="false" customHeight="false" outlineLevel="0" collapsed="false">
      <c r="A3542" s="0" t="s">
        <v>5250</v>
      </c>
      <c r="B3542" s="0" t="s">
        <v>68</v>
      </c>
      <c r="C3542" s="0" t="s">
        <v>751</v>
      </c>
      <c r="D3542" s="0" t="s">
        <v>19</v>
      </c>
      <c r="E3542" s="2" t="n">
        <v>45704</v>
      </c>
      <c r="F3542" s="3" t="s">
        <v>20</v>
      </c>
      <c r="G3542" s="3" t="s">
        <v>21</v>
      </c>
      <c r="H3542" s="3" t="s">
        <v>48</v>
      </c>
      <c r="I3542" s="3" t="n">
        <f aca="false">YEAR(E3542)</f>
        <v>2025</v>
      </c>
      <c r="J3542" s="3" t="n">
        <f aca="false">MONTH(E3542)</f>
        <v>2</v>
      </c>
      <c r="K3542" s="3" t="n">
        <f aca="false">COUNTIFS($B$2:$B$4077,B3542,$C$2:$C$4077,C3542,$I$2:$I$4077,I3542)</f>
        <v>2</v>
      </c>
      <c r="L3542" s="3" t="n">
        <f aca="false">IF(COUNTIFS($B$2:B3542,B3542,$C$2:C3542,C3542,$I$2:I3542,I3542)=1,1,0)</f>
        <v>0</v>
      </c>
      <c r="M3542" s="3" t="n">
        <f aca="false">IF(K3542&gt;=Parametri!$B$1,1,0)</f>
        <v>1</v>
      </c>
      <c r="N3542" s="3" t="n">
        <f aca="false">L3542*M3542</f>
        <v>0</v>
      </c>
    </row>
    <row r="3543" customFormat="false" ht="15" hidden="false" customHeight="false" outlineLevel="0" collapsed="false">
      <c r="A3543" s="0" t="s">
        <v>5251</v>
      </c>
      <c r="B3543" s="0" t="s">
        <v>41</v>
      </c>
      <c r="C3543" s="0" t="s">
        <v>623</v>
      </c>
      <c r="D3543" s="0" t="s">
        <v>54</v>
      </c>
      <c r="E3543" s="2" t="n">
        <v>45631</v>
      </c>
      <c r="F3543" s="3" t="s">
        <v>20</v>
      </c>
      <c r="G3543" s="3" t="s">
        <v>89</v>
      </c>
      <c r="H3543" s="3" t="s">
        <v>48</v>
      </c>
      <c r="I3543" s="3" t="n">
        <f aca="false">YEAR(E3543)</f>
        <v>2024</v>
      </c>
      <c r="J3543" s="3" t="n">
        <f aca="false">MONTH(E3543)</f>
        <v>12</v>
      </c>
      <c r="K3543" s="3" t="n">
        <f aca="false">COUNTIFS($B$2:$B$4077,B3543,$C$2:$C$4077,C3543,$I$2:$I$4077,I3543)</f>
        <v>4</v>
      </c>
      <c r="L3543" s="3" t="n">
        <f aca="false">IF(COUNTIFS($B$2:B3543,B3543,$C$2:C3543,C3543,$I$2:I3543,I3543)=1,1,0)</f>
        <v>0</v>
      </c>
      <c r="M3543" s="3" t="n">
        <f aca="false">IF(K3543&gt;=Parametri!$B$1,1,0)</f>
        <v>1</v>
      </c>
      <c r="N3543" s="3" t="n">
        <f aca="false">L3543*M3543</f>
        <v>0</v>
      </c>
    </row>
    <row r="3544" customFormat="false" ht="15" hidden="false" customHeight="false" outlineLevel="0" collapsed="false">
      <c r="A3544" s="0" t="s">
        <v>5252</v>
      </c>
      <c r="B3544" s="0" t="s">
        <v>41</v>
      </c>
      <c r="C3544" s="0" t="s">
        <v>3145</v>
      </c>
      <c r="D3544" s="0" t="s">
        <v>63</v>
      </c>
      <c r="E3544" s="2" t="n">
        <v>45544</v>
      </c>
      <c r="F3544" s="3" t="s">
        <v>20</v>
      </c>
      <c r="G3544" s="3" t="s">
        <v>21</v>
      </c>
      <c r="H3544" s="3" t="s">
        <v>29</v>
      </c>
      <c r="I3544" s="3" t="n">
        <f aca="false">YEAR(E3544)</f>
        <v>2024</v>
      </c>
      <c r="J3544" s="3" t="n">
        <f aca="false">MONTH(E3544)</f>
        <v>9</v>
      </c>
      <c r="K3544" s="3" t="n">
        <f aca="false">COUNTIFS($B$2:$B$4077,B3544,$C$2:$C$4077,C3544,$I$2:$I$4077,I3544)</f>
        <v>1</v>
      </c>
      <c r="L3544" s="3" t="n">
        <f aca="false">IF(COUNTIFS($B$2:B3544,B3544,$C$2:C3544,C3544,$I$2:I3544,I3544)=1,1,0)</f>
        <v>1</v>
      </c>
      <c r="M3544" s="3" t="n">
        <f aca="false">IF(K3544&gt;=Parametri!$B$1,1,0)</f>
        <v>0</v>
      </c>
      <c r="N3544" s="3" t="n">
        <f aca="false">L3544*M3544</f>
        <v>0</v>
      </c>
    </row>
    <row r="3545" customFormat="false" ht="15" hidden="false" customHeight="false" outlineLevel="0" collapsed="false">
      <c r="A3545" s="0" t="s">
        <v>5253</v>
      </c>
      <c r="B3545" s="0" t="s">
        <v>41</v>
      </c>
      <c r="C3545" s="0" t="s">
        <v>5254</v>
      </c>
      <c r="D3545" s="0" t="s">
        <v>33</v>
      </c>
      <c r="E3545" s="2" t="n">
        <v>46038</v>
      </c>
      <c r="F3545" s="3" t="s">
        <v>34</v>
      </c>
      <c r="G3545" s="3" t="s">
        <v>21</v>
      </c>
      <c r="H3545" s="3" t="s">
        <v>44</v>
      </c>
      <c r="I3545" s="3" t="n">
        <f aca="false">YEAR(E3545)</f>
        <v>2026</v>
      </c>
      <c r="J3545" s="3" t="n">
        <f aca="false">MONTH(E3545)</f>
        <v>1</v>
      </c>
      <c r="K3545" s="3" t="n">
        <f aca="false">COUNTIFS($B$2:$B$4077,B3545,$C$2:$C$4077,C3545,$I$2:$I$4077,I3545)</f>
        <v>1</v>
      </c>
      <c r="L3545" s="3" t="n">
        <f aca="false">IF(COUNTIFS($B$2:B3545,B3545,$C$2:C3545,C3545,$I$2:I3545,I3545)=1,1,0)</f>
        <v>1</v>
      </c>
      <c r="M3545" s="3" t="n">
        <f aca="false">IF(K3545&gt;=Parametri!$B$1,1,0)</f>
        <v>0</v>
      </c>
      <c r="N3545" s="3" t="n">
        <f aca="false">L3545*M3545</f>
        <v>0</v>
      </c>
    </row>
    <row r="3546" customFormat="false" ht="15" hidden="false" customHeight="false" outlineLevel="0" collapsed="false">
      <c r="A3546" s="0" t="s">
        <v>5255</v>
      </c>
      <c r="B3546" s="0" t="s">
        <v>57</v>
      </c>
      <c r="C3546" s="0" t="s">
        <v>5256</v>
      </c>
      <c r="D3546" s="0" t="s">
        <v>54</v>
      </c>
      <c r="E3546" s="2" t="n">
        <v>45682</v>
      </c>
      <c r="F3546" s="3" t="s">
        <v>20</v>
      </c>
      <c r="G3546" s="3" t="s">
        <v>21</v>
      </c>
      <c r="H3546" s="3" t="s">
        <v>22</v>
      </c>
      <c r="I3546" s="3" t="n">
        <f aca="false">YEAR(E3546)</f>
        <v>2025</v>
      </c>
      <c r="J3546" s="3" t="n">
        <f aca="false">MONTH(E3546)</f>
        <v>1</v>
      </c>
      <c r="K3546" s="3" t="n">
        <f aca="false">COUNTIFS($B$2:$B$4077,B3546,$C$2:$C$4077,C3546,$I$2:$I$4077,I3546)</f>
        <v>1</v>
      </c>
      <c r="L3546" s="3" t="n">
        <f aca="false">IF(COUNTIFS($B$2:B3546,B3546,$C$2:C3546,C3546,$I$2:I3546,I3546)=1,1,0)</f>
        <v>1</v>
      </c>
      <c r="M3546" s="3" t="n">
        <f aca="false">IF(K3546&gt;=Parametri!$B$1,1,0)</f>
        <v>0</v>
      </c>
      <c r="N3546" s="3" t="n">
        <f aca="false">L3546*M3546</f>
        <v>0</v>
      </c>
    </row>
    <row r="3547" customFormat="false" ht="15" hidden="false" customHeight="false" outlineLevel="0" collapsed="false">
      <c r="A3547" s="0" t="s">
        <v>5257</v>
      </c>
      <c r="B3547" s="0" t="s">
        <v>41</v>
      </c>
      <c r="C3547" s="0" t="s">
        <v>1108</v>
      </c>
      <c r="D3547" s="0" t="s">
        <v>63</v>
      </c>
      <c r="E3547" s="2" t="n">
        <v>45582</v>
      </c>
      <c r="F3547" s="3" t="s">
        <v>20</v>
      </c>
      <c r="G3547" s="3" t="s">
        <v>89</v>
      </c>
      <c r="H3547" s="3" t="s">
        <v>48</v>
      </c>
      <c r="I3547" s="3" t="n">
        <f aca="false">YEAR(E3547)</f>
        <v>2024</v>
      </c>
      <c r="J3547" s="3" t="n">
        <f aca="false">MONTH(E3547)</f>
        <v>10</v>
      </c>
      <c r="K3547" s="3" t="n">
        <f aca="false">COUNTIFS($B$2:$B$4077,B3547,$C$2:$C$4077,C3547,$I$2:$I$4077,I3547)</f>
        <v>3</v>
      </c>
      <c r="L3547" s="3" t="n">
        <f aca="false">IF(COUNTIFS($B$2:B3547,B3547,$C$2:C3547,C3547,$I$2:I3547,I3547)=1,1,0)</f>
        <v>0</v>
      </c>
      <c r="M3547" s="3" t="n">
        <f aca="false">IF(K3547&gt;=Parametri!$B$1,1,0)</f>
        <v>1</v>
      </c>
      <c r="N3547" s="3" t="n">
        <f aca="false">L3547*M3547</f>
        <v>0</v>
      </c>
    </row>
    <row r="3548" customFormat="false" ht="15" hidden="false" customHeight="false" outlineLevel="0" collapsed="false">
      <c r="A3548" s="0" t="s">
        <v>5258</v>
      </c>
      <c r="B3548" s="0" t="s">
        <v>17</v>
      </c>
      <c r="C3548" s="0" t="s">
        <v>915</v>
      </c>
      <c r="D3548" s="0" t="s">
        <v>54</v>
      </c>
      <c r="E3548" s="2" t="n">
        <v>46146</v>
      </c>
      <c r="F3548" s="3" t="s">
        <v>20</v>
      </c>
      <c r="G3548" s="3" t="s">
        <v>35</v>
      </c>
      <c r="H3548" s="3" t="s">
        <v>44</v>
      </c>
      <c r="I3548" s="3" t="n">
        <f aca="false">YEAR(E3548)</f>
        <v>2026</v>
      </c>
      <c r="J3548" s="3" t="n">
        <f aca="false">MONTH(E3548)</f>
        <v>5</v>
      </c>
      <c r="K3548" s="3" t="n">
        <f aca="false">COUNTIFS($B$2:$B$4077,B3548,$C$2:$C$4077,C3548,$I$2:$I$4077,I3548)</f>
        <v>3</v>
      </c>
      <c r="L3548" s="3" t="n">
        <f aca="false">IF(COUNTIFS($B$2:B3548,B3548,$C$2:C3548,C3548,$I$2:I3548,I3548)=1,1,0)</f>
        <v>0</v>
      </c>
      <c r="M3548" s="3" t="n">
        <f aca="false">IF(K3548&gt;=Parametri!$B$1,1,0)</f>
        <v>1</v>
      </c>
      <c r="N3548" s="3" t="n">
        <f aca="false">L3548*M3548</f>
        <v>0</v>
      </c>
    </row>
    <row r="3549" customFormat="false" ht="15" hidden="false" customHeight="false" outlineLevel="0" collapsed="false">
      <c r="A3549" s="0" t="s">
        <v>5259</v>
      </c>
      <c r="B3549" s="0" t="s">
        <v>124</v>
      </c>
      <c r="C3549" s="0" t="s">
        <v>2511</v>
      </c>
      <c r="D3549" s="0" t="s">
        <v>54</v>
      </c>
      <c r="E3549" s="2" t="n">
        <v>46027</v>
      </c>
      <c r="F3549" s="3" t="s">
        <v>20</v>
      </c>
      <c r="G3549" s="3" t="s">
        <v>21</v>
      </c>
      <c r="H3549" s="3" t="s">
        <v>22</v>
      </c>
      <c r="I3549" s="3" t="n">
        <f aca="false">YEAR(E3549)</f>
        <v>2026</v>
      </c>
      <c r="J3549" s="3" t="n">
        <f aca="false">MONTH(E3549)</f>
        <v>1</v>
      </c>
      <c r="K3549" s="3" t="n">
        <f aca="false">COUNTIFS($B$2:$B$4077,B3549,$C$2:$C$4077,C3549,$I$2:$I$4077,I3549)</f>
        <v>1</v>
      </c>
      <c r="L3549" s="3" t="n">
        <f aca="false">IF(COUNTIFS($B$2:B3549,B3549,$C$2:C3549,C3549,$I$2:I3549,I3549)=1,1,0)</f>
        <v>1</v>
      </c>
      <c r="M3549" s="3" t="n">
        <f aca="false">IF(K3549&gt;=Parametri!$B$1,1,0)</f>
        <v>0</v>
      </c>
      <c r="N3549" s="3" t="n">
        <f aca="false">L3549*M3549</f>
        <v>0</v>
      </c>
    </row>
    <row r="3550" customFormat="false" ht="15" hidden="false" customHeight="false" outlineLevel="0" collapsed="false">
      <c r="A3550" s="0" t="s">
        <v>5260</v>
      </c>
      <c r="B3550" s="0" t="s">
        <v>41</v>
      </c>
      <c r="C3550" s="0" t="s">
        <v>3659</v>
      </c>
      <c r="D3550" s="0" t="s">
        <v>19</v>
      </c>
      <c r="E3550" s="2" t="n">
        <v>46249</v>
      </c>
      <c r="F3550" s="3" t="s">
        <v>20</v>
      </c>
      <c r="G3550" s="3" t="s">
        <v>21</v>
      </c>
      <c r="H3550" s="3" t="s">
        <v>48</v>
      </c>
      <c r="I3550" s="3" t="n">
        <f aca="false">YEAR(E3550)</f>
        <v>2026</v>
      </c>
      <c r="J3550" s="3" t="n">
        <f aca="false">MONTH(E3550)</f>
        <v>8</v>
      </c>
      <c r="K3550" s="3" t="n">
        <f aca="false">COUNTIFS($B$2:$B$4077,B3550,$C$2:$C$4077,C3550,$I$2:$I$4077,I3550)</f>
        <v>2</v>
      </c>
      <c r="L3550" s="3" t="n">
        <f aca="false">IF(COUNTIFS($B$2:B3550,B3550,$C$2:C3550,C3550,$I$2:I3550,I3550)=1,1,0)</f>
        <v>0</v>
      </c>
      <c r="M3550" s="3" t="n">
        <f aca="false">IF(K3550&gt;=Parametri!$B$1,1,0)</f>
        <v>1</v>
      </c>
      <c r="N3550" s="3" t="n">
        <f aca="false">L3550*M3550</f>
        <v>0</v>
      </c>
    </row>
    <row r="3551" customFormat="false" ht="15" hidden="false" customHeight="false" outlineLevel="0" collapsed="false">
      <c r="A3551" s="0" t="s">
        <v>5261</v>
      </c>
      <c r="B3551" s="0" t="s">
        <v>31</v>
      </c>
      <c r="C3551" s="0" t="s">
        <v>2620</v>
      </c>
      <c r="D3551" s="0" t="s">
        <v>19</v>
      </c>
      <c r="E3551" s="2" t="n">
        <v>45920</v>
      </c>
      <c r="F3551" s="3" t="s">
        <v>20</v>
      </c>
      <c r="G3551" s="3" t="s">
        <v>55</v>
      </c>
      <c r="H3551" s="3" t="s">
        <v>48</v>
      </c>
      <c r="I3551" s="3" t="n">
        <f aca="false">YEAR(E3551)</f>
        <v>2025</v>
      </c>
      <c r="J3551" s="3" t="n">
        <f aca="false">MONTH(E3551)</f>
        <v>9</v>
      </c>
      <c r="K3551" s="3" t="n">
        <f aca="false">COUNTIFS($B$2:$B$4077,B3551,$C$2:$C$4077,C3551,$I$2:$I$4077,I3551)</f>
        <v>1</v>
      </c>
      <c r="L3551" s="3" t="n">
        <f aca="false">IF(COUNTIFS($B$2:B3551,B3551,$C$2:C3551,C3551,$I$2:I3551,I3551)=1,1,0)</f>
        <v>1</v>
      </c>
      <c r="M3551" s="3" t="n">
        <f aca="false">IF(K3551&gt;=Parametri!$B$1,1,0)</f>
        <v>0</v>
      </c>
      <c r="N3551" s="3" t="n">
        <f aca="false">L3551*M3551</f>
        <v>0</v>
      </c>
    </row>
    <row r="3552" customFormat="false" ht="15" hidden="false" customHeight="false" outlineLevel="0" collapsed="false">
      <c r="A3552" s="0" t="s">
        <v>5262</v>
      </c>
      <c r="B3552" s="0" t="s">
        <v>17</v>
      </c>
      <c r="C3552" s="0" t="s">
        <v>231</v>
      </c>
      <c r="D3552" s="0" t="s">
        <v>38</v>
      </c>
      <c r="E3552" s="2" t="n">
        <v>45998</v>
      </c>
      <c r="F3552" s="3" t="s">
        <v>27</v>
      </c>
      <c r="G3552" s="3" t="s">
        <v>35</v>
      </c>
      <c r="H3552" s="3" t="s">
        <v>48</v>
      </c>
      <c r="I3552" s="3" t="n">
        <f aca="false">YEAR(E3552)</f>
        <v>2025</v>
      </c>
      <c r="J3552" s="3" t="n">
        <f aca="false">MONTH(E3552)</f>
        <v>12</v>
      </c>
      <c r="K3552" s="3" t="n">
        <f aca="false">COUNTIFS($B$2:$B$4077,B3552,$C$2:$C$4077,C3552,$I$2:$I$4077,I3552)</f>
        <v>6</v>
      </c>
      <c r="L3552" s="3" t="n">
        <f aca="false">IF(COUNTIFS($B$2:B3552,B3552,$C$2:C3552,C3552,$I$2:I3552,I3552)=1,1,0)</f>
        <v>0</v>
      </c>
      <c r="M3552" s="3" t="n">
        <f aca="false">IF(K3552&gt;=Parametri!$B$1,1,0)</f>
        <v>1</v>
      </c>
      <c r="N3552" s="3" t="n">
        <f aca="false">L3552*M3552</f>
        <v>0</v>
      </c>
    </row>
    <row r="3553" customFormat="false" ht="15" hidden="false" customHeight="false" outlineLevel="0" collapsed="false">
      <c r="A3553" s="0" t="s">
        <v>5263</v>
      </c>
      <c r="B3553" s="0" t="s">
        <v>31</v>
      </c>
      <c r="C3553" s="0" t="s">
        <v>135</v>
      </c>
      <c r="D3553" s="0" t="s">
        <v>19</v>
      </c>
      <c r="E3553" s="2" t="n">
        <v>45422</v>
      </c>
      <c r="F3553" s="3" t="s">
        <v>20</v>
      </c>
      <c r="G3553" s="3" t="s">
        <v>43</v>
      </c>
      <c r="H3553" s="3" t="s">
        <v>48</v>
      </c>
      <c r="I3553" s="3" t="n">
        <f aca="false">YEAR(E3553)</f>
        <v>2024</v>
      </c>
      <c r="J3553" s="3" t="n">
        <f aca="false">MONTH(E3553)</f>
        <v>5</v>
      </c>
      <c r="K3553" s="3" t="n">
        <f aca="false">COUNTIFS($B$2:$B$4077,B3553,$C$2:$C$4077,C3553,$I$2:$I$4077,I3553)</f>
        <v>1</v>
      </c>
      <c r="L3553" s="3" t="n">
        <f aca="false">IF(COUNTIFS($B$2:B3553,B3553,$C$2:C3553,C3553,$I$2:I3553,I3553)=1,1,0)</f>
        <v>1</v>
      </c>
      <c r="M3553" s="3" t="n">
        <f aca="false">IF(K3553&gt;=Parametri!$B$1,1,0)</f>
        <v>0</v>
      </c>
      <c r="N3553" s="3" t="n">
        <f aca="false">L3553*M3553</f>
        <v>0</v>
      </c>
    </row>
    <row r="3554" customFormat="false" ht="15" hidden="false" customHeight="false" outlineLevel="0" collapsed="false">
      <c r="A3554" s="0" t="s">
        <v>5264</v>
      </c>
      <c r="B3554" s="0" t="s">
        <v>68</v>
      </c>
      <c r="C3554" s="0" t="s">
        <v>4769</v>
      </c>
      <c r="D3554" s="0" t="s">
        <v>19</v>
      </c>
      <c r="E3554" s="2" t="n">
        <v>45861</v>
      </c>
      <c r="F3554" s="3" t="s">
        <v>27</v>
      </c>
      <c r="G3554" s="3" t="s">
        <v>89</v>
      </c>
      <c r="H3554" s="3" t="s">
        <v>48</v>
      </c>
      <c r="I3554" s="3" t="n">
        <f aca="false">YEAR(E3554)</f>
        <v>2025</v>
      </c>
      <c r="J3554" s="3" t="n">
        <f aca="false">MONTH(E3554)</f>
        <v>7</v>
      </c>
      <c r="K3554" s="3" t="n">
        <f aca="false">COUNTIFS($B$2:$B$4077,B3554,$C$2:$C$4077,C3554,$I$2:$I$4077,I3554)</f>
        <v>1</v>
      </c>
      <c r="L3554" s="3" t="n">
        <f aca="false">IF(COUNTIFS($B$2:B3554,B3554,$C$2:C3554,C3554,$I$2:I3554,I3554)=1,1,0)</f>
        <v>1</v>
      </c>
      <c r="M3554" s="3" t="n">
        <f aca="false">IF(K3554&gt;=Parametri!$B$1,1,0)</f>
        <v>0</v>
      </c>
      <c r="N3554" s="3" t="n">
        <f aca="false">L3554*M3554</f>
        <v>0</v>
      </c>
    </row>
    <row r="3555" customFormat="false" ht="15" hidden="false" customHeight="false" outlineLevel="0" collapsed="false">
      <c r="A3555" s="0" t="s">
        <v>5265</v>
      </c>
      <c r="B3555" s="0" t="s">
        <v>79</v>
      </c>
      <c r="C3555" s="0" t="s">
        <v>909</v>
      </c>
      <c r="D3555" s="0" t="s">
        <v>77</v>
      </c>
      <c r="E3555" s="2" t="n">
        <v>46232</v>
      </c>
      <c r="F3555" s="3" t="s">
        <v>20</v>
      </c>
      <c r="G3555" s="3" t="s">
        <v>21</v>
      </c>
      <c r="H3555" s="3" t="s">
        <v>29</v>
      </c>
      <c r="I3555" s="3" t="n">
        <f aca="false">YEAR(E3555)</f>
        <v>2026</v>
      </c>
      <c r="J3555" s="3" t="n">
        <f aca="false">MONTH(E3555)</f>
        <v>7</v>
      </c>
      <c r="K3555" s="3" t="n">
        <f aca="false">COUNTIFS($B$2:$B$4077,B3555,$C$2:$C$4077,C3555,$I$2:$I$4077,I3555)</f>
        <v>6</v>
      </c>
      <c r="L3555" s="3" t="n">
        <f aca="false">IF(COUNTIFS($B$2:B3555,B3555,$C$2:C3555,C3555,$I$2:I3555,I3555)=1,1,0)</f>
        <v>0</v>
      </c>
      <c r="M3555" s="3" t="n">
        <f aca="false">IF(K3555&gt;=Parametri!$B$1,1,0)</f>
        <v>1</v>
      </c>
      <c r="N3555" s="3" t="n">
        <f aca="false">L3555*M3555</f>
        <v>0</v>
      </c>
    </row>
    <row r="3556" customFormat="false" ht="15" hidden="false" customHeight="false" outlineLevel="0" collapsed="false">
      <c r="A3556" s="0" t="s">
        <v>5266</v>
      </c>
      <c r="B3556" s="0" t="s">
        <v>50</v>
      </c>
      <c r="C3556" s="0" t="s">
        <v>1038</v>
      </c>
      <c r="D3556" s="0" t="s">
        <v>54</v>
      </c>
      <c r="E3556" s="2" t="n">
        <v>45585</v>
      </c>
      <c r="F3556" s="3" t="s">
        <v>20</v>
      </c>
      <c r="G3556" s="3" t="s">
        <v>43</v>
      </c>
      <c r="H3556" s="3" t="s">
        <v>44</v>
      </c>
      <c r="I3556" s="3" t="n">
        <f aca="false">YEAR(E3556)</f>
        <v>2024</v>
      </c>
      <c r="J3556" s="3" t="n">
        <f aca="false">MONTH(E3556)</f>
        <v>10</v>
      </c>
      <c r="K3556" s="3" t="n">
        <f aca="false">COUNTIFS($B$2:$B$4077,B3556,$C$2:$C$4077,C3556,$I$2:$I$4077,I3556)</f>
        <v>2</v>
      </c>
      <c r="L3556" s="3" t="n">
        <f aca="false">IF(COUNTIFS($B$2:B3556,B3556,$C$2:C3556,C3556,$I$2:I3556,I3556)=1,1,0)</f>
        <v>0</v>
      </c>
      <c r="M3556" s="3" t="n">
        <f aca="false">IF(K3556&gt;=Parametri!$B$1,1,0)</f>
        <v>1</v>
      </c>
      <c r="N3556" s="3" t="n">
        <f aca="false">L3556*M3556</f>
        <v>0</v>
      </c>
    </row>
    <row r="3557" customFormat="false" ht="15" hidden="false" customHeight="false" outlineLevel="0" collapsed="false">
      <c r="A3557" s="0" t="s">
        <v>5267</v>
      </c>
      <c r="B3557" s="0" t="s">
        <v>68</v>
      </c>
      <c r="C3557" s="0" t="s">
        <v>438</v>
      </c>
      <c r="D3557" s="0" t="s">
        <v>26</v>
      </c>
      <c r="E3557" s="2" t="n">
        <v>45874</v>
      </c>
      <c r="F3557" s="3" t="s">
        <v>34</v>
      </c>
      <c r="G3557" s="3" t="s">
        <v>35</v>
      </c>
      <c r="H3557" s="3" t="s">
        <v>29</v>
      </c>
      <c r="I3557" s="3" t="n">
        <f aca="false">YEAR(E3557)</f>
        <v>2025</v>
      </c>
      <c r="J3557" s="3" t="n">
        <f aca="false">MONTH(E3557)</f>
        <v>8</v>
      </c>
      <c r="K3557" s="3" t="n">
        <f aca="false">COUNTIFS($B$2:$B$4077,B3557,$C$2:$C$4077,C3557,$I$2:$I$4077,I3557)</f>
        <v>4</v>
      </c>
      <c r="L3557" s="3" t="n">
        <f aca="false">IF(COUNTIFS($B$2:B3557,B3557,$C$2:C3557,C3557,$I$2:I3557,I3557)=1,1,0)</f>
        <v>0</v>
      </c>
      <c r="M3557" s="3" t="n">
        <f aca="false">IF(K3557&gt;=Parametri!$B$1,1,0)</f>
        <v>1</v>
      </c>
      <c r="N3557" s="3" t="n">
        <f aca="false">L3557*M3557</f>
        <v>0</v>
      </c>
    </row>
    <row r="3558" customFormat="false" ht="15" hidden="false" customHeight="false" outlineLevel="0" collapsed="false">
      <c r="A3558" s="0" t="s">
        <v>5268</v>
      </c>
      <c r="B3558" s="0" t="s">
        <v>124</v>
      </c>
      <c r="C3558" s="0" t="s">
        <v>3585</v>
      </c>
      <c r="D3558" s="0" t="s">
        <v>77</v>
      </c>
      <c r="E3558" s="2" t="n">
        <v>46165</v>
      </c>
      <c r="F3558" s="3" t="s">
        <v>34</v>
      </c>
      <c r="G3558" s="3" t="s">
        <v>72</v>
      </c>
      <c r="H3558" s="3" t="s">
        <v>44</v>
      </c>
      <c r="I3558" s="3" t="n">
        <f aca="false">YEAR(E3558)</f>
        <v>2026</v>
      </c>
      <c r="J3558" s="3" t="n">
        <f aca="false">MONTH(E3558)</f>
        <v>5</v>
      </c>
      <c r="K3558" s="3" t="n">
        <f aca="false">COUNTIFS($B$2:$B$4077,B3558,$C$2:$C$4077,C3558,$I$2:$I$4077,I3558)</f>
        <v>3</v>
      </c>
      <c r="L3558" s="3" t="n">
        <f aca="false">IF(COUNTIFS($B$2:B3558,B3558,$C$2:C3558,C3558,$I$2:I3558,I3558)=1,1,0)</f>
        <v>0</v>
      </c>
      <c r="M3558" s="3" t="n">
        <f aca="false">IF(K3558&gt;=Parametri!$B$1,1,0)</f>
        <v>1</v>
      </c>
      <c r="N3558" s="3" t="n">
        <f aca="false">L3558*M3558</f>
        <v>0</v>
      </c>
    </row>
    <row r="3559" customFormat="false" ht="15" hidden="false" customHeight="false" outlineLevel="0" collapsed="false">
      <c r="A3559" s="0" t="s">
        <v>5269</v>
      </c>
      <c r="B3559" s="0" t="s">
        <v>57</v>
      </c>
      <c r="C3559" s="0" t="s">
        <v>2747</v>
      </c>
      <c r="D3559" s="0" t="s">
        <v>33</v>
      </c>
      <c r="E3559" s="2" t="n">
        <v>45483</v>
      </c>
      <c r="F3559" s="3" t="s">
        <v>20</v>
      </c>
      <c r="G3559" s="3" t="s">
        <v>89</v>
      </c>
      <c r="H3559" s="3" t="s">
        <v>44</v>
      </c>
      <c r="I3559" s="3" t="n">
        <f aca="false">YEAR(E3559)</f>
        <v>2024</v>
      </c>
      <c r="J3559" s="3" t="n">
        <f aca="false">MONTH(E3559)</f>
        <v>7</v>
      </c>
      <c r="K3559" s="3" t="n">
        <f aca="false">COUNTIFS($B$2:$B$4077,B3559,$C$2:$C$4077,C3559,$I$2:$I$4077,I3559)</f>
        <v>1</v>
      </c>
      <c r="L3559" s="3" t="n">
        <f aca="false">IF(COUNTIFS($B$2:B3559,B3559,$C$2:C3559,C3559,$I$2:I3559,I3559)=1,1,0)</f>
        <v>1</v>
      </c>
      <c r="M3559" s="3" t="n">
        <f aca="false">IF(K3559&gt;=Parametri!$B$1,1,0)</f>
        <v>0</v>
      </c>
      <c r="N3559" s="3" t="n">
        <f aca="false">L3559*M3559</f>
        <v>0</v>
      </c>
    </row>
    <row r="3560" customFormat="false" ht="15" hidden="false" customHeight="false" outlineLevel="0" collapsed="false">
      <c r="A3560" s="0" t="s">
        <v>5270</v>
      </c>
      <c r="B3560" s="0" t="s">
        <v>124</v>
      </c>
      <c r="C3560" s="0" t="s">
        <v>917</v>
      </c>
      <c r="D3560" s="0" t="s">
        <v>54</v>
      </c>
      <c r="E3560" s="2" t="n">
        <v>45531</v>
      </c>
      <c r="F3560" s="3" t="s">
        <v>20</v>
      </c>
      <c r="G3560" s="3" t="s">
        <v>39</v>
      </c>
      <c r="H3560" s="3" t="s">
        <v>29</v>
      </c>
      <c r="I3560" s="3" t="n">
        <f aca="false">YEAR(E3560)</f>
        <v>2024</v>
      </c>
      <c r="J3560" s="3" t="n">
        <f aca="false">MONTH(E3560)</f>
        <v>8</v>
      </c>
      <c r="K3560" s="3" t="n">
        <f aca="false">COUNTIFS($B$2:$B$4077,B3560,$C$2:$C$4077,C3560,$I$2:$I$4077,I3560)</f>
        <v>1</v>
      </c>
      <c r="L3560" s="3" t="n">
        <f aca="false">IF(COUNTIFS($B$2:B3560,B3560,$C$2:C3560,C3560,$I$2:I3560,I3560)=1,1,0)</f>
        <v>1</v>
      </c>
      <c r="M3560" s="3" t="n">
        <f aca="false">IF(K3560&gt;=Parametri!$B$1,1,0)</f>
        <v>0</v>
      </c>
      <c r="N3560" s="3" t="n">
        <f aca="false">L3560*M3560</f>
        <v>0</v>
      </c>
    </row>
    <row r="3561" customFormat="false" ht="15" hidden="false" customHeight="false" outlineLevel="0" collapsed="false">
      <c r="A3561" s="0" t="s">
        <v>5271</v>
      </c>
      <c r="B3561" s="0" t="s">
        <v>24</v>
      </c>
      <c r="C3561" s="0" t="s">
        <v>5272</v>
      </c>
      <c r="D3561" s="0" t="s">
        <v>33</v>
      </c>
      <c r="E3561" s="2" t="n">
        <v>46004</v>
      </c>
      <c r="F3561" s="3" t="s">
        <v>20</v>
      </c>
      <c r="G3561" s="3" t="s">
        <v>89</v>
      </c>
      <c r="H3561" s="3" t="s">
        <v>29</v>
      </c>
      <c r="I3561" s="3" t="n">
        <f aca="false">YEAR(E3561)</f>
        <v>2025</v>
      </c>
      <c r="J3561" s="3" t="n">
        <f aca="false">MONTH(E3561)</f>
        <v>12</v>
      </c>
      <c r="K3561" s="3" t="n">
        <f aca="false">COUNTIFS($B$2:$B$4077,B3561,$C$2:$C$4077,C3561,$I$2:$I$4077,I3561)</f>
        <v>1</v>
      </c>
      <c r="L3561" s="3" t="n">
        <f aca="false">IF(COUNTIFS($B$2:B3561,B3561,$C$2:C3561,C3561,$I$2:I3561,I3561)=1,1,0)</f>
        <v>1</v>
      </c>
      <c r="M3561" s="3" t="n">
        <f aca="false">IF(K3561&gt;=Parametri!$B$1,1,0)</f>
        <v>0</v>
      </c>
      <c r="N3561" s="3" t="n">
        <f aca="false">L3561*M3561</f>
        <v>0</v>
      </c>
    </row>
    <row r="3562" customFormat="false" ht="15" hidden="false" customHeight="false" outlineLevel="0" collapsed="false">
      <c r="A3562" s="0" t="s">
        <v>5273</v>
      </c>
      <c r="B3562" s="0" t="s">
        <v>50</v>
      </c>
      <c r="C3562" s="0" t="s">
        <v>2191</v>
      </c>
      <c r="D3562" s="0" t="s">
        <v>63</v>
      </c>
      <c r="E3562" s="2" t="n">
        <v>45394</v>
      </c>
      <c r="F3562" s="3" t="s">
        <v>20</v>
      </c>
      <c r="G3562" s="3" t="s">
        <v>55</v>
      </c>
      <c r="H3562" s="3" t="s">
        <v>29</v>
      </c>
      <c r="I3562" s="3" t="n">
        <f aca="false">YEAR(E3562)</f>
        <v>2024</v>
      </c>
      <c r="J3562" s="3" t="n">
        <f aca="false">MONTH(E3562)</f>
        <v>4</v>
      </c>
      <c r="K3562" s="3" t="n">
        <f aca="false">COUNTIFS($B$2:$B$4077,B3562,$C$2:$C$4077,C3562,$I$2:$I$4077,I3562)</f>
        <v>1</v>
      </c>
      <c r="L3562" s="3" t="n">
        <f aca="false">IF(COUNTIFS($B$2:B3562,B3562,$C$2:C3562,C3562,$I$2:I3562,I3562)=1,1,0)</f>
        <v>1</v>
      </c>
      <c r="M3562" s="3" t="n">
        <f aca="false">IF(K3562&gt;=Parametri!$B$1,1,0)</f>
        <v>0</v>
      </c>
      <c r="N3562" s="3" t="n">
        <f aca="false">L3562*M3562</f>
        <v>0</v>
      </c>
    </row>
    <row r="3563" customFormat="false" ht="15" hidden="false" customHeight="false" outlineLevel="0" collapsed="false">
      <c r="A3563" s="0" t="s">
        <v>5274</v>
      </c>
      <c r="B3563" s="0" t="s">
        <v>79</v>
      </c>
      <c r="C3563" s="0" t="s">
        <v>331</v>
      </c>
      <c r="D3563" s="0" t="s">
        <v>77</v>
      </c>
      <c r="E3563" s="2" t="n">
        <v>45536</v>
      </c>
      <c r="F3563" s="3" t="s">
        <v>34</v>
      </c>
      <c r="G3563" s="3" t="s">
        <v>28</v>
      </c>
      <c r="H3563" s="3" t="s">
        <v>22</v>
      </c>
      <c r="I3563" s="3" t="n">
        <f aca="false">YEAR(E3563)</f>
        <v>2024</v>
      </c>
      <c r="J3563" s="3" t="n">
        <f aca="false">MONTH(E3563)</f>
        <v>9</v>
      </c>
      <c r="K3563" s="3" t="n">
        <f aca="false">COUNTIFS($B$2:$B$4077,B3563,$C$2:$C$4077,C3563,$I$2:$I$4077,I3563)</f>
        <v>3</v>
      </c>
      <c r="L3563" s="3" t="n">
        <f aca="false">IF(COUNTIFS($B$2:B3563,B3563,$C$2:C3563,C3563,$I$2:I3563,I3563)=1,1,0)</f>
        <v>0</v>
      </c>
      <c r="M3563" s="3" t="n">
        <f aca="false">IF(K3563&gt;=Parametri!$B$1,1,0)</f>
        <v>1</v>
      </c>
      <c r="N3563" s="3" t="n">
        <f aca="false">L3563*M3563</f>
        <v>0</v>
      </c>
    </row>
    <row r="3564" customFormat="false" ht="15" hidden="false" customHeight="false" outlineLevel="0" collapsed="false">
      <c r="A3564" s="0" t="s">
        <v>5275</v>
      </c>
      <c r="B3564" s="0" t="s">
        <v>24</v>
      </c>
      <c r="C3564" s="0" t="s">
        <v>295</v>
      </c>
      <c r="D3564" s="0" t="s">
        <v>38</v>
      </c>
      <c r="E3564" s="2" t="n">
        <v>45364</v>
      </c>
      <c r="F3564" s="3" t="s">
        <v>20</v>
      </c>
      <c r="G3564" s="3" t="s">
        <v>43</v>
      </c>
      <c r="H3564" s="3" t="s">
        <v>22</v>
      </c>
      <c r="I3564" s="3" t="n">
        <f aca="false">YEAR(E3564)</f>
        <v>2024</v>
      </c>
      <c r="J3564" s="3" t="n">
        <f aca="false">MONTH(E3564)</f>
        <v>3</v>
      </c>
      <c r="K3564" s="3" t="n">
        <f aca="false">COUNTIFS($B$2:$B$4077,B3564,$C$2:$C$4077,C3564,$I$2:$I$4077,I3564)</f>
        <v>1</v>
      </c>
      <c r="L3564" s="3" t="n">
        <f aca="false">IF(COUNTIFS($B$2:B3564,B3564,$C$2:C3564,C3564,$I$2:I3564,I3564)=1,1,0)</f>
        <v>1</v>
      </c>
      <c r="M3564" s="3" t="n">
        <f aca="false">IF(K3564&gt;=Parametri!$B$1,1,0)</f>
        <v>0</v>
      </c>
      <c r="N3564" s="3" t="n">
        <f aca="false">L3564*M3564</f>
        <v>0</v>
      </c>
    </row>
    <row r="3565" customFormat="false" ht="15" hidden="false" customHeight="false" outlineLevel="0" collapsed="false">
      <c r="A3565" s="0" t="s">
        <v>5276</v>
      </c>
      <c r="B3565" s="0" t="s">
        <v>17</v>
      </c>
      <c r="C3565" s="0" t="s">
        <v>71</v>
      </c>
      <c r="D3565" s="0" t="s">
        <v>33</v>
      </c>
      <c r="E3565" s="2" t="n">
        <v>45768</v>
      </c>
      <c r="F3565" s="3" t="s">
        <v>20</v>
      </c>
      <c r="G3565" s="3" t="s">
        <v>28</v>
      </c>
      <c r="H3565" s="3" t="s">
        <v>48</v>
      </c>
      <c r="I3565" s="3" t="n">
        <f aca="false">YEAR(E3565)</f>
        <v>2025</v>
      </c>
      <c r="J3565" s="3" t="n">
        <f aca="false">MONTH(E3565)</f>
        <v>4</v>
      </c>
      <c r="K3565" s="3" t="n">
        <f aca="false">COUNTIFS($B$2:$B$4077,B3565,$C$2:$C$4077,C3565,$I$2:$I$4077,I3565)</f>
        <v>2</v>
      </c>
      <c r="L3565" s="3" t="n">
        <f aca="false">IF(COUNTIFS($B$2:B3565,B3565,$C$2:C3565,C3565,$I$2:I3565,I3565)=1,1,0)</f>
        <v>0</v>
      </c>
      <c r="M3565" s="3" t="n">
        <f aca="false">IF(K3565&gt;=Parametri!$B$1,1,0)</f>
        <v>1</v>
      </c>
      <c r="N3565" s="3" t="n">
        <f aca="false">L3565*M3565</f>
        <v>0</v>
      </c>
    </row>
    <row r="3566" customFormat="false" ht="15" hidden="false" customHeight="false" outlineLevel="0" collapsed="false">
      <c r="A3566" s="0" t="s">
        <v>5277</v>
      </c>
      <c r="B3566" s="0" t="s">
        <v>46</v>
      </c>
      <c r="C3566" s="0" t="s">
        <v>1883</v>
      </c>
      <c r="D3566" s="0" t="s">
        <v>54</v>
      </c>
      <c r="E3566" s="2" t="n">
        <v>45955</v>
      </c>
      <c r="F3566" s="3" t="s">
        <v>34</v>
      </c>
      <c r="G3566" s="3" t="s">
        <v>55</v>
      </c>
      <c r="H3566" s="3" t="s">
        <v>22</v>
      </c>
      <c r="I3566" s="3" t="n">
        <f aca="false">YEAR(E3566)</f>
        <v>2025</v>
      </c>
      <c r="J3566" s="3" t="n">
        <f aca="false">MONTH(E3566)</f>
        <v>10</v>
      </c>
      <c r="K3566" s="3" t="n">
        <f aca="false">COUNTIFS($B$2:$B$4077,B3566,$C$2:$C$4077,C3566,$I$2:$I$4077,I3566)</f>
        <v>6</v>
      </c>
      <c r="L3566" s="3" t="n">
        <f aca="false">IF(COUNTIFS($B$2:B3566,B3566,$C$2:C3566,C3566,$I$2:I3566,I3566)=1,1,0)</f>
        <v>0</v>
      </c>
      <c r="M3566" s="3" t="n">
        <f aca="false">IF(K3566&gt;=Parametri!$B$1,1,0)</f>
        <v>1</v>
      </c>
      <c r="N3566" s="3" t="n">
        <f aca="false">L3566*M3566</f>
        <v>0</v>
      </c>
    </row>
    <row r="3567" customFormat="false" ht="15" hidden="false" customHeight="false" outlineLevel="0" collapsed="false">
      <c r="A3567" s="0" t="s">
        <v>5278</v>
      </c>
      <c r="B3567" s="0" t="s">
        <v>24</v>
      </c>
      <c r="C3567" s="0" t="s">
        <v>271</v>
      </c>
      <c r="D3567" s="0" t="s">
        <v>77</v>
      </c>
      <c r="E3567" s="2" t="n">
        <v>46108</v>
      </c>
      <c r="F3567" s="3" t="s">
        <v>20</v>
      </c>
      <c r="G3567" s="3" t="s">
        <v>39</v>
      </c>
      <c r="H3567" s="3" t="s">
        <v>44</v>
      </c>
      <c r="I3567" s="3" t="n">
        <f aca="false">YEAR(E3567)</f>
        <v>2026</v>
      </c>
      <c r="J3567" s="3" t="n">
        <f aca="false">MONTH(E3567)</f>
        <v>3</v>
      </c>
      <c r="K3567" s="3" t="n">
        <f aca="false">COUNTIFS($B$2:$B$4077,B3567,$C$2:$C$4077,C3567,$I$2:$I$4077,I3567)</f>
        <v>2</v>
      </c>
      <c r="L3567" s="3" t="n">
        <f aca="false">IF(COUNTIFS($B$2:B3567,B3567,$C$2:C3567,C3567,$I$2:I3567,I3567)=1,1,0)</f>
        <v>0</v>
      </c>
      <c r="M3567" s="3" t="n">
        <f aca="false">IF(K3567&gt;=Parametri!$B$1,1,0)</f>
        <v>1</v>
      </c>
      <c r="N3567" s="3" t="n">
        <f aca="false">L3567*M3567</f>
        <v>0</v>
      </c>
    </row>
    <row r="3568" customFormat="false" ht="15" hidden="false" customHeight="false" outlineLevel="0" collapsed="false">
      <c r="A3568" s="0" t="s">
        <v>5279</v>
      </c>
      <c r="B3568" s="0" t="s">
        <v>124</v>
      </c>
      <c r="C3568" s="0" t="s">
        <v>710</v>
      </c>
      <c r="D3568" s="0" t="s">
        <v>26</v>
      </c>
      <c r="E3568" s="2" t="n">
        <v>45826</v>
      </c>
      <c r="F3568" s="3" t="s">
        <v>20</v>
      </c>
      <c r="G3568" s="3" t="s">
        <v>21</v>
      </c>
      <c r="H3568" s="3" t="s">
        <v>29</v>
      </c>
      <c r="I3568" s="3" t="n">
        <f aca="false">YEAR(E3568)</f>
        <v>2025</v>
      </c>
      <c r="J3568" s="3" t="n">
        <f aca="false">MONTH(E3568)</f>
        <v>6</v>
      </c>
      <c r="K3568" s="3" t="n">
        <f aca="false">COUNTIFS($B$2:$B$4077,B3568,$C$2:$C$4077,C3568,$I$2:$I$4077,I3568)</f>
        <v>8</v>
      </c>
      <c r="L3568" s="3" t="n">
        <f aca="false">IF(COUNTIFS($B$2:B3568,B3568,$C$2:C3568,C3568,$I$2:I3568,I3568)=1,1,0)</f>
        <v>0</v>
      </c>
      <c r="M3568" s="3" t="n">
        <f aca="false">IF(K3568&gt;=Parametri!$B$1,1,0)</f>
        <v>1</v>
      </c>
      <c r="N3568" s="3" t="n">
        <f aca="false">L3568*M3568</f>
        <v>0</v>
      </c>
    </row>
    <row r="3569" customFormat="false" ht="15" hidden="false" customHeight="false" outlineLevel="0" collapsed="false">
      <c r="A3569" s="0" t="s">
        <v>5280</v>
      </c>
      <c r="B3569" s="0" t="s">
        <v>24</v>
      </c>
      <c r="C3569" s="0" t="s">
        <v>1304</v>
      </c>
      <c r="D3569" s="0" t="s">
        <v>63</v>
      </c>
      <c r="E3569" s="2" t="n">
        <v>46061</v>
      </c>
      <c r="F3569" s="3" t="s">
        <v>20</v>
      </c>
      <c r="G3569" s="3" t="s">
        <v>28</v>
      </c>
      <c r="H3569" s="3" t="s">
        <v>29</v>
      </c>
      <c r="I3569" s="3" t="n">
        <f aca="false">YEAR(E3569)</f>
        <v>2026</v>
      </c>
      <c r="J3569" s="3" t="n">
        <f aca="false">MONTH(E3569)</f>
        <v>2</v>
      </c>
      <c r="K3569" s="3" t="n">
        <f aca="false">COUNTIFS($B$2:$B$4077,B3569,$C$2:$C$4077,C3569,$I$2:$I$4077,I3569)</f>
        <v>4</v>
      </c>
      <c r="L3569" s="3" t="n">
        <f aca="false">IF(COUNTIFS($B$2:B3569,B3569,$C$2:C3569,C3569,$I$2:I3569,I3569)=1,1,0)</f>
        <v>0</v>
      </c>
      <c r="M3569" s="3" t="n">
        <f aca="false">IF(K3569&gt;=Parametri!$B$1,1,0)</f>
        <v>1</v>
      </c>
      <c r="N3569" s="3" t="n">
        <f aca="false">L3569*M3569</f>
        <v>0</v>
      </c>
    </row>
    <row r="3570" customFormat="false" ht="15" hidden="false" customHeight="false" outlineLevel="0" collapsed="false">
      <c r="A3570" s="0" t="s">
        <v>5281</v>
      </c>
      <c r="B3570" s="0" t="s">
        <v>17</v>
      </c>
      <c r="C3570" s="0" t="s">
        <v>3521</v>
      </c>
      <c r="D3570" s="0" t="s">
        <v>26</v>
      </c>
      <c r="E3570" s="2" t="n">
        <v>45875</v>
      </c>
      <c r="F3570" s="3" t="s">
        <v>20</v>
      </c>
      <c r="G3570" s="3" t="s">
        <v>28</v>
      </c>
      <c r="H3570" s="3" t="s">
        <v>22</v>
      </c>
      <c r="I3570" s="3" t="n">
        <f aca="false">YEAR(E3570)</f>
        <v>2025</v>
      </c>
      <c r="J3570" s="3" t="n">
        <f aca="false">MONTH(E3570)</f>
        <v>8</v>
      </c>
      <c r="K3570" s="3" t="n">
        <f aca="false">COUNTIFS($B$2:$B$4077,B3570,$C$2:$C$4077,C3570,$I$2:$I$4077,I3570)</f>
        <v>1</v>
      </c>
      <c r="L3570" s="3" t="n">
        <f aca="false">IF(COUNTIFS($B$2:B3570,B3570,$C$2:C3570,C3570,$I$2:I3570,I3570)=1,1,0)</f>
        <v>1</v>
      </c>
      <c r="M3570" s="3" t="n">
        <f aca="false">IF(K3570&gt;=Parametri!$B$1,1,0)</f>
        <v>0</v>
      </c>
      <c r="N3570" s="3" t="n">
        <f aca="false">L3570*M3570</f>
        <v>0</v>
      </c>
    </row>
    <row r="3571" customFormat="false" ht="15" hidden="false" customHeight="false" outlineLevel="0" collapsed="false">
      <c r="A3571" s="0" t="s">
        <v>5282</v>
      </c>
      <c r="B3571" s="0" t="s">
        <v>46</v>
      </c>
      <c r="C3571" s="0" t="s">
        <v>1512</v>
      </c>
      <c r="D3571" s="0" t="s">
        <v>63</v>
      </c>
      <c r="E3571" s="2" t="n">
        <v>46137</v>
      </c>
      <c r="F3571" s="3" t="s">
        <v>20</v>
      </c>
      <c r="G3571" s="3" t="s">
        <v>72</v>
      </c>
      <c r="H3571" s="3" t="s">
        <v>44</v>
      </c>
      <c r="I3571" s="3" t="n">
        <f aca="false">YEAR(E3571)</f>
        <v>2026</v>
      </c>
      <c r="J3571" s="3" t="n">
        <f aca="false">MONTH(E3571)</f>
        <v>4</v>
      </c>
      <c r="K3571" s="3" t="n">
        <f aca="false">COUNTIFS($B$2:$B$4077,B3571,$C$2:$C$4077,C3571,$I$2:$I$4077,I3571)</f>
        <v>2</v>
      </c>
      <c r="L3571" s="3" t="n">
        <f aca="false">IF(COUNTIFS($B$2:B3571,B3571,$C$2:C3571,C3571,$I$2:I3571,I3571)=1,1,0)</f>
        <v>0</v>
      </c>
      <c r="M3571" s="3" t="n">
        <f aca="false">IF(K3571&gt;=Parametri!$B$1,1,0)</f>
        <v>1</v>
      </c>
      <c r="N3571" s="3" t="n">
        <f aca="false">L3571*M3571</f>
        <v>0</v>
      </c>
    </row>
    <row r="3572" customFormat="false" ht="15" hidden="false" customHeight="false" outlineLevel="0" collapsed="false">
      <c r="A3572" s="0" t="s">
        <v>5283</v>
      </c>
      <c r="B3572" s="0" t="s">
        <v>79</v>
      </c>
      <c r="C3572" s="0" t="s">
        <v>3381</v>
      </c>
      <c r="D3572" s="0" t="s">
        <v>19</v>
      </c>
      <c r="E3572" s="2" t="n">
        <v>45728</v>
      </c>
      <c r="F3572" s="3" t="s">
        <v>20</v>
      </c>
      <c r="G3572" s="3" t="s">
        <v>35</v>
      </c>
      <c r="H3572" s="3" t="s">
        <v>22</v>
      </c>
      <c r="I3572" s="3" t="n">
        <f aca="false">YEAR(E3572)</f>
        <v>2025</v>
      </c>
      <c r="J3572" s="3" t="n">
        <f aca="false">MONTH(E3572)</f>
        <v>3</v>
      </c>
      <c r="K3572" s="3" t="n">
        <f aca="false">COUNTIFS($B$2:$B$4077,B3572,$C$2:$C$4077,C3572,$I$2:$I$4077,I3572)</f>
        <v>2</v>
      </c>
      <c r="L3572" s="3" t="n">
        <f aca="false">IF(COUNTIFS($B$2:B3572,B3572,$C$2:C3572,C3572,$I$2:I3572,I3572)=1,1,0)</f>
        <v>0</v>
      </c>
      <c r="M3572" s="3" t="n">
        <f aca="false">IF(K3572&gt;=Parametri!$B$1,1,0)</f>
        <v>1</v>
      </c>
      <c r="N3572" s="3" t="n">
        <f aca="false">L3572*M3572</f>
        <v>0</v>
      </c>
    </row>
    <row r="3573" customFormat="false" ht="15" hidden="false" customHeight="false" outlineLevel="0" collapsed="false">
      <c r="A3573" s="0" t="s">
        <v>5284</v>
      </c>
      <c r="B3573" s="0" t="s">
        <v>124</v>
      </c>
      <c r="C3573" s="0" t="s">
        <v>2810</v>
      </c>
      <c r="D3573" s="0" t="s">
        <v>77</v>
      </c>
      <c r="E3573" s="2" t="n">
        <v>45383</v>
      </c>
      <c r="F3573" s="3" t="s">
        <v>27</v>
      </c>
      <c r="G3573" s="3" t="s">
        <v>21</v>
      </c>
      <c r="H3573" s="3" t="s">
        <v>22</v>
      </c>
      <c r="I3573" s="3" t="n">
        <f aca="false">YEAR(E3573)</f>
        <v>2024</v>
      </c>
      <c r="J3573" s="3" t="n">
        <f aca="false">MONTH(E3573)</f>
        <v>4</v>
      </c>
      <c r="K3573" s="3" t="n">
        <f aca="false">COUNTIFS($B$2:$B$4077,B3573,$C$2:$C$4077,C3573,$I$2:$I$4077,I3573)</f>
        <v>1</v>
      </c>
      <c r="L3573" s="3" t="n">
        <f aca="false">IF(COUNTIFS($B$2:B3573,B3573,$C$2:C3573,C3573,$I$2:I3573,I3573)=1,1,0)</f>
        <v>1</v>
      </c>
      <c r="M3573" s="3" t="n">
        <f aca="false">IF(K3573&gt;=Parametri!$B$1,1,0)</f>
        <v>0</v>
      </c>
      <c r="N3573" s="3" t="n">
        <f aca="false">L3573*M3573</f>
        <v>0</v>
      </c>
    </row>
    <row r="3574" customFormat="false" ht="15" hidden="false" customHeight="false" outlineLevel="0" collapsed="false">
      <c r="A3574" s="0" t="s">
        <v>5285</v>
      </c>
      <c r="B3574" s="0" t="s">
        <v>41</v>
      </c>
      <c r="C3574" s="0" t="s">
        <v>5286</v>
      </c>
      <c r="D3574" s="0" t="s">
        <v>54</v>
      </c>
      <c r="E3574" s="2" t="n">
        <v>45500</v>
      </c>
      <c r="F3574" s="3" t="s">
        <v>20</v>
      </c>
      <c r="G3574" s="3" t="s">
        <v>21</v>
      </c>
      <c r="H3574" s="3" t="s">
        <v>22</v>
      </c>
      <c r="I3574" s="3" t="n">
        <f aca="false">YEAR(E3574)</f>
        <v>2024</v>
      </c>
      <c r="J3574" s="3" t="n">
        <f aca="false">MONTH(E3574)</f>
        <v>7</v>
      </c>
      <c r="K3574" s="3" t="n">
        <f aca="false">COUNTIFS($B$2:$B$4077,B3574,$C$2:$C$4077,C3574,$I$2:$I$4077,I3574)</f>
        <v>1</v>
      </c>
      <c r="L3574" s="3" t="n">
        <f aca="false">IF(COUNTIFS($B$2:B3574,B3574,$C$2:C3574,C3574,$I$2:I3574,I3574)=1,1,0)</f>
        <v>1</v>
      </c>
      <c r="M3574" s="3" t="n">
        <f aca="false">IF(K3574&gt;=Parametri!$B$1,1,0)</f>
        <v>0</v>
      </c>
      <c r="N3574" s="3" t="n">
        <f aca="false">L3574*M3574</f>
        <v>0</v>
      </c>
    </row>
    <row r="3575" customFormat="false" ht="15" hidden="false" customHeight="false" outlineLevel="0" collapsed="false">
      <c r="A3575" s="0" t="s">
        <v>5287</v>
      </c>
      <c r="B3575" s="0" t="s">
        <v>24</v>
      </c>
      <c r="C3575" s="0" t="s">
        <v>768</v>
      </c>
      <c r="D3575" s="0" t="s">
        <v>77</v>
      </c>
      <c r="E3575" s="2" t="n">
        <v>45424</v>
      </c>
      <c r="F3575" s="3" t="s">
        <v>20</v>
      </c>
      <c r="G3575" s="3" t="s">
        <v>21</v>
      </c>
      <c r="H3575" s="3" t="s">
        <v>48</v>
      </c>
      <c r="I3575" s="3" t="n">
        <f aca="false">YEAR(E3575)</f>
        <v>2024</v>
      </c>
      <c r="J3575" s="3" t="n">
        <f aca="false">MONTH(E3575)</f>
        <v>5</v>
      </c>
      <c r="K3575" s="3" t="n">
        <f aca="false">COUNTIFS($B$2:$B$4077,B3575,$C$2:$C$4077,C3575,$I$2:$I$4077,I3575)</f>
        <v>3</v>
      </c>
      <c r="L3575" s="3" t="n">
        <f aca="false">IF(COUNTIFS($B$2:B3575,B3575,$C$2:C3575,C3575,$I$2:I3575,I3575)=1,1,0)</f>
        <v>0</v>
      </c>
      <c r="M3575" s="3" t="n">
        <f aca="false">IF(K3575&gt;=Parametri!$B$1,1,0)</f>
        <v>1</v>
      </c>
      <c r="N3575" s="3" t="n">
        <f aca="false">L3575*M3575</f>
        <v>0</v>
      </c>
    </row>
    <row r="3576" customFormat="false" ht="15" hidden="false" customHeight="false" outlineLevel="0" collapsed="false">
      <c r="A3576" s="0" t="s">
        <v>5288</v>
      </c>
      <c r="B3576" s="0" t="s">
        <v>41</v>
      </c>
      <c r="C3576" s="0" t="s">
        <v>4814</v>
      </c>
      <c r="D3576" s="0" t="s">
        <v>66</v>
      </c>
      <c r="E3576" s="2" t="n">
        <v>45733</v>
      </c>
      <c r="F3576" s="3" t="s">
        <v>20</v>
      </c>
      <c r="G3576" s="3" t="s">
        <v>21</v>
      </c>
      <c r="H3576" s="3" t="s">
        <v>44</v>
      </c>
      <c r="I3576" s="3" t="n">
        <f aca="false">YEAR(E3576)</f>
        <v>2025</v>
      </c>
      <c r="J3576" s="3" t="n">
        <f aca="false">MONTH(E3576)</f>
        <v>3</v>
      </c>
      <c r="K3576" s="3" t="n">
        <f aca="false">COUNTIFS($B$2:$B$4077,B3576,$C$2:$C$4077,C3576,$I$2:$I$4077,I3576)</f>
        <v>3</v>
      </c>
      <c r="L3576" s="3" t="n">
        <f aca="false">IF(COUNTIFS($B$2:B3576,B3576,$C$2:C3576,C3576,$I$2:I3576,I3576)=1,1,0)</f>
        <v>0</v>
      </c>
      <c r="M3576" s="3" t="n">
        <f aca="false">IF(K3576&gt;=Parametri!$B$1,1,0)</f>
        <v>1</v>
      </c>
      <c r="N3576" s="3" t="n">
        <f aca="false">L3576*M3576</f>
        <v>0</v>
      </c>
    </row>
    <row r="3577" customFormat="false" ht="15" hidden="false" customHeight="false" outlineLevel="0" collapsed="false">
      <c r="A3577" s="0" t="s">
        <v>5289</v>
      </c>
      <c r="B3577" s="0" t="s">
        <v>17</v>
      </c>
      <c r="C3577" s="0" t="s">
        <v>406</v>
      </c>
      <c r="D3577" s="0" t="s">
        <v>26</v>
      </c>
      <c r="E3577" s="2" t="n">
        <v>45566</v>
      </c>
      <c r="F3577" s="3" t="s">
        <v>34</v>
      </c>
      <c r="G3577" s="3" t="s">
        <v>55</v>
      </c>
      <c r="H3577" s="3" t="s">
        <v>48</v>
      </c>
      <c r="I3577" s="3" t="n">
        <f aca="false">YEAR(E3577)</f>
        <v>2024</v>
      </c>
      <c r="J3577" s="3" t="n">
        <f aca="false">MONTH(E3577)</f>
        <v>10</v>
      </c>
      <c r="K3577" s="3" t="n">
        <f aca="false">COUNTIFS($B$2:$B$4077,B3577,$C$2:$C$4077,C3577,$I$2:$I$4077,I3577)</f>
        <v>1</v>
      </c>
      <c r="L3577" s="3" t="n">
        <f aca="false">IF(COUNTIFS($B$2:B3577,B3577,$C$2:C3577,C3577,$I$2:I3577,I3577)=1,1,0)</f>
        <v>1</v>
      </c>
      <c r="M3577" s="3" t="n">
        <f aca="false">IF(K3577&gt;=Parametri!$B$1,1,0)</f>
        <v>0</v>
      </c>
      <c r="N3577" s="3" t="n">
        <f aca="false">L3577*M3577</f>
        <v>0</v>
      </c>
    </row>
    <row r="3578" customFormat="false" ht="15" hidden="false" customHeight="false" outlineLevel="0" collapsed="false">
      <c r="A3578" s="0" t="s">
        <v>5290</v>
      </c>
      <c r="B3578" s="0" t="s">
        <v>24</v>
      </c>
      <c r="C3578" s="0" t="s">
        <v>82</v>
      </c>
      <c r="D3578" s="0" t="s">
        <v>77</v>
      </c>
      <c r="E3578" s="2" t="n">
        <v>45881</v>
      </c>
      <c r="F3578" s="3" t="s">
        <v>27</v>
      </c>
      <c r="G3578" s="3" t="s">
        <v>55</v>
      </c>
      <c r="H3578" s="3" t="s">
        <v>22</v>
      </c>
      <c r="I3578" s="3" t="n">
        <f aca="false">YEAR(E3578)</f>
        <v>2025</v>
      </c>
      <c r="J3578" s="3" t="n">
        <f aca="false">MONTH(E3578)</f>
        <v>8</v>
      </c>
      <c r="K3578" s="3" t="n">
        <f aca="false">COUNTIFS($B$2:$B$4077,B3578,$C$2:$C$4077,C3578,$I$2:$I$4077,I3578)</f>
        <v>1</v>
      </c>
      <c r="L3578" s="3" t="n">
        <f aca="false">IF(COUNTIFS($B$2:B3578,B3578,$C$2:C3578,C3578,$I$2:I3578,I3578)=1,1,0)</f>
        <v>1</v>
      </c>
      <c r="M3578" s="3" t="n">
        <f aca="false">IF(K3578&gt;=Parametri!$B$1,1,0)</f>
        <v>0</v>
      </c>
      <c r="N3578" s="3" t="n">
        <f aca="false">L3578*M3578</f>
        <v>0</v>
      </c>
    </row>
    <row r="3579" customFormat="false" ht="15" hidden="false" customHeight="false" outlineLevel="0" collapsed="false">
      <c r="A3579" s="0" t="s">
        <v>5291</v>
      </c>
      <c r="B3579" s="0" t="s">
        <v>50</v>
      </c>
      <c r="C3579" s="0" t="s">
        <v>3251</v>
      </c>
      <c r="D3579" s="0" t="s">
        <v>26</v>
      </c>
      <c r="E3579" s="2" t="n">
        <v>45549</v>
      </c>
      <c r="F3579" s="3" t="s">
        <v>34</v>
      </c>
      <c r="G3579" s="3" t="s">
        <v>55</v>
      </c>
      <c r="H3579" s="3" t="s">
        <v>44</v>
      </c>
      <c r="I3579" s="3" t="n">
        <f aca="false">YEAR(E3579)</f>
        <v>2024</v>
      </c>
      <c r="J3579" s="3" t="n">
        <f aca="false">MONTH(E3579)</f>
        <v>9</v>
      </c>
      <c r="K3579" s="3" t="n">
        <f aca="false">COUNTIFS($B$2:$B$4077,B3579,$C$2:$C$4077,C3579,$I$2:$I$4077,I3579)</f>
        <v>4</v>
      </c>
      <c r="L3579" s="3" t="n">
        <f aca="false">IF(COUNTIFS($B$2:B3579,B3579,$C$2:C3579,C3579,$I$2:I3579,I3579)=1,1,0)</f>
        <v>0</v>
      </c>
      <c r="M3579" s="3" t="n">
        <f aca="false">IF(K3579&gt;=Parametri!$B$1,1,0)</f>
        <v>1</v>
      </c>
      <c r="N3579" s="3" t="n">
        <f aca="false">L3579*M3579</f>
        <v>0</v>
      </c>
    </row>
    <row r="3580" customFormat="false" ht="15" hidden="false" customHeight="false" outlineLevel="0" collapsed="false">
      <c r="A3580" s="0" t="s">
        <v>5292</v>
      </c>
      <c r="B3580" s="0" t="s">
        <v>41</v>
      </c>
      <c r="C3580" s="0" t="s">
        <v>3269</v>
      </c>
      <c r="D3580" s="0" t="s">
        <v>26</v>
      </c>
      <c r="E3580" s="2" t="n">
        <v>45380</v>
      </c>
      <c r="F3580" s="3" t="s">
        <v>27</v>
      </c>
      <c r="G3580" s="3" t="s">
        <v>39</v>
      </c>
      <c r="H3580" s="3" t="s">
        <v>29</v>
      </c>
      <c r="I3580" s="3" t="n">
        <f aca="false">YEAR(E3580)</f>
        <v>2024</v>
      </c>
      <c r="J3580" s="3" t="n">
        <f aca="false">MONTH(E3580)</f>
        <v>3</v>
      </c>
      <c r="K3580" s="3" t="n">
        <f aca="false">COUNTIFS($B$2:$B$4077,B3580,$C$2:$C$4077,C3580,$I$2:$I$4077,I3580)</f>
        <v>1</v>
      </c>
      <c r="L3580" s="3" t="n">
        <f aca="false">IF(COUNTIFS($B$2:B3580,B3580,$C$2:C3580,C3580,$I$2:I3580,I3580)=1,1,0)</f>
        <v>1</v>
      </c>
      <c r="M3580" s="3" t="n">
        <f aca="false">IF(K3580&gt;=Parametri!$B$1,1,0)</f>
        <v>0</v>
      </c>
      <c r="N3580" s="3" t="n">
        <f aca="false">L3580*M3580</f>
        <v>0</v>
      </c>
    </row>
    <row r="3581" customFormat="false" ht="15" hidden="false" customHeight="false" outlineLevel="0" collapsed="false">
      <c r="A3581" s="0" t="s">
        <v>5293</v>
      </c>
      <c r="B3581" s="0" t="s">
        <v>79</v>
      </c>
      <c r="C3581" s="0" t="s">
        <v>1073</v>
      </c>
      <c r="D3581" s="0" t="s">
        <v>77</v>
      </c>
      <c r="E3581" s="2" t="n">
        <v>45424</v>
      </c>
      <c r="F3581" s="3" t="s">
        <v>20</v>
      </c>
      <c r="G3581" s="3" t="s">
        <v>21</v>
      </c>
      <c r="H3581" s="3" t="s">
        <v>44</v>
      </c>
      <c r="I3581" s="3" t="n">
        <f aca="false">YEAR(E3581)</f>
        <v>2024</v>
      </c>
      <c r="J3581" s="3" t="n">
        <f aca="false">MONTH(E3581)</f>
        <v>5</v>
      </c>
      <c r="K3581" s="3" t="n">
        <f aca="false">COUNTIFS($B$2:$B$4077,B3581,$C$2:$C$4077,C3581,$I$2:$I$4077,I3581)</f>
        <v>2</v>
      </c>
      <c r="L3581" s="3" t="n">
        <f aca="false">IF(COUNTIFS($B$2:B3581,B3581,$C$2:C3581,C3581,$I$2:I3581,I3581)=1,1,0)</f>
        <v>0</v>
      </c>
      <c r="M3581" s="3" t="n">
        <f aca="false">IF(K3581&gt;=Parametri!$B$1,1,0)</f>
        <v>1</v>
      </c>
      <c r="N3581" s="3" t="n">
        <f aca="false">L3581*M3581</f>
        <v>0</v>
      </c>
    </row>
    <row r="3582" customFormat="false" ht="15" hidden="false" customHeight="false" outlineLevel="0" collapsed="false">
      <c r="A3582" s="0" t="s">
        <v>5294</v>
      </c>
      <c r="B3582" s="0" t="s">
        <v>124</v>
      </c>
      <c r="C3582" s="0" t="s">
        <v>3840</v>
      </c>
      <c r="D3582" s="0" t="s">
        <v>26</v>
      </c>
      <c r="E3582" s="2" t="n">
        <v>45713</v>
      </c>
      <c r="F3582" s="3" t="s">
        <v>34</v>
      </c>
      <c r="G3582" s="3" t="s">
        <v>35</v>
      </c>
      <c r="H3582" s="3" t="s">
        <v>29</v>
      </c>
      <c r="I3582" s="3" t="n">
        <f aca="false">YEAR(E3582)</f>
        <v>2025</v>
      </c>
      <c r="J3582" s="3" t="n">
        <f aca="false">MONTH(E3582)</f>
        <v>2</v>
      </c>
      <c r="K3582" s="3" t="n">
        <f aca="false">COUNTIFS($B$2:$B$4077,B3582,$C$2:$C$4077,C3582,$I$2:$I$4077,I3582)</f>
        <v>2</v>
      </c>
      <c r="L3582" s="3" t="n">
        <f aca="false">IF(COUNTIFS($B$2:B3582,B3582,$C$2:C3582,C3582,$I$2:I3582,I3582)=1,1,0)</f>
        <v>0</v>
      </c>
      <c r="M3582" s="3" t="n">
        <f aca="false">IF(K3582&gt;=Parametri!$B$1,1,0)</f>
        <v>1</v>
      </c>
      <c r="N3582" s="3" t="n">
        <f aca="false">L3582*M3582</f>
        <v>0</v>
      </c>
    </row>
    <row r="3583" customFormat="false" ht="15" hidden="false" customHeight="false" outlineLevel="0" collapsed="false">
      <c r="A3583" s="0" t="s">
        <v>5295</v>
      </c>
      <c r="B3583" s="0" t="s">
        <v>31</v>
      </c>
      <c r="C3583" s="0" t="s">
        <v>434</v>
      </c>
      <c r="D3583" s="0" t="s">
        <v>77</v>
      </c>
      <c r="E3583" s="2" t="n">
        <v>46062</v>
      </c>
      <c r="F3583" s="3" t="s">
        <v>34</v>
      </c>
      <c r="G3583" s="3" t="s">
        <v>21</v>
      </c>
      <c r="H3583" s="3" t="s">
        <v>44</v>
      </c>
      <c r="I3583" s="3" t="n">
        <f aca="false">YEAR(E3583)</f>
        <v>2026</v>
      </c>
      <c r="J3583" s="3" t="n">
        <f aca="false">MONTH(E3583)</f>
        <v>2</v>
      </c>
      <c r="K3583" s="3" t="n">
        <f aca="false">COUNTIFS($B$2:$B$4077,B3583,$C$2:$C$4077,C3583,$I$2:$I$4077,I3583)</f>
        <v>2</v>
      </c>
      <c r="L3583" s="3" t="n">
        <f aca="false">IF(COUNTIFS($B$2:B3583,B3583,$C$2:C3583,C3583,$I$2:I3583,I3583)=1,1,0)</f>
        <v>0</v>
      </c>
      <c r="M3583" s="3" t="n">
        <f aca="false">IF(K3583&gt;=Parametri!$B$1,1,0)</f>
        <v>1</v>
      </c>
      <c r="N3583" s="3" t="n">
        <f aca="false">L3583*M3583</f>
        <v>0</v>
      </c>
    </row>
    <row r="3584" customFormat="false" ht="15" hidden="false" customHeight="false" outlineLevel="0" collapsed="false">
      <c r="A3584" s="0" t="s">
        <v>5296</v>
      </c>
      <c r="B3584" s="0" t="s">
        <v>124</v>
      </c>
      <c r="C3584" s="0" t="s">
        <v>862</v>
      </c>
      <c r="D3584" s="0" t="s">
        <v>33</v>
      </c>
      <c r="E3584" s="2" t="n">
        <v>45847</v>
      </c>
      <c r="F3584" s="3" t="s">
        <v>34</v>
      </c>
      <c r="G3584" s="3" t="s">
        <v>28</v>
      </c>
      <c r="H3584" s="3" t="s">
        <v>29</v>
      </c>
      <c r="I3584" s="3" t="n">
        <f aca="false">YEAR(E3584)</f>
        <v>2025</v>
      </c>
      <c r="J3584" s="3" t="n">
        <f aca="false">MONTH(E3584)</f>
        <v>7</v>
      </c>
      <c r="K3584" s="3" t="n">
        <f aca="false">COUNTIFS($B$2:$B$4077,B3584,$C$2:$C$4077,C3584,$I$2:$I$4077,I3584)</f>
        <v>3</v>
      </c>
      <c r="L3584" s="3" t="n">
        <f aca="false">IF(COUNTIFS($B$2:B3584,B3584,$C$2:C3584,C3584,$I$2:I3584,I3584)=1,1,0)</f>
        <v>0</v>
      </c>
      <c r="M3584" s="3" t="n">
        <f aca="false">IF(K3584&gt;=Parametri!$B$1,1,0)</f>
        <v>1</v>
      </c>
      <c r="N3584" s="3" t="n">
        <f aca="false">L3584*M3584</f>
        <v>0</v>
      </c>
    </row>
    <row r="3585" customFormat="false" ht="15" hidden="false" customHeight="false" outlineLevel="0" collapsed="false">
      <c r="A3585" s="0" t="s">
        <v>5297</v>
      </c>
      <c r="B3585" s="0" t="s">
        <v>124</v>
      </c>
      <c r="C3585" s="0" t="s">
        <v>4141</v>
      </c>
      <c r="D3585" s="0" t="s">
        <v>33</v>
      </c>
      <c r="E3585" s="2" t="n">
        <v>45393</v>
      </c>
      <c r="F3585" s="3" t="s">
        <v>20</v>
      </c>
      <c r="G3585" s="3" t="s">
        <v>43</v>
      </c>
      <c r="H3585" s="3" t="s">
        <v>29</v>
      </c>
      <c r="I3585" s="3" t="n">
        <f aca="false">YEAR(E3585)</f>
        <v>2024</v>
      </c>
      <c r="J3585" s="3" t="n">
        <f aca="false">MONTH(E3585)</f>
        <v>4</v>
      </c>
      <c r="K3585" s="3" t="n">
        <f aca="false">COUNTIFS($B$2:$B$4077,B3585,$C$2:$C$4077,C3585,$I$2:$I$4077,I3585)</f>
        <v>1</v>
      </c>
      <c r="L3585" s="3" t="n">
        <f aca="false">IF(COUNTIFS($B$2:B3585,B3585,$C$2:C3585,C3585,$I$2:I3585,I3585)=1,1,0)</f>
        <v>1</v>
      </c>
      <c r="M3585" s="3" t="n">
        <f aca="false">IF(K3585&gt;=Parametri!$B$1,1,0)</f>
        <v>0</v>
      </c>
      <c r="N3585" s="3" t="n">
        <f aca="false">L3585*M3585</f>
        <v>0</v>
      </c>
    </row>
    <row r="3586" customFormat="false" ht="15" hidden="false" customHeight="false" outlineLevel="0" collapsed="false">
      <c r="A3586" s="0" t="s">
        <v>5298</v>
      </c>
      <c r="B3586" s="0" t="s">
        <v>41</v>
      </c>
      <c r="C3586" s="0" t="s">
        <v>5151</v>
      </c>
      <c r="D3586" s="0" t="s">
        <v>38</v>
      </c>
      <c r="E3586" s="2" t="n">
        <v>45419</v>
      </c>
      <c r="F3586" s="3" t="s">
        <v>20</v>
      </c>
      <c r="G3586" s="3" t="s">
        <v>72</v>
      </c>
      <c r="H3586" s="3" t="s">
        <v>29</v>
      </c>
      <c r="I3586" s="3" t="n">
        <f aca="false">YEAR(E3586)</f>
        <v>2024</v>
      </c>
      <c r="J3586" s="3" t="n">
        <f aca="false">MONTH(E3586)</f>
        <v>5</v>
      </c>
      <c r="K3586" s="3" t="n">
        <f aca="false">COUNTIFS($B$2:$B$4077,B3586,$C$2:$C$4077,C3586,$I$2:$I$4077,I3586)</f>
        <v>1</v>
      </c>
      <c r="L3586" s="3" t="n">
        <f aca="false">IF(COUNTIFS($B$2:B3586,B3586,$C$2:C3586,C3586,$I$2:I3586,I3586)=1,1,0)</f>
        <v>1</v>
      </c>
      <c r="M3586" s="3" t="n">
        <f aca="false">IF(K3586&gt;=Parametri!$B$1,1,0)</f>
        <v>0</v>
      </c>
      <c r="N3586" s="3" t="n">
        <f aca="false">L3586*M3586</f>
        <v>0</v>
      </c>
    </row>
    <row r="3587" customFormat="false" ht="15" hidden="false" customHeight="false" outlineLevel="0" collapsed="false">
      <c r="A3587" s="0" t="s">
        <v>5299</v>
      </c>
      <c r="B3587" s="0" t="s">
        <v>41</v>
      </c>
      <c r="C3587" s="0" t="s">
        <v>5300</v>
      </c>
      <c r="D3587" s="0" t="s">
        <v>19</v>
      </c>
      <c r="E3587" s="2" t="n">
        <v>45768</v>
      </c>
      <c r="F3587" s="3" t="s">
        <v>20</v>
      </c>
      <c r="G3587" s="3" t="s">
        <v>35</v>
      </c>
      <c r="H3587" s="3" t="s">
        <v>48</v>
      </c>
      <c r="I3587" s="3" t="n">
        <f aca="false">YEAR(E3587)</f>
        <v>2025</v>
      </c>
      <c r="J3587" s="3" t="n">
        <f aca="false">MONTH(E3587)</f>
        <v>4</v>
      </c>
      <c r="K3587" s="3" t="n">
        <f aca="false">COUNTIFS($B$2:$B$4077,B3587,$C$2:$C$4077,C3587,$I$2:$I$4077,I3587)</f>
        <v>1</v>
      </c>
      <c r="L3587" s="3" t="n">
        <f aca="false">IF(COUNTIFS($B$2:B3587,B3587,$C$2:C3587,C3587,$I$2:I3587,I3587)=1,1,0)</f>
        <v>1</v>
      </c>
      <c r="M3587" s="3" t="n">
        <f aca="false">IF(K3587&gt;=Parametri!$B$1,1,0)</f>
        <v>0</v>
      </c>
      <c r="N3587" s="3" t="n">
        <f aca="false">L3587*M3587</f>
        <v>0</v>
      </c>
    </row>
    <row r="3588" customFormat="false" ht="15" hidden="false" customHeight="false" outlineLevel="0" collapsed="false">
      <c r="A3588" s="0" t="s">
        <v>5301</v>
      </c>
      <c r="B3588" s="0" t="s">
        <v>17</v>
      </c>
      <c r="C3588" s="0" t="s">
        <v>791</v>
      </c>
      <c r="D3588" s="0" t="s">
        <v>54</v>
      </c>
      <c r="E3588" s="2" t="n">
        <v>45460</v>
      </c>
      <c r="F3588" s="3" t="s">
        <v>34</v>
      </c>
      <c r="G3588" s="3" t="s">
        <v>89</v>
      </c>
      <c r="H3588" s="3" t="s">
        <v>48</v>
      </c>
      <c r="I3588" s="3" t="n">
        <f aca="false">YEAR(E3588)</f>
        <v>2024</v>
      </c>
      <c r="J3588" s="3" t="n">
        <f aca="false">MONTH(E3588)</f>
        <v>6</v>
      </c>
      <c r="K3588" s="3" t="n">
        <f aca="false">COUNTIFS($B$2:$B$4077,B3588,$C$2:$C$4077,C3588,$I$2:$I$4077,I3588)</f>
        <v>7</v>
      </c>
      <c r="L3588" s="3" t="n">
        <f aca="false">IF(COUNTIFS($B$2:B3588,B3588,$C$2:C3588,C3588,$I$2:I3588,I3588)=1,1,0)</f>
        <v>0</v>
      </c>
      <c r="M3588" s="3" t="n">
        <f aca="false">IF(K3588&gt;=Parametri!$B$1,1,0)</f>
        <v>1</v>
      </c>
      <c r="N3588" s="3" t="n">
        <f aca="false">L3588*M3588</f>
        <v>0</v>
      </c>
    </row>
    <row r="3589" customFormat="false" ht="15" hidden="false" customHeight="false" outlineLevel="0" collapsed="false">
      <c r="A3589" s="0" t="s">
        <v>5302</v>
      </c>
      <c r="B3589" s="0" t="s">
        <v>17</v>
      </c>
      <c r="C3589" s="0" t="s">
        <v>3064</v>
      </c>
      <c r="D3589" s="0" t="s">
        <v>66</v>
      </c>
      <c r="E3589" s="2" t="n">
        <v>46152</v>
      </c>
      <c r="F3589" s="3" t="s">
        <v>20</v>
      </c>
      <c r="G3589" s="3" t="s">
        <v>39</v>
      </c>
      <c r="H3589" s="3" t="s">
        <v>22</v>
      </c>
      <c r="I3589" s="3" t="n">
        <f aca="false">YEAR(E3589)</f>
        <v>2026</v>
      </c>
      <c r="J3589" s="3" t="n">
        <f aca="false">MONTH(E3589)</f>
        <v>5</v>
      </c>
      <c r="K3589" s="3" t="n">
        <f aca="false">COUNTIFS($B$2:$B$4077,B3589,$C$2:$C$4077,C3589,$I$2:$I$4077,I3589)</f>
        <v>1</v>
      </c>
      <c r="L3589" s="3" t="n">
        <f aca="false">IF(COUNTIFS($B$2:B3589,B3589,$C$2:C3589,C3589,$I$2:I3589,I3589)=1,1,0)</f>
        <v>1</v>
      </c>
      <c r="M3589" s="3" t="n">
        <f aca="false">IF(K3589&gt;=Parametri!$B$1,1,0)</f>
        <v>0</v>
      </c>
      <c r="N3589" s="3" t="n">
        <f aca="false">L3589*M3589</f>
        <v>0</v>
      </c>
    </row>
    <row r="3590" customFormat="false" ht="15" hidden="false" customHeight="false" outlineLevel="0" collapsed="false">
      <c r="A3590" s="0" t="s">
        <v>5303</v>
      </c>
      <c r="B3590" s="0" t="s">
        <v>68</v>
      </c>
      <c r="C3590" s="0" t="s">
        <v>5304</v>
      </c>
      <c r="D3590" s="0" t="s">
        <v>33</v>
      </c>
      <c r="E3590" s="2" t="n">
        <v>45360</v>
      </c>
      <c r="F3590" s="3" t="s">
        <v>20</v>
      </c>
      <c r="G3590" s="3" t="s">
        <v>104</v>
      </c>
      <c r="H3590" s="3" t="s">
        <v>104</v>
      </c>
      <c r="I3590" s="3" t="n">
        <f aca="false">YEAR(E3590)</f>
        <v>2024</v>
      </c>
      <c r="J3590" s="3" t="n">
        <f aca="false">MONTH(E3590)</f>
        <v>3</v>
      </c>
      <c r="K3590" s="3" t="n">
        <f aca="false">COUNTIFS($B$2:$B$4077,B3590,$C$2:$C$4077,C3590,$I$2:$I$4077,I3590)</f>
        <v>1</v>
      </c>
      <c r="L3590" s="3" t="n">
        <f aca="false">IF(COUNTIFS($B$2:B3590,B3590,$C$2:C3590,C3590,$I$2:I3590,I3590)=1,1,0)</f>
        <v>1</v>
      </c>
      <c r="M3590" s="3" t="n">
        <f aca="false">IF(K3590&gt;=Parametri!$B$1,1,0)</f>
        <v>0</v>
      </c>
      <c r="N3590" s="3" t="n">
        <f aca="false">L3590*M3590</f>
        <v>0</v>
      </c>
    </row>
    <row r="3591" customFormat="false" ht="15" hidden="false" customHeight="false" outlineLevel="0" collapsed="false">
      <c r="A3591" s="0" t="s">
        <v>5305</v>
      </c>
      <c r="B3591" s="0" t="s">
        <v>50</v>
      </c>
      <c r="C3591" s="0" t="s">
        <v>1436</v>
      </c>
      <c r="D3591" s="0" t="s">
        <v>33</v>
      </c>
      <c r="E3591" s="2" t="n">
        <v>45550</v>
      </c>
      <c r="F3591" s="3" t="s">
        <v>27</v>
      </c>
      <c r="G3591" s="3" t="s">
        <v>89</v>
      </c>
      <c r="H3591" s="3" t="s">
        <v>48</v>
      </c>
      <c r="I3591" s="3" t="n">
        <f aca="false">YEAR(E3591)</f>
        <v>2024</v>
      </c>
      <c r="J3591" s="3" t="n">
        <f aca="false">MONTH(E3591)</f>
        <v>9</v>
      </c>
      <c r="K3591" s="3" t="n">
        <f aca="false">COUNTIFS($B$2:$B$4077,B3591,$C$2:$C$4077,C3591,$I$2:$I$4077,I3591)</f>
        <v>4</v>
      </c>
      <c r="L3591" s="3" t="n">
        <f aca="false">IF(COUNTIFS($B$2:B3591,B3591,$C$2:C3591,C3591,$I$2:I3591,I3591)=1,1,0)</f>
        <v>0</v>
      </c>
      <c r="M3591" s="3" t="n">
        <f aca="false">IF(K3591&gt;=Parametri!$B$1,1,0)</f>
        <v>1</v>
      </c>
      <c r="N3591" s="3" t="n">
        <f aca="false">L3591*M3591</f>
        <v>0</v>
      </c>
    </row>
    <row r="3592" customFormat="false" ht="15" hidden="false" customHeight="false" outlineLevel="0" collapsed="false">
      <c r="A3592" s="0" t="s">
        <v>5306</v>
      </c>
      <c r="B3592" s="0" t="s">
        <v>46</v>
      </c>
      <c r="C3592" s="0" t="s">
        <v>5307</v>
      </c>
      <c r="D3592" s="0" t="s">
        <v>54</v>
      </c>
      <c r="E3592" s="2" t="n">
        <v>45718</v>
      </c>
      <c r="F3592" s="3" t="s">
        <v>27</v>
      </c>
      <c r="G3592" s="3" t="s">
        <v>21</v>
      </c>
      <c r="H3592" s="3" t="s">
        <v>29</v>
      </c>
      <c r="I3592" s="3" t="n">
        <f aca="false">YEAR(E3592)</f>
        <v>2025</v>
      </c>
      <c r="J3592" s="3" t="n">
        <f aca="false">MONTH(E3592)</f>
        <v>3</v>
      </c>
      <c r="K3592" s="3" t="n">
        <f aca="false">COUNTIFS($B$2:$B$4077,B3592,$C$2:$C$4077,C3592,$I$2:$I$4077,I3592)</f>
        <v>1</v>
      </c>
      <c r="L3592" s="3" t="n">
        <f aca="false">IF(COUNTIFS($B$2:B3592,B3592,$C$2:C3592,C3592,$I$2:I3592,I3592)=1,1,0)</f>
        <v>1</v>
      </c>
      <c r="M3592" s="3" t="n">
        <f aca="false">IF(K3592&gt;=Parametri!$B$1,1,0)</f>
        <v>0</v>
      </c>
      <c r="N3592" s="3" t="n">
        <f aca="false">L3592*M3592</f>
        <v>0</v>
      </c>
    </row>
    <row r="3593" customFormat="false" ht="15" hidden="false" customHeight="false" outlineLevel="0" collapsed="false">
      <c r="A3593" s="0" t="s">
        <v>5308</v>
      </c>
      <c r="B3593" s="0" t="s">
        <v>79</v>
      </c>
      <c r="C3593" s="0" t="s">
        <v>4045</v>
      </c>
      <c r="D3593" s="0" t="s">
        <v>26</v>
      </c>
      <c r="E3593" s="2" t="n">
        <v>45385</v>
      </c>
      <c r="F3593" s="3" t="s">
        <v>34</v>
      </c>
      <c r="G3593" s="3" t="s">
        <v>28</v>
      </c>
      <c r="H3593" s="3" t="s">
        <v>48</v>
      </c>
      <c r="I3593" s="3" t="n">
        <f aca="false">YEAR(E3593)</f>
        <v>2024</v>
      </c>
      <c r="J3593" s="3" t="n">
        <f aca="false">MONTH(E3593)</f>
        <v>4</v>
      </c>
      <c r="K3593" s="3" t="n">
        <f aca="false">COUNTIFS($B$2:$B$4077,B3593,$C$2:$C$4077,C3593,$I$2:$I$4077,I3593)</f>
        <v>2</v>
      </c>
      <c r="L3593" s="3" t="n">
        <f aca="false">IF(COUNTIFS($B$2:B3593,B3593,$C$2:C3593,C3593,$I$2:I3593,I3593)=1,1,0)</f>
        <v>0</v>
      </c>
      <c r="M3593" s="3" t="n">
        <f aca="false">IF(K3593&gt;=Parametri!$B$1,1,0)</f>
        <v>1</v>
      </c>
      <c r="N3593" s="3" t="n">
        <f aca="false">L3593*M3593</f>
        <v>0</v>
      </c>
    </row>
    <row r="3594" customFormat="false" ht="15" hidden="false" customHeight="false" outlineLevel="0" collapsed="false">
      <c r="A3594" s="0" t="s">
        <v>5309</v>
      </c>
      <c r="B3594" s="0" t="s">
        <v>17</v>
      </c>
      <c r="C3594" s="0" t="s">
        <v>2986</v>
      </c>
      <c r="D3594" s="0" t="s">
        <v>63</v>
      </c>
      <c r="E3594" s="2" t="n">
        <v>46051</v>
      </c>
      <c r="F3594" s="3" t="s">
        <v>20</v>
      </c>
      <c r="G3594" s="3" t="s">
        <v>43</v>
      </c>
      <c r="H3594" s="3" t="s">
        <v>44</v>
      </c>
      <c r="I3594" s="3" t="n">
        <f aca="false">YEAR(E3594)</f>
        <v>2026</v>
      </c>
      <c r="J3594" s="3" t="n">
        <f aca="false">MONTH(E3594)</f>
        <v>1</v>
      </c>
      <c r="K3594" s="3" t="n">
        <f aca="false">COUNTIFS($B$2:$B$4077,B3594,$C$2:$C$4077,C3594,$I$2:$I$4077,I3594)</f>
        <v>2</v>
      </c>
      <c r="L3594" s="3" t="n">
        <f aca="false">IF(COUNTIFS($B$2:B3594,B3594,$C$2:C3594,C3594,$I$2:I3594,I3594)=1,1,0)</f>
        <v>0</v>
      </c>
      <c r="M3594" s="3" t="n">
        <f aca="false">IF(K3594&gt;=Parametri!$B$1,1,0)</f>
        <v>1</v>
      </c>
      <c r="N3594" s="3" t="n">
        <f aca="false">L3594*M3594</f>
        <v>0</v>
      </c>
    </row>
    <row r="3595" customFormat="false" ht="15" hidden="false" customHeight="false" outlineLevel="0" collapsed="false">
      <c r="A3595" s="0" t="s">
        <v>5310</v>
      </c>
      <c r="B3595" s="0" t="s">
        <v>79</v>
      </c>
      <c r="C3595" s="0" t="s">
        <v>3376</v>
      </c>
      <c r="D3595" s="0" t="s">
        <v>38</v>
      </c>
      <c r="E3595" s="2" t="n">
        <v>46265</v>
      </c>
      <c r="F3595" s="3" t="s">
        <v>20</v>
      </c>
      <c r="G3595" s="3" t="s">
        <v>21</v>
      </c>
      <c r="H3595" s="3" t="s">
        <v>22</v>
      </c>
      <c r="I3595" s="3" t="n">
        <f aca="false">YEAR(E3595)</f>
        <v>2026</v>
      </c>
      <c r="J3595" s="3" t="n">
        <f aca="false">MONTH(E3595)</f>
        <v>8</v>
      </c>
      <c r="K3595" s="3" t="n">
        <f aca="false">COUNTIFS($B$2:$B$4077,B3595,$C$2:$C$4077,C3595,$I$2:$I$4077,I3595)</f>
        <v>2</v>
      </c>
      <c r="L3595" s="3" t="n">
        <f aca="false">IF(COUNTIFS($B$2:B3595,B3595,$C$2:C3595,C3595,$I$2:I3595,I3595)=1,1,0)</f>
        <v>0</v>
      </c>
      <c r="M3595" s="3" t="n">
        <f aca="false">IF(K3595&gt;=Parametri!$B$1,1,0)</f>
        <v>1</v>
      </c>
      <c r="N3595" s="3" t="n">
        <f aca="false">L3595*M3595</f>
        <v>0</v>
      </c>
    </row>
    <row r="3596" customFormat="false" ht="15" hidden="false" customHeight="false" outlineLevel="0" collapsed="false">
      <c r="A3596" s="0" t="s">
        <v>5311</v>
      </c>
      <c r="B3596" s="0" t="s">
        <v>124</v>
      </c>
      <c r="C3596" s="0" t="s">
        <v>5312</v>
      </c>
      <c r="D3596" s="0" t="s">
        <v>33</v>
      </c>
      <c r="E3596" s="2" t="n">
        <v>46073</v>
      </c>
      <c r="F3596" s="3" t="s">
        <v>20</v>
      </c>
      <c r="G3596" s="3" t="s">
        <v>89</v>
      </c>
      <c r="H3596" s="3" t="s">
        <v>22</v>
      </c>
      <c r="I3596" s="3" t="n">
        <f aca="false">YEAR(E3596)</f>
        <v>2026</v>
      </c>
      <c r="J3596" s="3" t="n">
        <f aca="false">MONTH(E3596)</f>
        <v>2</v>
      </c>
      <c r="K3596" s="3" t="n">
        <f aca="false">COUNTIFS($B$2:$B$4077,B3596,$C$2:$C$4077,C3596,$I$2:$I$4077,I3596)</f>
        <v>1</v>
      </c>
      <c r="L3596" s="3" t="n">
        <f aca="false">IF(COUNTIFS($B$2:B3596,B3596,$C$2:C3596,C3596,$I$2:I3596,I3596)=1,1,0)</f>
        <v>1</v>
      </c>
      <c r="M3596" s="3" t="n">
        <f aca="false">IF(K3596&gt;=Parametri!$B$1,1,0)</f>
        <v>0</v>
      </c>
      <c r="N3596" s="3" t="n">
        <f aca="false">L3596*M3596</f>
        <v>0</v>
      </c>
    </row>
    <row r="3597" customFormat="false" ht="15" hidden="false" customHeight="false" outlineLevel="0" collapsed="false">
      <c r="A3597" s="0" t="s">
        <v>5313</v>
      </c>
      <c r="B3597" s="0" t="s">
        <v>68</v>
      </c>
      <c r="C3597" s="0" t="s">
        <v>5314</v>
      </c>
      <c r="D3597" s="0" t="s">
        <v>66</v>
      </c>
      <c r="E3597" s="2" t="n">
        <v>45313</v>
      </c>
      <c r="F3597" s="3" t="s">
        <v>20</v>
      </c>
      <c r="G3597" s="3" t="s">
        <v>35</v>
      </c>
      <c r="H3597" s="3" t="s">
        <v>44</v>
      </c>
      <c r="I3597" s="3" t="n">
        <f aca="false">YEAR(E3597)</f>
        <v>2024</v>
      </c>
      <c r="J3597" s="3" t="n">
        <f aca="false">MONTH(E3597)</f>
        <v>1</v>
      </c>
      <c r="K3597" s="3" t="n">
        <f aca="false">COUNTIFS($B$2:$B$4077,B3597,$C$2:$C$4077,C3597,$I$2:$I$4077,I3597)</f>
        <v>1</v>
      </c>
      <c r="L3597" s="3" t="n">
        <f aca="false">IF(COUNTIFS($B$2:B3597,B3597,$C$2:C3597,C3597,$I$2:I3597,I3597)=1,1,0)</f>
        <v>1</v>
      </c>
      <c r="M3597" s="3" t="n">
        <f aca="false">IF(K3597&gt;=Parametri!$B$1,1,0)</f>
        <v>0</v>
      </c>
      <c r="N3597" s="3" t="n">
        <f aca="false">L3597*M3597</f>
        <v>0</v>
      </c>
    </row>
    <row r="3598" customFormat="false" ht="15" hidden="false" customHeight="false" outlineLevel="0" collapsed="false">
      <c r="A3598" s="0" t="s">
        <v>5315</v>
      </c>
      <c r="B3598" s="0" t="s">
        <v>17</v>
      </c>
      <c r="C3598" s="0" t="s">
        <v>915</v>
      </c>
      <c r="D3598" s="0" t="s">
        <v>33</v>
      </c>
      <c r="E3598" s="2" t="n">
        <v>45402</v>
      </c>
      <c r="F3598" s="3" t="s">
        <v>34</v>
      </c>
      <c r="G3598" s="3" t="s">
        <v>72</v>
      </c>
      <c r="H3598" s="3" t="s">
        <v>48</v>
      </c>
      <c r="I3598" s="3" t="n">
        <f aca="false">YEAR(E3598)</f>
        <v>2024</v>
      </c>
      <c r="J3598" s="3" t="n">
        <f aca="false">MONTH(E3598)</f>
        <v>4</v>
      </c>
      <c r="K3598" s="3" t="n">
        <f aca="false">COUNTIFS($B$2:$B$4077,B3598,$C$2:$C$4077,C3598,$I$2:$I$4077,I3598)</f>
        <v>5</v>
      </c>
      <c r="L3598" s="3" t="n">
        <f aca="false">IF(COUNTIFS($B$2:B3598,B3598,$C$2:C3598,C3598,$I$2:I3598,I3598)=1,1,0)</f>
        <v>0</v>
      </c>
      <c r="M3598" s="3" t="n">
        <f aca="false">IF(K3598&gt;=Parametri!$B$1,1,0)</f>
        <v>1</v>
      </c>
      <c r="N3598" s="3" t="n">
        <f aca="false">L3598*M3598</f>
        <v>0</v>
      </c>
    </row>
    <row r="3599" customFormat="false" ht="15" hidden="false" customHeight="false" outlineLevel="0" collapsed="false">
      <c r="A3599" s="0" t="s">
        <v>5316</v>
      </c>
      <c r="B3599" s="0" t="s">
        <v>68</v>
      </c>
      <c r="C3599" s="0" t="s">
        <v>5317</v>
      </c>
      <c r="D3599" s="0" t="s">
        <v>38</v>
      </c>
      <c r="E3599" s="2" t="n">
        <v>45967</v>
      </c>
      <c r="F3599" s="3" t="s">
        <v>27</v>
      </c>
      <c r="G3599" s="3" t="s">
        <v>21</v>
      </c>
      <c r="H3599" s="3" t="s">
        <v>48</v>
      </c>
      <c r="I3599" s="3" t="n">
        <f aca="false">YEAR(E3599)</f>
        <v>2025</v>
      </c>
      <c r="J3599" s="3" t="n">
        <f aca="false">MONTH(E3599)</f>
        <v>11</v>
      </c>
      <c r="K3599" s="3" t="n">
        <f aca="false">COUNTIFS($B$2:$B$4077,B3599,$C$2:$C$4077,C3599,$I$2:$I$4077,I3599)</f>
        <v>1</v>
      </c>
      <c r="L3599" s="3" t="n">
        <f aca="false">IF(COUNTIFS($B$2:B3599,B3599,$C$2:C3599,C3599,$I$2:I3599,I3599)=1,1,0)</f>
        <v>1</v>
      </c>
      <c r="M3599" s="3" t="n">
        <f aca="false">IF(K3599&gt;=Parametri!$B$1,1,0)</f>
        <v>0</v>
      </c>
      <c r="N3599" s="3" t="n">
        <f aca="false">L3599*M3599</f>
        <v>0</v>
      </c>
    </row>
    <row r="3600" customFormat="false" ht="15" hidden="false" customHeight="false" outlineLevel="0" collapsed="false">
      <c r="A3600" s="0" t="s">
        <v>5318</v>
      </c>
      <c r="B3600" s="0" t="s">
        <v>68</v>
      </c>
      <c r="C3600" s="0" t="s">
        <v>5319</v>
      </c>
      <c r="D3600" s="0" t="s">
        <v>26</v>
      </c>
      <c r="E3600" s="2" t="n">
        <v>45401</v>
      </c>
      <c r="F3600" s="3" t="s">
        <v>20</v>
      </c>
      <c r="G3600" s="3" t="s">
        <v>35</v>
      </c>
      <c r="H3600" s="3" t="s">
        <v>48</v>
      </c>
      <c r="I3600" s="3" t="n">
        <f aca="false">YEAR(E3600)</f>
        <v>2024</v>
      </c>
      <c r="J3600" s="3" t="n">
        <f aca="false">MONTH(E3600)</f>
        <v>4</v>
      </c>
      <c r="K3600" s="3" t="n">
        <f aca="false">COUNTIFS($B$2:$B$4077,B3600,$C$2:$C$4077,C3600,$I$2:$I$4077,I3600)</f>
        <v>1</v>
      </c>
      <c r="L3600" s="3" t="n">
        <f aca="false">IF(COUNTIFS($B$2:B3600,B3600,$C$2:C3600,C3600,$I$2:I3600,I3600)=1,1,0)</f>
        <v>1</v>
      </c>
      <c r="M3600" s="3" t="n">
        <f aca="false">IF(K3600&gt;=Parametri!$B$1,1,0)</f>
        <v>0</v>
      </c>
      <c r="N3600" s="3" t="n">
        <f aca="false">L3600*M3600</f>
        <v>0</v>
      </c>
    </row>
    <row r="3601" customFormat="false" ht="15" hidden="false" customHeight="false" outlineLevel="0" collapsed="false">
      <c r="A3601" s="0" t="s">
        <v>5320</v>
      </c>
      <c r="B3601" s="0" t="s">
        <v>24</v>
      </c>
      <c r="C3601" s="0" t="s">
        <v>2813</v>
      </c>
      <c r="D3601" s="0" t="s">
        <v>38</v>
      </c>
      <c r="E3601" s="2" t="n">
        <v>45414</v>
      </c>
      <c r="F3601" s="3" t="s">
        <v>20</v>
      </c>
      <c r="G3601" s="3" t="s">
        <v>72</v>
      </c>
      <c r="H3601" s="3" t="s">
        <v>29</v>
      </c>
      <c r="I3601" s="3" t="n">
        <f aca="false">YEAR(E3601)</f>
        <v>2024</v>
      </c>
      <c r="J3601" s="3" t="n">
        <f aca="false">MONTH(E3601)</f>
        <v>5</v>
      </c>
      <c r="K3601" s="3" t="n">
        <f aca="false">COUNTIFS($B$2:$B$4077,B3601,$C$2:$C$4077,C3601,$I$2:$I$4077,I3601)</f>
        <v>1</v>
      </c>
      <c r="L3601" s="3" t="n">
        <f aca="false">IF(COUNTIFS($B$2:B3601,B3601,$C$2:C3601,C3601,$I$2:I3601,I3601)=1,1,0)</f>
        <v>1</v>
      </c>
      <c r="M3601" s="3" t="n">
        <f aca="false">IF(K3601&gt;=Parametri!$B$1,1,0)</f>
        <v>0</v>
      </c>
      <c r="N3601" s="3" t="n">
        <f aca="false">L3601*M3601</f>
        <v>0</v>
      </c>
    </row>
    <row r="3602" customFormat="false" ht="15" hidden="false" customHeight="false" outlineLevel="0" collapsed="false">
      <c r="A3602" s="0" t="s">
        <v>5321</v>
      </c>
      <c r="B3602" s="0" t="s">
        <v>57</v>
      </c>
      <c r="C3602" s="0" t="s">
        <v>1220</v>
      </c>
      <c r="D3602" s="0" t="s">
        <v>26</v>
      </c>
      <c r="E3602" s="2" t="n">
        <v>45529</v>
      </c>
      <c r="F3602" s="3" t="s">
        <v>20</v>
      </c>
      <c r="G3602" s="3" t="s">
        <v>39</v>
      </c>
      <c r="H3602" s="3" t="s">
        <v>44</v>
      </c>
      <c r="I3602" s="3" t="n">
        <f aca="false">YEAR(E3602)</f>
        <v>2024</v>
      </c>
      <c r="J3602" s="3" t="n">
        <f aca="false">MONTH(E3602)</f>
        <v>8</v>
      </c>
      <c r="K3602" s="3" t="n">
        <f aca="false">COUNTIFS($B$2:$B$4077,B3602,$C$2:$C$4077,C3602,$I$2:$I$4077,I3602)</f>
        <v>1</v>
      </c>
      <c r="L3602" s="3" t="n">
        <f aca="false">IF(COUNTIFS($B$2:B3602,B3602,$C$2:C3602,C3602,$I$2:I3602,I3602)=1,1,0)</f>
        <v>1</v>
      </c>
      <c r="M3602" s="3" t="n">
        <f aca="false">IF(K3602&gt;=Parametri!$B$1,1,0)</f>
        <v>0</v>
      </c>
      <c r="N3602" s="3" t="n">
        <f aca="false">L3602*M3602</f>
        <v>0</v>
      </c>
    </row>
    <row r="3603" customFormat="false" ht="15" hidden="false" customHeight="false" outlineLevel="0" collapsed="false">
      <c r="A3603" s="0" t="s">
        <v>5322</v>
      </c>
      <c r="B3603" s="0" t="s">
        <v>79</v>
      </c>
      <c r="C3603" s="0" t="s">
        <v>909</v>
      </c>
      <c r="D3603" s="0" t="s">
        <v>19</v>
      </c>
      <c r="E3603" s="2" t="n">
        <v>46133</v>
      </c>
      <c r="F3603" s="3" t="s">
        <v>34</v>
      </c>
      <c r="G3603" s="3" t="s">
        <v>55</v>
      </c>
      <c r="H3603" s="3" t="s">
        <v>48</v>
      </c>
      <c r="I3603" s="3" t="n">
        <f aca="false">YEAR(E3603)</f>
        <v>2026</v>
      </c>
      <c r="J3603" s="3" t="n">
        <f aca="false">MONTH(E3603)</f>
        <v>4</v>
      </c>
      <c r="K3603" s="3" t="n">
        <f aca="false">COUNTIFS($B$2:$B$4077,B3603,$C$2:$C$4077,C3603,$I$2:$I$4077,I3603)</f>
        <v>6</v>
      </c>
      <c r="L3603" s="3" t="n">
        <f aca="false">IF(COUNTIFS($B$2:B3603,B3603,$C$2:C3603,C3603,$I$2:I3603,I3603)=1,1,0)</f>
        <v>0</v>
      </c>
      <c r="M3603" s="3" t="n">
        <f aca="false">IF(K3603&gt;=Parametri!$B$1,1,0)</f>
        <v>1</v>
      </c>
      <c r="N3603" s="3" t="n">
        <f aca="false">L3603*M3603</f>
        <v>0</v>
      </c>
    </row>
    <row r="3604" customFormat="false" ht="15" hidden="false" customHeight="false" outlineLevel="0" collapsed="false">
      <c r="A3604" s="0" t="s">
        <v>5323</v>
      </c>
      <c r="B3604" s="0" t="s">
        <v>41</v>
      </c>
      <c r="C3604" s="0" t="s">
        <v>4791</v>
      </c>
      <c r="D3604" s="0" t="s">
        <v>77</v>
      </c>
      <c r="E3604" s="2" t="n">
        <v>45592</v>
      </c>
      <c r="F3604" s="3" t="s">
        <v>20</v>
      </c>
      <c r="G3604" s="3" t="s">
        <v>55</v>
      </c>
      <c r="H3604" s="3" t="s">
        <v>22</v>
      </c>
      <c r="I3604" s="3" t="n">
        <f aca="false">YEAR(E3604)</f>
        <v>2024</v>
      </c>
      <c r="J3604" s="3" t="n">
        <f aca="false">MONTH(E3604)</f>
        <v>10</v>
      </c>
      <c r="K3604" s="3" t="n">
        <f aca="false">COUNTIFS($B$2:$B$4077,B3604,$C$2:$C$4077,C3604,$I$2:$I$4077,I3604)</f>
        <v>1</v>
      </c>
      <c r="L3604" s="3" t="n">
        <f aca="false">IF(COUNTIFS($B$2:B3604,B3604,$C$2:C3604,C3604,$I$2:I3604,I3604)=1,1,0)</f>
        <v>1</v>
      </c>
      <c r="M3604" s="3" t="n">
        <f aca="false">IF(K3604&gt;=Parametri!$B$1,1,0)</f>
        <v>0</v>
      </c>
      <c r="N3604" s="3" t="n">
        <f aca="false">L3604*M3604</f>
        <v>0</v>
      </c>
    </row>
    <row r="3605" customFormat="false" ht="15" hidden="false" customHeight="false" outlineLevel="0" collapsed="false">
      <c r="A3605" s="0" t="s">
        <v>5324</v>
      </c>
      <c r="B3605" s="0" t="s">
        <v>79</v>
      </c>
      <c r="C3605" s="0" t="s">
        <v>846</v>
      </c>
      <c r="D3605" s="0" t="s">
        <v>26</v>
      </c>
      <c r="E3605" s="2" t="n">
        <v>46057</v>
      </c>
      <c r="F3605" s="3" t="s">
        <v>20</v>
      </c>
      <c r="G3605" s="3" t="s">
        <v>55</v>
      </c>
      <c r="H3605" s="3" t="s">
        <v>29</v>
      </c>
      <c r="I3605" s="3" t="n">
        <f aca="false">YEAR(E3605)</f>
        <v>2026</v>
      </c>
      <c r="J3605" s="3" t="n">
        <f aca="false">MONTH(E3605)</f>
        <v>2</v>
      </c>
      <c r="K3605" s="3" t="n">
        <f aca="false">COUNTIFS($B$2:$B$4077,B3605,$C$2:$C$4077,C3605,$I$2:$I$4077,I3605)</f>
        <v>3</v>
      </c>
      <c r="L3605" s="3" t="n">
        <f aca="false">IF(COUNTIFS($B$2:B3605,B3605,$C$2:C3605,C3605,$I$2:I3605,I3605)=1,1,0)</f>
        <v>0</v>
      </c>
      <c r="M3605" s="3" t="n">
        <f aca="false">IF(K3605&gt;=Parametri!$B$1,1,0)</f>
        <v>1</v>
      </c>
      <c r="N3605" s="3" t="n">
        <f aca="false">L3605*M3605</f>
        <v>0</v>
      </c>
    </row>
    <row r="3606" customFormat="false" ht="15" hidden="false" customHeight="false" outlineLevel="0" collapsed="false">
      <c r="A3606" s="0" t="s">
        <v>5325</v>
      </c>
      <c r="B3606" s="0" t="s">
        <v>50</v>
      </c>
      <c r="C3606" s="0" t="s">
        <v>942</v>
      </c>
      <c r="D3606" s="0" t="s">
        <v>54</v>
      </c>
      <c r="E3606" s="2" t="n">
        <v>45728</v>
      </c>
      <c r="F3606" s="3" t="s">
        <v>34</v>
      </c>
      <c r="G3606" s="3" t="s">
        <v>28</v>
      </c>
      <c r="H3606" s="3" t="s">
        <v>22</v>
      </c>
      <c r="I3606" s="3" t="n">
        <f aca="false">YEAR(E3606)</f>
        <v>2025</v>
      </c>
      <c r="J3606" s="3" t="n">
        <f aca="false">MONTH(E3606)</f>
        <v>3</v>
      </c>
      <c r="K3606" s="3" t="n">
        <f aca="false">COUNTIFS($B$2:$B$4077,B3606,$C$2:$C$4077,C3606,$I$2:$I$4077,I3606)</f>
        <v>7</v>
      </c>
      <c r="L3606" s="3" t="n">
        <f aca="false">IF(COUNTIFS($B$2:B3606,B3606,$C$2:C3606,C3606,$I$2:I3606,I3606)=1,1,0)</f>
        <v>0</v>
      </c>
      <c r="M3606" s="3" t="n">
        <f aca="false">IF(K3606&gt;=Parametri!$B$1,1,0)</f>
        <v>1</v>
      </c>
      <c r="N3606" s="3" t="n">
        <f aca="false">L3606*M3606</f>
        <v>0</v>
      </c>
    </row>
    <row r="3607" customFormat="false" ht="15" hidden="false" customHeight="false" outlineLevel="0" collapsed="false">
      <c r="A3607" s="0" t="s">
        <v>5326</v>
      </c>
      <c r="B3607" s="0" t="s">
        <v>31</v>
      </c>
      <c r="C3607" s="0" t="s">
        <v>1769</v>
      </c>
      <c r="D3607" s="0" t="s">
        <v>77</v>
      </c>
      <c r="E3607" s="2" t="n">
        <v>45710</v>
      </c>
      <c r="F3607" s="3" t="s">
        <v>20</v>
      </c>
      <c r="G3607" s="3" t="s">
        <v>35</v>
      </c>
      <c r="H3607" s="3" t="s">
        <v>29</v>
      </c>
      <c r="I3607" s="3" t="n">
        <f aca="false">YEAR(E3607)</f>
        <v>2025</v>
      </c>
      <c r="J3607" s="3" t="n">
        <f aca="false">MONTH(E3607)</f>
        <v>2</v>
      </c>
      <c r="K3607" s="3" t="n">
        <f aca="false">COUNTIFS($B$2:$B$4077,B3607,$C$2:$C$4077,C3607,$I$2:$I$4077,I3607)</f>
        <v>1</v>
      </c>
      <c r="L3607" s="3" t="n">
        <f aca="false">IF(COUNTIFS($B$2:B3607,B3607,$C$2:C3607,C3607,$I$2:I3607,I3607)=1,1,0)</f>
        <v>1</v>
      </c>
      <c r="M3607" s="3" t="n">
        <f aca="false">IF(K3607&gt;=Parametri!$B$1,1,0)</f>
        <v>0</v>
      </c>
      <c r="N3607" s="3" t="n">
        <f aca="false">L3607*M3607</f>
        <v>0</v>
      </c>
    </row>
    <row r="3608" customFormat="false" ht="15" hidden="false" customHeight="false" outlineLevel="0" collapsed="false">
      <c r="A3608" s="0" t="s">
        <v>5327</v>
      </c>
      <c r="B3608" s="0" t="s">
        <v>46</v>
      </c>
      <c r="C3608" s="0" t="s">
        <v>659</v>
      </c>
      <c r="D3608" s="0" t="s">
        <v>77</v>
      </c>
      <c r="E3608" s="2" t="n">
        <v>45709</v>
      </c>
      <c r="F3608" s="3" t="s">
        <v>20</v>
      </c>
      <c r="G3608" s="3" t="s">
        <v>72</v>
      </c>
      <c r="H3608" s="3" t="s">
        <v>48</v>
      </c>
      <c r="I3608" s="3" t="n">
        <f aca="false">YEAR(E3608)</f>
        <v>2025</v>
      </c>
      <c r="J3608" s="3" t="n">
        <f aca="false">MONTH(E3608)</f>
        <v>2</v>
      </c>
      <c r="K3608" s="3" t="n">
        <f aca="false">COUNTIFS($B$2:$B$4077,B3608,$C$2:$C$4077,C3608,$I$2:$I$4077,I3608)</f>
        <v>2</v>
      </c>
      <c r="L3608" s="3" t="n">
        <f aca="false">IF(COUNTIFS($B$2:B3608,B3608,$C$2:C3608,C3608,$I$2:I3608,I3608)=1,1,0)</f>
        <v>1</v>
      </c>
      <c r="M3608" s="3" t="n">
        <f aca="false">IF(K3608&gt;=Parametri!$B$1,1,0)</f>
        <v>1</v>
      </c>
      <c r="N3608" s="3" t="n">
        <f aca="false">L3608*M3608</f>
        <v>1</v>
      </c>
    </row>
    <row r="3609" customFormat="false" ht="15" hidden="false" customHeight="false" outlineLevel="0" collapsed="false">
      <c r="A3609" s="0" t="s">
        <v>5328</v>
      </c>
      <c r="B3609" s="0" t="s">
        <v>41</v>
      </c>
      <c r="C3609" s="0" t="s">
        <v>675</v>
      </c>
      <c r="D3609" s="0" t="s">
        <v>77</v>
      </c>
      <c r="E3609" s="2" t="n">
        <v>45429</v>
      </c>
      <c r="F3609" s="3" t="s">
        <v>20</v>
      </c>
      <c r="G3609" s="3" t="s">
        <v>43</v>
      </c>
      <c r="H3609" s="3" t="s">
        <v>44</v>
      </c>
      <c r="I3609" s="3" t="n">
        <f aca="false">YEAR(E3609)</f>
        <v>2024</v>
      </c>
      <c r="J3609" s="3" t="n">
        <f aca="false">MONTH(E3609)</f>
        <v>5</v>
      </c>
      <c r="K3609" s="3" t="n">
        <f aca="false">COUNTIFS($B$2:$B$4077,B3609,$C$2:$C$4077,C3609,$I$2:$I$4077,I3609)</f>
        <v>5</v>
      </c>
      <c r="L3609" s="3" t="n">
        <f aca="false">IF(COUNTIFS($B$2:B3609,B3609,$C$2:C3609,C3609,$I$2:I3609,I3609)=1,1,0)</f>
        <v>0</v>
      </c>
      <c r="M3609" s="3" t="n">
        <f aca="false">IF(K3609&gt;=Parametri!$B$1,1,0)</f>
        <v>1</v>
      </c>
      <c r="N3609" s="3" t="n">
        <f aca="false">L3609*M3609</f>
        <v>0</v>
      </c>
    </row>
    <row r="3610" customFormat="false" ht="15" hidden="false" customHeight="false" outlineLevel="0" collapsed="false">
      <c r="A3610" s="0" t="s">
        <v>5329</v>
      </c>
      <c r="B3610" s="0" t="s">
        <v>31</v>
      </c>
      <c r="C3610" s="0" t="s">
        <v>1123</v>
      </c>
      <c r="D3610" s="0" t="s">
        <v>66</v>
      </c>
      <c r="E3610" s="2" t="n">
        <v>45455</v>
      </c>
      <c r="F3610" s="3" t="s">
        <v>27</v>
      </c>
      <c r="G3610" s="3" t="s">
        <v>55</v>
      </c>
      <c r="H3610" s="3" t="s">
        <v>44</v>
      </c>
      <c r="I3610" s="3" t="n">
        <f aca="false">YEAR(E3610)</f>
        <v>2024</v>
      </c>
      <c r="J3610" s="3" t="n">
        <f aca="false">MONTH(E3610)</f>
        <v>6</v>
      </c>
      <c r="K3610" s="3" t="n">
        <f aca="false">COUNTIFS($B$2:$B$4077,B3610,$C$2:$C$4077,C3610,$I$2:$I$4077,I3610)</f>
        <v>2</v>
      </c>
      <c r="L3610" s="3" t="n">
        <f aca="false">IF(COUNTIFS($B$2:B3610,B3610,$C$2:C3610,C3610,$I$2:I3610,I3610)=1,1,0)</f>
        <v>0</v>
      </c>
      <c r="M3610" s="3" t="n">
        <f aca="false">IF(K3610&gt;=Parametri!$B$1,1,0)</f>
        <v>1</v>
      </c>
      <c r="N3610" s="3" t="n">
        <f aca="false">L3610*M3610</f>
        <v>0</v>
      </c>
    </row>
    <row r="3611" customFormat="false" ht="15" hidden="false" customHeight="false" outlineLevel="0" collapsed="false">
      <c r="A3611" s="0" t="s">
        <v>5330</v>
      </c>
      <c r="B3611" s="0" t="s">
        <v>79</v>
      </c>
      <c r="C3611" s="0" t="s">
        <v>190</v>
      </c>
      <c r="D3611" s="0" t="s">
        <v>19</v>
      </c>
      <c r="E3611" s="2" t="n">
        <v>45600</v>
      </c>
      <c r="F3611" s="3" t="s">
        <v>20</v>
      </c>
      <c r="G3611" s="3" t="s">
        <v>72</v>
      </c>
      <c r="H3611" s="3" t="s">
        <v>22</v>
      </c>
      <c r="I3611" s="3" t="n">
        <f aca="false">YEAR(E3611)</f>
        <v>2024</v>
      </c>
      <c r="J3611" s="3" t="n">
        <f aca="false">MONTH(E3611)</f>
        <v>11</v>
      </c>
      <c r="K3611" s="3" t="n">
        <f aca="false">COUNTIFS($B$2:$B$4077,B3611,$C$2:$C$4077,C3611,$I$2:$I$4077,I3611)</f>
        <v>3</v>
      </c>
      <c r="L3611" s="3" t="n">
        <f aca="false">IF(COUNTIFS($B$2:B3611,B3611,$C$2:C3611,C3611,$I$2:I3611,I3611)=1,1,0)</f>
        <v>0</v>
      </c>
      <c r="M3611" s="3" t="n">
        <f aca="false">IF(K3611&gt;=Parametri!$B$1,1,0)</f>
        <v>1</v>
      </c>
      <c r="N3611" s="3" t="n">
        <f aca="false">L3611*M3611</f>
        <v>0</v>
      </c>
    </row>
    <row r="3612" customFormat="false" ht="15" hidden="false" customHeight="false" outlineLevel="0" collapsed="false">
      <c r="A3612" s="0" t="s">
        <v>5331</v>
      </c>
      <c r="B3612" s="0" t="s">
        <v>124</v>
      </c>
      <c r="C3612" s="0" t="s">
        <v>5332</v>
      </c>
      <c r="D3612" s="0" t="s">
        <v>19</v>
      </c>
      <c r="E3612" s="2" t="n">
        <v>45364</v>
      </c>
      <c r="F3612" s="3" t="s">
        <v>20</v>
      </c>
      <c r="G3612" s="3" t="s">
        <v>72</v>
      </c>
      <c r="H3612" s="3" t="s">
        <v>44</v>
      </c>
      <c r="I3612" s="3" t="n">
        <f aca="false">YEAR(E3612)</f>
        <v>2024</v>
      </c>
      <c r="J3612" s="3" t="n">
        <f aca="false">MONTH(E3612)</f>
        <v>3</v>
      </c>
      <c r="K3612" s="3" t="n">
        <f aca="false">COUNTIFS($B$2:$B$4077,B3612,$C$2:$C$4077,C3612,$I$2:$I$4077,I3612)</f>
        <v>1</v>
      </c>
      <c r="L3612" s="3" t="n">
        <f aca="false">IF(COUNTIFS($B$2:B3612,B3612,$C$2:C3612,C3612,$I$2:I3612,I3612)=1,1,0)</f>
        <v>1</v>
      </c>
      <c r="M3612" s="3" t="n">
        <f aca="false">IF(K3612&gt;=Parametri!$B$1,1,0)</f>
        <v>0</v>
      </c>
      <c r="N3612" s="3" t="n">
        <f aca="false">L3612*M3612</f>
        <v>0</v>
      </c>
    </row>
    <row r="3613" customFormat="false" ht="15" hidden="false" customHeight="false" outlineLevel="0" collapsed="false">
      <c r="A3613" s="0" t="s">
        <v>5333</v>
      </c>
      <c r="B3613" s="0" t="s">
        <v>79</v>
      </c>
      <c r="C3613" s="0" t="s">
        <v>1176</v>
      </c>
      <c r="D3613" s="0" t="s">
        <v>19</v>
      </c>
      <c r="E3613" s="2" t="n">
        <v>45939</v>
      </c>
      <c r="F3613" s="3" t="s">
        <v>20</v>
      </c>
      <c r="G3613" s="3" t="s">
        <v>21</v>
      </c>
      <c r="H3613" s="3" t="s">
        <v>29</v>
      </c>
      <c r="I3613" s="3" t="n">
        <f aca="false">YEAR(E3613)</f>
        <v>2025</v>
      </c>
      <c r="J3613" s="3" t="n">
        <f aca="false">MONTH(E3613)</f>
        <v>10</v>
      </c>
      <c r="K3613" s="3" t="n">
        <f aca="false">COUNTIFS($B$2:$B$4077,B3613,$C$2:$C$4077,C3613,$I$2:$I$4077,I3613)</f>
        <v>1</v>
      </c>
      <c r="L3613" s="3" t="n">
        <f aca="false">IF(COUNTIFS($B$2:B3613,B3613,$C$2:C3613,C3613,$I$2:I3613,I3613)=1,1,0)</f>
        <v>1</v>
      </c>
      <c r="M3613" s="3" t="n">
        <f aca="false">IF(K3613&gt;=Parametri!$B$1,1,0)</f>
        <v>0</v>
      </c>
      <c r="N3613" s="3" t="n">
        <f aca="false">L3613*M3613</f>
        <v>0</v>
      </c>
    </row>
    <row r="3614" customFormat="false" ht="15" hidden="false" customHeight="false" outlineLevel="0" collapsed="false">
      <c r="A3614" s="0" t="s">
        <v>5334</v>
      </c>
      <c r="B3614" s="0" t="s">
        <v>31</v>
      </c>
      <c r="C3614" s="0" t="s">
        <v>5335</v>
      </c>
      <c r="D3614" s="0" t="s">
        <v>54</v>
      </c>
      <c r="E3614" s="2" t="n">
        <v>45349</v>
      </c>
      <c r="F3614" s="3" t="s">
        <v>20</v>
      </c>
      <c r="G3614" s="3" t="s">
        <v>43</v>
      </c>
      <c r="H3614" s="3" t="s">
        <v>48</v>
      </c>
      <c r="I3614" s="3" t="n">
        <f aca="false">YEAR(E3614)</f>
        <v>2024</v>
      </c>
      <c r="J3614" s="3" t="n">
        <f aca="false">MONTH(E3614)</f>
        <v>2</v>
      </c>
      <c r="K3614" s="3" t="n">
        <f aca="false">COUNTIFS($B$2:$B$4077,B3614,$C$2:$C$4077,C3614,$I$2:$I$4077,I3614)</f>
        <v>1</v>
      </c>
      <c r="L3614" s="3" t="n">
        <f aca="false">IF(COUNTIFS($B$2:B3614,B3614,$C$2:C3614,C3614,$I$2:I3614,I3614)=1,1,0)</f>
        <v>1</v>
      </c>
      <c r="M3614" s="3" t="n">
        <f aca="false">IF(K3614&gt;=Parametri!$B$1,1,0)</f>
        <v>0</v>
      </c>
      <c r="N3614" s="3" t="n">
        <f aca="false">L3614*M3614</f>
        <v>0</v>
      </c>
    </row>
    <row r="3615" customFormat="false" ht="15" hidden="false" customHeight="false" outlineLevel="0" collapsed="false">
      <c r="A3615" s="0" t="s">
        <v>5336</v>
      </c>
      <c r="B3615" s="0" t="s">
        <v>24</v>
      </c>
      <c r="C3615" s="0" t="s">
        <v>1610</v>
      </c>
      <c r="D3615" s="0" t="s">
        <v>26</v>
      </c>
      <c r="E3615" s="2" t="n">
        <v>45827</v>
      </c>
      <c r="F3615" s="3" t="s">
        <v>20</v>
      </c>
      <c r="G3615" s="3" t="s">
        <v>28</v>
      </c>
      <c r="H3615" s="3" t="s">
        <v>29</v>
      </c>
      <c r="I3615" s="3" t="n">
        <f aca="false">YEAR(E3615)</f>
        <v>2025</v>
      </c>
      <c r="J3615" s="3" t="n">
        <f aca="false">MONTH(E3615)</f>
        <v>6</v>
      </c>
      <c r="K3615" s="3" t="n">
        <f aca="false">COUNTIFS($B$2:$B$4077,B3615,$C$2:$C$4077,C3615,$I$2:$I$4077,I3615)</f>
        <v>2</v>
      </c>
      <c r="L3615" s="3" t="n">
        <f aca="false">IF(COUNTIFS($B$2:B3615,B3615,$C$2:C3615,C3615,$I$2:I3615,I3615)=1,1,0)</f>
        <v>0</v>
      </c>
      <c r="M3615" s="3" t="n">
        <f aca="false">IF(K3615&gt;=Parametri!$B$1,1,0)</f>
        <v>1</v>
      </c>
      <c r="N3615" s="3" t="n">
        <f aca="false">L3615*M3615</f>
        <v>0</v>
      </c>
    </row>
    <row r="3616" customFormat="false" ht="15" hidden="false" customHeight="false" outlineLevel="0" collapsed="false">
      <c r="A3616" s="0" t="s">
        <v>5337</v>
      </c>
      <c r="B3616" s="0" t="s">
        <v>46</v>
      </c>
      <c r="C3616" s="0" t="s">
        <v>5338</v>
      </c>
      <c r="D3616" s="0" t="s">
        <v>66</v>
      </c>
      <c r="E3616" s="2" t="n">
        <v>45325</v>
      </c>
      <c r="F3616" s="3" t="s">
        <v>20</v>
      </c>
      <c r="G3616" s="3" t="s">
        <v>35</v>
      </c>
      <c r="H3616" s="3" t="s">
        <v>29</v>
      </c>
      <c r="I3616" s="3" t="n">
        <f aca="false">YEAR(E3616)</f>
        <v>2024</v>
      </c>
      <c r="J3616" s="3" t="n">
        <f aca="false">MONTH(E3616)</f>
        <v>2</v>
      </c>
      <c r="K3616" s="3" t="n">
        <f aca="false">COUNTIFS($B$2:$B$4077,B3616,$C$2:$C$4077,C3616,$I$2:$I$4077,I3616)</f>
        <v>1</v>
      </c>
      <c r="L3616" s="3" t="n">
        <f aca="false">IF(COUNTIFS($B$2:B3616,B3616,$C$2:C3616,C3616,$I$2:I3616,I3616)=1,1,0)</f>
        <v>1</v>
      </c>
      <c r="M3616" s="3" t="n">
        <f aca="false">IF(K3616&gt;=Parametri!$B$1,1,0)</f>
        <v>0</v>
      </c>
      <c r="N3616" s="3" t="n">
        <f aca="false">L3616*M3616</f>
        <v>0</v>
      </c>
    </row>
    <row r="3617" customFormat="false" ht="15" hidden="false" customHeight="false" outlineLevel="0" collapsed="false">
      <c r="A3617" s="0" t="s">
        <v>5339</v>
      </c>
      <c r="B3617" s="0" t="s">
        <v>50</v>
      </c>
      <c r="C3617" s="0" t="s">
        <v>3246</v>
      </c>
      <c r="D3617" s="0" t="s">
        <v>77</v>
      </c>
      <c r="E3617" s="2" t="n">
        <v>45983</v>
      </c>
      <c r="F3617" s="3" t="s">
        <v>20</v>
      </c>
      <c r="G3617" s="3" t="s">
        <v>43</v>
      </c>
      <c r="H3617" s="3" t="s">
        <v>44</v>
      </c>
      <c r="I3617" s="3" t="n">
        <f aca="false">YEAR(E3617)</f>
        <v>2025</v>
      </c>
      <c r="J3617" s="3" t="n">
        <f aca="false">MONTH(E3617)</f>
        <v>11</v>
      </c>
      <c r="K3617" s="3" t="n">
        <f aca="false">COUNTIFS($B$2:$B$4077,B3617,$C$2:$C$4077,C3617,$I$2:$I$4077,I3617)</f>
        <v>3</v>
      </c>
      <c r="L3617" s="3" t="n">
        <f aca="false">IF(COUNTIFS($B$2:B3617,B3617,$C$2:C3617,C3617,$I$2:I3617,I3617)=1,1,0)</f>
        <v>0</v>
      </c>
      <c r="M3617" s="3" t="n">
        <f aca="false">IF(K3617&gt;=Parametri!$B$1,1,0)</f>
        <v>1</v>
      </c>
      <c r="N3617" s="3" t="n">
        <f aca="false">L3617*M3617</f>
        <v>0</v>
      </c>
    </row>
    <row r="3618" customFormat="false" ht="15" hidden="false" customHeight="false" outlineLevel="0" collapsed="false">
      <c r="A3618" s="0" t="s">
        <v>5340</v>
      </c>
      <c r="B3618" s="0" t="s">
        <v>79</v>
      </c>
      <c r="C3618" s="0" t="s">
        <v>1945</v>
      </c>
      <c r="D3618" s="0" t="s">
        <v>19</v>
      </c>
      <c r="E3618" s="2" t="n">
        <v>45626</v>
      </c>
      <c r="F3618" s="3" t="s">
        <v>20</v>
      </c>
      <c r="G3618" s="3" t="s">
        <v>55</v>
      </c>
      <c r="H3618" s="3" t="s">
        <v>44</v>
      </c>
      <c r="I3618" s="3" t="n">
        <f aca="false">YEAR(E3618)</f>
        <v>2024</v>
      </c>
      <c r="J3618" s="3" t="n">
        <f aca="false">MONTH(E3618)</f>
        <v>11</v>
      </c>
      <c r="K3618" s="3" t="n">
        <f aca="false">COUNTIFS($B$2:$B$4077,B3618,$C$2:$C$4077,C3618,$I$2:$I$4077,I3618)</f>
        <v>3</v>
      </c>
      <c r="L3618" s="3" t="n">
        <f aca="false">IF(COUNTIFS($B$2:B3618,B3618,$C$2:C3618,C3618,$I$2:I3618,I3618)=1,1,0)</f>
        <v>0</v>
      </c>
      <c r="M3618" s="3" t="n">
        <f aca="false">IF(K3618&gt;=Parametri!$B$1,1,0)</f>
        <v>1</v>
      </c>
      <c r="N3618" s="3" t="n">
        <f aca="false">L3618*M3618</f>
        <v>0</v>
      </c>
    </row>
    <row r="3619" customFormat="false" ht="15" hidden="false" customHeight="false" outlineLevel="0" collapsed="false">
      <c r="A3619" s="0" t="s">
        <v>5341</v>
      </c>
      <c r="B3619" s="0" t="s">
        <v>24</v>
      </c>
      <c r="C3619" s="0" t="s">
        <v>4898</v>
      </c>
      <c r="D3619" s="0" t="s">
        <v>54</v>
      </c>
      <c r="E3619" s="2" t="n">
        <v>46214</v>
      </c>
      <c r="F3619" s="3" t="s">
        <v>20</v>
      </c>
      <c r="G3619" s="3" t="s">
        <v>28</v>
      </c>
      <c r="H3619" s="3" t="s">
        <v>29</v>
      </c>
      <c r="I3619" s="3" t="n">
        <f aca="false">YEAR(E3619)</f>
        <v>2026</v>
      </c>
      <c r="J3619" s="3" t="n">
        <f aca="false">MONTH(E3619)</f>
        <v>7</v>
      </c>
      <c r="K3619" s="3" t="n">
        <f aca="false">COUNTIFS($B$2:$B$4077,B3619,$C$2:$C$4077,C3619,$I$2:$I$4077,I3619)</f>
        <v>2</v>
      </c>
      <c r="L3619" s="3" t="n">
        <f aca="false">IF(COUNTIFS($B$2:B3619,B3619,$C$2:C3619,C3619,$I$2:I3619,I3619)=1,1,0)</f>
        <v>0</v>
      </c>
      <c r="M3619" s="3" t="n">
        <f aca="false">IF(K3619&gt;=Parametri!$B$1,1,0)</f>
        <v>1</v>
      </c>
      <c r="N3619" s="3" t="n">
        <f aca="false">L3619*M3619</f>
        <v>0</v>
      </c>
    </row>
    <row r="3620" customFormat="false" ht="15" hidden="false" customHeight="false" outlineLevel="0" collapsed="false">
      <c r="A3620" s="0" t="s">
        <v>5342</v>
      </c>
      <c r="B3620" s="0" t="s">
        <v>24</v>
      </c>
      <c r="C3620" s="0" t="s">
        <v>834</v>
      </c>
      <c r="D3620" s="0" t="s">
        <v>77</v>
      </c>
      <c r="E3620" s="2" t="n">
        <v>45428</v>
      </c>
      <c r="F3620" s="3" t="s">
        <v>20</v>
      </c>
      <c r="G3620" s="3" t="s">
        <v>28</v>
      </c>
      <c r="H3620" s="3" t="s">
        <v>44</v>
      </c>
      <c r="I3620" s="3" t="n">
        <f aca="false">YEAR(E3620)</f>
        <v>2024</v>
      </c>
      <c r="J3620" s="3" t="n">
        <f aca="false">MONTH(E3620)</f>
        <v>5</v>
      </c>
      <c r="K3620" s="3" t="n">
        <f aca="false">COUNTIFS($B$2:$B$4077,B3620,$C$2:$C$4077,C3620,$I$2:$I$4077,I3620)</f>
        <v>2</v>
      </c>
      <c r="L3620" s="3" t="n">
        <f aca="false">IF(COUNTIFS($B$2:B3620,B3620,$C$2:C3620,C3620,$I$2:I3620,I3620)=1,1,0)</f>
        <v>0</v>
      </c>
      <c r="M3620" s="3" t="n">
        <f aca="false">IF(K3620&gt;=Parametri!$B$1,1,0)</f>
        <v>1</v>
      </c>
      <c r="N3620" s="3" t="n">
        <f aca="false">L3620*M3620</f>
        <v>0</v>
      </c>
    </row>
    <row r="3621" customFormat="false" ht="15" hidden="false" customHeight="false" outlineLevel="0" collapsed="false">
      <c r="A3621" s="0" t="s">
        <v>5343</v>
      </c>
      <c r="B3621" s="0" t="s">
        <v>124</v>
      </c>
      <c r="C3621" s="0" t="s">
        <v>1243</v>
      </c>
      <c r="D3621" s="0" t="s">
        <v>19</v>
      </c>
      <c r="E3621" s="2" t="n">
        <v>45436</v>
      </c>
      <c r="F3621" s="3" t="s">
        <v>34</v>
      </c>
      <c r="G3621" s="3" t="s">
        <v>55</v>
      </c>
      <c r="H3621" s="3" t="s">
        <v>44</v>
      </c>
      <c r="I3621" s="3" t="n">
        <f aca="false">YEAR(E3621)</f>
        <v>2024</v>
      </c>
      <c r="J3621" s="3" t="n">
        <f aca="false">MONTH(E3621)</f>
        <v>5</v>
      </c>
      <c r="K3621" s="3" t="n">
        <f aca="false">COUNTIFS($B$2:$B$4077,B3621,$C$2:$C$4077,C3621,$I$2:$I$4077,I3621)</f>
        <v>4</v>
      </c>
      <c r="L3621" s="3" t="n">
        <f aca="false">IF(COUNTIFS($B$2:B3621,B3621,$C$2:C3621,C3621,$I$2:I3621,I3621)=1,1,0)</f>
        <v>0</v>
      </c>
      <c r="M3621" s="3" t="n">
        <f aca="false">IF(K3621&gt;=Parametri!$B$1,1,0)</f>
        <v>1</v>
      </c>
      <c r="N3621" s="3" t="n">
        <f aca="false">L3621*M3621</f>
        <v>0</v>
      </c>
    </row>
    <row r="3622" customFormat="false" ht="15" hidden="false" customHeight="false" outlineLevel="0" collapsed="false">
      <c r="A3622" s="0" t="s">
        <v>5344</v>
      </c>
      <c r="B3622" s="0" t="s">
        <v>68</v>
      </c>
      <c r="C3622" s="0" t="s">
        <v>4121</v>
      </c>
      <c r="D3622" s="0" t="s">
        <v>19</v>
      </c>
      <c r="E3622" s="2" t="n">
        <v>45543</v>
      </c>
      <c r="F3622" s="3" t="s">
        <v>20</v>
      </c>
      <c r="G3622" s="3" t="s">
        <v>21</v>
      </c>
      <c r="H3622" s="3" t="s">
        <v>48</v>
      </c>
      <c r="I3622" s="3" t="n">
        <f aca="false">YEAR(E3622)</f>
        <v>2024</v>
      </c>
      <c r="J3622" s="3" t="n">
        <f aca="false">MONTH(E3622)</f>
        <v>9</v>
      </c>
      <c r="K3622" s="3" t="n">
        <f aca="false">COUNTIFS($B$2:$B$4077,B3622,$C$2:$C$4077,C3622,$I$2:$I$4077,I3622)</f>
        <v>1</v>
      </c>
      <c r="L3622" s="3" t="n">
        <f aca="false">IF(COUNTIFS($B$2:B3622,B3622,$C$2:C3622,C3622,$I$2:I3622,I3622)=1,1,0)</f>
        <v>1</v>
      </c>
      <c r="M3622" s="3" t="n">
        <f aca="false">IF(K3622&gt;=Parametri!$B$1,1,0)</f>
        <v>0</v>
      </c>
      <c r="N3622" s="3" t="n">
        <f aca="false">L3622*M3622</f>
        <v>0</v>
      </c>
    </row>
    <row r="3623" customFormat="false" ht="15" hidden="false" customHeight="false" outlineLevel="0" collapsed="false">
      <c r="A3623" s="0" t="s">
        <v>5345</v>
      </c>
      <c r="B3623" s="0" t="s">
        <v>31</v>
      </c>
      <c r="C3623" s="0" t="s">
        <v>778</v>
      </c>
      <c r="D3623" s="0" t="s">
        <v>66</v>
      </c>
      <c r="E3623" s="2" t="n">
        <v>45662</v>
      </c>
      <c r="F3623" s="3" t="s">
        <v>20</v>
      </c>
      <c r="G3623" s="3" t="s">
        <v>28</v>
      </c>
      <c r="H3623" s="3" t="s">
        <v>22</v>
      </c>
      <c r="I3623" s="3" t="n">
        <f aca="false">YEAR(E3623)</f>
        <v>2025</v>
      </c>
      <c r="J3623" s="3" t="n">
        <f aca="false">MONTH(E3623)</f>
        <v>1</v>
      </c>
      <c r="K3623" s="3" t="n">
        <f aca="false">COUNTIFS($B$2:$B$4077,B3623,$C$2:$C$4077,C3623,$I$2:$I$4077,I3623)</f>
        <v>6</v>
      </c>
      <c r="L3623" s="3" t="n">
        <f aca="false">IF(COUNTIFS($B$2:B3623,B3623,$C$2:C3623,C3623,$I$2:I3623,I3623)=1,1,0)</f>
        <v>0</v>
      </c>
      <c r="M3623" s="3" t="n">
        <f aca="false">IF(K3623&gt;=Parametri!$B$1,1,0)</f>
        <v>1</v>
      </c>
      <c r="N3623" s="3" t="n">
        <f aca="false">L3623*M3623</f>
        <v>0</v>
      </c>
    </row>
    <row r="3624" customFormat="false" ht="15" hidden="false" customHeight="false" outlineLevel="0" collapsed="false">
      <c r="A3624" s="0" t="s">
        <v>5346</v>
      </c>
      <c r="B3624" s="0" t="s">
        <v>17</v>
      </c>
      <c r="C3624" s="0" t="s">
        <v>231</v>
      </c>
      <c r="D3624" s="0" t="s">
        <v>66</v>
      </c>
      <c r="E3624" s="2" t="n">
        <v>45943</v>
      </c>
      <c r="F3624" s="3" t="s">
        <v>27</v>
      </c>
      <c r="G3624" s="3" t="s">
        <v>39</v>
      </c>
      <c r="H3624" s="3" t="s">
        <v>44</v>
      </c>
      <c r="I3624" s="3" t="n">
        <f aca="false">YEAR(E3624)</f>
        <v>2025</v>
      </c>
      <c r="J3624" s="3" t="n">
        <f aca="false">MONTH(E3624)</f>
        <v>10</v>
      </c>
      <c r="K3624" s="3" t="n">
        <f aca="false">COUNTIFS($B$2:$B$4077,B3624,$C$2:$C$4077,C3624,$I$2:$I$4077,I3624)</f>
        <v>6</v>
      </c>
      <c r="L3624" s="3" t="n">
        <f aca="false">IF(COUNTIFS($B$2:B3624,B3624,$C$2:C3624,C3624,$I$2:I3624,I3624)=1,1,0)</f>
        <v>0</v>
      </c>
      <c r="M3624" s="3" t="n">
        <f aca="false">IF(K3624&gt;=Parametri!$B$1,1,0)</f>
        <v>1</v>
      </c>
      <c r="N3624" s="3" t="n">
        <f aca="false">L3624*M3624</f>
        <v>0</v>
      </c>
    </row>
    <row r="3625" customFormat="false" ht="15" hidden="false" customHeight="false" outlineLevel="0" collapsed="false">
      <c r="A3625" s="0" t="s">
        <v>5347</v>
      </c>
      <c r="B3625" s="0" t="s">
        <v>79</v>
      </c>
      <c r="C3625" s="0" t="s">
        <v>258</v>
      </c>
      <c r="D3625" s="0" t="s">
        <v>33</v>
      </c>
      <c r="E3625" s="2" t="n">
        <v>45364</v>
      </c>
      <c r="F3625" s="3" t="s">
        <v>34</v>
      </c>
      <c r="G3625" s="3" t="s">
        <v>28</v>
      </c>
      <c r="H3625" s="3" t="s">
        <v>22</v>
      </c>
      <c r="I3625" s="3" t="n">
        <f aca="false">YEAR(E3625)</f>
        <v>2024</v>
      </c>
      <c r="J3625" s="3" t="n">
        <f aca="false">MONTH(E3625)</f>
        <v>3</v>
      </c>
      <c r="K3625" s="3" t="n">
        <f aca="false">COUNTIFS($B$2:$B$4077,B3625,$C$2:$C$4077,C3625,$I$2:$I$4077,I3625)</f>
        <v>1</v>
      </c>
      <c r="L3625" s="3" t="n">
        <f aca="false">IF(COUNTIFS($B$2:B3625,B3625,$C$2:C3625,C3625,$I$2:I3625,I3625)=1,1,0)</f>
        <v>1</v>
      </c>
      <c r="M3625" s="3" t="n">
        <f aca="false">IF(K3625&gt;=Parametri!$B$1,1,0)</f>
        <v>0</v>
      </c>
      <c r="N3625" s="3" t="n">
        <f aca="false">L3625*M3625</f>
        <v>0</v>
      </c>
    </row>
    <row r="3626" customFormat="false" ht="15" hidden="false" customHeight="false" outlineLevel="0" collapsed="false">
      <c r="A3626" s="0" t="s">
        <v>5348</v>
      </c>
      <c r="B3626" s="0" t="s">
        <v>79</v>
      </c>
      <c r="C3626" s="0" t="s">
        <v>4516</v>
      </c>
      <c r="D3626" s="0" t="s">
        <v>19</v>
      </c>
      <c r="E3626" s="2" t="n">
        <v>46115</v>
      </c>
      <c r="F3626" s="3" t="s">
        <v>34</v>
      </c>
      <c r="G3626" s="3" t="s">
        <v>43</v>
      </c>
      <c r="H3626" s="3" t="s">
        <v>22</v>
      </c>
      <c r="I3626" s="3" t="n">
        <f aca="false">YEAR(E3626)</f>
        <v>2026</v>
      </c>
      <c r="J3626" s="3" t="n">
        <f aca="false">MONTH(E3626)</f>
        <v>4</v>
      </c>
      <c r="K3626" s="3" t="n">
        <f aca="false">COUNTIFS($B$2:$B$4077,B3626,$C$2:$C$4077,C3626,$I$2:$I$4077,I3626)</f>
        <v>3</v>
      </c>
      <c r="L3626" s="3" t="n">
        <f aca="false">IF(COUNTIFS($B$2:B3626,B3626,$C$2:C3626,C3626,$I$2:I3626,I3626)=1,1,0)</f>
        <v>0</v>
      </c>
      <c r="M3626" s="3" t="n">
        <f aca="false">IF(K3626&gt;=Parametri!$B$1,1,0)</f>
        <v>1</v>
      </c>
      <c r="N3626" s="3" t="n">
        <f aca="false">L3626*M3626</f>
        <v>0</v>
      </c>
    </row>
    <row r="3627" customFormat="false" ht="15" hidden="false" customHeight="false" outlineLevel="0" collapsed="false">
      <c r="A3627" s="0" t="s">
        <v>5349</v>
      </c>
      <c r="B3627" s="0" t="s">
        <v>17</v>
      </c>
      <c r="C3627" s="0" t="s">
        <v>487</v>
      </c>
      <c r="D3627" s="0" t="s">
        <v>63</v>
      </c>
      <c r="E3627" s="2" t="n">
        <v>45318</v>
      </c>
      <c r="F3627" s="3" t="s">
        <v>34</v>
      </c>
      <c r="G3627" s="3" t="s">
        <v>28</v>
      </c>
      <c r="H3627" s="3" t="s">
        <v>22</v>
      </c>
      <c r="I3627" s="3" t="n">
        <f aca="false">YEAR(E3627)</f>
        <v>2024</v>
      </c>
      <c r="J3627" s="3" t="n">
        <f aca="false">MONTH(E3627)</f>
        <v>1</v>
      </c>
      <c r="K3627" s="3" t="n">
        <f aca="false">COUNTIFS($B$2:$B$4077,B3627,$C$2:$C$4077,C3627,$I$2:$I$4077,I3627)</f>
        <v>1</v>
      </c>
      <c r="L3627" s="3" t="n">
        <f aca="false">IF(COUNTIFS($B$2:B3627,B3627,$C$2:C3627,C3627,$I$2:I3627,I3627)=1,1,0)</f>
        <v>1</v>
      </c>
      <c r="M3627" s="3" t="n">
        <f aca="false">IF(K3627&gt;=Parametri!$B$1,1,0)</f>
        <v>0</v>
      </c>
      <c r="N3627" s="3" t="n">
        <f aca="false">L3627*M3627</f>
        <v>0</v>
      </c>
    </row>
    <row r="3628" customFormat="false" ht="15" hidden="false" customHeight="false" outlineLevel="0" collapsed="false">
      <c r="A3628" s="0" t="s">
        <v>5350</v>
      </c>
      <c r="B3628" s="0" t="s">
        <v>41</v>
      </c>
      <c r="C3628" s="0" t="s">
        <v>1874</v>
      </c>
      <c r="D3628" s="0" t="s">
        <v>19</v>
      </c>
      <c r="E3628" s="2" t="n">
        <v>45328</v>
      </c>
      <c r="F3628" s="3" t="s">
        <v>20</v>
      </c>
      <c r="G3628" s="3" t="s">
        <v>43</v>
      </c>
      <c r="H3628" s="3" t="s">
        <v>48</v>
      </c>
      <c r="I3628" s="3" t="n">
        <f aca="false">YEAR(E3628)</f>
        <v>2024</v>
      </c>
      <c r="J3628" s="3" t="n">
        <f aca="false">MONTH(E3628)</f>
        <v>2</v>
      </c>
      <c r="K3628" s="3" t="n">
        <f aca="false">COUNTIFS($B$2:$B$4077,B3628,$C$2:$C$4077,C3628,$I$2:$I$4077,I3628)</f>
        <v>1</v>
      </c>
      <c r="L3628" s="3" t="n">
        <f aca="false">IF(COUNTIFS($B$2:B3628,B3628,$C$2:C3628,C3628,$I$2:I3628,I3628)=1,1,0)</f>
        <v>1</v>
      </c>
      <c r="M3628" s="3" t="n">
        <f aca="false">IF(K3628&gt;=Parametri!$B$1,1,0)</f>
        <v>0</v>
      </c>
      <c r="N3628" s="3" t="n">
        <f aca="false">L3628*M3628</f>
        <v>0</v>
      </c>
    </row>
    <row r="3629" customFormat="false" ht="15" hidden="false" customHeight="false" outlineLevel="0" collapsed="false">
      <c r="A3629" s="0" t="s">
        <v>5351</v>
      </c>
      <c r="B3629" s="0" t="s">
        <v>68</v>
      </c>
      <c r="C3629" s="0" t="s">
        <v>563</v>
      </c>
      <c r="D3629" s="0" t="s">
        <v>54</v>
      </c>
      <c r="E3629" s="2" t="n">
        <v>46086</v>
      </c>
      <c r="F3629" s="3" t="s">
        <v>20</v>
      </c>
      <c r="G3629" s="3" t="s">
        <v>39</v>
      </c>
      <c r="H3629" s="3" t="s">
        <v>22</v>
      </c>
      <c r="I3629" s="3" t="n">
        <f aca="false">YEAR(E3629)</f>
        <v>2026</v>
      </c>
      <c r="J3629" s="3" t="n">
        <f aca="false">MONTH(E3629)</f>
        <v>3</v>
      </c>
      <c r="K3629" s="3" t="n">
        <f aca="false">COUNTIFS($B$2:$B$4077,B3629,$C$2:$C$4077,C3629,$I$2:$I$4077,I3629)</f>
        <v>3</v>
      </c>
      <c r="L3629" s="3" t="n">
        <f aca="false">IF(COUNTIFS($B$2:B3629,B3629,$C$2:C3629,C3629,$I$2:I3629,I3629)=1,1,0)</f>
        <v>0</v>
      </c>
      <c r="M3629" s="3" t="n">
        <f aca="false">IF(K3629&gt;=Parametri!$B$1,1,0)</f>
        <v>1</v>
      </c>
      <c r="N3629" s="3" t="n">
        <f aca="false">L3629*M3629</f>
        <v>0</v>
      </c>
    </row>
    <row r="3630" customFormat="false" ht="15" hidden="false" customHeight="false" outlineLevel="0" collapsed="false">
      <c r="A3630" s="0" t="s">
        <v>5352</v>
      </c>
      <c r="B3630" s="0" t="s">
        <v>68</v>
      </c>
      <c r="C3630" s="0" t="s">
        <v>5027</v>
      </c>
      <c r="D3630" s="0" t="s">
        <v>33</v>
      </c>
      <c r="E3630" s="2" t="n">
        <v>45940</v>
      </c>
      <c r="F3630" s="3" t="s">
        <v>20</v>
      </c>
      <c r="G3630" s="3" t="s">
        <v>89</v>
      </c>
      <c r="H3630" s="3" t="s">
        <v>44</v>
      </c>
      <c r="I3630" s="3" t="n">
        <f aca="false">YEAR(E3630)</f>
        <v>2025</v>
      </c>
      <c r="J3630" s="3" t="n">
        <f aca="false">MONTH(E3630)</f>
        <v>10</v>
      </c>
      <c r="K3630" s="3" t="n">
        <f aca="false">COUNTIFS($B$2:$B$4077,B3630,$C$2:$C$4077,C3630,$I$2:$I$4077,I3630)</f>
        <v>1</v>
      </c>
      <c r="L3630" s="3" t="n">
        <f aca="false">IF(COUNTIFS($B$2:B3630,B3630,$C$2:C3630,C3630,$I$2:I3630,I3630)=1,1,0)</f>
        <v>1</v>
      </c>
      <c r="M3630" s="3" t="n">
        <f aca="false">IF(K3630&gt;=Parametri!$B$1,1,0)</f>
        <v>0</v>
      </c>
      <c r="N3630" s="3" t="n">
        <f aca="false">L3630*M3630</f>
        <v>0</v>
      </c>
    </row>
    <row r="3631" customFormat="false" ht="15" hidden="false" customHeight="false" outlineLevel="0" collapsed="false">
      <c r="A3631" s="0" t="s">
        <v>5353</v>
      </c>
      <c r="B3631" s="0" t="s">
        <v>50</v>
      </c>
      <c r="C3631" s="0" t="s">
        <v>808</v>
      </c>
      <c r="D3631" s="0" t="s">
        <v>19</v>
      </c>
      <c r="E3631" s="2" t="n">
        <v>45892</v>
      </c>
      <c r="F3631" s="3" t="s">
        <v>27</v>
      </c>
      <c r="G3631" s="3" t="s">
        <v>21</v>
      </c>
      <c r="H3631" s="3" t="s">
        <v>44</v>
      </c>
      <c r="I3631" s="3" t="n">
        <f aca="false">YEAR(E3631)</f>
        <v>2025</v>
      </c>
      <c r="J3631" s="3" t="n">
        <f aca="false">MONTH(E3631)</f>
        <v>8</v>
      </c>
      <c r="K3631" s="3" t="n">
        <f aca="false">COUNTIFS($B$2:$B$4077,B3631,$C$2:$C$4077,C3631,$I$2:$I$4077,I3631)</f>
        <v>1</v>
      </c>
      <c r="L3631" s="3" t="n">
        <f aca="false">IF(COUNTIFS($B$2:B3631,B3631,$C$2:C3631,C3631,$I$2:I3631,I3631)=1,1,0)</f>
        <v>1</v>
      </c>
      <c r="M3631" s="3" t="n">
        <f aca="false">IF(K3631&gt;=Parametri!$B$1,1,0)</f>
        <v>0</v>
      </c>
      <c r="N3631" s="3" t="n">
        <f aca="false">L3631*M3631</f>
        <v>0</v>
      </c>
    </row>
    <row r="3632" customFormat="false" ht="15" hidden="false" customHeight="false" outlineLevel="0" collapsed="false">
      <c r="A3632" s="0" t="s">
        <v>5354</v>
      </c>
      <c r="B3632" s="0" t="s">
        <v>46</v>
      </c>
      <c r="C3632" s="0" t="s">
        <v>5355</v>
      </c>
      <c r="D3632" s="0" t="s">
        <v>63</v>
      </c>
      <c r="E3632" s="2" t="n">
        <v>45771</v>
      </c>
      <c r="F3632" s="3" t="s">
        <v>20</v>
      </c>
      <c r="G3632" s="3" t="s">
        <v>21</v>
      </c>
      <c r="H3632" s="3" t="s">
        <v>48</v>
      </c>
      <c r="I3632" s="3" t="n">
        <f aca="false">YEAR(E3632)</f>
        <v>2025</v>
      </c>
      <c r="J3632" s="3" t="n">
        <f aca="false">MONTH(E3632)</f>
        <v>4</v>
      </c>
      <c r="K3632" s="3" t="n">
        <f aca="false">COUNTIFS($B$2:$B$4077,B3632,$C$2:$C$4077,C3632,$I$2:$I$4077,I3632)</f>
        <v>1</v>
      </c>
      <c r="L3632" s="3" t="n">
        <f aca="false">IF(COUNTIFS($B$2:B3632,B3632,$C$2:C3632,C3632,$I$2:I3632,I3632)=1,1,0)</f>
        <v>1</v>
      </c>
      <c r="M3632" s="3" t="n">
        <f aca="false">IF(K3632&gt;=Parametri!$B$1,1,0)</f>
        <v>0</v>
      </c>
      <c r="N3632" s="3" t="n">
        <f aca="false">L3632*M3632</f>
        <v>0</v>
      </c>
    </row>
    <row r="3633" customFormat="false" ht="15" hidden="false" customHeight="false" outlineLevel="0" collapsed="false">
      <c r="A3633" s="0" t="s">
        <v>5356</v>
      </c>
      <c r="B3633" s="0" t="s">
        <v>24</v>
      </c>
      <c r="C3633" s="0" t="s">
        <v>2235</v>
      </c>
      <c r="D3633" s="0" t="s">
        <v>77</v>
      </c>
      <c r="E3633" s="2" t="n">
        <v>46105</v>
      </c>
      <c r="F3633" s="3" t="s">
        <v>20</v>
      </c>
      <c r="G3633" s="3" t="s">
        <v>28</v>
      </c>
      <c r="H3633" s="3" t="s">
        <v>48</v>
      </c>
      <c r="I3633" s="3" t="n">
        <f aca="false">YEAR(E3633)</f>
        <v>2026</v>
      </c>
      <c r="J3633" s="3" t="n">
        <f aca="false">MONTH(E3633)</f>
        <v>3</v>
      </c>
      <c r="K3633" s="3" t="n">
        <f aca="false">COUNTIFS($B$2:$B$4077,B3633,$C$2:$C$4077,C3633,$I$2:$I$4077,I3633)</f>
        <v>1</v>
      </c>
      <c r="L3633" s="3" t="n">
        <f aca="false">IF(COUNTIFS($B$2:B3633,B3633,$C$2:C3633,C3633,$I$2:I3633,I3633)=1,1,0)</f>
        <v>1</v>
      </c>
      <c r="M3633" s="3" t="n">
        <f aca="false">IF(K3633&gt;=Parametri!$B$1,1,0)</f>
        <v>0</v>
      </c>
      <c r="N3633" s="3" t="n">
        <f aca="false">L3633*M3633</f>
        <v>0</v>
      </c>
    </row>
    <row r="3634" customFormat="false" ht="15" hidden="false" customHeight="false" outlineLevel="0" collapsed="false">
      <c r="A3634" s="0" t="s">
        <v>5357</v>
      </c>
      <c r="B3634" s="0" t="s">
        <v>17</v>
      </c>
      <c r="C3634" s="0" t="s">
        <v>481</v>
      </c>
      <c r="D3634" s="0" t="s">
        <v>63</v>
      </c>
      <c r="E3634" s="2" t="n">
        <v>45812</v>
      </c>
      <c r="F3634" s="3" t="s">
        <v>27</v>
      </c>
      <c r="G3634" s="3" t="s">
        <v>35</v>
      </c>
      <c r="H3634" s="3" t="s">
        <v>48</v>
      </c>
      <c r="I3634" s="3" t="n">
        <f aca="false">YEAR(E3634)</f>
        <v>2025</v>
      </c>
      <c r="J3634" s="3" t="n">
        <f aca="false">MONTH(E3634)</f>
        <v>6</v>
      </c>
      <c r="K3634" s="3" t="n">
        <f aca="false">COUNTIFS($B$2:$B$4077,B3634,$C$2:$C$4077,C3634,$I$2:$I$4077,I3634)</f>
        <v>4</v>
      </c>
      <c r="L3634" s="3" t="n">
        <f aca="false">IF(COUNTIFS($B$2:B3634,B3634,$C$2:C3634,C3634,$I$2:I3634,I3634)=1,1,0)</f>
        <v>0</v>
      </c>
      <c r="M3634" s="3" t="n">
        <f aca="false">IF(K3634&gt;=Parametri!$B$1,1,0)</f>
        <v>1</v>
      </c>
      <c r="N3634" s="3" t="n">
        <f aca="false">L3634*M3634</f>
        <v>0</v>
      </c>
    </row>
    <row r="3635" customFormat="false" ht="15" hidden="false" customHeight="false" outlineLevel="0" collapsed="false">
      <c r="A3635" s="0" t="s">
        <v>5358</v>
      </c>
      <c r="B3635" s="0" t="s">
        <v>24</v>
      </c>
      <c r="C3635" s="0" t="s">
        <v>1304</v>
      </c>
      <c r="D3635" s="0" t="s">
        <v>66</v>
      </c>
      <c r="E3635" s="2" t="n">
        <v>45686</v>
      </c>
      <c r="F3635" s="3" t="s">
        <v>27</v>
      </c>
      <c r="G3635" s="3" t="s">
        <v>39</v>
      </c>
      <c r="H3635" s="3" t="s">
        <v>44</v>
      </c>
      <c r="I3635" s="3" t="n">
        <f aca="false">YEAR(E3635)</f>
        <v>2025</v>
      </c>
      <c r="J3635" s="3" t="n">
        <f aca="false">MONTH(E3635)</f>
        <v>1</v>
      </c>
      <c r="K3635" s="3" t="n">
        <f aca="false">COUNTIFS($B$2:$B$4077,B3635,$C$2:$C$4077,C3635,$I$2:$I$4077,I3635)</f>
        <v>3</v>
      </c>
      <c r="L3635" s="3" t="n">
        <f aca="false">IF(COUNTIFS($B$2:B3635,B3635,$C$2:C3635,C3635,$I$2:I3635,I3635)=1,1,0)</f>
        <v>0</v>
      </c>
      <c r="M3635" s="3" t="n">
        <f aca="false">IF(K3635&gt;=Parametri!$B$1,1,0)</f>
        <v>1</v>
      </c>
      <c r="N3635" s="3" t="n">
        <f aca="false">L3635*M3635</f>
        <v>0</v>
      </c>
    </row>
    <row r="3636" customFormat="false" ht="15" hidden="false" customHeight="false" outlineLevel="0" collapsed="false">
      <c r="A3636" s="0" t="s">
        <v>5359</v>
      </c>
      <c r="B3636" s="0" t="s">
        <v>41</v>
      </c>
      <c r="C3636" s="0" t="s">
        <v>5195</v>
      </c>
      <c r="D3636" s="0" t="s">
        <v>19</v>
      </c>
      <c r="E3636" s="2" t="n">
        <v>46078</v>
      </c>
      <c r="F3636" s="3" t="s">
        <v>20</v>
      </c>
      <c r="G3636" s="3" t="s">
        <v>89</v>
      </c>
      <c r="H3636" s="3" t="s">
        <v>29</v>
      </c>
      <c r="I3636" s="3" t="n">
        <f aca="false">YEAR(E3636)</f>
        <v>2026</v>
      </c>
      <c r="J3636" s="3" t="n">
        <f aca="false">MONTH(E3636)</f>
        <v>2</v>
      </c>
      <c r="K3636" s="3" t="n">
        <f aca="false">COUNTIFS($B$2:$B$4077,B3636,$C$2:$C$4077,C3636,$I$2:$I$4077,I3636)</f>
        <v>1</v>
      </c>
      <c r="L3636" s="3" t="n">
        <f aca="false">IF(COUNTIFS($B$2:B3636,B3636,$C$2:C3636,C3636,$I$2:I3636,I3636)=1,1,0)</f>
        <v>1</v>
      </c>
      <c r="M3636" s="3" t="n">
        <f aca="false">IF(K3636&gt;=Parametri!$B$1,1,0)</f>
        <v>0</v>
      </c>
      <c r="N3636" s="3" t="n">
        <f aca="false">L3636*M3636</f>
        <v>0</v>
      </c>
    </row>
    <row r="3637" customFormat="false" ht="15" hidden="false" customHeight="false" outlineLevel="0" collapsed="false">
      <c r="A3637" s="0" t="s">
        <v>5360</v>
      </c>
      <c r="B3637" s="0" t="s">
        <v>24</v>
      </c>
      <c r="C3637" s="0" t="s">
        <v>2782</v>
      </c>
      <c r="D3637" s="0" t="s">
        <v>33</v>
      </c>
      <c r="E3637" s="2" t="n">
        <v>46019</v>
      </c>
      <c r="F3637" s="3" t="s">
        <v>20</v>
      </c>
      <c r="G3637" s="3" t="s">
        <v>55</v>
      </c>
      <c r="H3637" s="3" t="s">
        <v>48</v>
      </c>
      <c r="I3637" s="3" t="n">
        <f aca="false">YEAR(E3637)</f>
        <v>2025</v>
      </c>
      <c r="J3637" s="3" t="n">
        <f aca="false">MONTH(E3637)</f>
        <v>12</v>
      </c>
      <c r="K3637" s="3" t="n">
        <f aca="false">COUNTIFS($B$2:$B$4077,B3637,$C$2:$C$4077,C3637,$I$2:$I$4077,I3637)</f>
        <v>1</v>
      </c>
      <c r="L3637" s="3" t="n">
        <f aca="false">IF(COUNTIFS($B$2:B3637,B3637,$C$2:C3637,C3637,$I$2:I3637,I3637)=1,1,0)</f>
        <v>1</v>
      </c>
      <c r="M3637" s="3" t="n">
        <f aca="false">IF(K3637&gt;=Parametri!$B$1,1,0)</f>
        <v>0</v>
      </c>
      <c r="N3637" s="3" t="n">
        <f aca="false">L3637*M3637</f>
        <v>0</v>
      </c>
    </row>
    <row r="3638" customFormat="false" ht="15" hidden="false" customHeight="false" outlineLevel="0" collapsed="false">
      <c r="A3638" s="0" t="s">
        <v>5361</v>
      </c>
      <c r="B3638" s="0" t="s">
        <v>24</v>
      </c>
      <c r="C3638" s="0" t="s">
        <v>669</v>
      </c>
      <c r="D3638" s="0" t="s">
        <v>77</v>
      </c>
      <c r="E3638" s="2" t="n">
        <v>45395</v>
      </c>
      <c r="F3638" s="3" t="s">
        <v>34</v>
      </c>
      <c r="G3638" s="3" t="s">
        <v>35</v>
      </c>
      <c r="H3638" s="3" t="s">
        <v>22</v>
      </c>
      <c r="I3638" s="3" t="n">
        <f aca="false">YEAR(E3638)</f>
        <v>2024</v>
      </c>
      <c r="J3638" s="3" t="n">
        <f aca="false">MONTH(E3638)</f>
        <v>4</v>
      </c>
      <c r="K3638" s="3" t="n">
        <f aca="false">COUNTIFS($B$2:$B$4077,B3638,$C$2:$C$4077,C3638,$I$2:$I$4077,I3638)</f>
        <v>4</v>
      </c>
      <c r="L3638" s="3" t="n">
        <f aca="false">IF(COUNTIFS($B$2:B3638,B3638,$C$2:C3638,C3638,$I$2:I3638,I3638)=1,1,0)</f>
        <v>0</v>
      </c>
      <c r="M3638" s="3" t="n">
        <f aca="false">IF(K3638&gt;=Parametri!$B$1,1,0)</f>
        <v>1</v>
      </c>
      <c r="N3638" s="3" t="n">
        <f aca="false">L3638*M3638</f>
        <v>0</v>
      </c>
    </row>
    <row r="3639" customFormat="false" ht="15" hidden="false" customHeight="false" outlineLevel="0" collapsed="false">
      <c r="A3639" s="0" t="s">
        <v>5362</v>
      </c>
      <c r="B3639" s="0" t="s">
        <v>79</v>
      </c>
      <c r="C3639" s="0" t="s">
        <v>606</v>
      </c>
      <c r="D3639" s="0" t="s">
        <v>33</v>
      </c>
      <c r="E3639" s="2" t="n">
        <v>45379</v>
      </c>
      <c r="F3639" s="3" t="s">
        <v>27</v>
      </c>
      <c r="G3639" s="3" t="s">
        <v>89</v>
      </c>
      <c r="H3639" s="3" t="s">
        <v>29</v>
      </c>
      <c r="I3639" s="3" t="n">
        <f aca="false">YEAR(E3639)</f>
        <v>2024</v>
      </c>
      <c r="J3639" s="3" t="n">
        <f aca="false">MONTH(E3639)</f>
        <v>3</v>
      </c>
      <c r="K3639" s="3" t="n">
        <f aca="false">COUNTIFS($B$2:$B$4077,B3639,$C$2:$C$4077,C3639,$I$2:$I$4077,I3639)</f>
        <v>1</v>
      </c>
      <c r="L3639" s="3" t="n">
        <f aca="false">IF(COUNTIFS($B$2:B3639,B3639,$C$2:C3639,C3639,$I$2:I3639,I3639)=1,1,0)</f>
        <v>1</v>
      </c>
      <c r="M3639" s="3" t="n">
        <f aca="false">IF(K3639&gt;=Parametri!$B$1,1,0)</f>
        <v>0</v>
      </c>
      <c r="N3639" s="3" t="n">
        <f aca="false">L3639*M3639</f>
        <v>0</v>
      </c>
    </row>
    <row r="3640" customFormat="false" ht="15" hidden="false" customHeight="false" outlineLevel="0" collapsed="false">
      <c r="A3640" s="0" t="s">
        <v>5363</v>
      </c>
      <c r="B3640" s="0" t="s">
        <v>50</v>
      </c>
      <c r="C3640" s="0" t="s">
        <v>1436</v>
      </c>
      <c r="D3640" s="0" t="s">
        <v>26</v>
      </c>
      <c r="E3640" s="2" t="n">
        <v>45549</v>
      </c>
      <c r="F3640" s="3" t="s">
        <v>34</v>
      </c>
      <c r="G3640" s="3" t="s">
        <v>55</v>
      </c>
      <c r="H3640" s="3" t="s">
        <v>22</v>
      </c>
      <c r="I3640" s="3" t="n">
        <f aca="false">YEAR(E3640)</f>
        <v>2024</v>
      </c>
      <c r="J3640" s="3" t="n">
        <f aca="false">MONTH(E3640)</f>
        <v>9</v>
      </c>
      <c r="K3640" s="3" t="n">
        <f aca="false">COUNTIFS($B$2:$B$4077,B3640,$C$2:$C$4077,C3640,$I$2:$I$4077,I3640)</f>
        <v>4</v>
      </c>
      <c r="L3640" s="3" t="n">
        <f aca="false">IF(COUNTIFS($B$2:B3640,B3640,$C$2:C3640,C3640,$I$2:I3640,I3640)=1,1,0)</f>
        <v>0</v>
      </c>
      <c r="M3640" s="3" t="n">
        <f aca="false">IF(K3640&gt;=Parametri!$B$1,1,0)</f>
        <v>1</v>
      </c>
      <c r="N3640" s="3" t="n">
        <f aca="false">L3640*M3640</f>
        <v>0</v>
      </c>
    </row>
    <row r="3641" customFormat="false" ht="15" hidden="false" customHeight="false" outlineLevel="0" collapsed="false">
      <c r="A3641" s="0" t="s">
        <v>5364</v>
      </c>
      <c r="B3641" s="0" t="s">
        <v>68</v>
      </c>
      <c r="C3641" s="0" t="s">
        <v>5365</v>
      </c>
      <c r="D3641" s="0" t="s">
        <v>54</v>
      </c>
      <c r="E3641" s="2" t="n">
        <v>45659</v>
      </c>
      <c r="F3641" s="3" t="s">
        <v>27</v>
      </c>
      <c r="G3641" s="3" t="s">
        <v>39</v>
      </c>
      <c r="H3641" s="3" t="s">
        <v>29</v>
      </c>
      <c r="I3641" s="3" t="n">
        <f aca="false">YEAR(E3641)</f>
        <v>2025</v>
      </c>
      <c r="J3641" s="3" t="n">
        <f aca="false">MONTH(E3641)</f>
        <v>1</v>
      </c>
      <c r="K3641" s="3" t="n">
        <f aca="false">COUNTIFS($B$2:$B$4077,B3641,$C$2:$C$4077,C3641,$I$2:$I$4077,I3641)</f>
        <v>1</v>
      </c>
      <c r="L3641" s="3" t="n">
        <f aca="false">IF(COUNTIFS($B$2:B3641,B3641,$C$2:C3641,C3641,$I$2:I3641,I3641)=1,1,0)</f>
        <v>1</v>
      </c>
      <c r="M3641" s="3" t="n">
        <f aca="false">IF(K3641&gt;=Parametri!$B$1,1,0)</f>
        <v>0</v>
      </c>
      <c r="N3641" s="3" t="n">
        <f aca="false">L3641*M3641</f>
        <v>0</v>
      </c>
    </row>
    <row r="3642" customFormat="false" ht="15" hidden="false" customHeight="false" outlineLevel="0" collapsed="false">
      <c r="A3642" s="0" t="s">
        <v>5366</v>
      </c>
      <c r="B3642" s="0" t="s">
        <v>50</v>
      </c>
      <c r="C3642" s="0" t="s">
        <v>5367</v>
      </c>
      <c r="D3642" s="0" t="s">
        <v>38</v>
      </c>
      <c r="E3642" s="2" t="n">
        <v>46242</v>
      </c>
      <c r="F3642" s="3" t="s">
        <v>34</v>
      </c>
      <c r="G3642" s="3" t="s">
        <v>21</v>
      </c>
      <c r="H3642" s="3" t="s">
        <v>44</v>
      </c>
      <c r="I3642" s="3" t="n">
        <f aca="false">YEAR(E3642)</f>
        <v>2026</v>
      </c>
      <c r="J3642" s="3" t="n">
        <f aca="false">MONTH(E3642)</f>
        <v>8</v>
      </c>
      <c r="K3642" s="3" t="n">
        <f aca="false">COUNTIFS($B$2:$B$4077,B3642,$C$2:$C$4077,C3642,$I$2:$I$4077,I3642)</f>
        <v>1</v>
      </c>
      <c r="L3642" s="3" t="n">
        <f aca="false">IF(COUNTIFS($B$2:B3642,B3642,$C$2:C3642,C3642,$I$2:I3642,I3642)=1,1,0)</f>
        <v>1</v>
      </c>
      <c r="M3642" s="3" t="n">
        <f aca="false">IF(K3642&gt;=Parametri!$B$1,1,0)</f>
        <v>0</v>
      </c>
      <c r="N3642" s="3" t="n">
        <f aca="false">L3642*M3642</f>
        <v>0</v>
      </c>
    </row>
    <row r="3643" customFormat="false" ht="15" hidden="false" customHeight="false" outlineLevel="0" collapsed="false">
      <c r="A3643" s="0" t="s">
        <v>5368</v>
      </c>
      <c r="B3643" s="0" t="s">
        <v>50</v>
      </c>
      <c r="C3643" s="0" t="s">
        <v>5369</v>
      </c>
      <c r="D3643" s="0" t="s">
        <v>33</v>
      </c>
      <c r="E3643" s="2" t="n">
        <v>46016</v>
      </c>
      <c r="F3643" s="3" t="s">
        <v>27</v>
      </c>
      <c r="G3643" s="3" t="s">
        <v>55</v>
      </c>
      <c r="H3643" s="3" t="s">
        <v>29</v>
      </c>
      <c r="I3643" s="3" t="n">
        <f aca="false">YEAR(E3643)</f>
        <v>2025</v>
      </c>
      <c r="J3643" s="3" t="n">
        <f aca="false">MONTH(E3643)</f>
        <v>12</v>
      </c>
      <c r="K3643" s="3" t="n">
        <f aca="false">COUNTIFS($B$2:$B$4077,B3643,$C$2:$C$4077,C3643,$I$2:$I$4077,I3643)</f>
        <v>1</v>
      </c>
      <c r="L3643" s="3" t="n">
        <f aca="false">IF(COUNTIFS($B$2:B3643,B3643,$C$2:C3643,C3643,$I$2:I3643,I3643)=1,1,0)</f>
        <v>1</v>
      </c>
      <c r="M3643" s="3" t="n">
        <f aca="false">IF(K3643&gt;=Parametri!$B$1,1,0)</f>
        <v>0</v>
      </c>
      <c r="N3643" s="3" t="n">
        <f aca="false">L3643*M3643</f>
        <v>0</v>
      </c>
    </row>
    <row r="3644" customFormat="false" ht="15" hidden="false" customHeight="false" outlineLevel="0" collapsed="false">
      <c r="A3644" s="0" t="s">
        <v>5370</v>
      </c>
      <c r="B3644" s="0" t="s">
        <v>17</v>
      </c>
      <c r="C3644" s="0" t="s">
        <v>4072</v>
      </c>
      <c r="D3644" s="0" t="s">
        <v>77</v>
      </c>
      <c r="E3644" s="2" t="n">
        <v>45668</v>
      </c>
      <c r="F3644" s="3" t="s">
        <v>34</v>
      </c>
      <c r="G3644" s="3" t="s">
        <v>35</v>
      </c>
      <c r="H3644" s="3" t="s">
        <v>48</v>
      </c>
      <c r="I3644" s="3" t="n">
        <f aca="false">YEAR(E3644)</f>
        <v>2025</v>
      </c>
      <c r="J3644" s="3" t="n">
        <f aca="false">MONTH(E3644)</f>
        <v>1</v>
      </c>
      <c r="K3644" s="3" t="n">
        <f aca="false">COUNTIFS($B$2:$B$4077,B3644,$C$2:$C$4077,C3644,$I$2:$I$4077,I3644)</f>
        <v>2</v>
      </c>
      <c r="L3644" s="3" t="n">
        <f aca="false">IF(COUNTIFS($B$2:B3644,B3644,$C$2:C3644,C3644,$I$2:I3644,I3644)=1,1,0)</f>
        <v>0</v>
      </c>
      <c r="M3644" s="3" t="n">
        <f aca="false">IF(K3644&gt;=Parametri!$B$1,1,0)</f>
        <v>1</v>
      </c>
      <c r="N3644" s="3" t="n">
        <f aca="false">L3644*M3644</f>
        <v>0</v>
      </c>
    </row>
    <row r="3645" customFormat="false" ht="15" hidden="false" customHeight="false" outlineLevel="0" collapsed="false">
      <c r="A3645" s="0" t="s">
        <v>5371</v>
      </c>
      <c r="B3645" s="0" t="s">
        <v>17</v>
      </c>
      <c r="C3645" s="0" t="s">
        <v>2962</v>
      </c>
      <c r="D3645" s="0" t="s">
        <v>54</v>
      </c>
      <c r="E3645" s="2" t="n">
        <v>46243</v>
      </c>
      <c r="F3645" s="3" t="s">
        <v>34</v>
      </c>
      <c r="G3645" s="3" t="s">
        <v>43</v>
      </c>
      <c r="H3645" s="3" t="s">
        <v>44</v>
      </c>
      <c r="I3645" s="3" t="n">
        <f aca="false">YEAR(E3645)</f>
        <v>2026</v>
      </c>
      <c r="J3645" s="3" t="n">
        <f aca="false">MONTH(E3645)</f>
        <v>8</v>
      </c>
      <c r="K3645" s="3" t="n">
        <f aca="false">COUNTIFS($B$2:$B$4077,B3645,$C$2:$C$4077,C3645,$I$2:$I$4077,I3645)</f>
        <v>2</v>
      </c>
      <c r="L3645" s="3" t="n">
        <f aca="false">IF(COUNTIFS($B$2:B3645,B3645,$C$2:C3645,C3645,$I$2:I3645,I3645)=1,1,0)</f>
        <v>0</v>
      </c>
      <c r="M3645" s="3" t="n">
        <f aca="false">IF(K3645&gt;=Parametri!$B$1,1,0)</f>
        <v>1</v>
      </c>
      <c r="N3645" s="3" t="n">
        <f aca="false">L3645*M3645</f>
        <v>0</v>
      </c>
    </row>
    <row r="3646" customFormat="false" ht="15" hidden="false" customHeight="false" outlineLevel="0" collapsed="false">
      <c r="A3646" s="0" t="s">
        <v>5372</v>
      </c>
      <c r="B3646" s="0" t="s">
        <v>79</v>
      </c>
      <c r="C3646" s="0" t="s">
        <v>2951</v>
      </c>
      <c r="D3646" s="0" t="s">
        <v>63</v>
      </c>
      <c r="E3646" s="2" t="n">
        <v>45486</v>
      </c>
      <c r="F3646" s="3" t="s">
        <v>20</v>
      </c>
      <c r="G3646" s="3" t="s">
        <v>28</v>
      </c>
      <c r="H3646" s="3" t="s">
        <v>29</v>
      </c>
      <c r="I3646" s="3" t="n">
        <f aca="false">YEAR(E3646)</f>
        <v>2024</v>
      </c>
      <c r="J3646" s="3" t="n">
        <f aca="false">MONTH(E3646)</f>
        <v>7</v>
      </c>
      <c r="K3646" s="3" t="n">
        <f aca="false">COUNTIFS($B$2:$B$4077,B3646,$C$2:$C$4077,C3646,$I$2:$I$4077,I3646)</f>
        <v>2</v>
      </c>
      <c r="L3646" s="3" t="n">
        <f aca="false">IF(COUNTIFS($B$2:B3646,B3646,$C$2:C3646,C3646,$I$2:I3646,I3646)=1,1,0)</f>
        <v>1</v>
      </c>
      <c r="M3646" s="3" t="n">
        <f aca="false">IF(K3646&gt;=Parametri!$B$1,1,0)</f>
        <v>1</v>
      </c>
      <c r="N3646" s="3" t="n">
        <f aca="false">L3646*M3646</f>
        <v>1</v>
      </c>
    </row>
    <row r="3647" customFormat="false" ht="15" hidden="false" customHeight="false" outlineLevel="0" collapsed="false">
      <c r="A3647" s="0" t="s">
        <v>5373</v>
      </c>
      <c r="B3647" s="0" t="s">
        <v>57</v>
      </c>
      <c r="C3647" s="0" t="s">
        <v>5374</v>
      </c>
      <c r="D3647" s="0" t="s">
        <v>19</v>
      </c>
      <c r="E3647" s="2" t="n">
        <v>45987</v>
      </c>
      <c r="F3647" s="3" t="s">
        <v>20</v>
      </c>
      <c r="G3647" s="3" t="s">
        <v>39</v>
      </c>
      <c r="H3647" s="3" t="s">
        <v>29</v>
      </c>
      <c r="I3647" s="3" t="n">
        <f aca="false">YEAR(E3647)</f>
        <v>2025</v>
      </c>
      <c r="J3647" s="3" t="n">
        <f aca="false">MONTH(E3647)</f>
        <v>11</v>
      </c>
      <c r="K3647" s="3" t="n">
        <f aca="false">COUNTIFS($B$2:$B$4077,B3647,$C$2:$C$4077,C3647,$I$2:$I$4077,I3647)</f>
        <v>1</v>
      </c>
      <c r="L3647" s="3" t="n">
        <f aca="false">IF(COUNTIFS($B$2:B3647,B3647,$C$2:C3647,C3647,$I$2:I3647,I3647)=1,1,0)</f>
        <v>1</v>
      </c>
      <c r="M3647" s="3" t="n">
        <f aca="false">IF(K3647&gt;=Parametri!$B$1,1,0)</f>
        <v>0</v>
      </c>
      <c r="N3647" s="3" t="n">
        <f aca="false">L3647*M3647</f>
        <v>0</v>
      </c>
    </row>
    <row r="3648" customFormat="false" ht="15" hidden="false" customHeight="false" outlineLevel="0" collapsed="false">
      <c r="A3648" s="0" t="s">
        <v>5375</v>
      </c>
      <c r="B3648" s="0" t="s">
        <v>31</v>
      </c>
      <c r="C3648" s="0" t="s">
        <v>5376</v>
      </c>
      <c r="D3648" s="0" t="s">
        <v>63</v>
      </c>
      <c r="E3648" s="2" t="n">
        <v>46004</v>
      </c>
      <c r="F3648" s="3" t="s">
        <v>20</v>
      </c>
      <c r="G3648" s="3" t="s">
        <v>89</v>
      </c>
      <c r="H3648" s="3" t="s">
        <v>44</v>
      </c>
      <c r="I3648" s="3" t="n">
        <f aca="false">YEAR(E3648)</f>
        <v>2025</v>
      </c>
      <c r="J3648" s="3" t="n">
        <f aca="false">MONTH(E3648)</f>
        <v>12</v>
      </c>
      <c r="K3648" s="3" t="n">
        <f aca="false">COUNTIFS($B$2:$B$4077,B3648,$C$2:$C$4077,C3648,$I$2:$I$4077,I3648)</f>
        <v>1</v>
      </c>
      <c r="L3648" s="3" t="n">
        <f aca="false">IF(COUNTIFS($B$2:B3648,B3648,$C$2:C3648,C3648,$I$2:I3648,I3648)=1,1,0)</f>
        <v>1</v>
      </c>
      <c r="M3648" s="3" t="n">
        <f aca="false">IF(K3648&gt;=Parametri!$B$1,1,0)</f>
        <v>0</v>
      </c>
      <c r="N3648" s="3" t="n">
        <f aca="false">L3648*M3648</f>
        <v>0</v>
      </c>
    </row>
    <row r="3649" customFormat="false" ht="15" hidden="false" customHeight="false" outlineLevel="0" collapsed="false">
      <c r="A3649" s="0" t="s">
        <v>5377</v>
      </c>
      <c r="B3649" s="0" t="s">
        <v>50</v>
      </c>
      <c r="C3649" s="0" t="s">
        <v>5378</v>
      </c>
      <c r="D3649" s="0" t="s">
        <v>66</v>
      </c>
      <c r="E3649" s="2" t="n">
        <v>45956</v>
      </c>
      <c r="F3649" s="3" t="s">
        <v>20</v>
      </c>
      <c r="G3649" s="3" t="s">
        <v>39</v>
      </c>
      <c r="H3649" s="3" t="s">
        <v>44</v>
      </c>
      <c r="I3649" s="3" t="n">
        <f aca="false">YEAR(E3649)</f>
        <v>2025</v>
      </c>
      <c r="J3649" s="3" t="n">
        <f aca="false">MONTH(E3649)</f>
        <v>10</v>
      </c>
      <c r="K3649" s="3" t="n">
        <f aca="false">COUNTIFS($B$2:$B$4077,B3649,$C$2:$C$4077,C3649,$I$2:$I$4077,I3649)</f>
        <v>1</v>
      </c>
      <c r="L3649" s="3" t="n">
        <f aca="false">IF(COUNTIFS($B$2:B3649,B3649,$C$2:C3649,C3649,$I$2:I3649,I3649)=1,1,0)</f>
        <v>1</v>
      </c>
      <c r="M3649" s="3" t="n">
        <f aca="false">IF(K3649&gt;=Parametri!$B$1,1,0)</f>
        <v>0</v>
      </c>
      <c r="N3649" s="3" t="n">
        <f aca="false">L3649*M3649</f>
        <v>0</v>
      </c>
    </row>
    <row r="3650" customFormat="false" ht="15" hidden="false" customHeight="false" outlineLevel="0" collapsed="false">
      <c r="A3650" s="0" t="s">
        <v>5379</v>
      </c>
      <c r="B3650" s="0" t="s">
        <v>124</v>
      </c>
      <c r="C3650" s="0" t="s">
        <v>1279</v>
      </c>
      <c r="D3650" s="0" t="s">
        <v>66</v>
      </c>
      <c r="E3650" s="2" t="n">
        <v>45855</v>
      </c>
      <c r="F3650" s="3" t="s">
        <v>20</v>
      </c>
      <c r="G3650" s="3" t="s">
        <v>72</v>
      </c>
      <c r="H3650" s="3" t="s">
        <v>29</v>
      </c>
      <c r="I3650" s="3" t="n">
        <f aca="false">YEAR(E3650)</f>
        <v>2025</v>
      </c>
      <c r="J3650" s="3" t="n">
        <f aca="false">MONTH(E3650)</f>
        <v>7</v>
      </c>
      <c r="K3650" s="3" t="n">
        <f aca="false">COUNTIFS($B$2:$B$4077,B3650,$C$2:$C$4077,C3650,$I$2:$I$4077,I3650)</f>
        <v>8</v>
      </c>
      <c r="L3650" s="3" t="n">
        <f aca="false">IF(COUNTIFS($B$2:B3650,B3650,$C$2:C3650,C3650,$I$2:I3650,I3650)=1,1,0)</f>
        <v>0</v>
      </c>
      <c r="M3650" s="3" t="n">
        <f aca="false">IF(K3650&gt;=Parametri!$B$1,1,0)</f>
        <v>1</v>
      </c>
      <c r="N3650" s="3" t="n">
        <f aca="false">L3650*M3650</f>
        <v>0</v>
      </c>
    </row>
    <row r="3651" customFormat="false" ht="15" hidden="false" customHeight="false" outlineLevel="0" collapsed="false">
      <c r="A3651" s="0" t="s">
        <v>5380</v>
      </c>
      <c r="B3651" s="0" t="s">
        <v>57</v>
      </c>
      <c r="C3651" s="0" t="s">
        <v>2742</v>
      </c>
      <c r="D3651" s="0" t="s">
        <v>38</v>
      </c>
      <c r="E3651" s="2" t="n">
        <v>45354</v>
      </c>
      <c r="F3651" s="3" t="s">
        <v>20</v>
      </c>
      <c r="G3651" s="3" t="s">
        <v>35</v>
      </c>
      <c r="H3651" s="3" t="s">
        <v>44</v>
      </c>
      <c r="I3651" s="3" t="n">
        <f aca="false">YEAR(E3651)</f>
        <v>2024</v>
      </c>
      <c r="J3651" s="3" t="n">
        <f aca="false">MONTH(E3651)</f>
        <v>3</v>
      </c>
      <c r="K3651" s="3" t="n">
        <f aca="false">COUNTIFS($B$2:$B$4077,B3651,$C$2:$C$4077,C3651,$I$2:$I$4077,I3651)</f>
        <v>1</v>
      </c>
      <c r="L3651" s="3" t="n">
        <f aca="false">IF(COUNTIFS($B$2:B3651,B3651,$C$2:C3651,C3651,$I$2:I3651,I3651)=1,1,0)</f>
        <v>1</v>
      </c>
      <c r="M3651" s="3" t="n">
        <f aca="false">IF(K3651&gt;=Parametri!$B$1,1,0)</f>
        <v>0</v>
      </c>
      <c r="N3651" s="3" t="n">
        <f aca="false">L3651*M3651</f>
        <v>0</v>
      </c>
    </row>
    <row r="3652" customFormat="false" ht="15" hidden="false" customHeight="false" outlineLevel="0" collapsed="false">
      <c r="A3652" s="0" t="s">
        <v>5381</v>
      </c>
      <c r="B3652" s="0" t="s">
        <v>68</v>
      </c>
      <c r="C3652" s="0" t="s">
        <v>5382</v>
      </c>
      <c r="D3652" s="0" t="s">
        <v>63</v>
      </c>
      <c r="E3652" s="2" t="n">
        <v>46100</v>
      </c>
      <c r="F3652" s="3" t="s">
        <v>20</v>
      </c>
      <c r="G3652" s="3" t="s">
        <v>72</v>
      </c>
      <c r="H3652" s="3" t="s">
        <v>44</v>
      </c>
      <c r="I3652" s="3" t="n">
        <f aca="false">YEAR(E3652)</f>
        <v>2026</v>
      </c>
      <c r="J3652" s="3" t="n">
        <f aca="false">MONTH(E3652)</f>
        <v>3</v>
      </c>
      <c r="K3652" s="3" t="n">
        <f aca="false">COUNTIFS($B$2:$B$4077,B3652,$C$2:$C$4077,C3652,$I$2:$I$4077,I3652)</f>
        <v>1</v>
      </c>
      <c r="L3652" s="3" t="n">
        <f aca="false">IF(COUNTIFS($B$2:B3652,B3652,$C$2:C3652,C3652,$I$2:I3652,I3652)=1,1,0)</f>
        <v>1</v>
      </c>
      <c r="M3652" s="3" t="n">
        <f aca="false">IF(K3652&gt;=Parametri!$B$1,1,0)</f>
        <v>0</v>
      </c>
      <c r="N3652" s="3" t="n">
        <f aca="false">L3652*M3652</f>
        <v>0</v>
      </c>
    </row>
    <row r="3653" customFormat="false" ht="15" hidden="false" customHeight="false" outlineLevel="0" collapsed="false">
      <c r="A3653" s="0" t="s">
        <v>5383</v>
      </c>
      <c r="B3653" s="0" t="s">
        <v>24</v>
      </c>
      <c r="C3653" s="0" t="s">
        <v>875</v>
      </c>
      <c r="D3653" s="0" t="s">
        <v>33</v>
      </c>
      <c r="E3653" s="2" t="n">
        <v>45942</v>
      </c>
      <c r="F3653" s="3" t="s">
        <v>20</v>
      </c>
      <c r="G3653" s="3" t="s">
        <v>55</v>
      </c>
      <c r="H3653" s="3" t="s">
        <v>22</v>
      </c>
      <c r="I3653" s="3" t="n">
        <f aca="false">YEAR(E3653)</f>
        <v>2025</v>
      </c>
      <c r="J3653" s="3" t="n">
        <f aca="false">MONTH(E3653)</f>
        <v>10</v>
      </c>
      <c r="K3653" s="3" t="n">
        <f aca="false">COUNTIFS($B$2:$B$4077,B3653,$C$2:$C$4077,C3653,$I$2:$I$4077,I3653)</f>
        <v>2</v>
      </c>
      <c r="L3653" s="3" t="n">
        <f aca="false">IF(COUNTIFS($B$2:B3653,B3653,$C$2:C3653,C3653,$I$2:I3653,I3653)=1,1,0)</f>
        <v>0</v>
      </c>
      <c r="M3653" s="3" t="n">
        <f aca="false">IF(K3653&gt;=Parametri!$B$1,1,0)</f>
        <v>1</v>
      </c>
      <c r="N3653" s="3" t="n">
        <f aca="false">L3653*M3653</f>
        <v>0</v>
      </c>
    </row>
    <row r="3654" customFormat="false" ht="15" hidden="false" customHeight="false" outlineLevel="0" collapsed="false">
      <c r="A3654" s="0" t="s">
        <v>5384</v>
      </c>
      <c r="B3654" s="0" t="s">
        <v>79</v>
      </c>
      <c r="C3654" s="0" t="s">
        <v>736</v>
      </c>
      <c r="D3654" s="0" t="s">
        <v>54</v>
      </c>
      <c r="E3654" s="2" t="n">
        <v>45957</v>
      </c>
      <c r="F3654" s="3" t="s">
        <v>20</v>
      </c>
      <c r="G3654" s="3" t="s">
        <v>43</v>
      </c>
      <c r="H3654" s="3" t="s">
        <v>22</v>
      </c>
      <c r="I3654" s="3" t="n">
        <f aca="false">YEAR(E3654)</f>
        <v>2025</v>
      </c>
      <c r="J3654" s="3" t="n">
        <f aca="false">MONTH(E3654)</f>
        <v>10</v>
      </c>
      <c r="K3654" s="3" t="n">
        <f aca="false">COUNTIFS($B$2:$B$4077,B3654,$C$2:$C$4077,C3654,$I$2:$I$4077,I3654)</f>
        <v>1</v>
      </c>
      <c r="L3654" s="3" t="n">
        <f aca="false">IF(COUNTIFS($B$2:B3654,B3654,$C$2:C3654,C3654,$I$2:I3654,I3654)=1,1,0)</f>
        <v>1</v>
      </c>
      <c r="M3654" s="3" t="n">
        <f aca="false">IF(K3654&gt;=Parametri!$B$1,1,0)</f>
        <v>0</v>
      </c>
      <c r="N3654" s="3" t="n">
        <f aca="false">L3654*M3654</f>
        <v>0</v>
      </c>
    </row>
    <row r="3655" customFormat="false" ht="15" hidden="false" customHeight="false" outlineLevel="0" collapsed="false">
      <c r="A3655" s="0" t="s">
        <v>5385</v>
      </c>
      <c r="B3655" s="0" t="s">
        <v>57</v>
      </c>
      <c r="C3655" s="0" t="s">
        <v>3498</v>
      </c>
      <c r="D3655" s="0" t="s">
        <v>66</v>
      </c>
      <c r="E3655" s="2" t="n">
        <v>45812</v>
      </c>
      <c r="F3655" s="3" t="s">
        <v>20</v>
      </c>
      <c r="G3655" s="3" t="s">
        <v>89</v>
      </c>
      <c r="H3655" s="3" t="s">
        <v>48</v>
      </c>
      <c r="I3655" s="3" t="n">
        <f aca="false">YEAR(E3655)</f>
        <v>2025</v>
      </c>
      <c r="J3655" s="3" t="n">
        <f aca="false">MONTH(E3655)</f>
        <v>6</v>
      </c>
      <c r="K3655" s="3" t="n">
        <f aca="false">COUNTIFS($B$2:$B$4077,B3655,$C$2:$C$4077,C3655,$I$2:$I$4077,I3655)</f>
        <v>2</v>
      </c>
      <c r="L3655" s="3" t="n">
        <f aca="false">IF(COUNTIFS($B$2:B3655,B3655,$C$2:C3655,C3655,$I$2:I3655,I3655)=1,1,0)</f>
        <v>0</v>
      </c>
      <c r="M3655" s="3" t="n">
        <f aca="false">IF(K3655&gt;=Parametri!$B$1,1,0)</f>
        <v>1</v>
      </c>
      <c r="N3655" s="3" t="n">
        <f aca="false">L3655*M3655</f>
        <v>0</v>
      </c>
    </row>
    <row r="3656" customFormat="false" ht="15" hidden="false" customHeight="false" outlineLevel="0" collapsed="false">
      <c r="A3656" s="0" t="s">
        <v>5386</v>
      </c>
      <c r="B3656" s="0" t="s">
        <v>57</v>
      </c>
      <c r="C3656" s="0" t="s">
        <v>2960</v>
      </c>
      <c r="D3656" s="0" t="s">
        <v>63</v>
      </c>
      <c r="E3656" s="2" t="n">
        <v>45724</v>
      </c>
      <c r="F3656" s="3" t="s">
        <v>20</v>
      </c>
      <c r="G3656" s="3" t="s">
        <v>72</v>
      </c>
      <c r="H3656" s="3" t="s">
        <v>22</v>
      </c>
      <c r="I3656" s="3" t="n">
        <f aca="false">YEAR(E3656)</f>
        <v>2025</v>
      </c>
      <c r="J3656" s="3" t="n">
        <f aca="false">MONTH(E3656)</f>
        <v>3</v>
      </c>
      <c r="K3656" s="3" t="n">
        <f aca="false">COUNTIFS($B$2:$B$4077,B3656,$C$2:$C$4077,C3656,$I$2:$I$4077,I3656)</f>
        <v>2</v>
      </c>
      <c r="L3656" s="3" t="n">
        <f aca="false">IF(COUNTIFS($B$2:B3656,B3656,$C$2:C3656,C3656,$I$2:I3656,I3656)=1,1,0)</f>
        <v>0</v>
      </c>
      <c r="M3656" s="3" t="n">
        <f aca="false">IF(K3656&gt;=Parametri!$B$1,1,0)</f>
        <v>1</v>
      </c>
      <c r="N3656" s="3" t="n">
        <f aca="false">L3656*M3656</f>
        <v>0</v>
      </c>
    </row>
    <row r="3657" customFormat="false" ht="15" hidden="false" customHeight="false" outlineLevel="0" collapsed="false">
      <c r="A3657" s="0" t="s">
        <v>5387</v>
      </c>
      <c r="B3657" s="0" t="s">
        <v>41</v>
      </c>
      <c r="C3657" s="0" t="s">
        <v>1281</v>
      </c>
      <c r="D3657" s="0" t="s">
        <v>38</v>
      </c>
      <c r="E3657" s="2" t="n">
        <v>45437</v>
      </c>
      <c r="F3657" s="3" t="s">
        <v>27</v>
      </c>
      <c r="G3657" s="3" t="s">
        <v>39</v>
      </c>
      <c r="H3657" s="3" t="s">
        <v>22</v>
      </c>
      <c r="I3657" s="3" t="n">
        <f aca="false">YEAR(E3657)</f>
        <v>2024</v>
      </c>
      <c r="J3657" s="3" t="n">
        <f aca="false">MONTH(E3657)</f>
        <v>5</v>
      </c>
      <c r="K3657" s="3" t="n">
        <f aca="false">COUNTIFS($B$2:$B$4077,B3657,$C$2:$C$4077,C3657,$I$2:$I$4077,I3657)</f>
        <v>1</v>
      </c>
      <c r="L3657" s="3" t="n">
        <f aca="false">IF(COUNTIFS($B$2:B3657,B3657,$C$2:C3657,C3657,$I$2:I3657,I3657)=1,1,0)</f>
        <v>1</v>
      </c>
      <c r="M3657" s="3" t="n">
        <f aca="false">IF(K3657&gt;=Parametri!$B$1,1,0)</f>
        <v>0</v>
      </c>
      <c r="N3657" s="3" t="n">
        <f aca="false">L3657*M3657</f>
        <v>0</v>
      </c>
    </row>
    <row r="3658" customFormat="false" ht="15" hidden="false" customHeight="false" outlineLevel="0" collapsed="false">
      <c r="A3658" s="0" t="s">
        <v>5388</v>
      </c>
      <c r="B3658" s="0" t="s">
        <v>57</v>
      </c>
      <c r="C3658" s="0" t="s">
        <v>1531</v>
      </c>
      <c r="D3658" s="0" t="s">
        <v>66</v>
      </c>
      <c r="E3658" s="2" t="n">
        <v>45708</v>
      </c>
      <c r="F3658" s="3" t="s">
        <v>20</v>
      </c>
      <c r="G3658" s="3" t="s">
        <v>39</v>
      </c>
      <c r="H3658" s="3" t="s">
        <v>48</v>
      </c>
      <c r="I3658" s="3" t="n">
        <f aca="false">YEAR(E3658)</f>
        <v>2025</v>
      </c>
      <c r="J3658" s="3" t="n">
        <f aca="false">MONTH(E3658)</f>
        <v>2</v>
      </c>
      <c r="K3658" s="3" t="n">
        <f aca="false">COUNTIFS($B$2:$B$4077,B3658,$C$2:$C$4077,C3658,$I$2:$I$4077,I3658)</f>
        <v>7</v>
      </c>
      <c r="L3658" s="3" t="n">
        <f aca="false">IF(COUNTIFS($B$2:B3658,B3658,$C$2:C3658,C3658,$I$2:I3658,I3658)=1,1,0)</f>
        <v>0</v>
      </c>
      <c r="M3658" s="3" t="n">
        <f aca="false">IF(K3658&gt;=Parametri!$B$1,1,0)</f>
        <v>1</v>
      </c>
      <c r="N3658" s="3" t="n">
        <f aca="false">L3658*M3658</f>
        <v>0</v>
      </c>
    </row>
    <row r="3659" customFormat="false" ht="15" hidden="false" customHeight="false" outlineLevel="0" collapsed="false">
      <c r="A3659" s="0" t="s">
        <v>5389</v>
      </c>
      <c r="B3659" s="0" t="s">
        <v>68</v>
      </c>
      <c r="C3659" s="0" t="s">
        <v>5390</v>
      </c>
      <c r="D3659" s="0" t="s">
        <v>19</v>
      </c>
      <c r="E3659" s="2" t="n">
        <v>45353</v>
      </c>
      <c r="F3659" s="3" t="s">
        <v>27</v>
      </c>
      <c r="G3659" s="3" t="s">
        <v>21</v>
      </c>
      <c r="H3659" s="3" t="s">
        <v>29</v>
      </c>
      <c r="I3659" s="3" t="n">
        <f aca="false">YEAR(E3659)</f>
        <v>2024</v>
      </c>
      <c r="J3659" s="3" t="n">
        <f aca="false">MONTH(E3659)</f>
        <v>3</v>
      </c>
      <c r="K3659" s="3" t="n">
        <f aca="false">COUNTIFS($B$2:$B$4077,B3659,$C$2:$C$4077,C3659,$I$2:$I$4077,I3659)</f>
        <v>1</v>
      </c>
      <c r="L3659" s="3" t="n">
        <f aca="false">IF(COUNTIFS($B$2:B3659,B3659,$C$2:C3659,C3659,$I$2:I3659,I3659)=1,1,0)</f>
        <v>1</v>
      </c>
      <c r="M3659" s="3" t="n">
        <f aca="false">IF(K3659&gt;=Parametri!$B$1,1,0)</f>
        <v>0</v>
      </c>
      <c r="N3659" s="3" t="n">
        <f aca="false">L3659*M3659</f>
        <v>0</v>
      </c>
    </row>
    <row r="3660" customFormat="false" ht="15" hidden="false" customHeight="false" outlineLevel="0" collapsed="false">
      <c r="A3660" s="0" t="s">
        <v>5391</v>
      </c>
      <c r="B3660" s="0" t="s">
        <v>31</v>
      </c>
      <c r="C3660" s="0" t="s">
        <v>118</v>
      </c>
      <c r="D3660" s="0" t="s">
        <v>19</v>
      </c>
      <c r="E3660" s="2" t="n">
        <v>46164</v>
      </c>
      <c r="F3660" s="3" t="s">
        <v>20</v>
      </c>
      <c r="G3660" s="3" t="s">
        <v>39</v>
      </c>
      <c r="H3660" s="3" t="s">
        <v>29</v>
      </c>
      <c r="I3660" s="3" t="n">
        <f aca="false">YEAR(E3660)</f>
        <v>2026</v>
      </c>
      <c r="J3660" s="3" t="n">
        <f aca="false">MONTH(E3660)</f>
        <v>5</v>
      </c>
      <c r="K3660" s="3" t="n">
        <f aca="false">COUNTIFS($B$2:$B$4077,B3660,$C$2:$C$4077,C3660,$I$2:$I$4077,I3660)</f>
        <v>1</v>
      </c>
      <c r="L3660" s="3" t="n">
        <f aca="false">IF(COUNTIFS($B$2:B3660,B3660,$C$2:C3660,C3660,$I$2:I3660,I3660)=1,1,0)</f>
        <v>1</v>
      </c>
      <c r="M3660" s="3" t="n">
        <f aca="false">IF(K3660&gt;=Parametri!$B$1,1,0)</f>
        <v>0</v>
      </c>
      <c r="N3660" s="3" t="n">
        <f aca="false">L3660*M3660</f>
        <v>0</v>
      </c>
    </row>
    <row r="3661" customFormat="false" ht="15" hidden="false" customHeight="false" outlineLevel="0" collapsed="false">
      <c r="A3661" s="0" t="s">
        <v>5392</v>
      </c>
      <c r="B3661" s="0" t="s">
        <v>79</v>
      </c>
      <c r="C3661" s="0" t="s">
        <v>2233</v>
      </c>
      <c r="D3661" s="0" t="s">
        <v>26</v>
      </c>
      <c r="E3661" s="2" t="n">
        <v>46186</v>
      </c>
      <c r="F3661" s="3" t="s">
        <v>34</v>
      </c>
      <c r="G3661" s="3" t="s">
        <v>21</v>
      </c>
      <c r="H3661" s="3" t="s">
        <v>22</v>
      </c>
      <c r="I3661" s="3" t="n">
        <f aca="false">YEAR(E3661)</f>
        <v>2026</v>
      </c>
      <c r="J3661" s="3" t="n">
        <f aca="false">MONTH(E3661)</f>
        <v>6</v>
      </c>
      <c r="K3661" s="3" t="n">
        <f aca="false">COUNTIFS($B$2:$B$4077,B3661,$C$2:$C$4077,C3661,$I$2:$I$4077,I3661)</f>
        <v>1</v>
      </c>
      <c r="L3661" s="3" t="n">
        <f aca="false">IF(COUNTIFS($B$2:B3661,B3661,$C$2:C3661,C3661,$I$2:I3661,I3661)=1,1,0)</f>
        <v>1</v>
      </c>
      <c r="M3661" s="3" t="n">
        <f aca="false">IF(K3661&gt;=Parametri!$B$1,1,0)</f>
        <v>0</v>
      </c>
      <c r="N3661" s="3" t="n">
        <f aca="false">L3661*M3661</f>
        <v>0</v>
      </c>
    </row>
    <row r="3662" customFormat="false" ht="15" hidden="false" customHeight="false" outlineLevel="0" collapsed="false">
      <c r="A3662" s="0" t="s">
        <v>5393</v>
      </c>
      <c r="B3662" s="0" t="s">
        <v>17</v>
      </c>
      <c r="C3662" s="0" t="s">
        <v>671</v>
      </c>
      <c r="D3662" s="0" t="s">
        <v>19</v>
      </c>
      <c r="E3662" s="2" t="n">
        <v>45714</v>
      </c>
      <c r="F3662" s="3" t="s">
        <v>34</v>
      </c>
      <c r="G3662" s="3" t="s">
        <v>72</v>
      </c>
      <c r="H3662" s="3" t="s">
        <v>48</v>
      </c>
      <c r="I3662" s="3" t="n">
        <f aca="false">YEAR(E3662)</f>
        <v>2025</v>
      </c>
      <c r="J3662" s="3" t="n">
        <f aca="false">MONTH(E3662)</f>
        <v>2</v>
      </c>
      <c r="K3662" s="3" t="n">
        <f aca="false">COUNTIFS($B$2:$B$4077,B3662,$C$2:$C$4077,C3662,$I$2:$I$4077,I3662)</f>
        <v>1</v>
      </c>
      <c r="L3662" s="3" t="n">
        <f aca="false">IF(COUNTIFS($B$2:B3662,B3662,$C$2:C3662,C3662,$I$2:I3662,I3662)=1,1,0)</f>
        <v>1</v>
      </c>
      <c r="M3662" s="3" t="n">
        <f aca="false">IF(K3662&gt;=Parametri!$B$1,1,0)</f>
        <v>0</v>
      </c>
      <c r="N3662" s="3" t="n">
        <f aca="false">L3662*M3662</f>
        <v>0</v>
      </c>
    </row>
    <row r="3663" customFormat="false" ht="15" hidden="false" customHeight="false" outlineLevel="0" collapsed="false">
      <c r="A3663" s="0" t="s">
        <v>5394</v>
      </c>
      <c r="B3663" s="0" t="s">
        <v>57</v>
      </c>
      <c r="C3663" s="0" t="s">
        <v>288</v>
      </c>
      <c r="D3663" s="0" t="s">
        <v>26</v>
      </c>
      <c r="E3663" s="2" t="n">
        <v>46067</v>
      </c>
      <c r="F3663" s="3" t="s">
        <v>20</v>
      </c>
      <c r="G3663" s="3" t="s">
        <v>21</v>
      </c>
      <c r="H3663" s="3" t="s">
        <v>44</v>
      </c>
      <c r="I3663" s="3" t="n">
        <f aca="false">YEAR(E3663)</f>
        <v>2026</v>
      </c>
      <c r="J3663" s="3" t="n">
        <f aca="false">MONTH(E3663)</f>
        <v>2</v>
      </c>
      <c r="K3663" s="3" t="n">
        <f aca="false">COUNTIFS($B$2:$B$4077,B3663,$C$2:$C$4077,C3663,$I$2:$I$4077,I3663)</f>
        <v>2</v>
      </c>
      <c r="L3663" s="3" t="n">
        <f aca="false">IF(COUNTIFS($B$2:B3663,B3663,$C$2:C3663,C3663,$I$2:I3663,I3663)=1,1,0)</f>
        <v>0</v>
      </c>
      <c r="M3663" s="3" t="n">
        <f aca="false">IF(K3663&gt;=Parametri!$B$1,1,0)</f>
        <v>1</v>
      </c>
      <c r="N3663" s="3" t="n">
        <f aca="false">L3663*M3663</f>
        <v>0</v>
      </c>
    </row>
    <row r="3664" customFormat="false" ht="15" hidden="false" customHeight="false" outlineLevel="0" collapsed="false">
      <c r="A3664" s="0" t="s">
        <v>5395</v>
      </c>
      <c r="B3664" s="0" t="s">
        <v>79</v>
      </c>
      <c r="C3664" s="0" t="s">
        <v>2417</v>
      </c>
      <c r="D3664" s="0" t="s">
        <v>66</v>
      </c>
      <c r="E3664" s="2" t="n">
        <v>45957</v>
      </c>
      <c r="F3664" s="3" t="s">
        <v>34</v>
      </c>
      <c r="G3664" s="3" t="s">
        <v>39</v>
      </c>
      <c r="H3664" s="3" t="s">
        <v>44</v>
      </c>
      <c r="I3664" s="3" t="n">
        <f aca="false">YEAR(E3664)</f>
        <v>2025</v>
      </c>
      <c r="J3664" s="3" t="n">
        <f aca="false">MONTH(E3664)</f>
        <v>10</v>
      </c>
      <c r="K3664" s="3" t="n">
        <f aca="false">COUNTIFS($B$2:$B$4077,B3664,$C$2:$C$4077,C3664,$I$2:$I$4077,I3664)</f>
        <v>2</v>
      </c>
      <c r="L3664" s="3" t="n">
        <f aca="false">IF(COUNTIFS($B$2:B3664,B3664,$C$2:C3664,C3664,$I$2:I3664,I3664)=1,1,0)</f>
        <v>1</v>
      </c>
      <c r="M3664" s="3" t="n">
        <f aca="false">IF(K3664&gt;=Parametri!$B$1,1,0)</f>
        <v>1</v>
      </c>
      <c r="N3664" s="3" t="n">
        <f aca="false">L3664*M3664</f>
        <v>1</v>
      </c>
    </row>
    <row r="3665" customFormat="false" ht="15" hidden="false" customHeight="false" outlineLevel="0" collapsed="false">
      <c r="A3665" s="0" t="s">
        <v>5396</v>
      </c>
      <c r="B3665" s="0" t="s">
        <v>31</v>
      </c>
      <c r="C3665" s="0" t="s">
        <v>135</v>
      </c>
      <c r="D3665" s="0" t="s">
        <v>63</v>
      </c>
      <c r="E3665" s="2" t="n">
        <v>46141</v>
      </c>
      <c r="F3665" s="3" t="s">
        <v>20</v>
      </c>
      <c r="G3665" s="3" t="s">
        <v>35</v>
      </c>
      <c r="H3665" s="3" t="s">
        <v>22</v>
      </c>
      <c r="I3665" s="3" t="n">
        <f aca="false">YEAR(E3665)</f>
        <v>2026</v>
      </c>
      <c r="J3665" s="3" t="n">
        <f aca="false">MONTH(E3665)</f>
        <v>4</v>
      </c>
      <c r="K3665" s="3" t="n">
        <f aca="false">COUNTIFS($B$2:$B$4077,B3665,$C$2:$C$4077,C3665,$I$2:$I$4077,I3665)</f>
        <v>2</v>
      </c>
      <c r="L3665" s="3" t="n">
        <f aca="false">IF(COUNTIFS($B$2:B3665,B3665,$C$2:C3665,C3665,$I$2:I3665,I3665)=1,1,0)</f>
        <v>0</v>
      </c>
      <c r="M3665" s="3" t="n">
        <f aca="false">IF(K3665&gt;=Parametri!$B$1,1,0)</f>
        <v>1</v>
      </c>
      <c r="N3665" s="3" t="n">
        <f aca="false">L3665*M3665</f>
        <v>0</v>
      </c>
    </row>
    <row r="3666" customFormat="false" ht="15" hidden="false" customHeight="false" outlineLevel="0" collapsed="false">
      <c r="A3666" s="0" t="s">
        <v>5397</v>
      </c>
      <c r="B3666" s="0" t="s">
        <v>17</v>
      </c>
      <c r="C3666" s="0" t="s">
        <v>1375</v>
      </c>
      <c r="D3666" s="0" t="s">
        <v>33</v>
      </c>
      <c r="E3666" s="2" t="n">
        <v>45600</v>
      </c>
      <c r="F3666" s="3" t="s">
        <v>20</v>
      </c>
      <c r="G3666" s="3" t="s">
        <v>43</v>
      </c>
      <c r="H3666" s="3" t="s">
        <v>44</v>
      </c>
      <c r="I3666" s="3" t="n">
        <f aca="false">YEAR(E3666)</f>
        <v>2024</v>
      </c>
      <c r="J3666" s="3" t="n">
        <f aca="false">MONTH(E3666)</f>
        <v>11</v>
      </c>
      <c r="K3666" s="3" t="n">
        <f aca="false">COUNTIFS($B$2:$B$4077,B3666,$C$2:$C$4077,C3666,$I$2:$I$4077,I3666)</f>
        <v>2</v>
      </c>
      <c r="L3666" s="3" t="n">
        <f aca="false">IF(COUNTIFS($B$2:B3666,B3666,$C$2:C3666,C3666,$I$2:I3666,I3666)=1,1,0)</f>
        <v>0</v>
      </c>
      <c r="M3666" s="3" t="n">
        <f aca="false">IF(K3666&gt;=Parametri!$B$1,1,0)</f>
        <v>1</v>
      </c>
      <c r="N3666" s="3" t="n">
        <f aca="false">L3666*M3666</f>
        <v>0</v>
      </c>
    </row>
    <row r="3667" customFormat="false" ht="15" hidden="false" customHeight="false" outlineLevel="0" collapsed="false">
      <c r="A3667" s="0" t="s">
        <v>5398</v>
      </c>
      <c r="B3667" s="0" t="s">
        <v>79</v>
      </c>
      <c r="C3667" s="0" t="s">
        <v>4234</v>
      </c>
      <c r="D3667" s="0" t="s">
        <v>63</v>
      </c>
      <c r="E3667" s="2" t="n">
        <v>45409</v>
      </c>
      <c r="F3667" s="3" t="s">
        <v>27</v>
      </c>
      <c r="G3667" s="3" t="s">
        <v>89</v>
      </c>
      <c r="H3667" s="3" t="s">
        <v>48</v>
      </c>
      <c r="I3667" s="3" t="n">
        <f aca="false">YEAR(E3667)</f>
        <v>2024</v>
      </c>
      <c r="J3667" s="3" t="n">
        <f aca="false">MONTH(E3667)</f>
        <v>4</v>
      </c>
      <c r="K3667" s="3" t="n">
        <f aca="false">COUNTIFS($B$2:$B$4077,B3667,$C$2:$C$4077,C3667,$I$2:$I$4077,I3667)</f>
        <v>1</v>
      </c>
      <c r="L3667" s="3" t="n">
        <f aca="false">IF(COUNTIFS($B$2:B3667,B3667,$C$2:C3667,C3667,$I$2:I3667,I3667)=1,1,0)</f>
        <v>1</v>
      </c>
      <c r="M3667" s="3" t="n">
        <f aca="false">IF(K3667&gt;=Parametri!$B$1,1,0)</f>
        <v>0</v>
      </c>
      <c r="N3667" s="3" t="n">
        <f aca="false">L3667*M3667</f>
        <v>0</v>
      </c>
    </row>
    <row r="3668" customFormat="false" ht="15" hidden="false" customHeight="false" outlineLevel="0" collapsed="false">
      <c r="A3668" s="0" t="s">
        <v>5399</v>
      </c>
      <c r="B3668" s="0" t="s">
        <v>124</v>
      </c>
      <c r="C3668" s="0" t="s">
        <v>619</v>
      </c>
      <c r="D3668" s="0" t="s">
        <v>38</v>
      </c>
      <c r="E3668" s="2" t="n">
        <v>45911</v>
      </c>
      <c r="F3668" s="3" t="s">
        <v>20</v>
      </c>
      <c r="G3668" s="3" t="s">
        <v>72</v>
      </c>
      <c r="H3668" s="3" t="s">
        <v>48</v>
      </c>
      <c r="I3668" s="3" t="n">
        <f aca="false">YEAR(E3668)</f>
        <v>2025</v>
      </c>
      <c r="J3668" s="3" t="n">
        <f aca="false">MONTH(E3668)</f>
        <v>9</v>
      </c>
      <c r="K3668" s="3" t="n">
        <f aca="false">COUNTIFS($B$2:$B$4077,B3668,$C$2:$C$4077,C3668,$I$2:$I$4077,I3668)</f>
        <v>1</v>
      </c>
      <c r="L3668" s="3" t="n">
        <f aca="false">IF(COUNTIFS($B$2:B3668,B3668,$C$2:C3668,C3668,$I$2:I3668,I3668)=1,1,0)</f>
        <v>1</v>
      </c>
      <c r="M3668" s="3" t="n">
        <f aca="false">IF(K3668&gt;=Parametri!$B$1,1,0)</f>
        <v>0</v>
      </c>
      <c r="N3668" s="3" t="n">
        <f aca="false">L3668*M3668</f>
        <v>0</v>
      </c>
    </row>
    <row r="3669" customFormat="false" ht="15" hidden="false" customHeight="false" outlineLevel="0" collapsed="false">
      <c r="A3669" s="0" t="s">
        <v>5400</v>
      </c>
      <c r="B3669" s="0" t="s">
        <v>124</v>
      </c>
      <c r="C3669" s="0" t="s">
        <v>1364</v>
      </c>
      <c r="D3669" s="0" t="s">
        <v>54</v>
      </c>
      <c r="E3669" s="2" t="n">
        <v>45623</v>
      </c>
      <c r="F3669" s="3" t="s">
        <v>20</v>
      </c>
      <c r="G3669" s="3" t="s">
        <v>43</v>
      </c>
      <c r="H3669" s="3" t="s">
        <v>29</v>
      </c>
      <c r="I3669" s="3" t="n">
        <f aca="false">YEAR(E3669)</f>
        <v>2024</v>
      </c>
      <c r="J3669" s="3" t="n">
        <f aca="false">MONTH(E3669)</f>
        <v>11</v>
      </c>
      <c r="K3669" s="3" t="n">
        <f aca="false">COUNTIFS($B$2:$B$4077,B3669,$C$2:$C$4077,C3669,$I$2:$I$4077,I3669)</f>
        <v>1</v>
      </c>
      <c r="L3669" s="3" t="n">
        <f aca="false">IF(COUNTIFS($B$2:B3669,B3669,$C$2:C3669,C3669,$I$2:I3669,I3669)=1,1,0)</f>
        <v>1</v>
      </c>
      <c r="M3669" s="3" t="n">
        <f aca="false">IF(K3669&gt;=Parametri!$B$1,1,0)</f>
        <v>0</v>
      </c>
      <c r="N3669" s="3" t="n">
        <f aca="false">L3669*M3669</f>
        <v>0</v>
      </c>
    </row>
    <row r="3670" customFormat="false" ht="15" hidden="false" customHeight="false" outlineLevel="0" collapsed="false">
      <c r="A3670" s="0" t="s">
        <v>5401</v>
      </c>
      <c r="B3670" s="0" t="s">
        <v>24</v>
      </c>
      <c r="C3670" s="0" t="s">
        <v>5272</v>
      </c>
      <c r="D3670" s="0" t="s">
        <v>66</v>
      </c>
      <c r="E3670" s="2" t="n">
        <v>45372</v>
      </c>
      <c r="F3670" s="3" t="s">
        <v>20</v>
      </c>
      <c r="G3670" s="3" t="s">
        <v>55</v>
      </c>
      <c r="H3670" s="3" t="s">
        <v>22</v>
      </c>
      <c r="I3670" s="3" t="n">
        <f aca="false">YEAR(E3670)</f>
        <v>2024</v>
      </c>
      <c r="J3670" s="3" t="n">
        <f aca="false">MONTH(E3670)</f>
        <v>3</v>
      </c>
      <c r="K3670" s="3" t="n">
        <f aca="false">COUNTIFS($B$2:$B$4077,B3670,$C$2:$C$4077,C3670,$I$2:$I$4077,I3670)</f>
        <v>2</v>
      </c>
      <c r="L3670" s="3" t="n">
        <f aca="false">IF(COUNTIFS($B$2:B3670,B3670,$C$2:C3670,C3670,$I$2:I3670,I3670)=1,1,0)</f>
        <v>1</v>
      </c>
      <c r="M3670" s="3" t="n">
        <f aca="false">IF(K3670&gt;=Parametri!$B$1,1,0)</f>
        <v>1</v>
      </c>
      <c r="N3670" s="3" t="n">
        <f aca="false">L3670*M3670</f>
        <v>1</v>
      </c>
    </row>
    <row r="3671" customFormat="false" ht="15" hidden="false" customHeight="false" outlineLevel="0" collapsed="false">
      <c r="A3671" s="0" t="s">
        <v>5402</v>
      </c>
      <c r="B3671" s="0" t="s">
        <v>79</v>
      </c>
      <c r="C3671" s="0" t="s">
        <v>931</v>
      </c>
      <c r="D3671" s="0" t="s">
        <v>66</v>
      </c>
      <c r="E3671" s="2" t="n">
        <v>45931</v>
      </c>
      <c r="F3671" s="3" t="s">
        <v>27</v>
      </c>
      <c r="G3671" s="3" t="s">
        <v>89</v>
      </c>
      <c r="H3671" s="3" t="s">
        <v>48</v>
      </c>
      <c r="I3671" s="3" t="n">
        <f aca="false">YEAR(E3671)</f>
        <v>2025</v>
      </c>
      <c r="J3671" s="3" t="n">
        <f aca="false">MONTH(E3671)</f>
        <v>10</v>
      </c>
      <c r="K3671" s="3" t="n">
        <f aca="false">COUNTIFS($B$2:$B$4077,B3671,$C$2:$C$4077,C3671,$I$2:$I$4077,I3671)</f>
        <v>5</v>
      </c>
      <c r="L3671" s="3" t="n">
        <f aca="false">IF(COUNTIFS($B$2:B3671,B3671,$C$2:C3671,C3671,$I$2:I3671,I3671)=1,1,0)</f>
        <v>0</v>
      </c>
      <c r="M3671" s="3" t="n">
        <f aca="false">IF(K3671&gt;=Parametri!$B$1,1,0)</f>
        <v>1</v>
      </c>
      <c r="N3671" s="3" t="n">
        <f aca="false">L3671*M3671</f>
        <v>0</v>
      </c>
    </row>
    <row r="3672" customFormat="false" ht="15" hidden="false" customHeight="false" outlineLevel="0" collapsed="false">
      <c r="A3672" s="0" t="s">
        <v>5403</v>
      </c>
      <c r="B3672" s="0" t="s">
        <v>24</v>
      </c>
      <c r="C3672" s="0" t="s">
        <v>397</v>
      </c>
      <c r="D3672" s="0" t="s">
        <v>63</v>
      </c>
      <c r="E3672" s="2" t="n">
        <v>45811</v>
      </c>
      <c r="F3672" s="3" t="s">
        <v>20</v>
      </c>
      <c r="G3672" s="3" t="s">
        <v>39</v>
      </c>
      <c r="H3672" s="3" t="s">
        <v>29</v>
      </c>
      <c r="I3672" s="3" t="n">
        <f aca="false">YEAR(E3672)</f>
        <v>2025</v>
      </c>
      <c r="J3672" s="3" t="n">
        <f aca="false">MONTH(E3672)</f>
        <v>6</v>
      </c>
      <c r="K3672" s="3" t="n">
        <f aca="false">COUNTIFS($B$2:$B$4077,B3672,$C$2:$C$4077,C3672,$I$2:$I$4077,I3672)</f>
        <v>2</v>
      </c>
      <c r="L3672" s="3" t="n">
        <f aca="false">IF(COUNTIFS($B$2:B3672,B3672,$C$2:C3672,C3672,$I$2:I3672,I3672)=1,1,0)</f>
        <v>0</v>
      </c>
      <c r="M3672" s="3" t="n">
        <f aca="false">IF(K3672&gt;=Parametri!$B$1,1,0)</f>
        <v>1</v>
      </c>
      <c r="N3672" s="3" t="n">
        <f aca="false">L3672*M3672</f>
        <v>0</v>
      </c>
    </row>
    <row r="3673" customFormat="false" ht="15" hidden="false" customHeight="false" outlineLevel="0" collapsed="false">
      <c r="A3673" s="0" t="s">
        <v>5404</v>
      </c>
      <c r="B3673" s="0" t="s">
        <v>24</v>
      </c>
      <c r="C3673" s="0" t="s">
        <v>82</v>
      </c>
      <c r="D3673" s="0" t="s">
        <v>54</v>
      </c>
      <c r="E3673" s="2" t="n">
        <v>45293</v>
      </c>
      <c r="F3673" s="3" t="s">
        <v>34</v>
      </c>
      <c r="G3673" s="3" t="s">
        <v>28</v>
      </c>
      <c r="H3673" s="3" t="s">
        <v>44</v>
      </c>
      <c r="I3673" s="3" t="n">
        <f aca="false">YEAR(E3673)</f>
        <v>2024</v>
      </c>
      <c r="J3673" s="3" t="n">
        <f aca="false">MONTH(E3673)</f>
        <v>1</v>
      </c>
      <c r="K3673" s="3" t="n">
        <f aca="false">COUNTIFS($B$2:$B$4077,B3673,$C$2:$C$4077,C3673,$I$2:$I$4077,I3673)</f>
        <v>6</v>
      </c>
      <c r="L3673" s="3" t="n">
        <f aca="false">IF(COUNTIFS($B$2:B3673,B3673,$C$2:C3673,C3673,$I$2:I3673,I3673)=1,1,0)</f>
        <v>0</v>
      </c>
      <c r="M3673" s="3" t="n">
        <f aca="false">IF(K3673&gt;=Parametri!$B$1,1,0)</f>
        <v>1</v>
      </c>
      <c r="N3673" s="3" t="n">
        <f aca="false">L3673*M3673</f>
        <v>0</v>
      </c>
    </row>
    <row r="3674" customFormat="false" ht="15" hidden="false" customHeight="false" outlineLevel="0" collapsed="false">
      <c r="A3674" s="0" t="s">
        <v>5405</v>
      </c>
      <c r="B3674" s="0" t="s">
        <v>50</v>
      </c>
      <c r="C3674" s="0" t="s">
        <v>5406</v>
      </c>
      <c r="D3674" s="0" t="s">
        <v>77</v>
      </c>
      <c r="E3674" s="2" t="n">
        <v>46197</v>
      </c>
      <c r="F3674" s="3" t="s">
        <v>20</v>
      </c>
      <c r="G3674" s="3" t="s">
        <v>55</v>
      </c>
      <c r="H3674" s="3" t="s">
        <v>48</v>
      </c>
      <c r="I3674" s="3" t="n">
        <f aca="false">YEAR(E3674)</f>
        <v>2026</v>
      </c>
      <c r="J3674" s="3" t="n">
        <f aca="false">MONTH(E3674)</f>
        <v>6</v>
      </c>
      <c r="K3674" s="3" t="n">
        <f aca="false">COUNTIFS($B$2:$B$4077,B3674,$C$2:$C$4077,C3674,$I$2:$I$4077,I3674)</f>
        <v>1</v>
      </c>
      <c r="L3674" s="3" t="n">
        <f aca="false">IF(COUNTIFS($B$2:B3674,B3674,$C$2:C3674,C3674,$I$2:I3674,I3674)=1,1,0)</f>
        <v>1</v>
      </c>
      <c r="M3674" s="3" t="n">
        <f aca="false">IF(K3674&gt;=Parametri!$B$1,1,0)</f>
        <v>0</v>
      </c>
      <c r="N3674" s="3" t="n">
        <f aca="false">L3674*M3674</f>
        <v>0</v>
      </c>
    </row>
    <row r="3675" customFormat="false" ht="15" hidden="false" customHeight="false" outlineLevel="0" collapsed="false">
      <c r="A3675" s="0" t="s">
        <v>5407</v>
      </c>
      <c r="B3675" s="0" t="s">
        <v>68</v>
      </c>
      <c r="C3675" s="0" t="s">
        <v>5408</v>
      </c>
      <c r="D3675" s="0" t="s">
        <v>54</v>
      </c>
      <c r="E3675" s="2" t="n">
        <v>46144</v>
      </c>
      <c r="F3675" s="3" t="s">
        <v>20</v>
      </c>
      <c r="G3675" s="3" t="s">
        <v>55</v>
      </c>
      <c r="H3675" s="3" t="s">
        <v>44</v>
      </c>
      <c r="I3675" s="3" t="n">
        <f aca="false">YEAR(E3675)</f>
        <v>2026</v>
      </c>
      <c r="J3675" s="3" t="n">
        <f aca="false">MONTH(E3675)</f>
        <v>5</v>
      </c>
      <c r="K3675" s="3" t="n">
        <f aca="false">COUNTIFS($B$2:$B$4077,B3675,$C$2:$C$4077,C3675,$I$2:$I$4077,I3675)</f>
        <v>1</v>
      </c>
      <c r="L3675" s="3" t="n">
        <f aca="false">IF(COUNTIFS($B$2:B3675,B3675,$C$2:C3675,C3675,$I$2:I3675,I3675)=1,1,0)</f>
        <v>1</v>
      </c>
      <c r="M3675" s="3" t="n">
        <f aca="false">IF(K3675&gt;=Parametri!$B$1,1,0)</f>
        <v>0</v>
      </c>
      <c r="N3675" s="3" t="n">
        <f aca="false">L3675*M3675</f>
        <v>0</v>
      </c>
    </row>
    <row r="3676" customFormat="false" ht="15" hidden="false" customHeight="false" outlineLevel="0" collapsed="false">
      <c r="A3676" s="0" t="s">
        <v>5409</v>
      </c>
      <c r="B3676" s="0" t="s">
        <v>41</v>
      </c>
      <c r="C3676" s="0" t="s">
        <v>170</v>
      </c>
      <c r="D3676" s="0" t="s">
        <v>38</v>
      </c>
      <c r="E3676" s="2" t="n">
        <v>45994</v>
      </c>
      <c r="F3676" s="3" t="s">
        <v>20</v>
      </c>
      <c r="G3676" s="3" t="s">
        <v>72</v>
      </c>
      <c r="H3676" s="3" t="s">
        <v>22</v>
      </c>
      <c r="I3676" s="3" t="n">
        <f aca="false">YEAR(E3676)</f>
        <v>2025</v>
      </c>
      <c r="J3676" s="3" t="n">
        <f aca="false">MONTH(E3676)</f>
        <v>12</v>
      </c>
      <c r="K3676" s="3" t="n">
        <f aca="false">COUNTIFS($B$2:$B$4077,B3676,$C$2:$C$4077,C3676,$I$2:$I$4077,I3676)</f>
        <v>4</v>
      </c>
      <c r="L3676" s="3" t="n">
        <f aca="false">IF(COUNTIFS($B$2:B3676,B3676,$C$2:C3676,C3676,$I$2:I3676,I3676)=1,1,0)</f>
        <v>0</v>
      </c>
      <c r="M3676" s="3" t="n">
        <f aca="false">IF(K3676&gt;=Parametri!$B$1,1,0)</f>
        <v>1</v>
      </c>
      <c r="N3676" s="3" t="n">
        <f aca="false">L3676*M3676</f>
        <v>0</v>
      </c>
    </row>
    <row r="3677" customFormat="false" ht="15" hidden="false" customHeight="false" outlineLevel="0" collapsed="false">
      <c r="A3677" s="0" t="s">
        <v>5410</v>
      </c>
      <c r="B3677" s="0" t="s">
        <v>46</v>
      </c>
      <c r="C3677" s="0" t="s">
        <v>4569</v>
      </c>
      <c r="D3677" s="0" t="s">
        <v>19</v>
      </c>
      <c r="E3677" s="2" t="n">
        <v>45632</v>
      </c>
      <c r="F3677" s="3" t="s">
        <v>20</v>
      </c>
      <c r="G3677" s="3" t="s">
        <v>55</v>
      </c>
      <c r="H3677" s="3" t="s">
        <v>48</v>
      </c>
      <c r="I3677" s="3" t="n">
        <f aca="false">YEAR(E3677)</f>
        <v>2024</v>
      </c>
      <c r="J3677" s="3" t="n">
        <f aca="false">MONTH(E3677)</f>
        <v>12</v>
      </c>
      <c r="K3677" s="3" t="n">
        <f aca="false">COUNTIFS($B$2:$B$4077,B3677,$C$2:$C$4077,C3677,$I$2:$I$4077,I3677)</f>
        <v>2</v>
      </c>
      <c r="L3677" s="3" t="n">
        <f aca="false">IF(COUNTIFS($B$2:B3677,B3677,$C$2:C3677,C3677,$I$2:I3677,I3677)=1,1,0)</f>
        <v>0</v>
      </c>
      <c r="M3677" s="3" t="n">
        <f aca="false">IF(K3677&gt;=Parametri!$B$1,1,0)</f>
        <v>1</v>
      </c>
      <c r="N3677" s="3" t="n">
        <f aca="false">L3677*M3677</f>
        <v>0</v>
      </c>
    </row>
    <row r="3678" customFormat="false" ht="15" hidden="false" customHeight="false" outlineLevel="0" collapsed="false">
      <c r="A3678" s="0" t="s">
        <v>5411</v>
      </c>
      <c r="B3678" s="0" t="s">
        <v>57</v>
      </c>
      <c r="C3678" s="0" t="s">
        <v>2043</v>
      </c>
      <c r="D3678" s="0" t="s">
        <v>63</v>
      </c>
      <c r="E3678" s="2" t="n">
        <v>46199</v>
      </c>
      <c r="F3678" s="3" t="s">
        <v>20</v>
      </c>
      <c r="G3678" s="3" t="s">
        <v>35</v>
      </c>
      <c r="H3678" s="3" t="s">
        <v>22</v>
      </c>
      <c r="I3678" s="3" t="n">
        <f aca="false">YEAR(E3678)</f>
        <v>2026</v>
      </c>
      <c r="J3678" s="3" t="n">
        <f aca="false">MONTH(E3678)</f>
        <v>6</v>
      </c>
      <c r="K3678" s="3" t="n">
        <f aca="false">COUNTIFS($B$2:$B$4077,B3678,$C$2:$C$4077,C3678,$I$2:$I$4077,I3678)</f>
        <v>1</v>
      </c>
      <c r="L3678" s="3" t="n">
        <f aca="false">IF(COUNTIFS($B$2:B3678,B3678,$C$2:C3678,C3678,$I$2:I3678,I3678)=1,1,0)</f>
        <v>1</v>
      </c>
      <c r="M3678" s="3" t="n">
        <f aca="false">IF(K3678&gt;=Parametri!$B$1,1,0)</f>
        <v>0</v>
      </c>
      <c r="N3678" s="3" t="n">
        <f aca="false">L3678*M3678</f>
        <v>0</v>
      </c>
    </row>
    <row r="3679" customFormat="false" ht="15" hidden="false" customHeight="false" outlineLevel="0" collapsed="false">
      <c r="A3679" s="0" t="s">
        <v>5412</v>
      </c>
      <c r="B3679" s="0" t="s">
        <v>57</v>
      </c>
      <c r="C3679" s="0" t="s">
        <v>3555</v>
      </c>
      <c r="D3679" s="0" t="s">
        <v>63</v>
      </c>
      <c r="E3679" s="2" t="n">
        <v>45688</v>
      </c>
      <c r="F3679" s="3" t="s">
        <v>20</v>
      </c>
      <c r="G3679" s="3" t="s">
        <v>21</v>
      </c>
      <c r="H3679" s="3" t="s">
        <v>44</v>
      </c>
      <c r="I3679" s="3" t="n">
        <f aca="false">YEAR(E3679)</f>
        <v>2025</v>
      </c>
      <c r="J3679" s="3" t="n">
        <f aca="false">MONTH(E3679)</f>
        <v>1</v>
      </c>
      <c r="K3679" s="3" t="n">
        <f aca="false">COUNTIFS($B$2:$B$4077,B3679,$C$2:$C$4077,C3679,$I$2:$I$4077,I3679)</f>
        <v>1</v>
      </c>
      <c r="L3679" s="3" t="n">
        <f aca="false">IF(COUNTIFS($B$2:B3679,B3679,$C$2:C3679,C3679,$I$2:I3679,I3679)=1,1,0)</f>
        <v>1</v>
      </c>
      <c r="M3679" s="3" t="n">
        <f aca="false">IF(K3679&gt;=Parametri!$B$1,1,0)</f>
        <v>0</v>
      </c>
      <c r="N3679" s="3" t="n">
        <f aca="false">L3679*M3679</f>
        <v>0</v>
      </c>
    </row>
    <row r="3680" customFormat="false" ht="15" hidden="false" customHeight="false" outlineLevel="0" collapsed="false">
      <c r="A3680" s="0" t="s">
        <v>5413</v>
      </c>
      <c r="B3680" s="0" t="s">
        <v>24</v>
      </c>
      <c r="C3680" s="0" t="s">
        <v>82</v>
      </c>
      <c r="D3680" s="0" t="s">
        <v>54</v>
      </c>
      <c r="E3680" s="2" t="n">
        <v>45603</v>
      </c>
      <c r="F3680" s="3" t="s">
        <v>34</v>
      </c>
      <c r="G3680" s="3" t="s">
        <v>43</v>
      </c>
      <c r="H3680" s="3" t="s">
        <v>29</v>
      </c>
      <c r="I3680" s="3" t="n">
        <f aca="false">YEAR(E3680)</f>
        <v>2024</v>
      </c>
      <c r="J3680" s="3" t="n">
        <f aca="false">MONTH(E3680)</f>
        <v>11</v>
      </c>
      <c r="K3680" s="3" t="n">
        <f aca="false">COUNTIFS($B$2:$B$4077,B3680,$C$2:$C$4077,C3680,$I$2:$I$4077,I3680)</f>
        <v>6</v>
      </c>
      <c r="L3680" s="3" t="n">
        <f aca="false">IF(COUNTIFS($B$2:B3680,B3680,$C$2:C3680,C3680,$I$2:I3680,I3680)=1,1,0)</f>
        <v>0</v>
      </c>
      <c r="M3680" s="3" t="n">
        <f aca="false">IF(K3680&gt;=Parametri!$B$1,1,0)</f>
        <v>1</v>
      </c>
      <c r="N3680" s="3" t="n">
        <f aca="false">L3680*M3680</f>
        <v>0</v>
      </c>
    </row>
    <row r="3681" customFormat="false" ht="15" hidden="false" customHeight="false" outlineLevel="0" collapsed="false">
      <c r="A3681" s="0" t="s">
        <v>5414</v>
      </c>
      <c r="B3681" s="0" t="s">
        <v>50</v>
      </c>
      <c r="C3681" s="0" t="s">
        <v>4305</v>
      </c>
      <c r="D3681" s="0" t="s">
        <v>63</v>
      </c>
      <c r="E3681" s="2" t="n">
        <v>45801</v>
      </c>
      <c r="F3681" s="3" t="s">
        <v>20</v>
      </c>
      <c r="G3681" s="3" t="s">
        <v>89</v>
      </c>
      <c r="H3681" s="3" t="s">
        <v>29</v>
      </c>
      <c r="I3681" s="3" t="n">
        <f aca="false">YEAR(E3681)</f>
        <v>2025</v>
      </c>
      <c r="J3681" s="3" t="n">
        <f aca="false">MONTH(E3681)</f>
        <v>5</v>
      </c>
      <c r="K3681" s="3" t="n">
        <f aca="false">COUNTIFS($B$2:$B$4077,B3681,$C$2:$C$4077,C3681,$I$2:$I$4077,I3681)</f>
        <v>1</v>
      </c>
      <c r="L3681" s="3" t="n">
        <f aca="false">IF(COUNTIFS($B$2:B3681,B3681,$C$2:C3681,C3681,$I$2:I3681,I3681)=1,1,0)</f>
        <v>1</v>
      </c>
      <c r="M3681" s="3" t="n">
        <f aca="false">IF(K3681&gt;=Parametri!$B$1,1,0)</f>
        <v>0</v>
      </c>
      <c r="N3681" s="3" t="n">
        <f aca="false">L3681*M3681</f>
        <v>0</v>
      </c>
    </row>
    <row r="3682" customFormat="false" ht="15" hidden="false" customHeight="false" outlineLevel="0" collapsed="false">
      <c r="A3682" s="0" t="s">
        <v>5415</v>
      </c>
      <c r="B3682" s="0" t="s">
        <v>79</v>
      </c>
      <c r="C3682" s="0" t="s">
        <v>2400</v>
      </c>
      <c r="D3682" s="0" t="s">
        <v>66</v>
      </c>
      <c r="E3682" s="2" t="n">
        <v>45335</v>
      </c>
      <c r="F3682" s="3" t="s">
        <v>27</v>
      </c>
      <c r="G3682" s="3" t="s">
        <v>43</v>
      </c>
      <c r="H3682" s="3" t="s">
        <v>48</v>
      </c>
      <c r="I3682" s="3" t="n">
        <f aca="false">YEAR(E3682)</f>
        <v>2024</v>
      </c>
      <c r="J3682" s="3" t="n">
        <f aca="false">MONTH(E3682)</f>
        <v>2</v>
      </c>
      <c r="K3682" s="3" t="n">
        <f aca="false">COUNTIFS($B$2:$B$4077,B3682,$C$2:$C$4077,C3682,$I$2:$I$4077,I3682)</f>
        <v>1</v>
      </c>
      <c r="L3682" s="3" t="n">
        <f aca="false">IF(COUNTIFS($B$2:B3682,B3682,$C$2:C3682,C3682,$I$2:I3682,I3682)=1,1,0)</f>
        <v>1</v>
      </c>
      <c r="M3682" s="3" t="n">
        <f aca="false">IF(K3682&gt;=Parametri!$B$1,1,0)</f>
        <v>0</v>
      </c>
      <c r="N3682" s="3" t="n">
        <f aca="false">L3682*M3682</f>
        <v>0</v>
      </c>
    </row>
    <row r="3683" customFormat="false" ht="15" hidden="false" customHeight="false" outlineLevel="0" collapsed="false">
      <c r="A3683" s="0" t="s">
        <v>5416</v>
      </c>
      <c r="B3683" s="0" t="s">
        <v>31</v>
      </c>
      <c r="C3683" s="0" t="s">
        <v>3170</v>
      </c>
      <c r="D3683" s="0" t="s">
        <v>38</v>
      </c>
      <c r="E3683" s="2" t="n">
        <v>46245</v>
      </c>
      <c r="F3683" s="3" t="s">
        <v>20</v>
      </c>
      <c r="G3683" s="3" t="s">
        <v>39</v>
      </c>
      <c r="H3683" s="3" t="s">
        <v>48</v>
      </c>
      <c r="I3683" s="3" t="n">
        <f aca="false">YEAR(E3683)</f>
        <v>2026</v>
      </c>
      <c r="J3683" s="3" t="n">
        <f aca="false">MONTH(E3683)</f>
        <v>8</v>
      </c>
      <c r="K3683" s="3" t="n">
        <f aca="false">COUNTIFS($B$2:$B$4077,B3683,$C$2:$C$4077,C3683,$I$2:$I$4077,I3683)</f>
        <v>1</v>
      </c>
      <c r="L3683" s="3" t="n">
        <f aca="false">IF(COUNTIFS($B$2:B3683,B3683,$C$2:C3683,C3683,$I$2:I3683,I3683)=1,1,0)</f>
        <v>1</v>
      </c>
      <c r="M3683" s="3" t="n">
        <f aca="false">IF(K3683&gt;=Parametri!$B$1,1,0)</f>
        <v>0</v>
      </c>
      <c r="N3683" s="3" t="n">
        <f aca="false">L3683*M3683</f>
        <v>0</v>
      </c>
    </row>
    <row r="3684" customFormat="false" ht="15" hidden="false" customHeight="false" outlineLevel="0" collapsed="false">
      <c r="A3684" s="0" t="s">
        <v>5417</v>
      </c>
      <c r="B3684" s="0" t="s">
        <v>31</v>
      </c>
      <c r="C3684" s="0" t="s">
        <v>475</v>
      </c>
      <c r="D3684" s="0" t="s">
        <v>38</v>
      </c>
      <c r="E3684" s="2" t="n">
        <v>45822</v>
      </c>
      <c r="F3684" s="3" t="s">
        <v>20</v>
      </c>
      <c r="G3684" s="3" t="s">
        <v>89</v>
      </c>
      <c r="H3684" s="3" t="s">
        <v>44</v>
      </c>
      <c r="I3684" s="3" t="n">
        <f aca="false">YEAR(E3684)</f>
        <v>2025</v>
      </c>
      <c r="J3684" s="3" t="n">
        <f aca="false">MONTH(E3684)</f>
        <v>6</v>
      </c>
      <c r="K3684" s="3" t="n">
        <f aca="false">COUNTIFS($B$2:$B$4077,B3684,$C$2:$C$4077,C3684,$I$2:$I$4077,I3684)</f>
        <v>3</v>
      </c>
      <c r="L3684" s="3" t="n">
        <f aca="false">IF(COUNTIFS($B$2:B3684,B3684,$C$2:C3684,C3684,$I$2:I3684,I3684)=1,1,0)</f>
        <v>0</v>
      </c>
      <c r="M3684" s="3" t="n">
        <f aca="false">IF(K3684&gt;=Parametri!$B$1,1,0)</f>
        <v>1</v>
      </c>
      <c r="N3684" s="3" t="n">
        <f aca="false">L3684*M3684</f>
        <v>0</v>
      </c>
    </row>
    <row r="3685" customFormat="false" ht="15" hidden="false" customHeight="false" outlineLevel="0" collapsed="false">
      <c r="A3685" s="0" t="s">
        <v>5418</v>
      </c>
      <c r="B3685" s="0" t="s">
        <v>46</v>
      </c>
      <c r="C3685" s="0" t="s">
        <v>5419</v>
      </c>
      <c r="D3685" s="0" t="s">
        <v>19</v>
      </c>
      <c r="E3685" s="2" t="n">
        <v>45798</v>
      </c>
      <c r="F3685" s="3" t="s">
        <v>20</v>
      </c>
      <c r="G3685" s="3" t="s">
        <v>72</v>
      </c>
      <c r="H3685" s="3" t="s">
        <v>29</v>
      </c>
      <c r="I3685" s="3" t="n">
        <f aca="false">YEAR(E3685)</f>
        <v>2025</v>
      </c>
      <c r="J3685" s="3" t="n">
        <f aca="false">MONTH(E3685)</f>
        <v>5</v>
      </c>
      <c r="K3685" s="3" t="n">
        <f aca="false">COUNTIFS($B$2:$B$4077,B3685,$C$2:$C$4077,C3685,$I$2:$I$4077,I3685)</f>
        <v>1</v>
      </c>
      <c r="L3685" s="3" t="n">
        <f aca="false">IF(COUNTIFS($B$2:B3685,B3685,$C$2:C3685,C3685,$I$2:I3685,I3685)=1,1,0)</f>
        <v>1</v>
      </c>
      <c r="M3685" s="3" t="n">
        <f aca="false">IF(K3685&gt;=Parametri!$B$1,1,0)</f>
        <v>0</v>
      </c>
      <c r="N3685" s="3" t="n">
        <f aca="false">L3685*M3685</f>
        <v>0</v>
      </c>
    </row>
    <row r="3686" customFormat="false" ht="15" hidden="false" customHeight="false" outlineLevel="0" collapsed="false">
      <c r="A3686" s="0" t="s">
        <v>5420</v>
      </c>
      <c r="B3686" s="0" t="s">
        <v>124</v>
      </c>
      <c r="C3686" s="0" t="s">
        <v>866</v>
      </c>
      <c r="D3686" s="0" t="s">
        <v>19</v>
      </c>
      <c r="E3686" s="2" t="n">
        <v>45537</v>
      </c>
      <c r="F3686" s="3" t="s">
        <v>20</v>
      </c>
      <c r="G3686" s="3" t="s">
        <v>43</v>
      </c>
      <c r="H3686" s="3" t="s">
        <v>44</v>
      </c>
      <c r="I3686" s="3" t="n">
        <f aca="false">YEAR(E3686)</f>
        <v>2024</v>
      </c>
      <c r="J3686" s="3" t="n">
        <f aca="false">MONTH(E3686)</f>
        <v>9</v>
      </c>
      <c r="K3686" s="3" t="n">
        <f aca="false">COUNTIFS($B$2:$B$4077,B3686,$C$2:$C$4077,C3686,$I$2:$I$4077,I3686)</f>
        <v>2</v>
      </c>
      <c r="L3686" s="3" t="n">
        <f aca="false">IF(COUNTIFS($B$2:B3686,B3686,$C$2:C3686,C3686,$I$2:I3686,I3686)=1,1,0)</f>
        <v>1</v>
      </c>
      <c r="M3686" s="3" t="n">
        <f aca="false">IF(K3686&gt;=Parametri!$B$1,1,0)</f>
        <v>1</v>
      </c>
      <c r="N3686" s="3" t="n">
        <f aca="false">L3686*M3686</f>
        <v>1</v>
      </c>
    </row>
    <row r="3687" customFormat="false" ht="15" hidden="false" customHeight="false" outlineLevel="0" collapsed="false">
      <c r="A3687" s="0" t="s">
        <v>5421</v>
      </c>
      <c r="B3687" s="0" t="s">
        <v>41</v>
      </c>
      <c r="C3687" s="0" t="s">
        <v>982</v>
      </c>
      <c r="D3687" s="0" t="s">
        <v>19</v>
      </c>
      <c r="E3687" s="2" t="n">
        <v>45678</v>
      </c>
      <c r="F3687" s="3" t="s">
        <v>20</v>
      </c>
      <c r="G3687" s="3" t="s">
        <v>55</v>
      </c>
      <c r="H3687" s="3" t="s">
        <v>29</v>
      </c>
      <c r="I3687" s="3" t="n">
        <f aca="false">YEAR(E3687)</f>
        <v>2025</v>
      </c>
      <c r="J3687" s="3" t="n">
        <f aca="false">MONTH(E3687)</f>
        <v>1</v>
      </c>
      <c r="K3687" s="3" t="n">
        <f aca="false">COUNTIFS($B$2:$B$4077,B3687,$C$2:$C$4077,C3687,$I$2:$I$4077,I3687)</f>
        <v>1</v>
      </c>
      <c r="L3687" s="3" t="n">
        <f aca="false">IF(COUNTIFS($B$2:B3687,B3687,$C$2:C3687,C3687,$I$2:I3687,I3687)=1,1,0)</f>
        <v>1</v>
      </c>
      <c r="M3687" s="3" t="n">
        <f aca="false">IF(K3687&gt;=Parametri!$B$1,1,0)</f>
        <v>0</v>
      </c>
      <c r="N3687" s="3" t="n">
        <f aca="false">L3687*M3687</f>
        <v>0</v>
      </c>
    </row>
    <row r="3688" customFormat="false" ht="15" hidden="false" customHeight="false" outlineLevel="0" collapsed="false">
      <c r="A3688" s="0" t="s">
        <v>5422</v>
      </c>
      <c r="B3688" s="0" t="s">
        <v>31</v>
      </c>
      <c r="C3688" s="0" t="s">
        <v>5423</v>
      </c>
      <c r="D3688" s="0" t="s">
        <v>38</v>
      </c>
      <c r="E3688" s="2" t="n">
        <v>45449</v>
      </c>
      <c r="F3688" s="3" t="s">
        <v>34</v>
      </c>
      <c r="G3688" s="3" t="s">
        <v>72</v>
      </c>
      <c r="H3688" s="3" t="s">
        <v>48</v>
      </c>
      <c r="I3688" s="3" t="n">
        <f aca="false">YEAR(E3688)</f>
        <v>2024</v>
      </c>
      <c r="J3688" s="3" t="n">
        <f aca="false">MONTH(E3688)</f>
        <v>6</v>
      </c>
      <c r="K3688" s="3" t="n">
        <f aca="false">COUNTIFS($B$2:$B$4077,B3688,$C$2:$C$4077,C3688,$I$2:$I$4077,I3688)</f>
        <v>1</v>
      </c>
      <c r="L3688" s="3" t="n">
        <f aca="false">IF(COUNTIFS($B$2:B3688,B3688,$C$2:C3688,C3688,$I$2:I3688,I3688)=1,1,0)</f>
        <v>1</v>
      </c>
      <c r="M3688" s="3" t="n">
        <f aca="false">IF(K3688&gt;=Parametri!$B$1,1,0)</f>
        <v>0</v>
      </c>
      <c r="N3688" s="3" t="n">
        <f aca="false">L3688*M3688</f>
        <v>0</v>
      </c>
    </row>
    <row r="3689" customFormat="false" ht="15" hidden="false" customHeight="false" outlineLevel="0" collapsed="false">
      <c r="A3689" s="0" t="s">
        <v>5424</v>
      </c>
      <c r="B3689" s="0" t="s">
        <v>46</v>
      </c>
      <c r="C3689" s="0" t="s">
        <v>1321</v>
      </c>
      <c r="D3689" s="0" t="s">
        <v>26</v>
      </c>
      <c r="E3689" s="2" t="n">
        <v>46144</v>
      </c>
      <c r="F3689" s="3" t="s">
        <v>27</v>
      </c>
      <c r="G3689" s="3" t="s">
        <v>89</v>
      </c>
      <c r="H3689" s="3" t="s">
        <v>22</v>
      </c>
      <c r="I3689" s="3" t="n">
        <f aca="false">YEAR(E3689)</f>
        <v>2026</v>
      </c>
      <c r="J3689" s="3" t="n">
        <f aca="false">MONTH(E3689)</f>
        <v>5</v>
      </c>
      <c r="K3689" s="3" t="n">
        <f aca="false">COUNTIFS($B$2:$B$4077,B3689,$C$2:$C$4077,C3689,$I$2:$I$4077,I3689)</f>
        <v>2</v>
      </c>
      <c r="L3689" s="3" t="n">
        <f aca="false">IF(COUNTIFS($B$2:B3689,B3689,$C$2:C3689,C3689,$I$2:I3689,I3689)=1,1,0)</f>
        <v>0</v>
      </c>
      <c r="M3689" s="3" t="n">
        <f aca="false">IF(K3689&gt;=Parametri!$B$1,1,0)</f>
        <v>1</v>
      </c>
      <c r="N3689" s="3" t="n">
        <f aca="false">L3689*M3689</f>
        <v>0</v>
      </c>
    </row>
    <row r="3690" customFormat="false" ht="15" hidden="false" customHeight="false" outlineLevel="0" collapsed="false">
      <c r="A3690" s="0" t="s">
        <v>5425</v>
      </c>
      <c r="B3690" s="0" t="s">
        <v>79</v>
      </c>
      <c r="C3690" s="0" t="s">
        <v>1416</v>
      </c>
      <c r="D3690" s="0" t="s">
        <v>66</v>
      </c>
      <c r="E3690" s="2" t="n">
        <v>45499</v>
      </c>
      <c r="F3690" s="3" t="s">
        <v>27</v>
      </c>
      <c r="G3690" s="3" t="s">
        <v>43</v>
      </c>
      <c r="H3690" s="3" t="s">
        <v>48</v>
      </c>
      <c r="I3690" s="3" t="n">
        <f aca="false">YEAR(E3690)</f>
        <v>2024</v>
      </c>
      <c r="J3690" s="3" t="n">
        <f aca="false">MONTH(E3690)</f>
        <v>7</v>
      </c>
      <c r="K3690" s="3" t="n">
        <f aca="false">COUNTIFS($B$2:$B$4077,B3690,$C$2:$C$4077,C3690,$I$2:$I$4077,I3690)</f>
        <v>3</v>
      </c>
      <c r="L3690" s="3" t="n">
        <f aca="false">IF(COUNTIFS($B$2:B3690,B3690,$C$2:C3690,C3690,$I$2:I3690,I3690)=1,1,0)</f>
        <v>0</v>
      </c>
      <c r="M3690" s="3" t="n">
        <f aca="false">IF(K3690&gt;=Parametri!$B$1,1,0)</f>
        <v>1</v>
      </c>
      <c r="N3690" s="3" t="n">
        <f aca="false">L3690*M3690</f>
        <v>0</v>
      </c>
    </row>
    <row r="3691" customFormat="false" ht="15" hidden="false" customHeight="false" outlineLevel="0" collapsed="false">
      <c r="A3691" s="0" t="s">
        <v>5426</v>
      </c>
      <c r="B3691" s="0" t="s">
        <v>50</v>
      </c>
      <c r="C3691" s="0" t="s">
        <v>5427</v>
      </c>
      <c r="D3691" s="0" t="s">
        <v>33</v>
      </c>
      <c r="E3691" s="2" t="n">
        <v>46164</v>
      </c>
      <c r="F3691" s="3" t="s">
        <v>20</v>
      </c>
      <c r="G3691" s="3" t="s">
        <v>55</v>
      </c>
      <c r="H3691" s="3" t="s">
        <v>48</v>
      </c>
      <c r="I3691" s="3" t="n">
        <f aca="false">YEAR(E3691)</f>
        <v>2026</v>
      </c>
      <c r="J3691" s="3" t="n">
        <f aca="false">MONTH(E3691)</f>
        <v>5</v>
      </c>
      <c r="K3691" s="3" t="n">
        <f aca="false">COUNTIFS($B$2:$B$4077,B3691,$C$2:$C$4077,C3691,$I$2:$I$4077,I3691)</f>
        <v>1</v>
      </c>
      <c r="L3691" s="3" t="n">
        <f aca="false">IF(COUNTIFS($B$2:B3691,B3691,$C$2:C3691,C3691,$I$2:I3691,I3691)=1,1,0)</f>
        <v>1</v>
      </c>
      <c r="M3691" s="3" t="n">
        <f aca="false">IF(K3691&gt;=Parametri!$B$1,1,0)</f>
        <v>0</v>
      </c>
      <c r="N3691" s="3" t="n">
        <f aca="false">L3691*M3691</f>
        <v>0</v>
      </c>
    </row>
    <row r="3692" customFormat="false" ht="15" hidden="false" customHeight="false" outlineLevel="0" collapsed="false">
      <c r="A3692" s="0" t="s">
        <v>5428</v>
      </c>
      <c r="B3692" s="0" t="s">
        <v>41</v>
      </c>
      <c r="C3692" s="0" t="s">
        <v>5429</v>
      </c>
      <c r="D3692" s="0" t="s">
        <v>19</v>
      </c>
      <c r="E3692" s="2" t="n">
        <v>45522</v>
      </c>
      <c r="F3692" s="3" t="s">
        <v>27</v>
      </c>
      <c r="G3692" s="3" t="s">
        <v>43</v>
      </c>
      <c r="H3692" s="3" t="s">
        <v>29</v>
      </c>
      <c r="I3692" s="3" t="n">
        <f aca="false">YEAR(E3692)</f>
        <v>2024</v>
      </c>
      <c r="J3692" s="3" t="n">
        <f aca="false">MONTH(E3692)</f>
        <v>8</v>
      </c>
      <c r="K3692" s="3" t="n">
        <f aca="false">COUNTIFS($B$2:$B$4077,B3692,$C$2:$C$4077,C3692,$I$2:$I$4077,I3692)</f>
        <v>1</v>
      </c>
      <c r="L3692" s="3" t="n">
        <f aca="false">IF(COUNTIFS($B$2:B3692,B3692,$C$2:C3692,C3692,$I$2:I3692,I3692)=1,1,0)</f>
        <v>1</v>
      </c>
      <c r="M3692" s="3" t="n">
        <f aca="false">IF(K3692&gt;=Parametri!$B$1,1,0)</f>
        <v>0</v>
      </c>
      <c r="N3692" s="3" t="n">
        <f aca="false">L3692*M3692</f>
        <v>0</v>
      </c>
    </row>
    <row r="3693" customFormat="false" ht="15" hidden="false" customHeight="false" outlineLevel="0" collapsed="false">
      <c r="A3693" s="0" t="s">
        <v>5430</v>
      </c>
      <c r="B3693" s="0" t="s">
        <v>79</v>
      </c>
      <c r="C3693" s="0" t="s">
        <v>2523</v>
      </c>
      <c r="D3693" s="0" t="s">
        <v>33</v>
      </c>
      <c r="E3693" s="2" t="n">
        <v>45835</v>
      </c>
      <c r="F3693" s="3" t="s">
        <v>104</v>
      </c>
      <c r="G3693" s="3" t="s">
        <v>104</v>
      </c>
      <c r="H3693" s="3" t="s">
        <v>104</v>
      </c>
      <c r="I3693" s="3" t="n">
        <f aca="false">YEAR(E3693)</f>
        <v>2025</v>
      </c>
      <c r="J3693" s="3" t="n">
        <f aca="false">MONTH(E3693)</f>
        <v>6</v>
      </c>
      <c r="K3693" s="3" t="n">
        <f aca="false">COUNTIFS($B$2:$B$4077,B3693,$C$2:$C$4077,C3693,$I$2:$I$4077,I3693)</f>
        <v>3</v>
      </c>
      <c r="L3693" s="3" t="n">
        <f aca="false">IF(COUNTIFS($B$2:B3693,B3693,$C$2:C3693,C3693,$I$2:I3693,I3693)=1,1,0)</f>
        <v>0</v>
      </c>
      <c r="M3693" s="3" t="n">
        <f aca="false">IF(K3693&gt;=Parametri!$B$1,1,0)</f>
        <v>1</v>
      </c>
      <c r="N3693" s="3" t="n">
        <f aca="false">L3693*M3693</f>
        <v>0</v>
      </c>
    </row>
    <row r="3694" customFormat="false" ht="15" hidden="false" customHeight="false" outlineLevel="0" collapsed="false">
      <c r="A3694" s="0" t="s">
        <v>5431</v>
      </c>
      <c r="B3694" s="0" t="s">
        <v>57</v>
      </c>
      <c r="C3694" s="0" t="s">
        <v>1064</v>
      </c>
      <c r="D3694" s="0" t="s">
        <v>54</v>
      </c>
      <c r="E3694" s="2" t="n">
        <v>45891</v>
      </c>
      <c r="F3694" s="3" t="s">
        <v>20</v>
      </c>
      <c r="G3694" s="3" t="s">
        <v>28</v>
      </c>
      <c r="H3694" s="3" t="s">
        <v>22</v>
      </c>
      <c r="I3694" s="3" t="n">
        <f aca="false">YEAR(E3694)</f>
        <v>2025</v>
      </c>
      <c r="J3694" s="3" t="n">
        <f aca="false">MONTH(E3694)</f>
        <v>8</v>
      </c>
      <c r="K3694" s="3" t="n">
        <f aca="false">COUNTIFS($B$2:$B$4077,B3694,$C$2:$C$4077,C3694,$I$2:$I$4077,I3694)</f>
        <v>3</v>
      </c>
      <c r="L3694" s="3" t="n">
        <f aca="false">IF(COUNTIFS($B$2:B3694,B3694,$C$2:C3694,C3694,$I$2:I3694,I3694)=1,1,0)</f>
        <v>0</v>
      </c>
      <c r="M3694" s="3" t="n">
        <f aca="false">IF(K3694&gt;=Parametri!$B$1,1,0)</f>
        <v>1</v>
      </c>
      <c r="N3694" s="3" t="n">
        <f aca="false">L3694*M3694</f>
        <v>0</v>
      </c>
    </row>
    <row r="3695" customFormat="false" ht="15" hidden="false" customHeight="false" outlineLevel="0" collapsed="false">
      <c r="A3695" s="0" t="s">
        <v>5432</v>
      </c>
      <c r="B3695" s="0" t="s">
        <v>41</v>
      </c>
      <c r="C3695" s="0" t="s">
        <v>1308</v>
      </c>
      <c r="D3695" s="0" t="s">
        <v>66</v>
      </c>
      <c r="E3695" s="2" t="n">
        <v>45883</v>
      </c>
      <c r="F3695" s="3" t="s">
        <v>34</v>
      </c>
      <c r="G3695" s="3" t="s">
        <v>43</v>
      </c>
      <c r="H3695" s="3" t="s">
        <v>29</v>
      </c>
      <c r="I3695" s="3" t="n">
        <f aca="false">YEAR(E3695)</f>
        <v>2025</v>
      </c>
      <c r="J3695" s="3" t="n">
        <f aca="false">MONTH(E3695)</f>
        <v>8</v>
      </c>
      <c r="K3695" s="3" t="n">
        <f aca="false">COUNTIFS($B$2:$B$4077,B3695,$C$2:$C$4077,C3695,$I$2:$I$4077,I3695)</f>
        <v>1</v>
      </c>
      <c r="L3695" s="3" t="n">
        <f aca="false">IF(COUNTIFS($B$2:B3695,B3695,$C$2:C3695,C3695,$I$2:I3695,I3695)=1,1,0)</f>
        <v>1</v>
      </c>
      <c r="M3695" s="3" t="n">
        <f aca="false">IF(K3695&gt;=Parametri!$B$1,1,0)</f>
        <v>0</v>
      </c>
      <c r="N3695" s="3" t="n">
        <f aca="false">L3695*M3695</f>
        <v>0</v>
      </c>
    </row>
    <row r="3696" customFormat="false" ht="15" hidden="false" customHeight="false" outlineLevel="0" collapsed="false">
      <c r="A3696" s="0" t="s">
        <v>5433</v>
      </c>
      <c r="B3696" s="0" t="s">
        <v>79</v>
      </c>
      <c r="C3696" s="0" t="s">
        <v>3216</v>
      </c>
      <c r="D3696" s="0" t="s">
        <v>77</v>
      </c>
      <c r="E3696" s="2" t="n">
        <v>45536</v>
      </c>
      <c r="F3696" s="3" t="s">
        <v>20</v>
      </c>
      <c r="G3696" s="3" t="s">
        <v>89</v>
      </c>
      <c r="H3696" s="3" t="s">
        <v>44</v>
      </c>
      <c r="I3696" s="3" t="n">
        <f aca="false">YEAR(E3696)</f>
        <v>2024</v>
      </c>
      <c r="J3696" s="3" t="n">
        <f aca="false">MONTH(E3696)</f>
        <v>9</v>
      </c>
      <c r="K3696" s="3" t="n">
        <f aca="false">COUNTIFS($B$2:$B$4077,B3696,$C$2:$C$4077,C3696,$I$2:$I$4077,I3696)</f>
        <v>4</v>
      </c>
      <c r="L3696" s="3" t="n">
        <f aca="false">IF(COUNTIFS($B$2:B3696,B3696,$C$2:C3696,C3696,$I$2:I3696,I3696)=1,1,0)</f>
        <v>0</v>
      </c>
      <c r="M3696" s="3" t="n">
        <f aca="false">IF(K3696&gt;=Parametri!$B$1,1,0)</f>
        <v>1</v>
      </c>
      <c r="N3696" s="3" t="n">
        <f aca="false">L3696*M3696</f>
        <v>0</v>
      </c>
    </row>
    <row r="3697" customFormat="false" ht="15" hidden="false" customHeight="false" outlineLevel="0" collapsed="false">
      <c r="A3697" s="0" t="s">
        <v>5434</v>
      </c>
      <c r="B3697" s="0" t="s">
        <v>17</v>
      </c>
      <c r="C3697" s="0" t="s">
        <v>531</v>
      </c>
      <c r="D3697" s="0" t="s">
        <v>54</v>
      </c>
      <c r="E3697" s="2" t="n">
        <v>45702</v>
      </c>
      <c r="F3697" s="3" t="s">
        <v>20</v>
      </c>
      <c r="G3697" s="3" t="s">
        <v>89</v>
      </c>
      <c r="H3697" s="3" t="s">
        <v>48</v>
      </c>
      <c r="I3697" s="3" t="n">
        <f aca="false">YEAR(E3697)</f>
        <v>2025</v>
      </c>
      <c r="J3697" s="3" t="n">
        <f aca="false">MONTH(E3697)</f>
        <v>2</v>
      </c>
      <c r="K3697" s="3" t="n">
        <f aca="false">COUNTIFS($B$2:$B$4077,B3697,$C$2:$C$4077,C3697,$I$2:$I$4077,I3697)</f>
        <v>3</v>
      </c>
      <c r="L3697" s="3" t="n">
        <f aca="false">IF(COUNTIFS($B$2:B3697,B3697,$C$2:C3697,C3697,$I$2:I3697,I3697)=1,1,0)</f>
        <v>0</v>
      </c>
      <c r="M3697" s="3" t="n">
        <f aca="false">IF(K3697&gt;=Parametri!$B$1,1,0)</f>
        <v>1</v>
      </c>
      <c r="N3697" s="3" t="n">
        <f aca="false">L3697*M3697</f>
        <v>0</v>
      </c>
    </row>
    <row r="3698" customFormat="false" ht="15" hidden="false" customHeight="false" outlineLevel="0" collapsed="false">
      <c r="A3698" s="0" t="s">
        <v>5435</v>
      </c>
      <c r="B3698" s="0" t="s">
        <v>41</v>
      </c>
      <c r="C3698" s="0" t="s">
        <v>2821</v>
      </c>
      <c r="D3698" s="0" t="s">
        <v>33</v>
      </c>
      <c r="E3698" s="2" t="n">
        <v>45597</v>
      </c>
      <c r="F3698" s="3" t="s">
        <v>20</v>
      </c>
      <c r="G3698" s="3" t="s">
        <v>55</v>
      </c>
      <c r="H3698" s="3" t="s">
        <v>29</v>
      </c>
      <c r="I3698" s="3" t="n">
        <f aca="false">YEAR(E3698)</f>
        <v>2024</v>
      </c>
      <c r="J3698" s="3" t="n">
        <f aca="false">MONTH(E3698)</f>
        <v>11</v>
      </c>
      <c r="K3698" s="3" t="n">
        <f aca="false">COUNTIFS($B$2:$B$4077,B3698,$C$2:$C$4077,C3698,$I$2:$I$4077,I3698)</f>
        <v>1</v>
      </c>
      <c r="L3698" s="3" t="n">
        <f aca="false">IF(COUNTIFS($B$2:B3698,B3698,$C$2:C3698,C3698,$I$2:I3698,I3698)=1,1,0)</f>
        <v>1</v>
      </c>
      <c r="M3698" s="3" t="n">
        <f aca="false">IF(K3698&gt;=Parametri!$B$1,1,0)</f>
        <v>0</v>
      </c>
      <c r="N3698" s="3" t="n">
        <f aca="false">L3698*M3698</f>
        <v>0</v>
      </c>
    </row>
    <row r="3699" customFormat="false" ht="15" hidden="false" customHeight="false" outlineLevel="0" collapsed="false">
      <c r="A3699" s="0" t="s">
        <v>5436</v>
      </c>
      <c r="B3699" s="0" t="s">
        <v>24</v>
      </c>
      <c r="C3699" s="0" t="s">
        <v>4207</v>
      </c>
      <c r="D3699" s="0" t="s">
        <v>26</v>
      </c>
      <c r="E3699" s="2" t="n">
        <v>45885</v>
      </c>
      <c r="F3699" s="3" t="s">
        <v>20</v>
      </c>
      <c r="G3699" s="3" t="s">
        <v>55</v>
      </c>
      <c r="H3699" s="3" t="s">
        <v>29</v>
      </c>
      <c r="I3699" s="3" t="n">
        <f aca="false">YEAR(E3699)</f>
        <v>2025</v>
      </c>
      <c r="J3699" s="3" t="n">
        <f aca="false">MONTH(E3699)</f>
        <v>8</v>
      </c>
      <c r="K3699" s="3" t="n">
        <f aca="false">COUNTIFS($B$2:$B$4077,B3699,$C$2:$C$4077,C3699,$I$2:$I$4077,I3699)</f>
        <v>3</v>
      </c>
      <c r="L3699" s="3" t="n">
        <f aca="false">IF(COUNTIFS($B$2:B3699,B3699,$C$2:C3699,C3699,$I$2:I3699,I3699)=1,1,0)</f>
        <v>0</v>
      </c>
      <c r="M3699" s="3" t="n">
        <f aca="false">IF(K3699&gt;=Parametri!$B$1,1,0)</f>
        <v>1</v>
      </c>
      <c r="N3699" s="3" t="n">
        <f aca="false">L3699*M3699</f>
        <v>0</v>
      </c>
    </row>
    <row r="3700" customFormat="false" ht="15" hidden="false" customHeight="false" outlineLevel="0" collapsed="false">
      <c r="A3700" s="0" t="s">
        <v>5437</v>
      </c>
      <c r="B3700" s="0" t="s">
        <v>31</v>
      </c>
      <c r="C3700" s="0" t="s">
        <v>5438</v>
      </c>
      <c r="D3700" s="0" t="s">
        <v>26</v>
      </c>
      <c r="E3700" s="2" t="n">
        <v>46216</v>
      </c>
      <c r="F3700" s="3" t="s">
        <v>20</v>
      </c>
      <c r="G3700" s="3" t="s">
        <v>43</v>
      </c>
      <c r="H3700" s="3" t="s">
        <v>48</v>
      </c>
      <c r="I3700" s="3" t="n">
        <f aca="false">YEAR(E3700)</f>
        <v>2026</v>
      </c>
      <c r="J3700" s="3" t="n">
        <f aca="false">MONTH(E3700)</f>
        <v>7</v>
      </c>
      <c r="K3700" s="3" t="n">
        <f aca="false">COUNTIFS($B$2:$B$4077,B3700,$C$2:$C$4077,C3700,$I$2:$I$4077,I3700)</f>
        <v>1</v>
      </c>
      <c r="L3700" s="3" t="n">
        <f aca="false">IF(COUNTIFS($B$2:B3700,B3700,$C$2:C3700,C3700,$I$2:I3700,I3700)=1,1,0)</f>
        <v>1</v>
      </c>
      <c r="M3700" s="3" t="n">
        <f aca="false">IF(K3700&gt;=Parametri!$B$1,1,0)</f>
        <v>0</v>
      </c>
      <c r="N3700" s="3" t="n">
        <f aca="false">L3700*M3700</f>
        <v>0</v>
      </c>
    </row>
    <row r="3701" customFormat="false" ht="15" hidden="false" customHeight="false" outlineLevel="0" collapsed="false">
      <c r="A3701" s="0" t="s">
        <v>5439</v>
      </c>
      <c r="B3701" s="0" t="s">
        <v>24</v>
      </c>
      <c r="C3701" s="0" t="s">
        <v>1725</v>
      </c>
      <c r="D3701" s="0" t="s">
        <v>66</v>
      </c>
      <c r="E3701" s="2" t="n">
        <v>45516</v>
      </c>
      <c r="F3701" s="3" t="s">
        <v>20</v>
      </c>
      <c r="G3701" s="3" t="s">
        <v>35</v>
      </c>
      <c r="H3701" s="3" t="s">
        <v>48</v>
      </c>
      <c r="I3701" s="3" t="n">
        <f aca="false">YEAR(E3701)</f>
        <v>2024</v>
      </c>
      <c r="J3701" s="3" t="n">
        <f aca="false">MONTH(E3701)</f>
        <v>8</v>
      </c>
      <c r="K3701" s="3" t="n">
        <f aca="false">COUNTIFS($B$2:$B$4077,B3701,$C$2:$C$4077,C3701,$I$2:$I$4077,I3701)</f>
        <v>2</v>
      </c>
      <c r="L3701" s="3" t="n">
        <f aca="false">IF(COUNTIFS($B$2:B3701,B3701,$C$2:C3701,C3701,$I$2:I3701,I3701)=1,1,0)</f>
        <v>0</v>
      </c>
      <c r="M3701" s="3" t="n">
        <f aca="false">IF(K3701&gt;=Parametri!$B$1,1,0)</f>
        <v>1</v>
      </c>
      <c r="N3701" s="3" t="n">
        <f aca="false">L3701*M3701</f>
        <v>0</v>
      </c>
    </row>
    <row r="3702" customFormat="false" ht="15" hidden="false" customHeight="false" outlineLevel="0" collapsed="false">
      <c r="A3702" s="0" t="s">
        <v>5440</v>
      </c>
      <c r="B3702" s="0" t="s">
        <v>41</v>
      </c>
      <c r="C3702" s="0" t="s">
        <v>623</v>
      </c>
      <c r="D3702" s="0" t="s">
        <v>33</v>
      </c>
      <c r="E3702" s="2" t="n">
        <v>45705</v>
      </c>
      <c r="F3702" s="3" t="s">
        <v>104</v>
      </c>
      <c r="G3702" s="3" t="s">
        <v>104</v>
      </c>
      <c r="H3702" s="3" t="s">
        <v>104</v>
      </c>
      <c r="I3702" s="3" t="n">
        <f aca="false">YEAR(E3702)</f>
        <v>2025</v>
      </c>
      <c r="J3702" s="3" t="n">
        <f aca="false">MONTH(E3702)</f>
        <v>2</v>
      </c>
      <c r="K3702" s="3" t="n">
        <f aca="false">COUNTIFS($B$2:$B$4077,B3702,$C$2:$C$4077,C3702,$I$2:$I$4077,I3702)</f>
        <v>2</v>
      </c>
      <c r="L3702" s="3" t="n">
        <f aca="false">IF(COUNTIFS($B$2:B3702,B3702,$C$2:C3702,C3702,$I$2:I3702,I3702)=1,1,0)</f>
        <v>0</v>
      </c>
      <c r="M3702" s="3" t="n">
        <f aca="false">IF(K3702&gt;=Parametri!$B$1,1,0)</f>
        <v>1</v>
      </c>
      <c r="N3702" s="3" t="n">
        <f aca="false">L3702*M3702</f>
        <v>0</v>
      </c>
    </row>
    <row r="3703" customFormat="false" ht="15" hidden="false" customHeight="false" outlineLevel="0" collapsed="false">
      <c r="A3703" s="0" t="s">
        <v>5441</v>
      </c>
      <c r="B3703" s="0" t="s">
        <v>68</v>
      </c>
      <c r="C3703" s="0" t="s">
        <v>5442</v>
      </c>
      <c r="D3703" s="0" t="s">
        <v>63</v>
      </c>
      <c r="E3703" s="2" t="n">
        <v>45839</v>
      </c>
      <c r="F3703" s="3" t="s">
        <v>20</v>
      </c>
      <c r="G3703" s="3" t="s">
        <v>89</v>
      </c>
      <c r="H3703" s="3" t="s">
        <v>44</v>
      </c>
      <c r="I3703" s="3" t="n">
        <f aca="false">YEAR(E3703)</f>
        <v>2025</v>
      </c>
      <c r="J3703" s="3" t="n">
        <f aca="false">MONTH(E3703)</f>
        <v>7</v>
      </c>
      <c r="K3703" s="3" t="n">
        <f aca="false">COUNTIFS($B$2:$B$4077,B3703,$C$2:$C$4077,C3703,$I$2:$I$4077,I3703)</f>
        <v>1</v>
      </c>
      <c r="L3703" s="3" t="n">
        <f aca="false">IF(COUNTIFS($B$2:B3703,B3703,$C$2:C3703,C3703,$I$2:I3703,I3703)=1,1,0)</f>
        <v>1</v>
      </c>
      <c r="M3703" s="3" t="n">
        <f aca="false">IF(K3703&gt;=Parametri!$B$1,1,0)</f>
        <v>0</v>
      </c>
      <c r="N3703" s="3" t="n">
        <f aca="false">L3703*M3703</f>
        <v>0</v>
      </c>
    </row>
    <row r="3704" customFormat="false" ht="15" hidden="false" customHeight="false" outlineLevel="0" collapsed="false">
      <c r="A3704" s="0" t="s">
        <v>5443</v>
      </c>
      <c r="B3704" s="0" t="s">
        <v>68</v>
      </c>
      <c r="C3704" s="0" t="s">
        <v>5444</v>
      </c>
      <c r="D3704" s="0" t="s">
        <v>26</v>
      </c>
      <c r="E3704" s="2" t="n">
        <v>45991</v>
      </c>
      <c r="F3704" s="3" t="s">
        <v>27</v>
      </c>
      <c r="G3704" s="3" t="s">
        <v>21</v>
      </c>
      <c r="H3704" s="3" t="s">
        <v>29</v>
      </c>
      <c r="I3704" s="3" t="n">
        <f aca="false">YEAR(E3704)</f>
        <v>2025</v>
      </c>
      <c r="J3704" s="3" t="n">
        <f aca="false">MONTH(E3704)</f>
        <v>11</v>
      </c>
      <c r="K3704" s="3" t="n">
        <f aca="false">COUNTIFS($B$2:$B$4077,B3704,$C$2:$C$4077,C3704,$I$2:$I$4077,I3704)</f>
        <v>1</v>
      </c>
      <c r="L3704" s="3" t="n">
        <f aca="false">IF(COUNTIFS($B$2:B3704,B3704,$C$2:C3704,C3704,$I$2:I3704,I3704)=1,1,0)</f>
        <v>1</v>
      </c>
      <c r="M3704" s="3" t="n">
        <f aca="false">IF(K3704&gt;=Parametri!$B$1,1,0)</f>
        <v>0</v>
      </c>
      <c r="N3704" s="3" t="n">
        <f aca="false">L3704*M3704</f>
        <v>0</v>
      </c>
    </row>
    <row r="3705" customFormat="false" ht="15" hidden="false" customHeight="false" outlineLevel="0" collapsed="false">
      <c r="A3705" s="0" t="s">
        <v>5445</v>
      </c>
      <c r="B3705" s="0" t="s">
        <v>41</v>
      </c>
      <c r="C3705" s="0" t="s">
        <v>3691</v>
      </c>
      <c r="D3705" s="0" t="s">
        <v>66</v>
      </c>
      <c r="E3705" s="2" t="n">
        <v>45637</v>
      </c>
      <c r="F3705" s="3" t="s">
        <v>20</v>
      </c>
      <c r="G3705" s="3" t="s">
        <v>39</v>
      </c>
      <c r="H3705" s="3" t="s">
        <v>29</v>
      </c>
      <c r="I3705" s="3" t="n">
        <f aca="false">YEAR(E3705)</f>
        <v>2024</v>
      </c>
      <c r="J3705" s="3" t="n">
        <f aca="false">MONTH(E3705)</f>
        <v>12</v>
      </c>
      <c r="K3705" s="3" t="n">
        <f aca="false">COUNTIFS($B$2:$B$4077,B3705,$C$2:$C$4077,C3705,$I$2:$I$4077,I3705)</f>
        <v>2</v>
      </c>
      <c r="L3705" s="3" t="n">
        <f aca="false">IF(COUNTIFS($B$2:B3705,B3705,$C$2:C3705,C3705,$I$2:I3705,I3705)=1,1,0)</f>
        <v>0</v>
      </c>
      <c r="M3705" s="3" t="n">
        <f aca="false">IF(K3705&gt;=Parametri!$B$1,1,0)</f>
        <v>1</v>
      </c>
      <c r="N3705" s="3" t="n">
        <f aca="false">L3705*M3705</f>
        <v>0</v>
      </c>
    </row>
    <row r="3706" customFormat="false" ht="15" hidden="false" customHeight="false" outlineLevel="0" collapsed="false">
      <c r="A3706" s="0" t="s">
        <v>5446</v>
      </c>
      <c r="B3706" s="0" t="s">
        <v>17</v>
      </c>
      <c r="C3706" s="0" t="s">
        <v>1196</v>
      </c>
      <c r="D3706" s="0" t="s">
        <v>54</v>
      </c>
      <c r="E3706" s="2" t="n">
        <v>45913</v>
      </c>
      <c r="F3706" s="3" t="s">
        <v>20</v>
      </c>
      <c r="G3706" s="3" t="s">
        <v>55</v>
      </c>
      <c r="H3706" s="3" t="s">
        <v>48</v>
      </c>
      <c r="I3706" s="3" t="n">
        <f aca="false">YEAR(E3706)</f>
        <v>2025</v>
      </c>
      <c r="J3706" s="3" t="n">
        <f aca="false">MONTH(E3706)</f>
        <v>9</v>
      </c>
      <c r="K3706" s="3" t="n">
        <f aca="false">COUNTIFS($B$2:$B$4077,B3706,$C$2:$C$4077,C3706,$I$2:$I$4077,I3706)</f>
        <v>2</v>
      </c>
      <c r="L3706" s="3" t="n">
        <f aca="false">IF(COUNTIFS($B$2:B3706,B3706,$C$2:C3706,C3706,$I$2:I3706,I3706)=1,1,0)</f>
        <v>0</v>
      </c>
      <c r="M3706" s="3" t="n">
        <f aca="false">IF(K3706&gt;=Parametri!$B$1,1,0)</f>
        <v>1</v>
      </c>
      <c r="N3706" s="3" t="n">
        <f aca="false">L3706*M3706</f>
        <v>0</v>
      </c>
    </row>
    <row r="3707" customFormat="false" ht="15" hidden="false" customHeight="false" outlineLevel="0" collapsed="false">
      <c r="A3707" s="0" t="s">
        <v>5447</v>
      </c>
      <c r="B3707" s="0" t="s">
        <v>24</v>
      </c>
      <c r="C3707" s="0" t="s">
        <v>2751</v>
      </c>
      <c r="D3707" s="0" t="s">
        <v>66</v>
      </c>
      <c r="E3707" s="2" t="n">
        <v>46004</v>
      </c>
      <c r="F3707" s="3" t="s">
        <v>27</v>
      </c>
      <c r="G3707" s="3" t="s">
        <v>72</v>
      </c>
      <c r="H3707" s="3" t="s">
        <v>48</v>
      </c>
      <c r="I3707" s="3" t="n">
        <f aca="false">YEAR(E3707)</f>
        <v>2025</v>
      </c>
      <c r="J3707" s="3" t="n">
        <f aca="false">MONTH(E3707)</f>
        <v>12</v>
      </c>
      <c r="K3707" s="3" t="n">
        <f aca="false">COUNTIFS($B$2:$B$4077,B3707,$C$2:$C$4077,C3707,$I$2:$I$4077,I3707)</f>
        <v>1</v>
      </c>
      <c r="L3707" s="3" t="n">
        <f aca="false">IF(COUNTIFS($B$2:B3707,B3707,$C$2:C3707,C3707,$I$2:I3707,I3707)=1,1,0)</f>
        <v>1</v>
      </c>
      <c r="M3707" s="3" t="n">
        <f aca="false">IF(K3707&gt;=Parametri!$B$1,1,0)</f>
        <v>0</v>
      </c>
      <c r="N3707" s="3" t="n">
        <f aca="false">L3707*M3707</f>
        <v>0</v>
      </c>
    </row>
    <row r="3708" customFormat="false" ht="15" hidden="false" customHeight="false" outlineLevel="0" collapsed="false">
      <c r="A3708" s="0" t="s">
        <v>5448</v>
      </c>
      <c r="B3708" s="0" t="s">
        <v>57</v>
      </c>
      <c r="C3708" s="0" t="s">
        <v>2204</v>
      </c>
      <c r="D3708" s="0" t="s">
        <v>26</v>
      </c>
      <c r="E3708" s="2" t="n">
        <v>46018</v>
      </c>
      <c r="F3708" s="3" t="s">
        <v>27</v>
      </c>
      <c r="G3708" s="3" t="s">
        <v>39</v>
      </c>
      <c r="H3708" s="3" t="s">
        <v>48</v>
      </c>
      <c r="I3708" s="3" t="n">
        <f aca="false">YEAR(E3708)</f>
        <v>2025</v>
      </c>
      <c r="J3708" s="3" t="n">
        <f aca="false">MONTH(E3708)</f>
        <v>12</v>
      </c>
      <c r="K3708" s="3" t="n">
        <f aca="false">COUNTIFS($B$2:$B$4077,B3708,$C$2:$C$4077,C3708,$I$2:$I$4077,I3708)</f>
        <v>3</v>
      </c>
      <c r="L3708" s="3" t="n">
        <f aca="false">IF(COUNTIFS($B$2:B3708,B3708,$C$2:C3708,C3708,$I$2:I3708,I3708)=1,1,0)</f>
        <v>0</v>
      </c>
      <c r="M3708" s="3" t="n">
        <f aca="false">IF(K3708&gt;=Parametri!$B$1,1,0)</f>
        <v>1</v>
      </c>
      <c r="N3708" s="3" t="n">
        <f aca="false">L3708*M3708</f>
        <v>0</v>
      </c>
    </row>
    <row r="3709" customFormat="false" ht="15" hidden="false" customHeight="false" outlineLevel="0" collapsed="false">
      <c r="A3709" s="0" t="s">
        <v>5449</v>
      </c>
      <c r="B3709" s="0" t="s">
        <v>24</v>
      </c>
      <c r="C3709" s="0" t="s">
        <v>1192</v>
      </c>
      <c r="D3709" s="0" t="s">
        <v>26</v>
      </c>
      <c r="E3709" s="2" t="n">
        <v>45675</v>
      </c>
      <c r="F3709" s="3" t="s">
        <v>20</v>
      </c>
      <c r="G3709" s="3" t="s">
        <v>43</v>
      </c>
      <c r="H3709" s="3" t="s">
        <v>22</v>
      </c>
      <c r="I3709" s="3" t="n">
        <f aca="false">YEAR(E3709)</f>
        <v>2025</v>
      </c>
      <c r="J3709" s="3" t="n">
        <f aca="false">MONTH(E3709)</f>
        <v>1</v>
      </c>
      <c r="K3709" s="3" t="n">
        <f aca="false">COUNTIFS($B$2:$B$4077,B3709,$C$2:$C$4077,C3709,$I$2:$I$4077,I3709)</f>
        <v>1</v>
      </c>
      <c r="L3709" s="3" t="n">
        <f aca="false">IF(COUNTIFS($B$2:B3709,B3709,$C$2:C3709,C3709,$I$2:I3709,I3709)=1,1,0)</f>
        <v>1</v>
      </c>
      <c r="M3709" s="3" t="n">
        <f aca="false">IF(K3709&gt;=Parametri!$B$1,1,0)</f>
        <v>0</v>
      </c>
      <c r="N3709" s="3" t="n">
        <f aca="false">L3709*M3709</f>
        <v>0</v>
      </c>
    </row>
    <row r="3710" customFormat="false" ht="15" hidden="false" customHeight="false" outlineLevel="0" collapsed="false">
      <c r="A3710" s="0" t="s">
        <v>5450</v>
      </c>
      <c r="B3710" s="0" t="s">
        <v>24</v>
      </c>
      <c r="C3710" s="0" t="s">
        <v>669</v>
      </c>
      <c r="D3710" s="0" t="s">
        <v>66</v>
      </c>
      <c r="E3710" s="2" t="n">
        <v>45306</v>
      </c>
      <c r="F3710" s="3" t="s">
        <v>34</v>
      </c>
      <c r="G3710" s="3" t="s">
        <v>72</v>
      </c>
      <c r="H3710" s="3" t="s">
        <v>44</v>
      </c>
      <c r="I3710" s="3" t="n">
        <f aca="false">YEAR(E3710)</f>
        <v>2024</v>
      </c>
      <c r="J3710" s="3" t="n">
        <f aca="false">MONTH(E3710)</f>
        <v>1</v>
      </c>
      <c r="K3710" s="3" t="n">
        <f aca="false">COUNTIFS($B$2:$B$4077,B3710,$C$2:$C$4077,C3710,$I$2:$I$4077,I3710)</f>
        <v>4</v>
      </c>
      <c r="L3710" s="3" t="n">
        <f aca="false">IF(COUNTIFS($B$2:B3710,B3710,$C$2:C3710,C3710,$I$2:I3710,I3710)=1,1,0)</f>
        <v>0</v>
      </c>
      <c r="M3710" s="3" t="n">
        <f aca="false">IF(K3710&gt;=Parametri!$B$1,1,0)</f>
        <v>1</v>
      </c>
      <c r="N3710" s="3" t="n">
        <f aca="false">L3710*M3710</f>
        <v>0</v>
      </c>
    </row>
    <row r="3711" customFormat="false" ht="15" hidden="false" customHeight="false" outlineLevel="0" collapsed="false">
      <c r="A3711" s="0" t="s">
        <v>5451</v>
      </c>
      <c r="B3711" s="0" t="s">
        <v>24</v>
      </c>
      <c r="C3711" s="0" t="s">
        <v>566</v>
      </c>
      <c r="D3711" s="0" t="s">
        <v>33</v>
      </c>
      <c r="E3711" s="2" t="n">
        <v>45831</v>
      </c>
      <c r="F3711" s="3" t="s">
        <v>20</v>
      </c>
      <c r="G3711" s="3" t="s">
        <v>55</v>
      </c>
      <c r="H3711" s="3" t="s">
        <v>48</v>
      </c>
      <c r="I3711" s="3" t="n">
        <f aca="false">YEAR(E3711)</f>
        <v>2025</v>
      </c>
      <c r="J3711" s="3" t="n">
        <f aca="false">MONTH(E3711)</f>
        <v>6</v>
      </c>
      <c r="K3711" s="3" t="n">
        <f aca="false">COUNTIFS($B$2:$B$4077,B3711,$C$2:$C$4077,C3711,$I$2:$I$4077,I3711)</f>
        <v>3</v>
      </c>
      <c r="L3711" s="3" t="n">
        <f aca="false">IF(COUNTIFS($B$2:B3711,B3711,$C$2:C3711,C3711,$I$2:I3711,I3711)=1,1,0)</f>
        <v>0</v>
      </c>
      <c r="M3711" s="3" t="n">
        <f aca="false">IF(K3711&gt;=Parametri!$B$1,1,0)</f>
        <v>1</v>
      </c>
      <c r="N3711" s="3" t="n">
        <f aca="false">L3711*M3711</f>
        <v>0</v>
      </c>
    </row>
    <row r="3712" customFormat="false" ht="15" hidden="false" customHeight="false" outlineLevel="0" collapsed="false">
      <c r="A3712" s="0" t="s">
        <v>5452</v>
      </c>
      <c r="B3712" s="0" t="s">
        <v>46</v>
      </c>
      <c r="C3712" s="0" t="s">
        <v>5453</v>
      </c>
      <c r="D3712" s="0" t="s">
        <v>26</v>
      </c>
      <c r="E3712" s="2" t="n">
        <v>46011</v>
      </c>
      <c r="F3712" s="3" t="s">
        <v>20</v>
      </c>
      <c r="G3712" s="3" t="s">
        <v>21</v>
      </c>
      <c r="H3712" s="3" t="s">
        <v>48</v>
      </c>
      <c r="I3712" s="3" t="n">
        <f aca="false">YEAR(E3712)</f>
        <v>2025</v>
      </c>
      <c r="J3712" s="3" t="n">
        <f aca="false">MONTH(E3712)</f>
        <v>12</v>
      </c>
      <c r="K3712" s="3" t="n">
        <f aca="false">COUNTIFS($B$2:$B$4077,B3712,$C$2:$C$4077,C3712,$I$2:$I$4077,I3712)</f>
        <v>1</v>
      </c>
      <c r="L3712" s="3" t="n">
        <f aca="false">IF(COUNTIFS($B$2:B3712,B3712,$C$2:C3712,C3712,$I$2:I3712,I3712)=1,1,0)</f>
        <v>1</v>
      </c>
      <c r="M3712" s="3" t="n">
        <f aca="false">IF(K3712&gt;=Parametri!$B$1,1,0)</f>
        <v>0</v>
      </c>
      <c r="N3712" s="3" t="n">
        <f aca="false">L3712*M3712</f>
        <v>0</v>
      </c>
    </row>
    <row r="3713" customFormat="false" ht="15" hidden="false" customHeight="false" outlineLevel="0" collapsed="false">
      <c r="A3713" s="0" t="s">
        <v>5454</v>
      </c>
      <c r="B3713" s="0" t="s">
        <v>124</v>
      </c>
      <c r="C3713" s="0" t="s">
        <v>4966</v>
      </c>
      <c r="D3713" s="0" t="s">
        <v>33</v>
      </c>
      <c r="E3713" s="2" t="n">
        <v>45903</v>
      </c>
      <c r="F3713" s="3" t="s">
        <v>20</v>
      </c>
      <c r="G3713" s="3" t="s">
        <v>28</v>
      </c>
      <c r="H3713" s="3" t="s">
        <v>22</v>
      </c>
      <c r="I3713" s="3" t="n">
        <f aca="false">YEAR(E3713)</f>
        <v>2025</v>
      </c>
      <c r="J3713" s="3" t="n">
        <f aca="false">MONTH(E3713)</f>
        <v>9</v>
      </c>
      <c r="K3713" s="3" t="n">
        <f aca="false">COUNTIFS($B$2:$B$4077,B3713,$C$2:$C$4077,C3713,$I$2:$I$4077,I3713)</f>
        <v>1</v>
      </c>
      <c r="L3713" s="3" t="n">
        <f aca="false">IF(COUNTIFS($B$2:B3713,B3713,$C$2:C3713,C3713,$I$2:I3713,I3713)=1,1,0)</f>
        <v>1</v>
      </c>
      <c r="M3713" s="3" t="n">
        <f aca="false">IF(K3713&gt;=Parametri!$B$1,1,0)</f>
        <v>0</v>
      </c>
      <c r="N3713" s="3" t="n">
        <f aca="false">L3713*M3713</f>
        <v>0</v>
      </c>
    </row>
    <row r="3714" customFormat="false" ht="15" hidden="false" customHeight="false" outlineLevel="0" collapsed="false">
      <c r="A3714" s="0" t="s">
        <v>5455</v>
      </c>
      <c r="B3714" s="0" t="s">
        <v>41</v>
      </c>
      <c r="C3714" s="0" t="s">
        <v>503</v>
      </c>
      <c r="D3714" s="0" t="s">
        <v>54</v>
      </c>
      <c r="E3714" s="2" t="n">
        <v>45964</v>
      </c>
      <c r="F3714" s="3" t="s">
        <v>20</v>
      </c>
      <c r="G3714" s="3" t="s">
        <v>28</v>
      </c>
      <c r="H3714" s="3" t="s">
        <v>22</v>
      </c>
      <c r="I3714" s="3" t="n">
        <f aca="false">YEAR(E3714)</f>
        <v>2025</v>
      </c>
      <c r="J3714" s="3" t="n">
        <f aca="false">MONTH(E3714)</f>
        <v>11</v>
      </c>
      <c r="K3714" s="3" t="n">
        <f aca="false">COUNTIFS($B$2:$B$4077,B3714,$C$2:$C$4077,C3714,$I$2:$I$4077,I3714)</f>
        <v>2</v>
      </c>
      <c r="L3714" s="3" t="n">
        <f aca="false">IF(COUNTIFS($B$2:B3714,B3714,$C$2:C3714,C3714,$I$2:I3714,I3714)=1,1,0)</f>
        <v>0</v>
      </c>
      <c r="M3714" s="3" t="n">
        <f aca="false">IF(K3714&gt;=Parametri!$B$1,1,0)</f>
        <v>1</v>
      </c>
      <c r="N3714" s="3" t="n">
        <f aca="false">L3714*M3714</f>
        <v>0</v>
      </c>
    </row>
    <row r="3715" customFormat="false" ht="15" hidden="false" customHeight="false" outlineLevel="0" collapsed="false">
      <c r="A3715" s="0" t="s">
        <v>5456</v>
      </c>
      <c r="B3715" s="0" t="s">
        <v>17</v>
      </c>
      <c r="C3715" s="0" t="s">
        <v>5067</v>
      </c>
      <c r="D3715" s="0" t="s">
        <v>77</v>
      </c>
      <c r="E3715" s="2" t="n">
        <v>45606</v>
      </c>
      <c r="F3715" s="3" t="s">
        <v>104</v>
      </c>
      <c r="G3715" s="3" t="s">
        <v>104</v>
      </c>
      <c r="H3715" s="3" t="s">
        <v>104</v>
      </c>
      <c r="I3715" s="3" t="n">
        <f aca="false">YEAR(E3715)</f>
        <v>2024</v>
      </c>
      <c r="J3715" s="3" t="n">
        <f aca="false">MONTH(E3715)</f>
        <v>11</v>
      </c>
      <c r="K3715" s="3" t="n">
        <f aca="false">COUNTIFS($B$2:$B$4077,B3715,$C$2:$C$4077,C3715,$I$2:$I$4077,I3715)</f>
        <v>1</v>
      </c>
      <c r="L3715" s="3" t="n">
        <f aca="false">IF(COUNTIFS($B$2:B3715,B3715,$C$2:C3715,C3715,$I$2:I3715,I3715)=1,1,0)</f>
        <v>1</v>
      </c>
      <c r="M3715" s="3" t="n">
        <f aca="false">IF(K3715&gt;=Parametri!$B$1,1,0)</f>
        <v>0</v>
      </c>
      <c r="N3715" s="3" t="n">
        <f aca="false">L3715*M3715</f>
        <v>0</v>
      </c>
    </row>
    <row r="3716" customFormat="false" ht="15" hidden="false" customHeight="false" outlineLevel="0" collapsed="false">
      <c r="A3716" s="0" t="s">
        <v>5457</v>
      </c>
      <c r="B3716" s="0" t="s">
        <v>41</v>
      </c>
      <c r="C3716" s="0" t="s">
        <v>4791</v>
      </c>
      <c r="D3716" s="0" t="s">
        <v>66</v>
      </c>
      <c r="E3716" s="2" t="n">
        <v>45683</v>
      </c>
      <c r="F3716" s="3" t="s">
        <v>27</v>
      </c>
      <c r="G3716" s="3" t="s">
        <v>89</v>
      </c>
      <c r="H3716" s="3" t="s">
        <v>22</v>
      </c>
      <c r="I3716" s="3" t="n">
        <f aca="false">YEAR(E3716)</f>
        <v>2025</v>
      </c>
      <c r="J3716" s="3" t="n">
        <f aca="false">MONTH(E3716)</f>
        <v>1</v>
      </c>
      <c r="K3716" s="3" t="n">
        <f aca="false">COUNTIFS($B$2:$B$4077,B3716,$C$2:$C$4077,C3716,$I$2:$I$4077,I3716)</f>
        <v>1</v>
      </c>
      <c r="L3716" s="3" t="n">
        <f aca="false">IF(COUNTIFS($B$2:B3716,B3716,$C$2:C3716,C3716,$I$2:I3716,I3716)=1,1,0)</f>
        <v>1</v>
      </c>
      <c r="M3716" s="3" t="n">
        <f aca="false">IF(K3716&gt;=Parametri!$B$1,1,0)</f>
        <v>0</v>
      </c>
      <c r="N3716" s="3" t="n">
        <f aca="false">L3716*M3716</f>
        <v>0</v>
      </c>
    </row>
    <row r="3717" customFormat="false" ht="15" hidden="false" customHeight="false" outlineLevel="0" collapsed="false">
      <c r="A3717" s="0" t="s">
        <v>5458</v>
      </c>
      <c r="B3717" s="0" t="s">
        <v>31</v>
      </c>
      <c r="C3717" s="0" t="s">
        <v>5459</v>
      </c>
      <c r="D3717" s="0" t="s">
        <v>19</v>
      </c>
      <c r="E3717" s="2" t="n">
        <v>45631</v>
      </c>
      <c r="F3717" s="3" t="s">
        <v>34</v>
      </c>
      <c r="G3717" s="3" t="s">
        <v>72</v>
      </c>
      <c r="H3717" s="3" t="s">
        <v>48</v>
      </c>
      <c r="I3717" s="3" t="n">
        <f aca="false">YEAR(E3717)</f>
        <v>2024</v>
      </c>
      <c r="J3717" s="3" t="n">
        <f aca="false">MONTH(E3717)</f>
        <v>12</v>
      </c>
      <c r="K3717" s="3" t="n">
        <f aca="false">COUNTIFS($B$2:$B$4077,B3717,$C$2:$C$4077,C3717,$I$2:$I$4077,I3717)</f>
        <v>1</v>
      </c>
      <c r="L3717" s="3" t="n">
        <f aca="false">IF(COUNTIFS($B$2:B3717,B3717,$C$2:C3717,C3717,$I$2:I3717,I3717)=1,1,0)</f>
        <v>1</v>
      </c>
      <c r="M3717" s="3" t="n">
        <f aca="false">IF(K3717&gt;=Parametri!$B$1,1,0)</f>
        <v>0</v>
      </c>
      <c r="N3717" s="3" t="n">
        <f aca="false">L3717*M3717</f>
        <v>0</v>
      </c>
    </row>
    <row r="3718" customFormat="false" ht="15" hidden="false" customHeight="false" outlineLevel="0" collapsed="false">
      <c r="A3718" s="0" t="s">
        <v>5460</v>
      </c>
      <c r="B3718" s="0" t="s">
        <v>31</v>
      </c>
      <c r="C3718" s="0" t="s">
        <v>5461</v>
      </c>
      <c r="D3718" s="0" t="s">
        <v>77</v>
      </c>
      <c r="E3718" s="2" t="n">
        <v>46152</v>
      </c>
      <c r="F3718" s="3" t="s">
        <v>20</v>
      </c>
      <c r="G3718" s="3" t="s">
        <v>72</v>
      </c>
      <c r="H3718" s="3" t="s">
        <v>22</v>
      </c>
      <c r="I3718" s="3" t="n">
        <f aca="false">YEAR(E3718)</f>
        <v>2026</v>
      </c>
      <c r="J3718" s="3" t="n">
        <f aca="false">MONTH(E3718)</f>
        <v>5</v>
      </c>
      <c r="K3718" s="3" t="n">
        <f aca="false">COUNTIFS($B$2:$B$4077,B3718,$C$2:$C$4077,C3718,$I$2:$I$4077,I3718)</f>
        <v>1</v>
      </c>
      <c r="L3718" s="3" t="n">
        <f aca="false">IF(COUNTIFS($B$2:B3718,B3718,$C$2:C3718,C3718,$I$2:I3718,I3718)=1,1,0)</f>
        <v>1</v>
      </c>
      <c r="M3718" s="3" t="n">
        <f aca="false">IF(K3718&gt;=Parametri!$B$1,1,0)</f>
        <v>0</v>
      </c>
      <c r="N3718" s="3" t="n">
        <f aca="false">L3718*M3718</f>
        <v>0</v>
      </c>
    </row>
    <row r="3719" customFormat="false" ht="15" hidden="false" customHeight="false" outlineLevel="0" collapsed="false">
      <c r="A3719" s="0" t="s">
        <v>5462</v>
      </c>
      <c r="B3719" s="0" t="s">
        <v>79</v>
      </c>
      <c r="C3719" s="0" t="s">
        <v>190</v>
      </c>
      <c r="D3719" s="0" t="s">
        <v>77</v>
      </c>
      <c r="E3719" s="2" t="n">
        <v>45490</v>
      </c>
      <c r="F3719" s="3" t="s">
        <v>20</v>
      </c>
      <c r="G3719" s="3" t="s">
        <v>72</v>
      </c>
      <c r="H3719" s="3" t="s">
        <v>22</v>
      </c>
      <c r="I3719" s="3" t="n">
        <f aca="false">YEAR(E3719)</f>
        <v>2024</v>
      </c>
      <c r="J3719" s="3" t="n">
        <f aca="false">MONTH(E3719)</f>
        <v>7</v>
      </c>
      <c r="K3719" s="3" t="n">
        <f aca="false">COUNTIFS($B$2:$B$4077,B3719,$C$2:$C$4077,C3719,$I$2:$I$4077,I3719)</f>
        <v>3</v>
      </c>
      <c r="L3719" s="3" t="n">
        <f aca="false">IF(COUNTIFS($B$2:B3719,B3719,$C$2:C3719,C3719,$I$2:I3719,I3719)=1,1,0)</f>
        <v>0</v>
      </c>
      <c r="M3719" s="3" t="n">
        <f aca="false">IF(K3719&gt;=Parametri!$B$1,1,0)</f>
        <v>1</v>
      </c>
      <c r="N3719" s="3" t="n">
        <f aca="false">L3719*M3719</f>
        <v>0</v>
      </c>
    </row>
    <row r="3720" customFormat="false" ht="15" hidden="false" customHeight="false" outlineLevel="0" collapsed="false">
      <c r="A3720" s="0" t="s">
        <v>5463</v>
      </c>
      <c r="B3720" s="0" t="s">
        <v>57</v>
      </c>
      <c r="C3720" s="0" t="s">
        <v>288</v>
      </c>
      <c r="D3720" s="0" t="s">
        <v>66</v>
      </c>
      <c r="E3720" s="2" t="n">
        <v>45353</v>
      </c>
      <c r="F3720" s="3" t="s">
        <v>27</v>
      </c>
      <c r="G3720" s="3" t="s">
        <v>89</v>
      </c>
      <c r="H3720" s="3" t="s">
        <v>22</v>
      </c>
      <c r="I3720" s="3" t="n">
        <f aca="false">YEAR(E3720)</f>
        <v>2024</v>
      </c>
      <c r="J3720" s="3" t="n">
        <f aca="false">MONTH(E3720)</f>
        <v>3</v>
      </c>
      <c r="K3720" s="3" t="n">
        <f aca="false">COUNTIFS($B$2:$B$4077,B3720,$C$2:$C$4077,C3720,$I$2:$I$4077,I3720)</f>
        <v>7</v>
      </c>
      <c r="L3720" s="3" t="n">
        <f aca="false">IF(COUNTIFS($B$2:B3720,B3720,$C$2:C3720,C3720,$I$2:I3720,I3720)=1,1,0)</f>
        <v>0</v>
      </c>
      <c r="M3720" s="3" t="n">
        <f aca="false">IF(K3720&gt;=Parametri!$B$1,1,0)</f>
        <v>1</v>
      </c>
      <c r="N3720" s="3" t="n">
        <f aca="false">L3720*M3720</f>
        <v>0</v>
      </c>
    </row>
    <row r="3721" customFormat="false" ht="15" hidden="false" customHeight="false" outlineLevel="0" collapsed="false">
      <c r="A3721" s="0" t="s">
        <v>5464</v>
      </c>
      <c r="B3721" s="0" t="s">
        <v>31</v>
      </c>
      <c r="C3721" s="0" t="s">
        <v>3573</v>
      </c>
      <c r="D3721" s="0" t="s">
        <v>33</v>
      </c>
      <c r="E3721" s="2" t="n">
        <v>46132</v>
      </c>
      <c r="F3721" s="3" t="s">
        <v>20</v>
      </c>
      <c r="G3721" s="3" t="s">
        <v>89</v>
      </c>
      <c r="H3721" s="3" t="s">
        <v>48</v>
      </c>
      <c r="I3721" s="3" t="n">
        <f aca="false">YEAR(E3721)</f>
        <v>2026</v>
      </c>
      <c r="J3721" s="3" t="n">
        <f aca="false">MONTH(E3721)</f>
        <v>4</v>
      </c>
      <c r="K3721" s="3" t="n">
        <f aca="false">COUNTIFS($B$2:$B$4077,B3721,$C$2:$C$4077,C3721,$I$2:$I$4077,I3721)</f>
        <v>1</v>
      </c>
      <c r="L3721" s="3" t="n">
        <f aca="false">IF(COUNTIFS($B$2:B3721,B3721,$C$2:C3721,C3721,$I$2:I3721,I3721)=1,1,0)</f>
        <v>1</v>
      </c>
      <c r="M3721" s="3" t="n">
        <f aca="false">IF(K3721&gt;=Parametri!$B$1,1,0)</f>
        <v>0</v>
      </c>
      <c r="N3721" s="3" t="n">
        <f aca="false">L3721*M3721</f>
        <v>0</v>
      </c>
    </row>
    <row r="3722" customFormat="false" ht="15" hidden="false" customHeight="false" outlineLevel="0" collapsed="false">
      <c r="A3722" s="0" t="s">
        <v>5465</v>
      </c>
      <c r="B3722" s="0" t="s">
        <v>41</v>
      </c>
      <c r="C3722" s="0" t="s">
        <v>5466</v>
      </c>
      <c r="D3722" s="0" t="s">
        <v>63</v>
      </c>
      <c r="E3722" s="2" t="n">
        <v>46193</v>
      </c>
      <c r="F3722" s="3" t="s">
        <v>20</v>
      </c>
      <c r="G3722" s="3" t="s">
        <v>28</v>
      </c>
      <c r="H3722" s="3" t="s">
        <v>29</v>
      </c>
      <c r="I3722" s="3" t="n">
        <f aca="false">YEAR(E3722)</f>
        <v>2026</v>
      </c>
      <c r="J3722" s="3" t="n">
        <f aca="false">MONTH(E3722)</f>
        <v>6</v>
      </c>
      <c r="K3722" s="3" t="n">
        <f aca="false">COUNTIFS($B$2:$B$4077,B3722,$C$2:$C$4077,C3722,$I$2:$I$4077,I3722)</f>
        <v>1</v>
      </c>
      <c r="L3722" s="3" t="n">
        <f aca="false">IF(COUNTIFS($B$2:B3722,B3722,$C$2:C3722,C3722,$I$2:I3722,I3722)=1,1,0)</f>
        <v>1</v>
      </c>
      <c r="M3722" s="3" t="n">
        <f aca="false">IF(K3722&gt;=Parametri!$B$1,1,0)</f>
        <v>0</v>
      </c>
      <c r="N3722" s="3" t="n">
        <f aca="false">L3722*M3722</f>
        <v>0</v>
      </c>
    </row>
    <row r="3723" customFormat="false" ht="15" hidden="false" customHeight="false" outlineLevel="0" collapsed="false">
      <c r="A3723" s="0" t="s">
        <v>5467</v>
      </c>
      <c r="B3723" s="0" t="s">
        <v>50</v>
      </c>
      <c r="C3723" s="0" t="s">
        <v>5468</v>
      </c>
      <c r="D3723" s="0" t="s">
        <v>66</v>
      </c>
      <c r="E3723" s="2" t="n">
        <v>45387</v>
      </c>
      <c r="F3723" s="3" t="s">
        <v>34</v>
      </c>
      <c r="G3723" s="3" t="s">
        <v>35</v>
      </c>
      <c r="H3723" s="3" t="s">
        <v>44</v>
      </c>
      <c r="I3723" s="3" t="n">
        <f aca="false">YEAR(E3723)</f>
        <v>2024</v>
      </c>
      <c r="J3723" s="3" t="n">
        <f aca="false">MONTH(E3723)</f>
        <v>4</v>
      </c>
      <c r="K3723" s="3" t="n">
        <f aca="false">COUNTIFS($B$2:$B$4077,B3723,$C$2:$C$4077,C3723,$I$2:$I$4077,I3723)</f>
        <v>1</v>
      </c>
      <c r="L3723" s="3" t="n">
        <f aca="false">IF(COUNTIFS($B$2:B3723,B3723,$C$2:C3723,C3723,$I$2:I3723,I3723)=1,1,0)</f>
        <v>1</v>
      </c>
      <c r="M3723" s="3" t="n">
        <f aca="false">IF(K3723&gt;=Parametri!$B$1,1,0)</f>
        <v>0</v>
      </c>
      <c r="N3723" s="3" t="n">
        <f aca="false">L3723*M3723</f>
        <v>0</v>
      </c>
    </row>
    <row r="3724" customFormat="false" ht="15" hidden="false" customHeight="false" outlineLevel="0" collapsed="false">
      <c r="A3724" s="0" t="s">
        <v>5469</v>
      </c>
      <c r="B3724" s="0" t="s">
        <v>17</v>
      </c>
      <c r="C3724" s="0" t="s">
        <v>4066</v>
      </c>
      <c r="D3724" s="0" t="s">
        <v>38</v>
      </c>
      <c r="E3724" s="2" t="n">
        <v>45670</v>
      </c>
      <c r="F3724" s="3" t="s">
        <v>34</v>
      </c>
      <c r="G3724" s="3" t="s">
        <v>21</v>
      </c>
      <c r="H3724" s="3" t="s">
        <v>22</v>
      </c>
      <c r="I3724" s="3" t="n">
        <f aca="false">YEAR(E3724)</f>
        <v>2025</v>
      </c>
      <c r="J3724" s="3" t="n">
        <f aca="false">MONTH(E3724)</f>
        <v>1</v>
      </c>
      <c r="K3724" s="3" t="n">
        <f aca="false">COUNTIFS($B$2:$B$4077,B3724,$C$2:$C$4077,C3724,$I$2:$I$4077,I3724)</f>
        <v>1</v>
      </c>
      <c r="L3724" s="3" t="n">
        <f aca="false">IF(COUNTIFS($B$2:B3724,B3724,$C$2:C3724,C3724,$I$2:I3724,I3724)=1,1,0)</f>
        <v>1</v>
      </c>
      <c r="M3724" s="3" t="n">
        <f aca="false">IF(K3724&gt;=Parametri!$B$1,1,0)</f>
        <v>0</v>
      </c>
      <c r="N3724" s="3" t="n">
        <f aca="false">L3724*M3724</f>
        <v>0</v>
      </c>
    </row>
    <row r="3725" customFormat="false" ht="15" hidden="false" customHeight="false" outlineLevel="0" collapsed="false">
      <c r="A3725" s="0" t="s">
        <v>5470</v>
      </c>
      <c r="B3725" s="0" t="s">
        <v>41</v>
      </c>
      <c r="C3725" s="0" t="s">
        <v>5471</v>
      </c>
      <c r="D3725" s="0" t="s">
        <v>54</v>
      </c>
      <c r="E3725" s="2" t="n">
        <v>45909</v>
      </c>
      <c r="F3725" s="3" t="s">
        <v>20</v>
      </c>
      <c r="G3725" s="3" t="s">
        <v>35</v>
      </c>
      <c r="H3725" s="3" t="s">
        <v>22</v>
      </c>
      <c r="I3725" s="3" t="n">
        <f aca="false">YEAR(E3725)</f>
        <v>2025</v>
      </c>
      <c r="J3725" s="3" t="n">
        <f aca="false">MONTH(E3725)</f>
        <v>9</v>
      </c>
      <c r="K3725" s="3" t="n">
        <f aca="false">COUNTIFS($B$2:$B$4077,B3725,$C$2:$C$4077,C3725,$I$2:$I$4077,I3725)</f>
        <v>1</v>
      </c>
      <c r="L3725" s="3" t="n">
        <f aca="false">IF(COUNTIFS($B$2:B3725,B3725,$C$2:C3725,C3725,$I$2:I3725,I3725)=1,1,0)</f>
        <v>1</v>
      </c>
      <c r="M3725" s="3" t="n">
        <f aca="false">IF(K3725&gt;=Parametri!$B$1,1,0)</f>
        <v>0</v>
      </c>
      <c r="N3725" s="3" t="n">
        <f aca="false">L3725*M3725</f>
        <v>0</v>
      </c>
    </row>
    <row r="3726" customFormat="false" ht="15" hidden="false" customHeight="false" outlineLevel="0" collapsed="false">
      <c r="A3726" s="0" t="s">
        <v>5472</v>
      </c>
      <c r="B3726" s="0" t="s">
        <v>31</v>
      </c>
      <c r="C3726" s="0" t="s">
        <v>2595</v>
      </c>
      <c r="D3726" s="0" t="s">
        <v>33</v>
      </c>
      <c r="E3726" s="2" t="n">
        <v>46013</v>
      </c>
      <c r="F3726" s="3" t="s">
        <v>34</v>
      </c>
      <c r="G3726" s="3" t="s">
        <v>43</v>
      </c>
      <c r="H3726" s="3" t="s">
        <v>44</v>
      </c>
      <c r="I3726" s="3" t="n">
        <f aca="false">YEAR(E3726)</f>
        <v>2025</v>
      </c>
      <c r="J3726" s="3" t="n">
        <f aca="false">MONTH(E3726)</f>
        <v>12</v>
      </c>
      <c r="K3726" s="3" t="n">
        <f aca="false">COUNTIFS($B$2:$B$4077,B3726,$C$2:$C$4077,C3726,$I$2:$I$4077,I3726)</f>
        <v>2</v>
      </c>
      <c r="L3726" s="3" t="n">
        <f aca="false">IF(COUNTIFS($B$2:B3726,B3726,$C$2:C3726,C3726,$I$2:I3726,I3726)=1,1,0)</f>
        <v>0</v>
      </c>
      <c r="M3726" s="3" t="n">
        <f aca="false">IF(K3726&gt;=Parametri!$B$1,1,0)</f>
        <v>1</v>
      </c>
      <c r="N3726" s="3" t="n">
        <f aca="false">L3726*M3726</f>
        <v>0</v>
      </c>
    </row>
    <row r="3727" customFormat="false" ht="15" hidden="false" customHeight="false" outlineLevel="0" collapsed="false">
      <c r="A3727" s="0" t="s">
        <v>5473</v>
      </c>
      <c r="B3727" s="0" t="s">
        <v>31</v>
      </c>
      <c r="C3727" s="0" t="s">
        <v>778</v>
      </c>
      <c r="D3727" s="0" t="s">
        <v>19</v>
      </c>
      <c r="E3727" s="2" t="n">
        <v>45397</v>
      </c>
      <c r="F3727" s="3" t="s">
        <v>27</v>
      </c>
      <c r="G3727" s="3" t="s">
        <v>89</v>
      </c>
      <c r="H3727" s="3" t="s">
        <v>29</v>
      </c>
      <c r="I3727" s="3" t="n">
        <f aca="false">YEAR(E3727)</f>
        <v>2024</v>
      </c>
      <c r="J3727" s="3" t="n">
        <f aca="false">MONTH(E3727)</f>
        <v>4</v>
      </c>
      <c r="K3727" s="3" t="n">
        <f aca="false">COUNTIFS($B$2:$B$4077,B3727,$C$2:$C$4077,C3727,$I$2:$I$4077,I3727)</f>
        <v>5</v>
      </c>
      <c r="L3727" s="3" t="n">
        <f aca="false">IF(COUNTIFS($B$2:B3727,B3727,$C$2:C3727,C3727,$I$2:I3727,I3727)=1,1,0)</f>
        <v>0</v>
      </c>
      <c r="M3727" s="3" t="n">
        <f aca="false">IF(K3727&gt;=Parametri!$B$1,1,0)</f>
        <v>1</v>
      </c>
      <c r="N3727" s="3" t="n">
        <f aca="false">L3727*M3727</f>
        <v>0</v>
      </c>
    </row>
    <row r="3728" customFormat="false" ht="15" hidden="false" customHeight="false" outlineLevel="0" collapsed="false">
      <c r="A3728" s="0" t="s">
        <v>5474</v>
      </c>
      <c r="B3728" s="0" t="s">
        <v>57</v>
      </c>
      <c r="C3728" s="0" t="s">
        <v>527</v>
      </c>
      <c r="D3728" s="0" t="s">
        <v>63</v>
      </c>
      <c r="E3728" s="2" t="n">
        <v>46065</v>
      </c>
      <c r="F3728" s="3" t="s">
        <v>20</v>
      </c>
      <c r="G3728" s="3" t="s">
        <v>21</v>
      </c>
      <c r="H3728" s="3" t="s">
        <v>44</v>
      </c>
      <c r="I3728" s="3" t="n">
        <f aca="false">YEAR(E3728)</f>
        <v>2026</v>
      </c>
      <c r="J3728" s="3" t="n">
        <f aca="false">MONTH(E3728)</f>
        <v>2</v>
      </c>
      <c r="K3728" s="3" t="n">
        <f aca="false">COUNTIFS($B$2:$B$4077,B3728,$C$2:$C$4077,C3728,$I$2:$I$4077,I3728)</f>
        <v>1</v>
      </c>
      <c r="L3728" s="3" t="n">
        <f aca="false">IF(COUNTIFS($B$2:B3728,B3728,$C$2:C3728,C3728,$I$2:I3728,I3728)=1,1,0)</f>
        <v>1</v>
      </c>
      <c r="M3728" s="3" t="n">
        <f aca="false">IF(K3728&gt;=Parametri!$B$1,1,0)</f>
        <v>0</v>
      </c>
      <c r="N3728" s="3" t="n">
        <f aca="false">L3728*M3728</f>
        <v>0</v>
      </c>
    </row>
    <row r="3729" customFormat="false" ht="15" hidden="false" customHeight="false" outlineLevel="0" collapsed="false">
      <c r="A3729" s="0" t="s">
        <v>5475</v>
      </c>
      <c r="B3729" s="0" t="s">
        <v>24</v>
      </c>
      <c r="C3729" s="0" t="s">
        <v>447</v>
      </c>
      <c r="D3729" s="0" t="s">
        <v>26</v>
      </c>
      <c r="E3729" s="2" t="n">
        <v>45997</v>
      </c>
      <c r="F3729" s="3" t="s">
        <v>20</v>
      </c>
      <c r="G3729" s="3" t="s">
        <v>21</v>
      </c>
      <c r="H3729" s="3" t="s">
        <v>29</v>
      </c>
      <c r="I3729" s="3" t="n">
        <f aca="false">YEAR(E3729)</f>
        <v>2025</v>
      </c>
      <c r="J3729" s="3" t="n">
        <f aca="false">MONTH(E3729)</f>
        <v>12</v>
      </c>
      <c r="K3729" s="3" t="n">
        <f aca="false">COUNTIFS($B$2:$B$4077,B3729,$C$2:$C$4077,C3729,$I$2:$I$4077,I3729)</f>
        <v>1</v>
      </c>
      <c r="L3729" s="3" t="n">
        <f aca="false">IF(COUNTIFS($B$2:B3729,B3729,$C$2:C3729,C3729,$I$2:I3729,I3729)=1,1,0)</f>
        <v>1</v>
      </c>
      <c r="M3729" s="3" t="n">
        <f aca="false">IF(K3729&gt;=Parametri!$B$1,1,0)</f>
        <v>0</v>
      </c>
      <c r="N3729" s="3" t="n">
        <f aca="false">L3729*M3729</f>
        <v>0</v>
      </c>
    </row>
    <row r="3730" customFormat="false" ht="15" hidden="false" customHeight="false" outlineLevel="0" collapsed="false">
      <c r="A3730" s="0" t="s">
        <v>5476</v>
      </c>
      <c r="B3730" s="0" t="s">
        <v>50</v>
      </c>
      <c r="C3730" s="0" t="s">
        <v>1032</v>
      </c>
      <c r="D3730" s="0" t="s">
        <v>33</v>
      </c>
      <c r="E3730" s="2" t="n">
        <v>46000</v>
      </c>
      <c r="F3730" s="3" t="s">
        <v>20</v>
      </c>
      <c r="G3730" s="3" t="s">
        <v>72</v>
      </c>
      <c r="H3730" s="3" t="s">
        <v>29</v>
      </c>
      <c r="I3730" s="3" t="n">
        <f aca="false">YEAR(E3730)</f>
        <v>2025</v>
      </c>
      <c r="J3730" s="3" t="n">
        <f aca="false">MONTH(E3730)</f>
        <v>12</v>
      </c>
      <c r="K3730" s="3" t="n">
        <f aca="false">COUNTIFS($B$2:$B$4077,B3730,$C$2:$C$4077,C3730,$I$2:$I$4077,I3730)</f>
        <v>1</v>
      </c>
      <c r="L3730" s="3" t="n">
        <f aca="false">IF(COUNTIFS($B$2:B3730,B3730,$C$2:C3730,C3730,$I$2:I3730,I3730)=1,1,0)</f>
        <v>1</v>
      </c>
      <c r="M3730" s="3" t="n">
        <f aca="false">IF(K3730&gt;=Parametri!$B$1,1,0)</f>
        <v>0</v>
      </c>
      <c r="N3730" s="3" t="n">
        <f aca="false">L3730*M3730</f>
        <v>0</v>
      </c>
    </row>
    <row r="3731" customFormat="false" ht="15" hidden="false" customHeight="false" outlineLevel="0" collapsed="false">
      <c r="A3731" s="0" t="s">
        <v>5477</v>
      </c>
      <c r="B3731" s="0" t="s">
        <v>24</v>
      </c>
      <c r="C3731" s="0" t="s">
        <v>2517</v>
      </c>
      <c r="D3731" s="0" t="s">
        <v>63</v>
      </c>
      <c r="E3731" s="2" t="n">
        <v>45534</v>
      </c>
      <c r="F3731" s="3" t="s">
        <v>34</v>
      </c>
      <c r="G3731" s="3" t="s">
        <v>39</v>
      </c>
      <c r="H3731" s="3" t="s">
        <v>22</v>
      </c>
      <c r="I3731" s="3" t="n">
        <f aca="false">YEAR(E3731)</f>
        <v>2024</v>
      </c>
      <c r="J3731" s="3" t="n">
        <f aca="false">MONTH(E3731)</f>
        <v>8</v>
      </c>
      <c r="K3731" s="3" t="n">
        <f aca="false">COUNTIFS($B$2:$B$4077,B3731,$C$2:$C$4077,C3731,$I$2:$I$4077,I3731)</f>
        <v>2</v>
      </c>
      <c r="L3731" s="3" t="n">
        <f aca="false">IF(COUNTIFS($B$2:B3731,B3731,$C$2:C3731,C3731,$I$2:I3731,I3731)=1,1,0)</f>
        <v>0</v>
      </c>
      <c r="M3731" s="3" t="n">
        <f aca="false">IF(K3731&gt;=Parametri!$B$1,1,0)</f>
        <v>1</v>
      </c>
      <c r="N3731" s="3" t="n">
        <f aca="false">L3731*M3731</f>
        <v>0</v>
      </c>
    </row>
    <row r="3732" customFormat="false" ht="15" hidden="false" customHeight="false" outlineLevel="0" collapsed="false">
      <c r="A3732" s="0" t="s">
        <v>5478</v>
      </c>
      <c r="B3732" s="0" t="s">
        <v>17</v>
      </c>
      <c r="C3732" s="0" t="s">
        <v>3720</v>
      </c>
      <c r="D3732" s="0" t="s">
        <v>33</v>
      </c>
      <c r="E3732" s="2" t="n">
        <v>45785</v>
      </c>
      <c r="F3732" s="3" t="s">
        <v>20</v>
      </c>
      <c r="G3732" s="3" t="s">
        <v>35</v>
      </c>
      <c r="H3732" s="3" t="s">
        <v>48</v>
      </c>
      <c r="I3732" s="3" t="n">
        <f aca="false">YEAR(E3732)</f>
        <v>2025</v>
      </c>
      <c r="J3732" s="3" t="n">
        <f aca="false">MONTH(E3732)</f>
        <v>5</v>
      </c>
      <c r="K3732" s="3" t="n">
        <f aca="false">COUNTIFS($B$2:$B$4077,B3732,$C$2:$C$4077,C3732,$I$2:$I$4077,I3732)</f>
        <v>1</v>
      </c>
      <c r="L3732" s="3" t="n">
        <f aca="false">IF(COUNTIFS($B$2:B3732,B3732,$C$2:C3732,C3732,$I$2:I3732,I3732)=1,1,0)</f>
        <v>1</v>
      </c>
      <c r="M3732" s="3" t="n">
        <f aca="false">IF(K3732&gt;=Parametri!$B$1,1,0)</f>
        <v>0</v>
      </c>
      <c r="N3732" s="3" t="n">
        <f aca="false">L3732*M3732</f>
        <v>0</v>
      </c>
    </row>
    <row r="3733" customFormat="false" ht="15" hidden="false" customHeight="false" outlineLevel="0" collapsed="false">
      <c r="A3733" s="0" t="s">
        <v>5479</v>
      </c>
      <c r="B3733" s="0" t="s">
        <v>79</v>
      </c>
      <c r="C3733" s="0" t="s">
        <v>2917</v>
      </c>
      <c r="D3733" s="0" t="s">
        <v>63</v>
      </c>
      <c r="E3733" s="2" t="n">
        <v>45799</v>
      </c>
      <c r="F3733" s="3" t="s">
        <v>27</v>
      </c>
      <c r="G3733" s="3" t="s">
        <v>28</v>
      </c>
      <c r="H3733" s="3" t="s">
        <v>22</v>
      </c>
      <c r="I3733" s="3" t="n">
        <f aca="false">YEAR(E3733)</f>
        <v>2025</v>
      </c>
      <c r="J3733" s="3" t="n">
        <f aca="false">MONTH(E3733)</f>
        <v>5</v>
      </c>
      <c r="K3733" s="3" t="n">
        <f aca="false">COUNTIFS($B$2:$B$4077,B3733,$C$2:$C$4077,C3733,$I$2:$I$4077,I3733)</f>
        <v>3</v>
      </c>
      <c r="L3733" s="3" t="n">
        <f aca="false">IF(COUNTIFS($B$2:B3733,B3733,$C$2:C3733,C3733,$I$2:I3733,I3733)=1,1,0)</f>
        <v>0</v>
      </c>
      <c r="M3733" s="3" t="n">
        <f aca="false">IF(K3733&gt;=Parametri!$B$1,1,0)</f>
        <v>1</v>
      </c>
      <c r="N3733" s="3" t="n">
        <f aca="false">L3733*M3733</f>
        <v>0</v>
      </c>
    </row>
    <row r="3734" customFormat="false" ht="15" hidden="false" customHeight="false" outlineLevel="0" collapsed="false">
      <c r="A3734" s="0" t="s">
        <v>5480</v>
      </c>
      <c r="B3734" s="0" t="s">
        <v>79</v>
      </c>
      <c r="C3734" s="0" t="s">
        <v>3177</v>
      </c>
      <c r="D3734" s="0" t="s">
        <v>54</v>
      </c>
      <c r="E3734" s="2" t="n">
        <v>45592</v>
      </c>
      <c r="F3734" s="3" t="s">
        <v>20</v>
      </c>
      <c r="G3734" s="3" t="s">
        <v>72</v>
      </c>
      <c r="H3734" s="3" t="s">
        <v>22</v>
      </c>
      <c r="I3734" s="3" t="n">
        <f aca="false">YEAR(E3734)</f>
        <v>2024</v>
      </c>
      <c r="J3734" s="3" t="n">
        <f aca="false">MONTH(E3734)</f>
        <v>10</v>
      </c>
      <c r="K3734" s="3" t="n">
        <f aca="false">COUNTIFS($B$2:$B$4077,B3734,$C$2:$C$4077,C3734,$I$2:$I$4077,I3734)</f>
        <v>2</v>
      </c>
      <c r="L3734" s="3" t="n">
        <f aca="false">IF(COUNTIFS($B$2:B3734,B3734,$C$2:C3734,C3734,$I$2:I3734,I3734)=1,1,0)</f>
        <v>0</v>
      </c>
      <c r="M3734" s="3" t="n">
        <f aca="false">IF(K3734&gt;=Parametri!$B$1,1,0)</f>
        <v>1</v>
      </c>
      <c r="N3734" s="3" t="n">
        <f aca="false">L3734*M3734</f>
        <v>0</v>
      </c>
    </row>
    <row r="3735" customFormat="false" ht="15" hidden="false" customHeight="false" outlineLevel="0" collapsed="false">
      <c r="A3735" s="0" t="s">
        <v>5481</v>
      </c>
      <c r="B3735" s="0" t="s">
        <v>79</v>
      </c>
      <c r="C3735" s="0" t="s">
        <v>830</v>
      </c>
      <c r="D3735" s="0" t="s">
        <v>77</v>
      </c>
      <c r="E3735" s="2" t="n">
        <v>46017</v>
      </c>
      <c r="F3735" s="3" t="s">
        <v>20</v>
      </c>
      <c r="G3735" s="3" t="s">
        <v>89</v>
      </c>
      <c r="H3735" s="3" t="s">
        <v>44</v>
      </c>
      <c r="I3735" s="3" t="n">
        <f aca="false">YEAR(E3735)</f>
        <v>2025</v>
      </c>
      <c r="J3735" s="3" t="n">
        <f aca="false">MONTH(E3735)</f>
        <v>12</v>
      </c>
      <c r="K3735" s="3" t="n">
        <f aca="false">COUNTIFS($B$2:$B$4077,B3735,$C$2:$C$4077,C3735,$I$2:$I$4077,I3735)</f>
        <v>3</v>
      </c>
      <c r="L3735" s="3" t="n">
        <f aca="false">IF(COUNTIFS($B$2:B3735,B3735,$C$2:C3735,C3735,$I$2:I3735,I3735)=1,1,0)</f>
        <v>0</v>
      </c>
      <c r="M3735" s="3" t="n">
        <f aca="false">IF(K3735&gt;=Parametri!$B$1,1,0)</f>
        <v>1</v>
      </c>
      <c r="N3735" s="3" t="n">
        <f aca="false">L3735*M3735</f>
        <v>0</v>
      </c>
    </row>
    <row r="3736" customFormat="false" ht="15" hidden="false" customHeight="false" outlineLevel="0" collapsed="false">
      <c r="A3736" s="0" t="s">
        <v>5482</v>
      </c>
      <c r="B3736" s="0" t="s">
        <v>79</v>
      </c>
      <c r="C3736" s="0" t="s">
        <v>523</v>
      </c>
      <c r="D3736" s="0" t="s">
        <v>63</v>
      </c>
      <c r="E3736" s="2" t="n">
        <v>45946</v>
      </c>
      <c r="F3736" s="3" t="s">
        <v>27</v>
      </c>
      <c r="G3736" s="3" t="s">
        <v>28</v>
      </c>
      <c r="H3736" s="3" t="s">
        <v>29</v>
      </c>
      <c r="I3736" s="3" t="n">
        <f aca="false">YEAR(E3736)</f>
        <v>2025</v>
      </c>
      <c r="J3736" s="3" t="n">
        <f aca="false">MONTH(E3736)</f>
        <v>10</v>
      </c>
      <c r="K3736" s="3" t="n">
        <f aca="false">COUNTIFS($B$2:$B$4077,B3736,$C$2:$C$4077,C3736,$I$2:$I$4077,I3736)</f>
        <v>1</v>
      </c>
      <c r="L3736" s="3" t="n">
        <f aca="false">IF(COUNTIFS($B$2:B3736,B3736,$C$2:C3736,C3736,$I$2:I3736,I3736)=1,1,0)</f>
        <v>1</v>
      </c>
      <c r="M3736" s="3" t="n">
        <f aca="false">IF(K3736&gt;=Parametri!$B$1,1,0)</f>
        <v>0</v>
      </c>
      <c r="N3736" s="3" t="n">
        <f aca="false">L3736*M3736</f>
        <v>0</v>
      </c>
    </row>
    <row r="3737" customFormat="false" ht="15" hidden="false" customHeight="false" outlineLevel="0" collapsed="false">
      <c r="A3737" s="0" t="s">
        <v>5483</v>
      </c>
      <c r="B3737" s="0" t="s">
        <v>31</v>
      </c>
      <c r="C3737" s="0" t="s">
        <v>5484</v>
      </c>
      <c r="D3737" s="0" t="s">
        <v>26</v>
      </c>
      <c r="E3737" s="2" t="n">
        <v>46216</v>
      </c>
      <c r="F3737" s="3" t="s">
        <v>20</v>
      </c>
      <c r="G3737" s="3" t="s">
        <v>21</v>
      </c>
      <c r="H3737" s="3" t="s">
        <v>22</v>
      </c>
      <c r="I3737" s="3" t="n">
        <f aca="false">YEAR(E3737)</f>
        <v>2026</v>
      </c>
      <c r="J3737" s="3" t="n">
        <f aca="false">MONTH(E3737)</f>
        <v>7</v>
      </c>
      <c r="K3737" s="3" t="n">
        <f aca="false">COUNTIFS($B$2:$B$4077,B3737,$C$2:$C$4077,C3737,$I$2:$I$4077,I3737)</f>
        <v>1</v>
      </c>
      <c r="L3737" s="3" t="n">
        <f aca="false">IF(COUNTIFS($B$2:B3737,B3737,$C$2:C3737,C3737,$I$2:I3737,I3737)=1,1,0)</f>
        <v>1</v>
      </c>
      <c r="M3737" s="3" t="n">
        <f aca="false">IF(K3737&gt;=Parametri!$B$1,1,0)</f>
        <v>0</v>
      </c>
      <c r="N3737" s="3" t="n">
        <f aca="false">L3737*M3737</f>
        <v>0</v>
      </c>
    </row>
    <row r="3738" customFormat="false" ht="15" hidden="false" customHeight="false" outlineLevel="0" collapsed="false">
      <c r="A3738" s="0" t="s">
        <v>5485</v>
      </c>
      <c r="B3738" s="0" t="s">
        <v>57</v>
      </c>
      <c r="C3738" s="0" t="s">
        <v>5486</v>
      </c>
      <c r="D3738" s="0" t="s">
        <v>63</v>
      </c>
      <c r="E3738" s="2" t="n">
        <v>45793</v>
      </c>
      <c r="F3738" s="3" t="s">
        <v>34</v>
      </c>
      <c r="G3738" s="3" t="s">
        <v>35</v>
      </c>
      <c r="H3738" s="3" t="s">
        <v>22</v>
      </c>
      <c r="I3738" s="3" t="n">
        <f aca="false">YEAR(E3738)</f>
        <v>2025</v>
      </c>
      <c r="J3738" s="3" t="n">
        <f aca="false">MONTH(E3738)</f>
        <v>5</v>
      </c>
      <c r="K3738" s="3" t="n">
        <f aca="false">COUNTIFS($B$2:$B$4077,B3738,$C$2:$C$4077,C3738,$I$2:$I$4077,I3738)</f>
        <v>1</v>
      </c>
      <c r="L3738" s="3" t="n">
        <f aca="false">IF(COUNTIFS($B$2:B3738,B3738,$C$2:C3738,C3738,$I$2:I3738,I3738)=1,1,0)</f>
        <v>1</v>
      </c>
      <c r="M3738" s="3" t="n">
        <f aca="false">IF(K3738&gt;=Parametri!$B$1,1,0)</f>
        <v>0</v>
      </c>
      <c r="N3738" s="3" t="n">
        <f aca="false">L3738*M3738</f>
        <v>0</v>
      </c>
    </row>
    <row r="3739" customFormat="false" ht="15" hidden="false" customHeight="false" outlineLevel="0" collapsed="false">
      <c r="A3739" s="0" t="s">
        <v>5487</v>
      </c>
      <c r="B3739" s="0" t="s">
        <v>41</v>
      </c>
      <c r="C3739" s="0" t="s">
        <v>1203</v>
      </c>
      <c r="D3739" s="0" t="s">
        <v>66</v>
      </c>
      <c r="E3739" s="2" t="n">
        <v>45731</v>
      </c>
      <c r="F3739" s="3" t="s">
        <v>34</v>
      </c>
      <c r="G3739" s="3" t="s">
        <v>43</v>
      </c>
      <c r="H3739" s="3" t="s">
        <v>29</v>
      </c>
      <c r="I3739" s="3" t="n">
        <f aca="false">YEAR(E3739)</f>
        <v>2025</v>
      </c>
      <c r="J3739" s="3" t="n">
        <f aca="false">MONTH(E3739)</f>
        <v>3</v>
      </c>
      <c r="K3739" s="3" t="n">
        <f aca="false">COUNTIFS($B$2:$B$4077,B3739,$C$2:$C$4077,C3739,$I$2:$I$4077,I3739)</f>
        <v>1</v>
      </c>
      <c r="L3739" s="3" t="n">
        <f aca="false">IF(COUNTIFS($B$2:B3739,B3739,$C$2:C3739,C3739,$I$2:I3739,I3739)=1,1,0)</f>
        <v>1</v>
      </c>
      <c r="M3739" s="3" t="n">
        <f aca="false">IF(K3739&gt;=Parametri!$B$1,1,0)</f>
        <v>0</v>
      </c>
      <c r="N3739" s="3" t="n">
        <f aca="false">L3739*M3739</f>
        <v>0</v>
      </c>
    </row>
    <row r="3740" customFormat="false" ht="15" hidden="false" customHeight="false" outlineLevel="0" collapsed="false">
      <c r="A3740" s="0" t="s">
        <v>5488</v>
      </c>
      <c r="B3740" s="0" t="s">
        <v>79</v>
      </c>
      <c r="C3740" s="0" t="s">
        <v>1416</v>
      </c>
      <c r="D3740" s="0" t="s">
        <v>63</v>
      </c>
      <c r="E3740" s="2" t="n">
        <v>45927</v>
      </c>
      <c r="F3740" s="3" t="s">
        <v>20</v>
      </c>
      <c r="G3740" s="3" t="s">
        <v>89</v>
      </c>
      <c r="H3740" s="3" t="s">
        <v>44</v>
      </c>
      <c r="I3740" s="3" t="n">
        <f aca="false">YEAR(E3740)</f>
        <v>2025</v>
      </c>
      <c r="J3740" s="3" t="n">
        <f aca="false">MONTH(E3740)</f>
        <v>9</v>
      </c>
      <c r="K3740" s="3" t="n">
        <f aca="false">COUNTIFS($B$2:$B$4077,B3740,$C$2:$C$4077,C3740,$I$2:$I$4077,I3740)</f>
        <v>2</v>
      </c>
      <c r="L3740" s="3" t="n">
        <f aca="false">IF(COUNTIFS($B$2:B3740,B3740,$C$2:C3740,C3740,$I$2:I3740,I3740)=1,1,0)</f>
        <v>0</v>
      </c>
      <c r="M3740" s="3" t="n">
        <f aca="false">IF(K3740&gt;=Parametri!$B$1,1,0)</f>
        <v>1</v>
      </c>
      <c r="N3740" s="3" t="n">
        <f aca="false">L3740*M3740</f>
        <v>0</v>
      </c>
    </row>
    <row r="3741" customFormat="false" ht="15" hidden="false" customHeight="false" outlineLevel="0" collapsed="false">
      <c r="A3741" s="0" t="s">
        <v>5489</v>
      </c>
      <c r="B3741" s="0" t="s">
        <v>50</v>
      </c>
      <c r="C3741" s="0" t="s">
        <v>5490</v>
      </c>
      <c r="D3741" s="0" t="s">
        <v>38</v>
      </c>
      <c r="E3741" s="2" t="n">
        <v>45776</v>
      </c>
      <c r="F3741" s="3" t="s">
        <v>27</v>
      </c>
      <c r="G3741" s="3" t="s">
        <v>43</v>
      </c>
      <c r="H3741" s="3" t="s">
        <v>22</v>
      </c>
      <c r="I3741" s="3" t="n">
        <f aca="false">YEAR(E3741)</f>
        <v>2025</v>
      </c>
      <c r="J3741" s="3" t="n">
        <f aca="false">MONTH(E3741)</f>
        <v>4</v>
      </c>
      <c r="K3741" s="3" t="n">
        <f aca="false">COUNTIFS($B$2:$B$4077,B3741,$C$2:$C$4077,C3741,$I$2:$I$4077,I3741)</f>
        <v>1</v>
      </c>
      <c r="L3741" s="3" t="n">
        <f aca="false">IF(COUNTIFS($B$2:B3741,B3741,$C$2:C3741,C3741,$I$2:I3741,I3741)=1,1,0)</f>
        <v>1</v>
      </c>
      <c r="M3741" s="3" t="n">
        <f aca="false">IF(K3741&gt;=Parametri!$B$1,1,0)</f>
        <v>0</v>
      </c>
      <c r="N3741" s="3" t="n">
        <f aca="false">L3741*M3741</f>
        <v>0</v>
      </c>
    </row>
    <row r="3742" customFormat="false" ht="15" hidden="false" customHeight="false" outlineLevel="0" collapsed="false">
      <c r="A3742" s="0" t="s">
        <v>5491</v>
      </c>
      <c r="B3742" s="0" t="s">
        <v>31</v>
      </c>
      <c r="C3742" s="0" t="s">
        <v>5492</v>
      </c>
      <c r="D3742" s="0" t="s">
        <v>26</v>
      </c>
      <c r="E3742" s="2" t="n">
        <v>45882</v>
      </c>
      <c r="F3742" s="3" t="s">
        <v>20</v>
      </c>
      <c r="G3742" s="3" t="s">
        <v>21</v>
      </c>
      <c r="H3742" s="3" t="s">
        <v>48</v>
      </c>
      <c r="I3742" s="3" t="n">
        <f aca="false">YEAR(E3742)</f>
        <v>2025</v>
      </c>
      <c r="J3742" s="3" t="n">
        <f aca="false">MONTH(E3742)</f>
        <v>8</v>
      </c>
      <c r="K3742" s="3" t="n">
        <f aca="false">COUNTIFS($B$2:$B$4077,B3742,$C$2:$C$4077,C3742,$I$2:$I$4077,I3742)</f>
        <v>1</v>
      </c>
      <c r="L3742" s="3" t="n">
        <f aca="false">IF(COUNTIFS($B$2:B3742,B3742,$C$2:C3742,C3742,$I$2:I3742,I3742)=1,1,0)</f>
        <v>1</v>
      </c>
      <c r="M3742" s="3" t="n">
        <f aca="false">IF(K3742&gt;=Parametri!$B$1,1,0)</f>
        <v>0</v>
      </c>
      <c r="N3742" s="3" t="n">
        <f aca="false">L3742*M3742</f>
        <v>0</v>
      </c>
    </row>
    <row r="3743" customFormat="false" ht="15" hidden="false" customHeight="false" outlineLevel="0" collapsed="false">
      <c r="A3743" s="0" t="s">
        <v>5493</v>
      </c>
      <c r="B3743" s="0" t="s">
        <v>50</v>
      </c>
      <c r="C3743" s="0" t="s">
        <v>5494</v>
      </c>
      <c r="D3743" s="0" t="s">
        <v>19</v>
      </c>
      <c r="E3743" s="2" t="n">
        <v>45475</v>
      </c>
      <c r="F3743" s="3" t="s">
        <v>34</v>
      </c>
      <c r="G3743" s="3" t="s">
        <v>43</v>
      </c>
      <c r="H3743" s="3" t="s">
        <v>48</v>
      </c>
      <c r="I3743" s="3" t="n">
        <f aca="false">YEAR(E3743)</f>
        <v>2024</v>
      </c>
      <c r="J3743" s="3" t="n">
        <f aca="false">MONTH(E3743)</f>
        <v>7</v>
      </c>
      <c r="K3743" s="3" t="n">
        <f aca="false">COUNTIFS($B$2:$B$4077,B3743,$C$2:$C$4077,C3743,$I$2:$I$4077,I3743)</f>
        <v>1</v>
      </c>
      <c r="L3743" s="3" t="n">
        <f aca="false">IF(COUNTIFS($B$2:B3743,B3743,$C$2:C3743,C3743,$I$2:I3743,I3743)=1,1,0)</f>
        <v>1</v>
      </c>
      <c r="M3743" s="3" t="n">
        <f aca="false">IF(K3743&gt;=Parametri!$B$1,1,0)</f>
        <v>0</v>
      </c>
      <c r="N3743" s="3" t="n">
        <f aca="false">L3743*M3743</f>
        <v>0</v>
      </c>
    </row>
    <row r="3744" customFormat="false" ht="15" hidden="false" customHeight="false" outlineLevel="0" collapsed="false">
      <c r="A3744" s="0" t="s">
        <v>5495</v>
      </c>
      <c r="B3744" s="0" t="s">
        <v>79</v>
      </c>
      <c r="C3744" s="0" t="s">
        <v>2951</v>
      </c>
      <c r="D3744" s="0" t="s">
        <v>54</v>
      </c>
      <c r="E3744" s="2" t="n">
        <v>45586</v>
      </c>
      <c r="F3744" s="3" t="s">
        <v>34</v>
      </c>
      <c r="G3744" s="3" t="s">
        <v>21</v>
      </c>
      <c r="H3744" s="3" t="s">
        <v>44</v>
      </c>
      <c r="I3744" s="3" t="n">
        <f aca="false">YEAR(E3744)</f>
        <v>2024</v>
      </c>
      <c r="J3744" s="3" t="n">
        <f aca="false">MONTH(E3744)</f>
        <v>10</v>
      </c>
      <c r="K3744" s="3" t="n">
        <f aca="false">COUNTIFS($B$2:$B$4077,B3744,$C$2:$C$4077,C3744,$I$2:$I$4077,I3744)</f>
        <v>2</v>
      </c>
      <c r="L3744" s="3" t="n">
        <f aca="false">IF(COUNTIFS($B$2:B3744,B3744,$C$2:C3744,C3744,$I$2:I3744,I3744)=1,1,0)</f>
        <v>0</v>
      </c>
      <c r="M3744" s="3" t="n">
        <f aca="false">IF(K3744&gt;=Parametri!$B$1,1,0)</f>
        <v>1</v>
      </c>
      <c r="N3744" s="3" t="n">
        <f aca="false">L3744*M3744</f>
        <v>0</v>
      </c>
    </row>
    <row r="3745" customFormat="false" ht="15" hidden="false" customHeight="false" outlineLevel="0" collapsed="false">
      <c r="A3745" s="0" t="s">
        <v>5496</v>
      </c>
      <c r="B3745" s="0" t="s">
        <v>68</v>
      </c>
      <c r="C3745" s="0" t="s">
        <v>1635</v>
      </c>
      <c r="D3745" s="0" t="s">
        <v>26</v>
      </c>
      <c r="E3745" s="2" t="n">
        <v>46031</v>
      </c>
      <c r="F3745" s="3" t="s">
        <v>34</v>
      </c>
      <c r="G3745" s="3" t="s">
        <v>72</v>
      </c>
      <c r="H3745" s="3" t="s">
        <v>44</v>
      </c>
      <c r="I3745" s="3" t="n">
        <f aca="false">YEAR(E3745)</f>
        <v>2026</v>
      </c>
      <c r="J3745" s="3" t="n">
        <f aca="false">MONTH(E3745)</f>
        <v>1</v>
      </c>
      <c r="K3745" s="3" t="n">
        <f aca="false">COUNTIFS($B$2:$B$4077,B3745,$C$2:$C$4077,C3745,$I$2:$I$4077,I3745)</f>
        <v>1</v>
      </c>
      <c r="L3745" s="3" t="n">
        <f aca="false">IF(COUNTIFS($B$2:B3745,B3745,$C$2:C3745,C3745,$I$2:I3745,I3745)=1,1,0)</f>
        <v>1</v>
      </c>
      <c r="M3745" s="3" t="n">
        <f aca="false">IF(K3745&gt;=Parametri!$B$1,1,0)</f>
        <v>0</v>
      </c>
      <c r="N3745" s="3" t="n">
        <f aca="false">L3745*M3745</f>
        <v>0</v>
      </c>
    </row>
    <row r="3746" customFormat="false" ht="15" hidden="false" customHeight="false" outlineLevel="0" collapsed="false">
      <c r="A3746" s="0" t="s">
        <v>5497</v>
      </c>
      <c r="B3746" s="0" t="s">
        <v>24</v>
      </c>
      <c r="C3746" s="0" t="s">
        <v>1274</v>
      </c>
      <c r="D3746" s="0" t="s">
        <v>19</v>
      </c>
      <c r="E3746" s="2" t="n">
        <v>45904</v>
      </c>
      <c r="F3746" s="3" t="s">
        <v>27</v>
      </c>
      <c r="G3746" s="3" t="s">
        <v>43</v>
      </c>
      <c r="H3746" s="3" t="s">
        <v>44</v>
      </c>
      <c r="I3746" s="3" t="n">
        <f aca="false">YEAR(E3746)</f>
        <v>2025</v>
      </c>
      <c r="J3746" s="3" t="n">
        <f aca="false">MONTH(E3746)</f>
        <v>9</v>
      </c>
      <c r="K3746" s="3" t="n">
        <f aca="false">COUNTIFS($B$2:$B$4077,B3746,$C$2:$C$4077,C3746,$I$2:$I$4077,I3746)</f>
        <v>1</v>
      </c>
      <c r="L3746" s="3" t="n">
        <f aca="false">IF(COUNTIFS($B$2:B3746,B3746,$C$2:C3746,C3746,$I$2:I3746,I3746)=1,1,0)</f>
        <v>1</v>
      </c>
      <c r="M3746" s="3" t="n">
        <f aca="false">IF(K3746&gt;=Parametri!$B$1,1,0)</f>
        <v>0</v>
      </c>
      <c r="N3746" s="3" t="n">
        <f aca="false">L3746*M3746</f>
        <v>0</v>
      </c>
    </row>
    <row r="3747" customFormat="false" ht="15" hidden="false" customHeight="false" outlineLevel="0" collapsed="false">
      <c r="A3747" s="0" t="s">
        <v>5498</v>
      </c>
      <c r="B3747" s="0" t="s">
        <v>124</v>
      </c>
      <c r="C3747" s="0" t="s">
        <v>710</v>
      </c>
      <c r="D3747" s="0" t="s">
        <v>19</v>
      </c>
      <c r="E3747" s="2" t="n">
        <v>45979</v>
      </c>
      <c r="F3747" s="3" t="s">
        <v>20</v>
      </c>
      <c r="G3747" s="3" t="s">
        <v>43</v>
      </c>
      <c r="H3747" s="3" t="s">
        <v>44</v>
      </c>
      <c r="I3747" s="3" t="n">
        <f aca="false">YEAR(E3747)</f>
        <v>2025</v>
      </c>
      <c r="J3747" s="3" t="n">
        <f aca="false">MONTH(E3747)</f>
        <v>11</v>
      </c>
      <c r="K3747" s="3" t="n">
        <f aca="false">COUNTIFS($B$2:$B$4077,B3747,$C$2:$C$4077,C3747,$I$2:$I$4077,I3747)</f>
        <v>8</v>
      </c>
      <c r="L3747" s="3" t="n">
        <f aca="false">IF(COUNTIFS($B$2:B3747,B3747,$C$2:C3747,C3747,$I$2:I3747,I3747)=1,1,0)</f>
        <v>0</v>
      </c>
      <c r="M3747" s="3" t="n">
        <f aca="false">IF(K3747&gt;=Parametri!$B$1,1,0)</f>
        <v>1</v>
      </c>
      <c r="N3747" s="3" t="n">
        <f aca="false">L3747*M3747</f>
        <v>0</v>
      </c>
    </row>
    <row r="3748" customFormat="false" ht="15" hidden="false" customHeight="false" outlineLevel="0" collapsed="false">
      <c r="A3748" s="0" t="s">
        <v>5499</v>
      </c>
      <c r="B3748" s="0" t="s">
        <v>68</v>
      </c>
      <c r="C3748" s="0" t="s">
        <v>1589</v>
      </c>
      <c r="D3748" s="0" t="s">
        <v>33</v>
      </c>
      <c r="E3748" s="2" t="n">
        <v>45551</v>
      </c>
      <c r="F3748" s="3" t="s">
        <v>27</v>
      </c>
      <c r="G3748" s="3" t="s">
        <v>72</v>
      </c>
      <c r="H3748" s="3" t="s">
        <v>29</v>
      </c>
      <c r="I3748" s="3" t="n">
        <f aca="false">YEAR(E3748)</f>
        <v>2024</v>
      </c>
      <c r="J3748" s="3" t="n">
        <f aca="false">MONTH(E3748)</f>
        <v>9</v>
      </c>
      <c r="K3748" s="3" t="n">
        <f aca="false">COUNTIFS($B$2:$B$4077,B3748,$C$2:$C$4077,C3748,$I$2:$I$4077,I3748)</f>
        <v>2</v>
      </c>
      <c r="L3748" s="3" t="n">
        <f aca="false">IF(COUNTIFS($B$2:B3748,B3748,$C$2:C3748,C3748,$I$2:I3748,I3748)=1,1,0)</f>
        <v>0</v>
      </c>
      <c r="M3748" s="3" t="n">
        <f aca="false">IF(K3748&gt;=Parametri!$B$1,1,0)</f>
        <v>1</v>
      </c>
      <c r="N3748" s="3" t="n">
        <f aca="false">L3748*M3748</f>
        <v>0</v>
      </c>
    </row>
    <row r="3749" customFormat="false" ht="15" hidden="false" customHeight="false" outlineLevel="0" collapsed="false">
      <c r="A3749" s="0" t="s">
        <v>5500</v>
      </c>
      <c r="B3749" s="0" t="s">
        <v>41</v>
      </c>
      <c r="C3749" s="0" t="s">
        <v>842</v>
      </c>
      <c r="D3749" s="0" t="s">
        <v>54</v>
      </c>
      <c r="E3749" s="2" t="n">
        <v>45931</v>
      </c>
      <c r="F3749" s="3" t="s">
        <v>20</v>
      </c>
      <c r="G3749" s="3" t="s">
        <v>72</v>
      </c>
      <c r="H3749" s="3" t="s">
        <v>29</v>
      </c>
      <c r="I3749" s="3" t="n">
        <f aca="false">YEAR(E3749)</f>
        <v>2025</v>
      </c>
      <c r="J3749" s="3" t="n">
        <f aca="false">MONTH(E3749)</f>
        <v>10</v>
      </c>
      <c r="K3749" s="3" t="n">
        <f aca="false">COUNTIFS($B$2:$B$4077,B3749,$C$2:$C$4077,C3749,$I$2:$I$4077,I3749)</f>
        <v>1</v>
      </c>
      <c r="L3749" s="3" t="n">
        <f aca="false">IF(COUNTIFS($B$2:B3749,B3749,$C$2:C3749,C3749,$I$2:I3749,I3749)=1,1,0)</f>
        <v>1</v>
      </c>
      <c r="M3749" s="3" t="n">
        <f aca="false">IF(K3749&gt;=Parametri!$B$1,1,0)</f>
        <v>0</v>
      </c>
      <c r="N3749" s="3" t="n">
        <f aca="false">L3749*M3749</f>
        <v>0</v>
      </c>
    </row>
    <row r="3750" customFormat="false" ht="15" hidden="false" customHeight="false" outlineLevel="0" collapsed="false">
      <c r="A3750" s="0" t="s">
        <v>5501</v>
      </c>
      <c r="B3750" s="0" t="s">
        <v>41</v>
      </c>
      <c r="C3750" s="0" t="s">
        <v>4673</v>
      </c>
      <c r="D3750" s="0" t="s">
        <v>77</v>
      </c>
      <c r="E3750" s="2" t="n">
        <v>45695</v>
      </c>
      <c r="F3750" s="3" t="s">
        <v>27</v>
      </c>
      <c r="G3750" s="3" t="s">
        <v>21</v>
      </c>
      <c r="H3750" s="3" t="s">
        <v>48</v>
      </c>
      <c r="I3750" s="3" t="n">
        <f aca="false">YEAR(E3750)</f>
        <v>2025</v>
      </c>
      <c r="J3750" s="3" t="n">
        <f aca="false">MONTH(E3750)</f>
        <v>2</v>
      </c>
      <c r="K3750" s="3" t="n">
        <f aca="false">COUNTIFS($B$2:$B$4077,B3750,$C$2:$C$4077,C3750,$I$2:$I$4077,I3750)</f>
        <v>1</v>
      </c>
      <c r="L3750" s="3" t="n">
        <f aca="false">IF(COUNTIFS($B$2:B3750,B3750,$C$2:C3750,C3750,$I$2:I3750,I3750)=1,1,0)</f>
        <v>1</v>
      </c>
      <c r="M3750" s="3" t="n">
        <f aca="false">IF(K3750&gt;=Parametri!$B$1,1,0)</f>
        <v>0</v>
      </c>
      <c r="N3750" s="3" t="n">
        <f aca="false">L3750*M3750</f>
        <v>0</v>
      </c>
    </row>
    <row r="3751" customFormat="false" ht="15" hidden="false" customHeight="false" outlineLevel="0" collapsed="false">
      <c r="A3751" s="0" t="s">
        <v>5502</v>
      </c>
      <c r="B3751" s="0" t="s">
        <v>41</v>
      </c>
      <c r="C3751" s="0" t="s">
        <v>3223</v>
      </c>
      <c r="D3751" s="0" t="s">
        <v>66</v>
      </c>
      <c r="E3751" s="2" t="n">
        <v>45946</v>
      </c>
      <c r="F3751" s="3" t="s">
        <v>104</v>
      </c>
      <c r="G3751" s="3" t="s">
        <v>104</v>
      </c>
      <c r="H3751" s="3" t="s">
        <v>104</v>
      </c>
      <c r="I3751" s="3" t="n">
        <f aca="false">YEAR(E3751)</f>
        <v>2025</v>
      </c>
      <c r="J3751" s="3" t="n">
        <f aca="false">MONTH(E3751)</f>
        <v>10</v>
      </c>
      <c r="K3751" s="3" t="n">
        <f aca="false">COUNTIFS($B$2:$B$4077,B3751,$C$2:$C$4077,C3751,$I$2:$I$4077,I3751)</f>
        <v>1</v>
      </c>
      <c r="L3751" s="3" t="n">
        <f aca="false">IF(COUNTIFS($B$2:B3751,B3751,$C$2:C3751,C3751,$I$2:I3751,I3751)=1,1,0)</f>
        <v>1</v>
      </c>
      <c r="M3751" s="3" t="n">
        <f aca="false">IF(K3751&gt;=Parametri!$B$1,1,0)</f>
        <v>0</v>
      </c>
      <c r="N3751" s="3" t="n">
        <f aca="false">L3751*M3751</f>
        <v>0</v>
      </c>
    </row>
    <row r="3752" customFormat="false" ht="15" hidden="false" customHeight="false" outlineLevel="0" collapsed="false">
      <c r="A3752" s="0" t="s">
        <v>5503</v>
      </c>
      <c r="B3752" s="0" t="s">
        <v>50</v>
      </c>
      <c r="C3752" s="0" t="s">
        <v>5504</v>
      </c>
      <c r="D3752" s="0" t="s">
        <v>38</v>
      </c>
      <c r="E3752" s="2" t="n">
        <v>45514</v>
      </c>
      <c r="F3752" s="3" t="s">
        <v>20</v>
      </c>
      <c r="G3752" s="3" t="s">
        <v>35</v>
      </c>
      <c r="H3752" s="3" t="s">
        <v>48</v>
      </c>
      <c r="I3752" s="3" t="n">
        <f aca="false">YEAR(E3752)</f>
        <v>2024</v>
      </c>
      <c r="J3752" s="3" t="n">
        <f aca="false">MONTH(E3752)</f>
        <v>8</v>
      </c>
      <c r="K3752" s="3" t="n">
        <f aca="false">COUNTIFS($B$2:$B$4077,B3752,$C$2:$C$4077,C3752,$I$2:$I$4077,I3752)</f>
        <v>1</v>
      </c>
      <c r="L3752" s="3" t="n">
        <f aca="false">IF(COUNTIFS($B$2:B3752,B3752,$C$2:C3752,C3752,$I$2:I3752,I3752)=1,1,0)</f>
        <v>1</v>
      </c>
      <c r="M3752" s="3" t="n">
        <f aca="false">IF(K3752&gt;=Parametri!$B$1,1,0)</f>
        <v>0</v>
      </c>
      <c r="N3752" s="3" t="n">
        <f aca="false">L3752*M3752</f>
        <v>0</v>
      </c>
    </row>
    <row r="3753" customFormat="false" ht="15" hidden="false" customHeight="false" outlineLevel="0" collapsed="false">
      <c r="A3753" s="0" t="s">
        <v>5505</v>
      </c>
      <c r="B3753" s="0" t="s">
        <v>46</v>
      </c>
      <c r="C3753" s="0" t="s">
        <v>5506</v>
      </c>
      <c r="D3753" s="0" t="s">
        <v>33</v>
      </c>
      <c r="E3753" s="2" t="n">
        <v>45462</v>
      </c>
      <c r="F3753" s="3" t="s">
        <v>34</v>
      </c>
      <c r="G3753" s="3" t="s">
        <v>21</v>
      </c>
      <c r="H3753" s="3" t="s">
        <v>22</v>
      </c>
      <c r="I3753" s="3" t="n">
        <f aca="false">YEAR(E3753)</f>
        <v>2024</v>
      </c>
      <c r="J3753" s="3" t="n">
        <f aca="false">MONTH(E3753)</f>
        <v>6</v>
      </c>
      <c r="K3753" s="3" t="n">
        <f aca="false">COUNTIFS($B$2:$B$4077,B3753,$C$2:$C$4077,C3753,$I$2:$I$4077,I3753)</f>
        <v>1</v>
      </c>
      <c r="L3753" s="3" t="n">
        <f aca="false">IF(COUNTIFS($B$2:B3753,B3753,$C$2:C3753,C3753,$I$2:I3753,I3753)=1,1,0)</f>
        <v>1</v>
      </c>
      <c r="M3753" s="3" t="n">
        <f aca="false">IF(K3753&gt;=Parametri!$B$1,1,0)</f>
        <v>0</v>
      </c>
      <c r="N3753" s="3" t="n">
        <f aca="false">L3753*M3753</f>
        <v>0</v>
      </c>
    </row>
    <row r="3754" customFormat="false" ht="15" hidden="false" customHeight="false" outlineLevel="0" collapsed="false">
      <c r="A3754" s="0" t="s">
        <v>5507</v>
      </c>
      <c r="B3754" s="0" t="s">
        <v>24</v>
      </c>
      <c r="C3754" s="0" t="s">
        <v>271</v>
      </c>
      <c r="D3754" s="0" t="s">
        <v>33</v>
      </c>
      <c r="E3754" s="2" t="n">
        <v>45857</v>
      </c>
      <c r="F3754" s="3" t="s">
        <v>34</v>
      </c>
      <c r="G3754" s="3" t="s">
        <v>43</v>
      </c>
      <c r="H3754" s="3" t="s">
        <v>29</v>
      </c>
      <c r="I3754" s="3" t="n">
        <f aca="false">YEAR(E3754)</f>
        <v>2025</v>
      </c>
      <c r="J3754" s="3" t="n">
        <f aca="false">MONTH(E3754)</f>
        <v>7</v>
      </c>
      <c r="K3754" s="3" t="n">
        <f aca="false">COUNTIFS($B$2:$B$4077,B3754,$C$2:$C$4077,C3754,$I$2:$I$4077,I3754)</f>
        <v>3</v>
      </c>
      <c r="L3754" s="3" t="n">
        <f aca="false">IF(COUNTIFS($B$2:B3754,B3754,$C$2:C3754,C3754,$I$2:I3754,I3754)=1,1,0)</f>
        <v>0</v>
      </c>
      <c r="M3754" s="3" t="n">
        <f aca="false">IF(K3754&gt;=Parametri!$B$1,1,0)</f>
        <v>1</v>
      </c>
      <c r="N3754" s="3" t="n">
        <f aca="false">L3754*M3754</f>
        <v>0</v>
      </c>
    </row>
    <row r="3755" customFormat="false" ht="15" hidden="false" customHeight="false" outlineLevel="0" collapsed="false">
      <c r="A3755" s="0" t="s">
        <v>5508</v>
      </c>
      <c r="B3755" s="0" t="s">
        <v>50</v>
      </c>
      <c r="C3755" s="0" t="s">
        <v>5509</v>
      </c>
      <c r="D3755" s="0" t="s">
        <v>63</v>
      </c>
      <c r="E3755" s="2" t="n">
        <v>45352</v>
      </c>
      <c r="F3755" s="3" t="s">
        <v>20</v>
      </c>
      <c r="G3755" s="3" t="s">
        <v>21</v>
      </c>
      <c r="H3755" s="3" t="s">
        <v>48</v>
      </c>
      <c r="I3755" s="3" t="n">
        <f aca="false">YEAR(E3755)</f>
        <v>2024</v>
      </c>
      <c r="J3755" s="3" t="n">
        <f aca="false">MONTH(E3755)</f>
        <v>3</v>
      </c>
      <c r="K3755" s="3" t="n">
        <f aca="false">COUNTIFS($B$2:$B$4077,B3755,$C$2:$C$4077,C3755,$I$2:$I$4077,I3755)</f>
        <v>1</v>
      </c>
      <c r="L3755" s="3" t="n">
        <f aca="false">IF(COUNTIFS($B$2:B3755,B3755,$C$2:C3755,C3755,$I$2:I3755,I3755)=1,1,0)</f>
        <v>1</v>
      </c>
      <c r="M3755" s="3" t="n">
        <f aca="false">IF(K3755&gt;=Parametri!$B$1,1,0)</f>
        <v>0</v>
      </c>
      <c r="N3755" s="3" t="n">
        <f aca="false">L3755*M3755</f>
        <v>0</v>
      </c>
    </row>
    <row r="3756" customFormat="false" ht="15" hidden="false" customHeight="false" outlineLevel="0" collapsed="false">
      <c r="A3756" s="0" t="s">
        <v>5510</v>
      </c>
      <c r="B3756" s="0" t="s">
        <v>57</v>
      </c>
      <c r="C3756" s="0" t="s">
        <v>2193</v>
      </c>
      <c r="D3756" s="0" t="s">
        <v>19</v>
      </c>
      <c r="E3756" s="2" t="n">
        <v>45522</v>
      </c>
      <c r="F3756" s="3" t="s">
        <v>34</v>
      </c>
      <c r="G3756" s="3" t="s">
        <v>43</v>
      </c>
      <c r="H3756" s="3" t="s">
        <v>44</v>
      </c>
      <c r="I3756" s="3" t="n">
        <f aca="false">YEAR(E3756)</f>
        <v>2024</v>
      </c>
      <c r="J3756" s="3" t="n">
        <f aca="false">MONTH(E3756)</f>
        <v>8</v>
      </c>
      <c r="K3756" s="3" t="n">
        <f aca="false">COUNTIFS($B$2:$B$4077,B3756,$C$2:$C$4077,C3756,$I$2:$I$4077,I3756)</f>
        <v>1</v>
      </c>
      <c r="L3756" s="3" t="n">
        <f aca="false">IF(COUNTIFS($B$2:B3756,B3756,$C$2:C3756,C3756,$I$2:I3756,I3756)=1,1,0)</f>
        <v>1</v>
      </c>
      <c r="M3756" s="3" t="n">
        <f aca="false">IF(K3756&gt;=Parametri!$B$1,1,0)</f>
        <v>0</v>
      </c>
      <c r="N3756" s="3" t="n">
        <f aca="false">L3756*M3756</f>
        <v>0</v>
      </c>
    </row>
    <row r="3757" customFormat="false" ht="15" hidden="false" customHeight="false" outlineLevel="0" collapsed="false">
      <c r="A3757" s="0" t="s">
        <v>5511</v>
      </c>
      <c r="B3757" s="0" t="s">
        <v>24</v>
      </c>
      <c r="C3757" s="0" t="s">
        <v>5174</v>
      </c>
      <c r="D3757" s="0" t="s">
        <v>66</v>
      </c>
      <c r="E3757" s="2" t="n">
        <v>45986</v>
      </c>
      <c r="F3757" s="3" t="s">
        <v>20</v>
      </c>
      <c r="G3757" s="3" t="s">
        <v>35</v>
      </c>
      <c r="H3757" s="3" t="s">
        <v>48</v>
      </c>
      <c r="I3757" s="3" t="n">
        <f aca="false">YEAR(E3757)</f>
        <v>2025</v>
      </c>
      <c r="J3757" s="3" t="n">
        <f aca="false">MONTH(E3757)</f>
        <v>11</v>
      </c>
      <c r="K3757" s="3" t="n">
        <f aca="false">COUNTIFS($B$2:$B$4077,B3757,$C$2:$C$4077,C3757,$I$2:$I$4077,I3757)</f>
        <v>1</v>
      </c>
      <c r="L3757" s="3" t="n">
        <f aca="false">IF(COUNTIFS($B$2:B3757,B3757,$C$2:C3757,C3757,$I$2:I3757,I3757)=1,1,0)</f>
        <v>1</v>
      </c>
      <c r="M3757" s="3" t="n">
        <f aca="false">IF(K3757&gt;=Parametri!$B$1,1,0)</f>
        <v>0</v>
      </c>
      <c r="N3757" s="3" t="n">
        <f aca="false">L3757*M3757</f>
        <v>0</v>
      </c>
    </row>
    <row r="3758" customFormat="false" ht="15" hidden="false" customHeight="false" outlineLevel="0" collapsed="false">
      <c r="A3758" s="0" t="s">
        <v>5512</v>
      </c>
      <c r="B3758" s="0" t="s">
        <v>124</v>
      </c>
      <c r="C3758" s="0" t="s">
        <v>862</v>
      </c>
      <c r="D3758" s="0" t="s">
        <v>66</v>
      </c>
      <c r="E3758" s="2" t="n">
        <v>45853</v>
      </c>
      <c r="F3758" s="3" t="s">
        <v>20</v>
      </c>
      <c r="G3758" s="3" t="s">
        <v>35</v>
      </c>
      <c r="H3758" s="3" t="s">
        <v>22</v>
      </c>
      <c r="I3758" s="3" t="n">
        <f aca="false">YEAR(E3758)</f>
        <v>2025</v>
      </c>
      <c r="J3758" s="3" t="n">
        <f aca="false">MONTH(E3758)</f>
        <v>7</v>
      </c>
      <c r="K3758" s="3" t="n">
        <f aca="false">COUNTIFS($B$2:$B$4077,B3758,$C$2:$C$4077,C3758,$I$2:$I$4077,I3758)</f>
        <v>3</v>
      </c>
      <c r="L3758" s="3" t="n">
        <f aca="false">IF(COUNTIFS($B$2:B3758,B3758,$C$2:C3758,C3758,$I$2:I3758,I3758)=1,1,0)</f>
        <v>0</v>
      </c>
      <c r="M3758" s="3" t="n">
        <f aca="false">IF(K3758&gt;=Parametri!$B$1,1,0)</f>
        <v>1</v>
      </c>
      <c r="N3758" s="3" t="n">
        <f aca="false">L3758*M3758</f>
        <v>0</v>
      </c>
    </row>
    <row r="3759" customFormat="false" ht="15" hidden="false" customHeight="false" outlineLevel="0" collapsed="false">
      <c r="A3759" s="0" t="s">
        <v>5513</v>
      </c>
      <c r="B3759" s="0" t="s">
        <v>124</v>
      </c>
      <c r="C3759" s="0" t="s">
        <v>2352</v>
      </c>
      <c r="D3759" s="0" t="s">
        <v>33</v>
      </c>
      <c r="E3759" s="2" t="n">
        <v>46115</v>
      </c>
      <c r="F3759" s="3" t="s">
        <v>20</v>
      </c>
      <c r="G3759" s="3" t="s">
        <v>28</v>
      </c>
      <c r="H3759" s="3" t="s">
        <v>29</v>
      </c>
      <c r="I3759" s="3" t="n">
        <f aca="false">YEAR(E3759)</f>
        <v>2026</v>
      </c>
      <c r="J3759" s="3" t="n">
        <f aca="false">MONTH(E3759)</f>
        <v>4</v>
      </c>
      <c r="K3759" s="3" t="n">
        <f aca="false">COUNTIFS($B$2:$B$4077,B3759,$C$2:$C$4077,C3759,$I$2:$I$4077,I3759)</f>
        <v>1</v>
      </c>
      <c r="L3759" s="3" t="n">
        <f aca="false">IF(COUNTIFS($B$2:B3759,B3759,$C$2:C3759,C3759,$I$2:I3759,I3759)=1,1,0)</f>
        <v>1</v>
      </c>
      <c r="M3759" s="3" t="n">
        <f aca="false">IF(K3759&gt;=Parametri!$B$1,1,0)</f>
        <v>0</v>
      </c>
      <c r="N3759" s="3" t="n">
        <f aca="false">L3759*M3759</f>
        <v>0</v>
      </c>
    </row>
    <row r="3760" customFormat="false" ht="15" hidden="false" customHeight="false" outlineLevel="0" collapsed="false">
      <c r="A3760" s="0" t="s">
        <v>5514</v>
      </c>
      <c r="B3760" s="0" t="s">
        <v>68</v>
      </c>
      <c r="C3760" s="0" t="s">
        <v>3851</v>
      </c>
      <c r="D3760" s="0" t="s">
        <v>77</v>
      </c>
      <c r="E3760" s="2" t="n">
        <v>45703</v>
      </c>
      <c r="F3760" s="3" t="s">
        <v>20</v>
      </c>
      <c r="G3760" s="3" t="s">
        <v>72</v>
      </c>
      <c r="H3760" s="3" t="s">
        <v>44</v>
      </c>
      <c r="I3760" s="3" t="n">
        <f aca="false">YEAR(E3760)</f>
        <v>2025</v>
      </c>
      <c r="J3760" s="3" t="n">
        <f aca="false">MONTH(E3760)</f>
        <v>2</v>
      </c>
      <c r="K3760" s="3" t="n">
        <f aca="false">COUNTIFS($B$2:$B$4077,B3760,$C$2:$C$4077,C3760,$I$2:$I$4077,I3760)</f>
        <v>2</v>
      </c>
      <c r="L3760" s="3" t="n">
        <f aca="false">IF(COUNTIFS($B$2:B3760,B3760,$C$2:C3760,C3760,$I$2:I3760,I3760)=1,1,0)</f>
        <v>0</v>
      </c>
      <c r="M3760" s="3" t="n">
        <f aca="false">IF(K3760&gt;=Parametri!$B$1,1,0)</f>
        <v>1</v>
      </c>
      <c r="N3760" s="3" t="n">
        <f aca="false">L3760*M3760</f>
        <v>0</v>
      </c>
    </row>
    <row r="3761" customFormat="false" ht="15" hidden="false" customHeight="false" outlineLevel="0" collapsed="false">
      <c r="A3761" s="0" t="s">
        <v>5515</v>
      </c>
      <c r="B3761" s="0" t="s">
        <v>57</v>
      </c>
      <c r="C3761" s="0" t="s">
        <v>1531</v>
      </c>
      <c r="D3761" s="0" t="s">
        <v>26</v>
      </c>
      <c r="E3761" s="2" t="n">
        <v>46055</v>
      </c>
      <c r="F3761" s="3" t="s">
        <v>20</v>
      </c>
      <c r="G3761" s="3" t="s">
        <v>35</v>
      </c>
      <c r="H3761" s="3" t="s">
        <v>44</v>
      </c>
      <c r="I3761" s="3" t="n">
        <f aca="false">YEAR(E3761)</f>
        <v>2026</v>
      </c>
      <c r="J3761" s="3" t="n">
        <f aca="false">MONTH(E3761)</f>
        <v>2</v>
      </c>
      <c r="K3761" s="3" t="n">
        <f aca="false">COUNTIFS($B$2:$B$4077,B3761,$C$2:$C$4077,C3761,$I$2:$I$4077,I3761)</f>
        <v>4</v>
      </c>
      <c r="L3761" s="3" t="n">
        <f aca="false">IF(COUNTIFS($B$2:B3761,B3761,$C$2:C3761,C3761,$I$2:I3761,I3761)=1,1,0)</f>
        <v>0</v>
      </c>
      <c r="M3761" s="3" t="n">
        <f aca="false">IF(K3761&gt;=Parametri!$B$1,1,0)</f>
        <v>1</v>
      </c>
      <c r="N3761" s="3" t="n">
        <f aca="false">L3761*M3761</f>
        <v>0</v>
      </c>
    </row>
    <row r="3762" customFormat="false" ht="15" hidden="false" customHeight="false" outlineLevel="0" collapsed="false">
      <c r="A3762" s="0" t="s">
        <v>5516</v>
      </c>
      <c r="B3762" s="0" t="s">
        <v>68</v>
      </c>
      <c r="C3762" s="0" t="s">
        <v>3831</v>
      </c>
      <c r="D3762" s="0" t="s">
        <v>77</v>
      </c>
      <c r="E3762" s="2" t="n">
        <v>45855</v>
      </c>
      <c r="F3762" s="3" t="s">
        <v>20</v>
      </c>
      <c r="G3762" s="3" t="s">
        <v>21</v>
      </c>
      <c r="H3762" s="3" t="s">
        <v>22</v>
      </c>
      <c r="I3762" s="3" t="n">
        <f aca="false">YEAR(E3762)</f>
        <v>2025</v>
      </c>
      <c r="J3762" s="3" t="n">
        <f aca="false">MONTH(E3762)</f>
        <v>7</v>
      </c>
      <c r="K3762" s="3" t="n">
        <f aca="false">COUNTIFS($B$2:$B$4077,B3762,$C$2:$C$4077,C3762,$I$2:$I$4077,I3762)</f>
        <v>1</v>
      </c>
      <c r="L3762" s="3" t="n">
        <f aca="false">IF(COUNTIFS($B$2:B3762,B3762,$C$2:C3762,C3762,$I$2:I3762,I3762)=1,1,0)</f>
        <v>1</v>
      </c>
      <c r="M3762" s="3" t="n">
        <f aca="false">IF(K3762&gt;=Parametri!$B$1,1,0)</f>
        <v>0</v>
      </c>
      <c r="N3762" s="3" t="n">
        <f aca="false">L3762*M3762</f>
        <v>0</v>
      </c>
    </row>
    <row r="3763" customFormat="false" ht="15" hidden="false" customHeight="false" outlineLevel="0" collapsed="false">
      <c r="A3763" s="0" t="s">
        <v>5517</v>
      </c>
      <c r="B3763" s="0" t="s">
        <v>57</v>
      </c>
      <c r="C3763" s="0" t="s">
        <v>3056</v>
      </c>
      <c r="D3763" s="0" t="s">
        <v>77</v>
      </c>
      <c r="E3763" s="2" t="n">
        <v>45906</v>
      </c>
      <c r="F3763" s="3" t="s">
        <v>27</v>
      </c>
      <c r="G3763" s="3" t="s">
        <v>35</v>
      </c>
      <c r="H3763" s="3" t="s">
        <v>29</v>
      </c>
      <c r="I3763" s="3" t="n">
        <f aca="false">YEAR(E3763)</f>
        <v>2025</v>
      </c>
      <c r="J3763" s="3" t="n">
        <f aca="false">MONTH(E3763)</f>
        <v>9</v>
      </c>
      <c r="K3763" s="3" t="n">
        <f aca="false">COUNTIFS($B$2:$B$4077,B3763,$C$2:$C$4077,C3763,$I$2:$I$4077,I3763)</f>
        <v>2</v>
      </c>
      <c r="L3763" s="3" t="n">
        <f aca="false">IF(COUNTIFS($B$2:B3763,B3763,$C$2:C3763,C3763,$I$2:I3763,I3763)=1,1,0)</f>
        <v>1</v>
      </c>
      <c r="M3763" s="3" t="n">
        <f aca="false">IF(K3763&gt;=Parametri!$B$1,1,0)</f>
        <v>1</v>
      </c>
      <c r="N3763" s="3" t="n">
        <f aca="false">L3763*M3763</f>
        <v>1</v>
      </c>
    </row>
    <row r="3764" customFormat="false" ht="15" hidden="false" customHeight="false" outlineLevel="0" collapsed="false">
      <c r="A3764" s="0" t="s">
        <v>5518</v>
      </c>
      <c r="B3764" s="0" t="s">
        <v>79</v>
      </c>
      <c r="C3764" s="0" t="s">
        <v>5080</v>
      </c>
      <c r="D3764" s="0" t="s">
        <v>33</v>
      </c>
      <c r="E3764" s="2" t="n">
        <v>45469</v>
      </c>
      <c r="F3764" s="3" t="s">
        <v>20</v>
      </c>
      <c r="G3764" s="3" t="s">
        <v>43</v>
      </c>
      <c r="H3764" s="3" t="s">
        <v>29</v>
      </c>
      <c r="I3764" s="3" t="n">
        <f aca="false">YEAR(E3764)</f>
        <v>2024</v>
      </c>
      <c r="J3764" s="3" t="n">
        <f aca="false">MONTH(E3764)</f>
        <v>6</v>
      </c>
      <c r="K3764" s="3" t="n">
        <f aca="false">COUNTIFS($B$2:$B$4077,B3764,$C$2:$C$4077,C3764,$I$2:$I$4077,I3764)</f>
        <v>1</v>
      </c>
      <c r="L3764" s="3" t="n">
        <f aca="false">IF(COUNTIFS($B$2:B3764,B3764,$C$2:C3764,C3764,$I$2:I3764,I3764)=1,1,0)</f>
        <v>1</v>
      </c>
      <c r="M3764" s="3" t="n">
        <f aca="false">IF(K3764&gt;=Parametri!$B$1,1,0)</f>
        <v>0</v>
      </c>
      <c r="N3764" s="3" t="n">
        <f aca="false">L3764*M3764</f>
        <v>0</v>
      </c>
    </row>
    <row r="3765" customFormat="false" ht="15" hidden="false" customHeight="false" outlineLevel="0" collapsed="false">
      <c r="A3765" s="0" t="s">
        <v>5519</v>
      </c>
      <c r="B3765" s="0" t="s">
        <v>124</v>
      </c>
      <c r="C3765" s="0" t="s">
        <v>2329</v>
      </c>
      <c r="D3765" s="0" t="s">
        <v>54</v>
      </c>
      <c r="E3765" s="2" t="n">
        <v>45704</v>
      </c>
      <c r="F3765" s="3" t="s">
        <v>20</v>
      </c>
      <c r="G3765" s="3" t="s">
        <v>55</v>
      </c>
      <c r="H3765" s="3" t="s">
        <v>29</v>
      </c>
      <c r="I3765" s="3" t="n">
        <f aca="false">YEAR(E3765)</f>
        <v>2025</v>
      </c>
      <c r="J3765" s="3" t="n">
        <f aca="false">MONTH(E3765)</f>
        <v>2</v>
      </c>
      <c r="K3765" s="3" t="n">
        <f aca="false">COUNTIFS($B$2:$B$4077,B3765,$C$2:$C$4077,C3765,$I$2:$I$4077,I3765)</f>
        <v>2</v>
      </c>
      <c r="L3765" s="3" t="n">
        <f aca="false">IF(COUNTIFS($B$2:B3765,B3765,$C$2:C3765,C3765,$I$2:I3765,I3765)=1,1,0)</f>
        <v>0</v>
      </c>
      <c r="M3765" s="3" t="n">
        <f aca="false">IF(K3765&gt;=Parametri!$B$1,1,0)</f>
        <v>1</v>
      </c>
      <c r="N3765" s="3" t="n">
        <f aca="false">L3765*M3765</f>
        <v>0</v>
      </c>
    </row>
    <row r="3766" customFormat="false" ht="15" hidden="false" customHeight="false" outlineLevel="0" collapsed="false">
      <c r="A3766" s="0" t="s">
        <v>5520</v>
      </c>
      <c r="B3766" s="0" t="s">
        <v>68</v>
      </c>
      <c r="C3766" s="0" t="s">
        <v>5521</v>
      </c>
      <c r="D3766" s="0" t="s">
        <v>26</v>
      </c>
      <c r="E3766" s="2" t="n">
        <v>45707</v>
      </c>
      <c r="F3766" s="3" t="s">
        <v>20</v>
      </c>
      <c r="G3766" s="3" t="s">
        <v>55</v>
      </c>
      <c r="H3766" s="3" t="s">
        <v>48</v>
      </c>
      <c r="I3766" s="3" t="n">
        <f aca="false">YEAR(E3766)</f>
        <v>2025</v>
      </c>
      <c r="J3766" s="3" t="n">
        <f aca="false">MONTH(E3766)</f>
        <v>2</v>
      </c>
      <c r="K3766" s="3" t="n">
        <f aca="false">COUNTIFS($B$2:$B$4077,B3766,$C$2:$C$4077,C3766,$I$2:$I$4077,I3766)</f>
        <v>1</v>
      </c>
      <c r="L3766" s="3" t="n">
        <f aca="false">IF(COUNTIFS($B$2:B3766,B3766,$C$2:C3766,C3766,$I$2:I3766,I3766)=1,1,0)</f>
        <v>1</v>
      </c>
      <c r="M3766" s="3" t="n">
        <f aca="false">IF(K3766&gt;=Parametri!$B$1,1,0)</f>
        <v>0</v>
      </c>
      <c r="N3766" s="3" t="n">
        <f aca="false">L3766*M3766</f>
        <v>0</v>
      </c>
    </row>
    <row r="3767" customFormat="false" ht="15" hidden="false" customHeight="false" outlineLevel="0" collapsed="false">
      <c r="A3767" s="0" t="s">
        <v>5522</v>
      </c>
      <c r="B3767" s="0" t="s">
        <v>17</v>
      </c>
      <c r="C3767" s="0" t="s">
        <v>2574</v>
      </c>
      <c r="D3767" s="0" t="s">
        <v>38</v>
      </c>
      <c r="E3767" s="2" t="n">
        <v>45480</v>
      </c>
      <c r="F3767" s="3" t="s">
        <v>20</v>
      </c>
      <c r="G3767" s="3" t="s">
        <v>89</v>
      </c>
      <c r="H3767" s="3" t="s">
        <v>22</v>
      </c>
      <c r="I3767" s="3" t="n">
        <f aca="false">YEAR(E3767)</f>
        <v>2024</v>
      </c>
      <c r="J3767" s="3" t="n">
        <f aca="false">MONTH(E3767)</f>
        <v>7</v>
      </c>
      <c r="K3767" s="3" t="n">
        <f aca="false">COUNTIFS($B$2:$B$4077,B3767,$C$2:$C$4077,C3767,$I$2:$I$4077,I3767)</f>
        <v>2</v>
      </c>
      <c r="L3767" s="3" t="n">
        <f aca="false">IF(COUNTIFS($B$2:B3767,B3767,$C$2:C3767,C3767,$I$2:I3767,I3767)=1,1,0)</f>
        <v>0</v>
      </c>
      <c r="M3767" s="3" t="n">
        <f aca="false">IF(K3767&gt;=Parametri!$B$1,1,0)</f>
        <v>1</v>
      </c>
      <c r="N3767" s="3" t="n">
        <f aca="false">L3767*M3767</f>
        <v>0</v>
      </c>
    </row>
    <row r="3768" customFormat="false" ht="15" hidden="false" customHeight="false" outlineLevel="0" collapsed="false">
      <c r="A3768" s="0" t="s">
        <v>5523</v>
      </c>
      <c r="B3768" s="0" t="s">
        <v>24</v>
      </c>
      <c r="C3768" s="0" t="s">
        <v>1148</v>
      </c>
      <c r="D3768" s="0" t="s">
        <v>54</v>
      </c>
      <c r="E3768" s="2" t="n">
        <v>46261</v>
      </c>
      <c r="F3768" s="3" t="s">
        <v>20</v>
      </c>
      <c r="G3768" s="3" t="s">
        <v>43</v>
      </c>
      <c r="H3768" s="3" t="s">
        <v>48</v>
      </c>
      <c r="I3768" s="3" t="n">
        <f aca="false">YEAR(E3768)</f>
        <v>2026</v>
      </c>
      <c r="J3768" s="3" t="n">
        <f aca="false">MONTH(E3768)</f>
        <v>8</v>
      </c>
      <c r="K3768" s="3" t="n">
        <f aca="false">COUNTIFS($B$2:$B$4077,B3768,$C$2:$C$4077,C3768,$I$2:$I$4077,I3768)</f>
        <v>4</v>
      </c>
      <c r="L3768" s="3" t="n">
        <f aca="false">IF(COUNTIFS($B$2:B3768,B3768,$C$2:C3768,C3768,$I$2:I3768,I3768)=1,1,0)</f>
        <v>0</v>
      </c>
      <c r="M3768" s="3" t="n">
        <f aca="false">IF(K3768&gt;=Parametri!$B$1,1,0)</f>
        <v>1</v>
      </c>
      <c r="N3768" s="3" t="n">
        <f aca="false">L3768*M3768</f>
        <v>0</v>
      </c>
    </row>
    <row r="3769" customFormat="false" ht="15" hidden="false" customHeight="false" outlineLevel="0" collapsed="false">
      <c r="A3769" s="0" t="s">
        <v>5524</v>
      </c>
      <c r="B3769" s="0" t="s">
        <v>46</v>
      </c>
      <c r="C3769" s="0" t="s">
        <v>1025</v>
      </c>
      <c r="D3769" s="0" t="s">
        <v>33</v>
      </c>
      <c r="E3769" s="2" t="n">
        <v>45743</v>
      </c>
      <c r="F3769" s="3" t="s">
        <v>20</v>
      </c>
      <c r="G3769" s="3" t="s">
        <v>39</v>
      </c>
      <c r="H3769" s="3" t="s">
        <v>29</v>
      </c>
      <c r="I3769" s="3" t="n">
        <f aca="false">YEAR(E3769)</f>
        <v>2025</v>
      </c>
      <c r="J3769" s="3" t="n">
        <f aca="false">MONTH(E3769)</f>
        <v>3</v>
      </c>
      <c r="K3769" s="3" t="n">
        <f aca="false">COUNTIFS($B$2:$B$4077,B3769,$C$2:$C$4077,C3769,$I$2:$I$4077,I3769)</f>
        <v>2</v>
      </c>
      <c r="L3769" s="3" t="n">
        <f aca="false">IF(COUNTIFS($B$2:B3769,B3769,$C$2:C3769,C3769,$I$2:I3769,I3769)=1,1,0)</f>
        <v>0</v>
      </c>
      <c r="M3769" s="3" t="n">
        <f aca="false">IF(K3769&gt;=Parametri!$B$1,1,0)</f>
        <v>1</v>
      </c>
      <c r="N3769" s="3" t="n">
        <f aca="false">L3769*M3769</f>
        <v>0</v>
      </c>
    </row>
    <row r="3770" customFormat="false" ht="15" hidden="false" customHeight="false" outlineLevel="0" collapsed="false">
      <c r="A3770" s="0" t="s">
        <v>5525</v>
      </c>
      <c r="B3770" s="0" t="s">
        <v>68</v>
      </c>
      <c r="C3770" s="0" t="s">
        <v>5526</v>
      </c>
      <c r="D3770" s="0" t="s">
        <v>66</v>
      </c>
      <c r="E3770" s="2" t="n">
        <v>46041</v>
      </c>
      <c r="F3770" s="3" t="s">
        <v>20</v>
      </c>
      <c r="G3770" s="3" t="s">
        <v>39</v>
      </c>
      <c r="H3770" s="3" t="s">
        <v>44</v>
      </c>
      <c r="I3770" s="3" t="n">
        <f aca="false">YEAR(E3770)</f>
        <v>2026</v>
      </c>
      <c r="J3770" s="3" t="n">
        <f aca="false">MONTH(E3770)</f>
        <v>1</v>
      </c>
      <c r="K3770" s="3" t="n">
        <f aca="false">COUNTIFS($B$2:$B$4077,B3770,$C$2:$C$4077,C3770,$I$2:$I$4077,I3770)</f>
        <v>1</v>
      </c>
      <c r="L3770" s="3" t="n">
        <f aca="false">IF(COUNTIFS($B$2:B3770,B3770,$C$2:C3770,C3770,$I$2:I3770,I3770)=1,1,0)</f>
        <v>1</v>
      </c>
      <c r="M3770" s="3" t="n">
        <f aca="false">IF(K3770&gt;=Parametri!$B$1,1,0)</f>
        <v>0</v>
      </c>
      <c r="N3770" s="3" t="n">
        <f aca="false">L3770*M3770</f>
        <v>0</v>
      </c>
    </row>
    <row r="3771" customFormat="false" ht="15" hidden="false" customHeight="false" outlineLevel="0" collapsed="false">
      <c r="A3771" s="0" t="s">
        <v>5527</v>
      </c>
      <c r="B3771" s="0" t="s">
        <v>46</v>
      </c>
      <c r="C3771" s="0" t="s">
        <v>4226</v>
      </c>
      <c r="D3771" s="0" t="s">
        <v>54</v>
      </c>
      <c r="E3771" s="2" t="n">
        <v>45650</v>
      </c>
      <c r="F3771" s="3" t="s">
        <v>20</v>
      </c>
      <c r="G3771" s="3" t="s">
        <v>39</v>
      </c>
      <c r="H3771" s="3" t="s">
        <v>29</v>
      </c>
      <c r="I3771" s="3" t="n">
        <f aca="false">YEAR(E3771)</f>
        <v>2024</v>
      </c>
      <c r="J3771" s="3" t="n">
        <f aca="false">MONTH(E3771)</f>
        <v>12</v>
      </c>
      <c r="K3771" s="3" t="n">
        <f aca="false">COUNTIFS($B$2:$B$4077,B3771,$C$2:$C$4077,C3771,$I$2:$I$4077,I3771)</f>
        <v>1</v>
      </c>
      <c r="L3771" s="3" t="n">
        <f aca="false">IF(COUNTIFS($B$2:B3771,B3771,$C$2:C3771,C3771,$I$2:I3771,I3771)=1,1,0)</f>
        <v>1</v>
      </c>
      <c r="M3771" s="3" t="n">
        <f aca="false">IF(K3771&gt;=Parametri!$B$1,1,0)</f>
        <v>0</v>
      </c>
      <c r="N3771" s="3" t="n">
        <f aca="false">L3771*M3771</f>
        <v>0</v>
      </c>
    </row>
    <row r="3772" customFormat="false" ht="15" hidden="false" customHeight="false" outlineLevel="0" collapsed="false">
      <c r="A3772" s="0" t="s">
        <v>5528</v>
      </c>
      <c r="B3772" s="0" t="s">
        <v>24</v>
      </c>
      <c r="C3772" s="0" t="s">
        <v>5529</v>
      </c>
      <c r="D3772" s="0" t="s">
        <v>38</v>
      </c>
      <c r="E3772" s="2" t="n">
        <v>45755</v>
      </c>
      <c r="F3772" s="3" t="s">
        <v>34</v>
      </c>
      <c r="G3772" s="3" t="s">
        <v>39</v>
      </c>
      <c r="H3772" s="3" t="s">
        <v>29</v>
      </c>
      <c r="I3772" s="3" t="n">
        <f aca="false">YEAR(E3772)</f>
        <v>2025</v>
      </c>
      <c r="J3772" s="3" t="n">
        <f aca="false">MONTH(E3772)</f>
        <v>4</v>
      </c>
      <c r="K3772" s="3" t="n">
        <f aca="false">COUNTIFS($B$2:$B$4077,B3772,$C$2:$C$4077,C3772,$I$2:$I$4077,I3772)</f>
        <v>1</v>
      </c>
      <c r="L3772" s="3" t="n">
        <f aca="false">IF(COUNTIFS($B$2:B3772,B3772,$C$2:C3772,C3772,$I$2:I3772,I3772)=1,1,0)</f>
        <v>1</v>
      </c>
      <c r="M3772" s="3" t="n">
        <f aca="false">IF(K3772&gt;=Parametri!$B$1,1,0)</f>
        <v>0</v>
      </c>
      <c r="N3772" s="3" t="n">
        <f aca="false">L3772*M3772</f>
        <v>0</v>
      </c>
    </row>
    <row r="3773" customFormat="false" ht="15" hidden="false" customHeight="false" outlineLevel="0" collapsed="false">
      <c r="A3773" s="0" t="s">
        <v>5530</v>
      </c>
      <c r="B3773" s="0" t="s">
        <v>24</v>
      </c>
      <c r="C3773" s="0" t="s">
        <v>5531</v>
      </c>
      <c r="D3773" s="0" t="s">
        <v>54</v>
      </c>
      <c r="E3773" s="2" t="n">
        <v>45358</v>
      </c>
      <c r="F3773" s="3" t="s">
        <v>20</v>
      </c>
      <c r="G3773" s="3" t="s">
        <v>43</v>
      </c>
      <c r="H3773" s="3" t="s">
        <v>29</v>
      </c>
      <c r="I3773" s="3" t="n">
        <f aca="false">YEAR(E3773)</f>
        <v>2024</v>
      </c>
      <c r="J3773" s="3" t="n">
        <f aca="false">MONTH(E3773)</f>
        <v>3</v>
      </c>
      <c r="K3773" s="3" t="n">
        <f aca="false">COUNTIFS($B$2:$B$4077,B3773,$C$2:$C$4077,C3773,$I$2:$I$4077,I3773)</f>
        <v>1</v>
      </c>
      <c r="L3773" s="3" t="n">
        <f aca="false">IF(COUNTIFS($B$2:B3773,B3773,$C$2:C3773,C3773,$I$2:I3773,I3773)=1,1,0)</f>
        <v>1</v>
      </c>
      <c r="M3773" s="3" t="n">
        <f aca="false">IF(K3773&gt;=Parametri!$B$1,1,0)</f>
        <v>0</v>
      </c>
      <c r="N3773" s="3" t="n">
        <f aca="false">L3773*M3773</f>
        <v>0</v>
      </c>
    </row>
    <row r="3774" customFormat="false" ht="15" hidden="false" customHeight="false" outlineLevel="0" collapsed="false">
      <c r="A3774" s="0" t="s">
        <v>5532</v>
      </c>
      <c r="B3774" s="0" t="s">
        <v>50</v>
      </c>
      <c r="C3774" s="0" t="s">
        <v>3295</v>
      </c>
      <c r="D3774" s="0" t="s">
        <v>33</v>
      </c>
      <c r="E3774" s="2" t="n">
        <v>45410</v>
      </c>
      <c r="F3774" s="3" t="s">
        <v>20</v>
      </c>
      <c r="G3774" s="3" t="s">
        <v>21</v>
      </c>
      <c r="H3774" s="3" t="s">
        <v>29</v>
      </c>
      <c r="I3774" s="3" t="n">
        <f aca="false">YEAR(E3774)</f>
        <v>2024</v>
      </c>
      <c r="J3774" s="3" t="n">
        <f aca="false">MONTH(E3774)</f>
        <v>4</v>
      </c>
      <c r="K3774" s="3" t="n">
        <f aca="false">COUNTIFS($B$2:$B$4077,B3774,$C$2:$C$4077,C3774,$I$2:$I$4077,I3774)</f>
        <v>1</v>
      </c>
      <c r="L3774" s="3" t="n">
        <f aca="false">IF(COUNTIFS($B$2:B3774,B3774,$C$2:C3774,C3774,$I$2:I3774,I3774)=1,1,0)</f>
        <v>1</v>
      </c>
      <c r="M3774" s="3" t="n">
        <f aca="false">IF(K3774&gt;=Parametri!$B$1,1,0)</f>
        <v>0</v>
      </c>
      <c r="N3774" s="3" t="n">
        <f aca="false">L3774*M3774</f>
        <v>0</v>
      </c>
    </row>
    <row r="3775" customFormat="false" ht="15" hidden="false" customHeight="false" outlineLevel="0" collapsed="false">
      <c r="A3775" s="0" t="s">
        <v>5533</v>
      </c>
      <c r="B3775" s="0" t="s">
        <v>41</v>
      </c>
      <c r="C3775" s="0" t="s">
        <v>5534</v>
      </c>
      <c r="D3775" s="0" t="s">
        <v>63</v>
      </c>
      <c r="E3775" s="2" t="n">
        <v>45636</v>
      </c>
      <c r="F3775" s="3" t="s">
        <v>34</v>
      </c>
      <c r="G3775" s="3" t="s">
        <v>72</v>
      </c>
      <c r="H3775" s="3" t="s">
        <v>44</v>
      </c>
      <c r="I3775" s="3" t="n">
        <f aca="false">YEAR(E3775)</f>
        <v>2024</v>
      </c>
      <c r="J3775" s="3" t="n">
        <f aca="false">MONTH(E3775)</f>
        <v>12</v>
      </c>
      <c r="K3775" s="3" t="n">
        <f aca="false">COUNTIFS($B$2:$B$4077,B3775,$C$2:$C$4077,C3775,$I$2:$I$4077,I3775)</f>
        <v>1</v>
      </c>
      <c r="L3775" s="3" t="n">
        <f aca="false">IF(COUNTIFS($B$2:B3775,B3775,$C$2:C3775,C3775,$I$2:I3775,I3775)=1,1,0)</f>
        <v>1</v>
      </c>
      <c r="M3775" s="3" t="n">
        <f aca="false">IF(K3775&gt;=Parametri!$B$1,1,0)</f>
        <v>0</v>
      </c>
      <c r="N3775" s="3" t="n">
        <f aca="false">L3775*M3775</f>
        <v>0</v>
      </c>
    </row>
    <row r="3776" customFormat="false" ht="15" hidden="false" customHeight="false" outlineLevel="0" collapsed="false">
      <c r="A3776" s="0" t="s">
        <v>5535</v>
      </c>
      <c r="B3776" s="0" t="s">
        <v>46</v>
      </c>
      <c r="C3776" s="0" t="s">
        <v>596</v>
      </c>
      <c r="D3776" s="0" t="s">
        <v>33</v>
      </c>
      <c r="E3776" s="2" t="n">
        <v>45926</v>
      </c>
      <c r="F3776" s="3" t="s">
        <v>34</v>
      </c>
      <c r="G3776" s="3" t="s">
        <v>39</v>
      </c>
      <c r="H3776" s="3" t="s">
        <v>44</v>
      </c>
      <c r="I3776" s="3" t="n">
        <f aca="false">YEAR(E3776)</f>
        <v>2025</v>
      </c>
      <c r="J3776" s="3" t="n">
        <f aca="false">MONTH(E3776)</f>
        <v>9</v>
      </c>
      <c r="K3776" s="3" t="n">
        <f aca="false">COUNTIFS($B$2:$B$4077,B3776,$C$2:$C$4077,C3776,$I$2:$I$4077,I3776)</f>
        <v>2</v>
      </c>
      <c r="L3776" s="3" t="n">
        <f aca="false">IF(COUNTIFS($B$2:B3776,B3776,$C$2:C3776,C3776,$I$2:I3776,I3776)=1,1,0)</f>
        <v>0</v>
      </c>
      <c r="M3776" s="3" t="n">
        <f aca="false">IF(K3776&gt;=Parametri!$B$1,1,0)</f>
        <v>1</v>
      </c>
      <c r="N3776" s="3" t="n">
        <f aca="false">L3776*M3776</f>
        <v>0</v>
      </c>
    </row>
    <row r="3777" customFormat="false" ht="15" hidden="false" customHeight="false" outlineLevel="0" collapsed="false">
      <c r="A3777" s="0" t="s">
        <v>5536</v>
      </c>
      <c r="B3777" s="0" t="s">
        <v>50</v>
      </c>
      <c r="C3777" s="0" t="s">
        <v>942</v>
      </c>
      <c r="D3777" s="0" t="s">
        <v>38</v>
      </c>
      <c r="E3777" s="2" t="n">
        <v>45599</v>
      </c>
      <c r="F3777" s="3" t="s">
        <v>27</v>
      </c>
      <c r="G3777" s="3" t="s">
        <v>35</v>
      </c>
      <c r="H3777" s="3" t="s">
        <v>29</v>
      </c>
      <c r="I3777" s="3" t="n">
        <f aca="false">YEAR(E3777)</f>
        <v>2024</v>
      </c>
      <c r="J3777" s="3" t="n">
        <f aca="false">MONTH(E3777)</f>
        <v>11</v>
      </c>
      <c r="K3777" s="3" t="n">
        <f aca="false">COUNTIFS($B$2:$B$4077,B3777,$C$2:$C$4077,C3777,$I$2:$I$4077,I3777)</f>
        <v>2</v>
      </c>
      <c r="L3777" s="3" t="n">
        <f aca="false">IF(COUNTIFS($B$2:B3777,B3777,$C$2:C3777,C3777,$I$2:I3777,I3777)=1,1,0)</f>
        <v>0</v>
      </c>
      <c r="M3777" s="3" t="n">
        <f aca="false">IF(K3777&gt;=Parametri!$B$1,1,0)</f>
        <v>1</v>
      </c>
      <c r="N3777" s="3" t="n">
        <f aca="false">L3777*M3777</f>
        <v>0</v>
      </c>
    </row>
    <row r="3778" customFormat="false" ht="15" hidden="false" customHeight="false" outlineLevel="0" collapsed="false">
      <c r="A3778" s="0" t="s">
        <v>5537</v>
      </c>
      <c r="B3778" s="0" t="s">
        <v>79</v>
      </c>
      <c r="C3778" s="0" t="s">
        <v>2417</v>
      </c>
      <c r="D3778" s="0" t="s">
        <v>66</v>
      </c>
      <c r="E3778" s="2" t="n">
        <v>45976</v>
      </c>
      <c r="F3778" s="3" t="s">
        <v>20</v>
      </c>
      <c r="G3778" s="3" t="s">
        <v>28</v>
      </c>
      <c r="H3778" s="3" t="s">
        <v>44</v>
      </c>
      <c r="I3778" s="3" t="n">
        <f aca="false">YEAR(E3778)</f>
        <v>2025</v>
      </c>
      <c r="J3778" s="3" t="n">
        <f aca="false">MONTH(E3778)</f>
        <v>11</v>
      </c>
      <c r="K3778" s="3" t="n">
        <f aca="false">COUNTIFS($B$2:$B$4077,B3778,$C$2:$C$4077,C3778,$I$2:$I$4077,I3778)</f>
        <v>2</v>
      </c>
      <c r="L3778" s="3" t="n">
        <f aca="false">IF(COUNTIFS($B$2:B3778,B3778,$C$2:C3778,C3778,$I$2:I3778,I3778)=1,1,0)</f>
        <v>0</v>
      </c>
      <c r="M3778" s="3" t="n">
        <f aca="false">IF(K3778&gt;=Parametri!$B$1,1,0)</f>
        <v>1</v>
      </c>
      <c r="N3778" s="3" t="n">
        <f aca="false">L3778*M3778</f>
        <v>0</v>
      </c>
    </row>
    <row r="3779" customFormat="false" ht="15" hidden="false" customHeight="false" outlineLevel="0" collapsed="false">
      <c r="A3779" s="0" t="s">
        <v>5538</v>
      </c>
      <c r="B3779" s="0" t="s">
        <v>68</v>
      </c>
      <c r="C3779" s="0" t="s">
        <v>5539</v>
      </c>
      <c r="D3779" s="0" t="s">
        <v>63</v>
      </c>
      <c r="E3779" s="2" t="n">
        <v>45299</v>
      </c>
      <c r="F3779" s="3" t="s">
        <v>20</v>
      </c>
      <c r="G3779" s="3" t="s">
        <v>43</v>
      </c>
      <c r="H3779" s="3" t="s">
        <v>22</v>
      </c>
      <c r="I3779" s="3" t="n">
        <f aca="false">YEAR(E3779)</f>
        <v>2024</v>
      </c>
      <c r="J3779" s="3" t="n">
        <f aca="false">MONTH(E3779)</f>
        <v>1</v>
      </c>
      <c r="K3779" s="3" t="n">
        <f aca="false">COUNTIFS($B$2:$B$4077,B3779,$C$2:$C$4077,C3779,$I$2:$I$4077,I3779)</f>
        <v>1</v>
      </c>
      <c r="L3779" s="3" t="n">
        <f aca="false">IF(COUNTIFS($B$2:B3779,B3779,$C$2:C3779,C3779,$I$2:I3779,I3779)=1,1,0)</f>
        <v>1</v>
      </c>
      <c r="M3779" s="3" t="n">
        <f aca="false">IF(K3779&gt;=Parametri!$B$1,1,0)</f>
        <v>0</v>
      </c>
      <c r="N3779" s="3" t="n">
        <f aca="false">L3779*M3779</f>
        <v>0</v>
      </c>
    </row>
    <row r="3780" customFormat="false" ht="15" hidden="false" customHeight="false" outlineLevel="0" collapsed="false">
      <c r="A3780" s="0" t="s">
        <v>5540</v>
      </c>
      <c r="B3780" s="0" t="s">
        <v>68</v>
      </c>
      <c r="C3780" s="0" t="s">
        <v>5541</v>
      </c>
      <c r="D3780" s="0" t="s">
        <v>38</v>
      </c>
      <c r="E3780" s="2" t="n">
        <v>46182</v>
      </c>
      <c r="F3780" s="3" t="s">
        <v>20</v>
      </c>
      <c r="G3780" s="3" t="s">
        <v>43</v>
      </c>
      <c r="H3780" s="3" t="s">
        <v>22</v>
      </c>
      <c r="I3780" s="3" t="n">
        <f aca="false">YEAR(E3780)</f>
        <v>2026</v>
      </c>
      <c r="J3780" s="3" t="n">
        <f aca="false">MONTH(E3780)</f>
        <v>6</v>
      </c>
      <c r="K3780" s="3" t="n">
        <f aca="false">COUNTIFS($B$2:$B$4077,B3780,$C$2:$C$4077,C3780,$I$2:$I$4077,I3780)</f>
        <v>1</v>
      </c>
      <c r="L3780" s="3" t="n">
        <f aca="false">IF(COUNTIFS($B$2:B3780,B3780,$C$2:C3780,C3780,$I$2:I3780,I3780)=1,1,0)</f>
        <v>1</v>
      </c>
      <c r="M3780" s="3" t="n">
        <f aca="false">IF(K3780&gt;=Parametri!$B$1,1,0)</f>
        <v>0</v>
      </c>
      <c r="N3780" s="3" t="n">
        <f aca="false">L3780*M3780</f>
        <v>0</v>
      </c>
    </row>
    <row r="3781" customFormat="false" ht="15" hidden="false" customHeight="false" outlineLevel="0" collapsed="false">
      <c r="A3781" s="0" t="s">
        <v>5542</v>
      </c>
      <c r="B3781" s="0" t="s">
        <v>57</v>
      </c>
      <c r="C3781" s="0" t="s">
        <v>3056</v>
      </c>
      <c r="D3781" s="0" t="s">
        <v>54</v>
      </c>
      <c r="E3781" s="2" t="n">
        <v>45830</v>
      </c>
      <c r="F3781" s="3" t="s">
        <v>20</v>
      </c>
      <c r="G3781" s="3" t="s">
        <v>72</v>
      </c>
      <c r="H3781" s="3" t="s">
        <v>22</v>
      </c>
      <c r="I3781" s="3" t="n">
        <f aca="false">YEAR(E3781)</f>
        <v>2025</v>
      </c>
      <c r="J3781" s="3" t="n">
        <f aca="false">MONTH(E3781)</f>
        <v>6</v>
      </c>
      <c r="K3781" s="3" t="n">
        <f aca="false">COUNTIFS($B$2:$B$4077,B3781,$C$2:$C$4077,C3781,$I$2:$I$4077,I3781)</f>
        <v>2</v>
      </c>
      <c r="L3781" s="3" t="n">
        <f aca="false">IF(COUNTIFS($B$2:B3781,B3781,$C$2:C3781,C3781,$I$2:I3781,I3781)=1,1,0)</f>
        <v>0</v>
      </c>
      <c r="M3781" s="3" t="n">
        <f aca="false">IF(K3781&gt;=Parametri!$B$1,1,0)</f>
        <v>1</v>
      </c>
      <c r="N3781" s="3" t="n">
        <f aca="false">L3781*M3781</f>
        <v>0</v>
      </c>
    </row>
    <row r="3782" customFormat="false" ht="15" hidden="false" customHeight="false" outlineLevel="0" collapsed="false">
      <c r="A3782" s="0" t="s">
        <v>5543</v>
      </c>
      <c r="B3782" s="0" t="s">
        <v>17</v>
      </c>
      <c r="C3782" s="0" t="s">
        <v>1914</v>
      </c>
      <c r="D3782" s="0" t="s">
        <v>26</v>
      </c>
      <c r="E3782" s="2" t="n">
        <v>46123</v>
      </c>
      <c r="F3782" s="3" t="s">
        <v>20</v>
      </c>
      <c r="G3782" s="3" t="s">
        <v>28</v>
      </c>
      <c r="H3782" s="3" t="s">
        <v>29</v>
      </c>
      <c r="I3782" s="3" t="n">
        <f aca="false">YEAR(E3782)</f>
        <v>2026</v>
      </c>
      <c r="J3782" s="3" t="n">
        <f aca="false">MONTH(E3782)</f>
        <v>4</v>
      </c>
      <c r="K3782" s="3" t="n">
        <f aca="false">COUNTIFS($B$2:$B$4077,B3782,$C$2:$C$4077,C3782,$I$2:$I$4077,I3782)</f>
        <v>1</v>
      </c>
      <c r="L3782" s="3" t="n">
        <f aca="false">IF(COUNTIFS($B$2:B3782,B3782,$C$2:C3782,C3782,$I$2:I3782,I3782)=1,1,0)</f>
        <v>1</v>
      </c>
      <c r="M3782" s="3" t="n">
        <f aca="false">IF(K3782&gt;=Parametri!$B$1,1,0)</f>
        <v>0</v>
      </c>
      <c r="N3782" s="3" t="n">
        <f aca="false">L3782*M3782</f>
        <v>0</v>
      </c>
    </row>
    <row r="3783" customFormat="false" ht="15" hidden="false" customHeight="false" outlineLevel="0" collapsed="false">
      <c r="A3783" s="0" t="s">
        <v>5544</v>
      </c>
      <c r="B3783" s="0" t="s">
        <v>79</v>
      </c>
      <c r="C3783" s="0" t="s">
        <v>2923</v>
      </c>
      <c r="D3783" s="0" t="s">
        <v>54</v>
      </c>
      <c r="E3783" s="2" t="n">
        <v>45882</v>
      </c>
      <c r="F3783" s="3" t="s">
        <v>20</v>
      </c>
      <c r="G3783" s="3" t="s">
        <v>21</v>
      </c>
      <c r="H3783" s="3" t="s">
        <v>29</v>
      </c>
      <c r="I3783" s="3" t="n">
        <f aca="false">YEAR(E3783)</f>
        <v>2025</v>
      </c>
      <c r="J3783" s="3" t="n">
        <f aca="false">MONTH(E3783)</f>
        <v>8</v>
      </c>
      <c r="K3783" s="3" t="n">
        <f aca="false">COUNTIFS($B$2:$B$4077,B3783,$C$2:$C$4077,C3783,$I$2:$I$4077,I3783)</f>
        <v>2</v>
      </c>
      <c r="L3783" s="3" t="n">
        <f aca="false">IF(COUNTIFS($B$2:B3783,B3783,$C$2:C3783,C3783,$I$2:I3783,I3783)=1,1,0)</f>
        <v>0</v>
      </c>
      <c r="M3783" s="3" t="n">
        <f aca="false">IF(K3783&gt;=Parametri!$B$1,1,0)</f>
        <v>1</v>
      </c>
      <c r="N3783" s="3" t="n">
        <f aca="false">L3783*M3783</f>
        <v>0</v>
      </c>
    </row>
    <row r="3784" customFormat="false" ht="15" hidden="false" customHeight="false" outlineLevel="0" collapsed="false">
      <c r="A3784" s="0" t="s">
        <v>5545</v>
      </c>
      <c r="B3784" s="0" t="s">
        <v>79</v>
      </c>
      <c r="C3784" s="0" t="s">
        <v>838</v>
      </c>
      <c r="D3784" s="0" t="s">
        <v>54</v>
      </c>
      <c r="E3784" s="2" t="n">
        <v>45588</v>
      </c>
      <c r="F3784" s="3" t="s">
        <v>34</v>
      </c>
      <c r="G3784" s="3" t="s">
        <v>28</v>
      </c>
      <c r="H3784" s="3" t="s">
        <v>44</v>
      </c>
      <c r="I3784" s="3" t="n">
        <f aca="false">YEAR(E3784)</f>
        <v>2024</v>
      </c>
      <c r="J3784" s="3" t="n">
        <f aca="false">MONTH(E3784)</f>
        <v>10</v>
      </c>
      <c r="K3784" s="3" t="n">
        <f aca="false">COUNTIFS($B$2:$B$4077,B3784,$C$2:$C$4077,C3784,$I$2:$I$4077,I3784)</f>
        <v>1</v>
      </c>
      <c r="L3784" s="3" t="n">
        <f aca="false">IF(COUNTIFS($B$2:B3784,B3784,$C$2:C3784,C3784,$I$2:I3784,I3784)=1,1,0)</f>
        <v>1</v>
      </c>
      <c r="M3784" s="3" t="n">
        <f aca="false">IF(K3784&gt;=Parametri!$B$1,1,0)</f>
        <v>0</v>
      </c>
      <c r="N3784" s="3" t="n">
        <f aca="false">L3784*M3784</f>
        <v>0</v>
      </c>
    </row>
    <row r="3785" customFormat="false" ht="15" hidden="false" customHeight="false" outlineLevel="0" collapsed="false">
      <c r="A3785" s="0" t="s">
        <v>5546</v>
      </c>
      <c r="B3785" s="0" t="s">
        <v>46</v>
      </c>
      <c r="C3785" s="0" t="s">
        <v>5547</v>
      </c>
      <c r="D3785" s="0" t="s">
        <v>77</v>
      </c>
      <c r="E3785" s="2" t="n">
        <v>45404</v>
      </c>
      <c r="F3785" s="3" t="s">
        <v>20</v>
      </c>
      <c r="G3785" s="3" t="s">
        <v>28</v>
      </c>
      <c r="H3785" s="3" t="s">
        <v>48</v>
      </c>
      <c r="I3785" s="3" t="n">
        <f aca="false">YEAR(E3785)</f>
        <v>2024</v>
      </c>
      <c r="J3785" s="3" t="n">
        <f aca="false">MONTH(E3785)</f>
        <v>4</v>
      </c>
      <c r="K3785" s="3" t="n">
        <f aca="false">COUNTIFS($B$2:$B$4077,B3785,$C$2:$C$4077,C3785,$I$2:$I$4077,I3785)</f>
        <v>1</v>
      </c>
      <c r="L3785" s="3" t="n">
        <f aca="false">IF(COUNTIFS($B$2:B3785,B3785,$C$2:C3785,C3785,$I$2:I3785,I3785)=1,1,0)</f>
        <v>1</v>
      </c>
      <c r="M3785" s="3" t="n">
        <f aca="false">IF(K3785&gt;=Parametri!$B$1,1,0)</f>
        <v>0</v>
      </c>
      <c r="N3785" s="3" t="n">
        <f aca="false">L3785*M3785</f>
        <v>0</v>
      </c>
    </row>
    <row r="3786" customFormat="false" ht="15" hidden="false" customHeight="false" outlineLevel="0" collapsed="false">
      <c r="A3786" s="0" t="s">
        <v>5548</v>
      </c>
      <c r="B3786" s="0" t="s">
        <v>79</v>
      </c>
      <c r="C3786" s="0" t="s">
        <v>149</v>
      </c>
      <c r="D3786" s="0" t="s">
        <v>38</v>
      </c>
      <c r="E3786" s="2" t="n">
        <v>45350</v>
      </c>
      <c r="F3786" s="3" t="s">
        <v>20</v>
      </c>
      <c r="G3786" s="3" t="s">
        <v>21</v>
      </c>
      <c r="H3786" s="3" t="s">
        <v>22</v>
      </c>
      <c r="I3786" s="3" t="n">
        <f aca="false">YEAR(E3786)</f>
        <v>2024</v>
      </c>
      <c r="J3786" s="3" t="n">
        <f aca="false">MONTH(E3786)</f>
        <v>2</v>
      </c>
      <c r="K3786" s="3" t="n">
        <f aca="false">COUNTIFS($B$2:$B$4077,B3786,$C$2:$C$4077,C3786,$I$2:$I$4077,I3786)</f>
        <v>2</v>
      </c>
      <c r="L3786" s="3" t="n">
        <f aca="false">IF(COUNTIFS($B$2:B3786,B3786,$C$2:C3786,C3786,$I$2:I3786,I3786)=1,1,0)</f>
        <v>0</v>
      </c>
      <c r="M3786" s="3" t="n">
        <f aca="false">IF(K3786&gt;=Parametri!$B$1,1,0)</f>
        <v>1</v>
      </c>
      <c r="N3786" s="3" t="n">
        <f aca="false">L3786*M3786</f>
        <v>0</v>
      </c>
    </row>
    <row r="3787" customFormat="false" ht="15" hidden="false" customHeight="false" outlineLevel="0" collapsed="false">
      <c r="A3787" s="0" t="s">
        <v>5549</v>
      </c>
      <c r="B3787" s="0" t="s">
        <v>68</v>
      </c>
      <c r="C3787" s="0" t="s">
        <v>5550</v>
      </c>
      <c r="D3787" s="0" t="s">
        <v>77</v>
      </c>
      <c r="E3787" s="2" t="n">
        <v>45634</v>
      </c>
      <c r="F3787" s="3" t="s">
        <v>20</v>
      </c>
      <c r="G3787" s="3" t="s">
        <v>55</v>
      </c>
      <c r="H3787" s="3" t="s">
        <v>48</v>
      </c>
      <c r="I3787" s="3" t="n">
        <f aca="false">YEAR(E3787)</f>
        <v>2024</v>
      </c>
      <c r="J3787" s="3" t="n">
        <f aca="false">MONTH(E3787)</f>
        <v>12</v>
      </c>
      <c r="K3787" s="3" t="n">
        <f aca="false">COUNTIFS($B$2:$B$4077,B3787,$C$2:$C$4077,C3787,$I$2:$I$4077,I3787)</f>
        <v>1</v>
      </c>
      <c r="L3787" s="3" t="n">
        <f aca="false">IF(COUNTIFS($B$2:B3787,B3787,$C$2:C3787,C3787,$I$2:I3787,I3787)=1,1,0)</f>
        <v>1</v>
      </c>
      <c r="M3787" s="3" t="n">
        <f aca="false">IF(K3787&gt;=Parametri!$B$1,1,0)</f>
        <v>0</v>
      </c>
      <c r="N3787" s="3" t="n">
        <f aca="false">L3787*M3787</f>
        <v>0</v>
      </c>
    </row>
    <row r="3788" customFormat="false" ht="15" hidden="false" customHeight="false" outlineLevel="0" collapsed="false">
      <c r="A3788" s="0" t="s">
        <v>5551</v>
      </c>
      <c r="B3788" s="0" t="s">
        <v>50</v>
      </c>
      <c r="C3788" s="0" t="s">
        <v>1591</v>
      </c>
      <c r="D3788" s="0" t="s">
        <v>19</v>
      </c>
      <c r="E3788" s="2" t="n">
        <v>45490</v>
      </c>
      <c r="F3788" s="3" t="s">
        <v>20</v>
      </c>
      <c r="G3788" s="3" t="s">
        <v>43</v>
      </c>
      <c r="H3788" s="3" t="s">
        <v>44</v>
      </c>
      <c r="I3788" s="3" t="n">
        <f aca="false">YEAR(E3788)</f>
        <v>2024</v>
      </c>
      <c r="J3788" s="3" t="n">
        <f aca="false">MONTH(E3788)</f>
        <v>7</v>
      </c>
      <c r="K3788" s="3" t="n">
        <f aca="false">COUNTIFS($B$2:$B$4077,B3788,$C$2:$C$4077,C3788,$I$2:$I$4077,I3788)</f>
        <v>2</v>
      </c>
      <c r="L3788" s="3" t="n">
        <f aca="false">IF(COUNTIFS($B$2:B3788,B3788,$C$2:C3788,C3788,$I$2:I3788,I3788)=1,1,0)</f>
        <v>0</v>
      </c>
      <c r="M3788" s="3" t="n">
        <f aca="false">IF(K3788&gt;=Parametri!$B$1,1,0)</f>
        <v>1</v>
      </c>
      <c r="N3788" s="3" t="n">
        <f aca="false">L3788*M3788</f>
        <v>0</v>
      </c>
    </row>
    <row r="3789" customFormat="false" ht="15" hidden="false" customHeight="false" outlineLevel="0" collapsed="false">
      <c r="A3789" s="0" t="s">
        <v>5552</v>
      </c>
      <c r="B3789" s="0" t="s">
        <v>50</v>
      </c>
      <c r="C3789" s="0" t="s">
        <v>1847</v>
      </c>
      <c r="D3789" s="0" t="s">
        <v>38</v>
      </c>
      <c r="E3789" s="2" t="n">
        <v>45812</v>
      </c>
      <c r="F3789" s="3" t="s">
        <v>20</v>
      </c>
      <c r="G3789" s="3" t="s">
        <v>72</v>
      </c>
      <c r="H3789" s="3" t="s">
        <v>48</v>
      </c>
      <c r="I3789" s="3" t="n">
        <f aca="false">YEAR(E3789)</f>
        <v>2025</v>
      </c>
      <c r="J3789" s="3" t="n">
        <f aca="false">MONTH(E3789)</f>
        <v>6</v>
      </c>
      <c r="K3789" s="3" t="n">
        <f aca="false">COUNTIFS($B$2:$B$4077,B3789,$C$2:$C$4077,C3789,$I$2:$I$4077,I3789)</f>
        <v>2</v>
      </c>
      <c r="L3789" s="3" t="n">
        <f aca="false">IF(COUNTIFS($B$2:B3789,B3789,$C$2:C3789,C3789,$I$2:I3789,I3789)=1,1,0)</f>
        <v>0</v>
      </c>
      <c r="M3789" s="3" t="n">
        <f aca="false">IF(K3789&gt;=Parametri!$B$1,1,0)</f>
        <v>1</v>
      </c>
      <c r="N3789" s="3" t="n">
        <f aca="false">L3789*M3789</f>
        <v>0</v>
      </c>
    </row>
    <row r="3790" customFormat="false" ht="15" hidden="false" customHeight="false" outlineLevel="0" collapsed="false">
      <c r="A3790" s="0" t="s">
        <v>5553</v>
      </c>
      <c r="B3790" s="0" t="s">
        <v>46</v>
      </c>
      <c r="C3790" s="0" t="s">
        <v>93</v>
      </c>
      <c r="D3790" s="0" t="s">
        <v>54</v>
      </c>
      <c r="E3790" s="2" t="n">
        <v>45304</v>
      </c>
      <c r="F3790" s="3" t="s">
        <v>20</v>
      </c>
      <c r="G3790" s="3" t="s">
        <v>39</v>
      </c>
      <c r="H3790" s="3" t="s">
        <v>48</v>
      </c>
      <c r="I3790" s="3" t="n">
        <f aca="false">YEAR(E3790)</f>
        <v>2024</v>
      </c>
      <c r="J3790" s="3" t="n">
        <f aca="false">MONTH(E3790)</f>
        <v>1</v>
      </c>
      <c r="K3790" s="3" t="n">
        <f aca="false">COUNTIFS($B$2:$B$4077,B3790,$C$2:$C$4077,C3790,$I$2:$I$4077,I3790)</f>
        <v>2</v>
      </c>
      <c r="L3790" s="3" t="n">
        <f aca="false">IF(COUNTIFS($B$2:B3790,B3790,$C$2:C3790,C3790,$I$2:I3790,I3790)=1,1,0)</f>
        <v>0</v>
      </c>
      <c r="M3790" s="3" t="n">
        <f aca="false">IF(K3790&gt;=Parametri!$B$1,1,0)</f>
        <v>1</v>
      </c>
      <c r="N3790" s="3" t="n">
        <f aca="false">L3790*M3790</f>
        <v>0</v>
      </c>
    </row>
    <row r="3791" customFormat="false" ht="15" hidden="false" customHeight="false" outlineLevel="0" collapsed="false">
      <c r="A3791" s="0" t="s">
        <v>5554</v>
      </c>
      <c r="B3791" s="0" t="s">
        <v>124</v>
      </c>
      <c r="C3791" s="0" t="s">
        <v>1841</v>
      </c>
      <c r="D3791" s="0" t="s">
        <v>77</v>
      </c>
      <c r="E3791" s="2" t="n">
        <v>45320</v>
      </c>
      <c r="F3791" s="3" t="s">
        <v>34</v>
      </c>
      <c r="G3791" s="3" t="s">
        <v>21</v>
      </c>
      <c r="H3791" s="3" t="s">
        <v>48</v>
      </c>
      <c r="I3791" s="3" t="n">
        <f aca="false">YEAR(E3791)</f>
        <v>2024</v>
      </c>
      <c r="J3791" s="3" t="n">
        <f aca="false">MONTH(E3791)</f>
        <v>1</v>
      </c>
      <c r="K3791" s="3" t="n">
        <f aca="false">COUNTIFS($B$2:$B$4077,B3791,$C$2:$C$4077,C3791,$I$2:$I$4077,I3791)</f>
        <v>2</v>
      </c>
      <c r="L3791" s="3" t="n">
        <f aca="false">IF(COUNTIFS($B$2:B3791,B3791,$C$2:C3791,C3791,$I$2:I3791,I3791)=1,1,0)</f>
        <v>0</v>
      </c>
      <c r="M3791" s="3" t="n">
        <f aca="false">IF(K3791&gt;=Parametri!$B$1,1,0)</f>
        <v>1</v>
      </c>
      <c r="N3791" s="3" t="n">
        <f aca="false">L3791*M3791</f>
        <v>0</v>
      </c>
    </row>
    <row r="3792" customFormat="false" ht="15" hidden="false" customHeight="false" outlineLevel="0" collapsed="false">
      <c r="A3792" s="0" t="s">
        <v>5555</v>
      </c>
      <c r="B3792" s="0" t="s">
        <v>41</v>
      </c>
      <c r="C3792" s="0" t="s">
        <v>3365</v>
      </c>
      <c r="D3792" s="0" t="s">
        <v>63</v>
      </c>
      <c r="E3792" s="2" t="n">
        <v>45990</v>
      </c>
      <c r="F3792" s="3" t="s">
        <v>20</v>
      </c>
      <c r="G3792" s="3" t="s">
        <v>28</v>
      </c>
      <c r="H3792" s="3" t="s">
        <v>48</v>
      </c>
      <c r="I3792" s="3" t="n">
        <f aca="false">YEAR(E3792)</f>
        <v>2025</v>
      </c>
      <c r="J3792" s="3" t="n">
        <f aca="false">MONTH(E3792)</f>
        <v>11</v>
      </c>
      <c r="K3792" s="3" t="n">
        <f aca="false">COUNTIFS($B$2:$B$4077,B3792,$C$2:$C$4077,C3792,$I$2:$I$4077,I3792)</f>
        <v>1</v>
      </c>
      <c r="L3792" s="3" t="n">
        <f aca="false">IF(COUNTIFS($B$2:B3792,B3792,$C$2:C3792,C3792,$I$2:I3792,I3792)=1,1,0)</f>
        <v>1</v>
      </c>
      <c r="M3792" s="3" t="n">
        <f aca="false">IF(K3792&gt;=Parametri!$B$1,1,0)</f>
        <v>0</v>
      </c>
      <c r="N3792" s="3" t="n">
        <f aca="false">L3792*M3792</f>
        <v>0</v>
      </c>
    </row>
    <row r="3793" customFormat="false" ht="15" hidden="false" customHeight="false" outlineLevel="0" collapsed="false">
      <c r="A3793" s="0" t="s">
        <v>5556</v>
      </c>
      <c r="B3793" s="0" t="s">
        <v>57</v>
      </c>
      <c r="C3793" s="0" t="s">
        <v>583</v>
      </c>
      <c r="D3793" s="0" t="s">
        <v>66</v>
      </c>
      <c r="E3793" s="2" t="n">
        <v>45465</v>
      </c>
      <c r="F3793" s="3" t="s">
        <v>20</v>
      </c>
      <c r="G3793" s="3" t="s">
        <v>89</v>
      </c>
      <c r="H3793" s="3" t="s">
        <v>22</v>
      </c>
      <c r="I3793" s="3" t="n">
        <f aca="false">YEAR(E3793)</f>
        <v>2024</v>
      </c>
      <c r="J3793" s="3" t="n">
        <f aca="false">MONTH(E3793)</f>
        <v>6</v>
      </c>
      <c r="K3793" s="3" t="n">
        <f aca="false">COUNTIFS($B$2:$B$4077,B3793,$C$2:$C$4077,C3793,$I$2:$I$4077,I3793)</f>
        <v>2</v>
      </c>
      <c r="L3793" s="3" t="n">
        <f aca="false">IF(COUNTIFS($B$2:B3793,B3793,$C$2:C3793,C3793,$I$2:I3793,I3793)=1,1,0)</f>
        <v>0</v>
      </c>
      <c r="M3793" s="3" t="n">
        <f aca="false">IF(K3793&gt;=Parametri!$B$1,1,0)</f>
        <v>1</v>
      </c>
      <c r="N3793" s="3" t="n">
        <f aca="false">L3793*M3793</f>
        <v>0</v>
      </c>
    </row>
    <row r="3794" customFormat="false" ht="15" hidden="false" customHeight="false" outlineLevel="0" collapsed="false">
      <c r="A3794" s="0" t="s">
        <v>5557</v>
      </c>
      <c r="B3794" s="0" t="s">
        <v>46</v>
      </c>
      <c r="C3794" s="0" t="s">
        <v>2603</v>
      </c>
      <c r="D3794" s="0" t="s">
        <v>63</v>
      </c>
      <c r="E3794" s="2" t="n">
        <v>45547</v>
      </c>
      <c r="F3794" s="3" t="s">
        <v>34</v>
      </c>
      <c r="G3794" s="3" t="s">
        <v>55</v>
      </c>
      <c r="H3794" s="3" t="s">
        <v>22</v>
      </c>
      <c r="I3794" s="3" t="n">
        <f aca="false">YEAR(E3794)</f>
        <v>2024</v>
      </c>
      <c r="J3794" s="3" t="n">
        <f aca="false">MONTH(E3794)</f>
        <v>9</v>
      </c>
      <c r="K3794" s="3" t="n">
        <f aca="false">COUNTIFS($B$2:$B$4077,B3794,$C$2:$C$4077,C3794,$I$2:$I$4077,I3794)</f>
        <v>1</v>
      </c>
      <c r="L3794" s="3" t="n">
        <f aca="false">IF(COUNTIFS($B$2:B3794,B3794,$C$2:C3794,C3794,$I$2:I3794,I3794)=1,1,0)</f>
        <v>1</v>
      </c>
      <c r="M3794" s="3" t="n">
        <f aca="false">IF(K3794&gt;=Parametri!$B$1,1,0)</f>
        <v>0</v>
      </c>
      <c r="N3794" s="3" t="n">
        <f aca="false">L3794*M3794</f>
        <v>0</v>
      </c>
    </row>
    <row r="3795" customFormat="false" ht="15" hidden="false" customHeight="false" outlineLevel="0" collapsed="false">
      <c r="A3795" s="0" t="s">
        <v>5558</v>
      </c>
      <c r="B3795" s="0" t="s">
        <v>31</v>
      </c>
      <c r="C3795" s="0" t="s">
        <v>2077</v>
      </c>
      <c r="D3795" s="0" t="s">
        <v>38</v>
      </c>
      <c r="E3795" s="2" t="n">
        <v>45620</v>
      </c>
      <c r="F3795" s="3" t="s">
        <v>27</v>
      </c>
      <c r="G3795" s="3" t="s">
        <v>21</v>
      </c>
      <c r="H3795" s="3" t="s">
        <v>44</v>
      </c>
      <c r="I3795" s="3" t="n">
        <f aca="false">YEAR(E3795)</f>
        <v>2024</v>
      </c>
      <c r="J3795" s="3" t="n">
        <f aca="false">MONTH(E3795)</f>
        <v>11</v>
      </c>
      <c r="K3795" s="3" t="n">
        <f aca="false">COUNTIFS($B$2:$B$4077,B3795,$C$2:$C$4077,C3795,$I$2:$I$4077,I3795)</f>
        <v>3</v>
      </c>
      <c r="L3795" s="3" t="n">
        <f aca="false">IF(COUNTIFS($B$2:B3795,B3795,$C$2:C3795,C3795,$I$2:I3795,I3795)=1,1,0)</f>
        <v>0</v>
      </c>
      <c r="M3795" s="3" t="n">
        <f aca="false">IF(K3795&gt;=Parametri!$B$1,1,0)</f>
        <v>1</v>
      </c>
      <c r="N3795" s="3" t="n">
        <f aca="false">L3795*M3795</f>
        <v>0</v>
      </c>
    </row>
    <row r="3796" customFormat="false" ht="15" hidden="false" customHeight="false" outlineLevel="0" collapsed="false">
      <c r="A3796" s="0" t="s">
        <v>5559</v>
      </c>
      <c r="B3796" s="0" t="s">
        <v>31</v>
      </c>
      <c r="C3796" s="0" t="s">
        <v>53</v>
      </c>
      <c r="D3796" s="0" t="s">
        <v>33</v>
      </c>
      <c r="E3796" s="2" t="n">
        <v>45919</v>
      </c>
      <c r="F3796" s="3" t="s">
        <v>20</v>
      </c>
      <c r="G3796" s="3" t="s">
        <v>55</v>
      </c>
      <c r="H3796" s="3" t="s">
        <v>29</v>
      </c>
      <c r="I3796" s="3" t="n">
        <f aca="false">YEAR(E3796)</f>
        <v>2025</v>
      </c>
      <c r="J3796" s="3" t="n">
        <f aca="false">MONTH(E3796)</f>
        <v>9</v>
      </c>
      <c r="K3796" s="3" t="n">
        <f aca="false">COUNTIFS($B$2:$B$4077,B3796,$C$2:$C$4077,C3796,$I$2:$I$4077,I3796)</f>
        <v>2</v>
      </c>
      <c r="L3796" s="3" t="n">
        <f aca="false">IF(COUNTIFS($B$2:B3796,B3796,$C$2:C3796,C3796,$I$2:I3796,I3796)=1,1,0)</f>
        <v>0</v>
      </c>
      <c r="M3796" s="3" t="n">
        <f aca="false">IF(K3796&gt;=Parametri!$B$1,1,0)</f>
        <v>1</v>
      </c>
      <c r="N3796" s="3" t="n">
        <f aca="false">L3796*M3796</f>
        <v>0</v>
      </c>
    </row>
    <row r="3797" customFormat="false" ht="15" hidden="false" customHeight="false" outlineLevel="0" collapsed="false">
      <c r="A3797" s="0" t="s">
        <v>5560</v>
      </c>
      <c r="B3797" s="0" t="s">
        <v>79</v>
      </c>
      <c r="C3797" s="0" t="s">
        <v>3381</v>
      </c>
      <c r="D3797" s="0" t="s">
        <v>66</v>
      </c>
      <c r="E3797" s="2" t="n">
        <v>46129</v>
      </c>
      <c r="F3797" s="3" t="s">
        <v>34</v>
      </c>
      <c r="G3797" s="3" t="s">
        <v>28</v>
      </c>
      <c r="H3797" s="3" t="s">
        <v>48</v>
      </c>
      <c r="I3797" s="3" t="n">
        <f aca="false">YEAR(E3797)</f>
        <v>2026</v>
      </c>
      <c r="J3797" s="3" t="n">
        <f aca="false">MONTH(E3797)</f>
        <v>4</v>
      </c>
      <c r="K3797" s="3" t="n">
        <f aca="false">COUNTIFS($B$2:$B$4077,B3797,$C$2:$C$4077,C3797,$I$2:$I$4077,I3797)</f>
        <v>2</v>
      </c>
      <c r="L3797" s="3" t="n">
        <f aca="false">IF(COUNTIFS($B$2:B3797,B3797,$C$2:C3797,C3797,$I$2:I3797,I3797)=1,1,0)</f>
        <v>0</v>
      </c>
      <c r="M3797" s="3" t="n">
        <f aca="false">IF(K3797&gt;=Parametri!$B$1,1,0)</f>
        <v>1</v>
      </c>
      <c r="N3797" s="3" t="n">
        <f aca="false">L3797*M3797</f>
        <v>0</v>
      </c>
    </row>
    <row r="3798" customFormat="false" ht="15" hidden="false" customHeight="false" outlineLevel="0" collapsed="false">
      <c r="A3798" s="0" t="s">
        <v>5561</v>
      </c>
      <c r="B3798" s="0" t="s">
        <v>24</v>
      </c>
      <c r="C3798" s="0" t="s">
        <v>5011</v>
      </c>
      <c r="D3798" s="0" t="s">
        <v>66</v>
      </c>
      <c r="E3798" s="2" t="n">
        <v>45318</v>
      </c>
      <c r="F3798" s="3" t="s">
        <v>27</v>
      </c>
      <c r="G3798" s="3" t="s">
        <v>72</v>
      </c>
      <c r="H3798" s="3" t="s">
        <v>29</v>
      </c>
      <c r="I3798" s="3" t="n">
        <f aca="false">YEAR(E3798)</f>
        <v>2024</v>
      </c>
      <c r="J3798" s="3" t="n">
        <f aca="false">MONTH(E3798)</f>
        <v>1</v>
      </c>
      <c r="K3798" s="3" t="n">
        <f aca="false">COUNTIFS($B$2:$B$4077,B3798,$C$2:$C$4077,C3798,$I$2:$I$4077,I3798)</f>
        <v>2</v>
      </c>
      <c r="L3798" s="3" t="n">
        <f aca="false">IF(COUNTIFS($B$2:B3798,B3798,$C$2:C3798,C3798,$I$2:I3798,I3798)=1,1,0)</f>
        <v>0</v>
      </c>
      <c r="M3798" s="3" t="n">
        <f aca="false">IF(K3798&gt;=Parametri!$B$1,1,0)</f>
        <v>1</v>
      </c>
      <c r="N3798" s="3" t="n">
        <f aca="false">L3798*M3798</f>
        <v>0</v>
      </c>
    </row>
    <row r="3799" customFormat="false" ht="15" hidden="false" customHeight="false" outlineLevel="0" collapsed="false">
      <c r="A3799" s="0" t="s">
        <v>5562</v>
      </c>
      <c r="B3799" s="0" t="s">
        <v>50</v>
      </c>
      <c r="C3799" s="0" t="s">
        <v>5563</v>
      </c>
      <c r="D3799" s="0" t="s">
        <v>26</v>
      </c>
      <c r="E3799" s="2" t="n">
        <v>45643</v>
      </c>
      <c r="F3799" s="3" t="s">
        <v>20</v>
      </c>
      <c r="G3799" s="3" t="s">
        <v>55</v>
      </c>
      <c r="H3799" s="3" t="s">
        <v>22</v>
      </c>
      <c r="I3799" s="3" t="n">
        <f aca="false">YEAR(E3799)</f>
        <v>2024</v>
      </c>
      <c r="J3799" s="3" t="n">
        <f aca="false">MONTH(E3799)</f>
        <v>12</v>
      </c>
      <c r="K3799" s="3" t="n">
        <f aca="false">COUNTIFS($B$2:$B$4077,B3799,$C$2:$C$4077,C3799,$I$2:$I$4077,I3799)</f>
        <v>1</v>
      </c>
      <c r="L3799" s="3" t="n">
        <f aca="false">IF(COUNTIFS($B$2:B3799,B3799,$C$2:C3799,C3799,$I$2:I3799,I3799)=1,1,0)</f>
        <v>1</v>
      </c>
      <c r="M3799" s="3" t="n">
        <f aca="false">IF(K3799&gt;=Parametri!$B$1,1,0)</f>
        <v>0</v>
      </c>
      <c r="N3799" s="3" t="n">
        <f aca="false">L3799*M3799</f>
        <v>0</v>
      </c>
    </row>
    <row r="3800" customFormat="false" ht="15" hidden="false" customHeight="false" outlineLevel="0" collapsed="false">
      <c r="A3800" s="0" t="s">
        <v>5564</v>
      </c>
      <c r="B3800" s="0" t="s">
        <v>79</v>
      </c>
      <c r="C3800" s="0" t="s">
        <v>2197</v>
      </c>
      <c r="D3800" s="0" t="s">
        <v>54</v>
      </c>
      <c r="E3800" s="2" t="n">
        <v>45677</v>
      </c>
      <c r="F3800" s="3" t="s">
        <v>20</v>
      </c>
      <c r="G3800" s="3" t="s">
        <v>39</v>
      </c>
      <c r="H3800" s="3" t="s">
        <v>22</v>
      </c>
      <c r="I3800" s="3" t="n">
        <f aca="false">YEAR(E3800)</f>
        <v>2025</v>
      </c>
      <c r="J3800" s="3" t="n">
        <f aca="false">MONTH(E3800)</f>
        <v>1</v>
      </c>
      <c r="K3800" s="3" t="n">
        <f aca="false">COUNTIFS($B$2:$B$4077,B3800,$C$2:$C$4077,C3800,$I$2:$I$4077,I3800)</f>
        <v>1</v>
      </c>
      <c r="L3800" s="3" t="n">
        <f aca="false">IF(COUNTIFS($B$2:B3800,B3800,$C$2:C3800,C3800,$I$2:I3800,I3800)=1,1,0)</f>
        <v>1</v>
      </c>
      <c r="M3800" s="3" t="n">
        <f aca="false">IF(K3800&gt;=Parametri!$B$1,1,0)</f>
        <v>0</v>
      </c>
      <c r="N3800" s="3" t="n">
        <f aca="false">L3800*M3800</f>
        <v>0</v>
      </c>
    </row>
    <row r="3801" customFormat="false" ht="15" hidden="false" customHeight="false" outlineLevel="0" collapsed="false">
      <c r="A3801" s="0" t="s">
        <v>5565</v>
      </c>
      <c r="B3801" s="0" t="s">
        <v>24</v>
      </c>
      <c r="C3801" s="0" t="s">
        <v>681</v>
      </c>
      <c r="D3801" s="0" t="s">
        <v>54</v>
      </c>
      <c r="E3801" s="2" t="n">
        <v>46258</v>
      </c>
      <c r="F3801" s="3" t="s">
        <v>34</v>
      </c>
      <c r="G3801" s="3" t="s">
        <v>39</v>
      </c>
      <c r="H3801" s="3" t="s">
        <v>48</v>
      </c>
      <c r="I3801" s="3" t="n">
        <f aca="false">YEAR(E3801)</f>
        <v>2026</v>
      </c>
      <c r="J3801" s="3" t="n">
        <f aca="false">MONTH(E3801)</f>
        <v>8</v>
      </c>
      <c r="K3801" s="3" t="n">
        <f aca="false">COUNTIFS($B$2:$B$4077,B3801,$C$2:$C$4077,C3801,$I$2:$I$4077,I3801)</f>
        <v>1</v>
      </c>
      <c r="L3801" s="3" t="n">
        <f aca="false">IF(COUNTIFS($B$2:B3801,B3801,$C$2:C3801,C3801,$I$2:I3801,I3801)=1,1,0)</f>
        <v>1</v>
      </c>
      <c r="M3801" s="3" t="n">
        <f aca="false">IF(K3801&gt;=Parametri!$B$1,1,0)</f>
        <v>0</v>
      </c>
      <c r="N3801" s="3" t="n">
        <f aca="false">L3801*M3801</f>
        <v>0</v>
      </c>
    </row>
    <row r="3802" customFormat="false" ht="15" hidden="false" customHeight="false" outlineLevel="0" collapsed="false">
      <c r="A3802" s="0" t="s">
        <v>5566</v>
      </c>
      <c r="B3802" s="0" t="s">
        <v>57</v>
      </c>
      <c r="C3802" s="0" t="s">
        <v>2172</v>
      </c>
      <c r="D3802" s="0" t="s">
        <v>54</v>
      </c>
      <c r="E3802" s="2" t="n">
        <v>45930</v>
      </c>
      <c r="F3802" s="3" t="s">
        <v>20</v>
      </c>
      <c r="G3802" s="3" t="s">
        <v>89</v>
      </c>
      <c r="H3802" s="3" t="s">
        <v>22</v>
      </c>
      <c r="I3802" s="3" t="n">
        <f aca="false">YEAR(E3802)</f>
        <v>2025</v>
      </c>
      <c r="J3802" s="3" t="n">
        <f aca="false">MONTH(E3802)</f>
        <v>9</v>
      </c>
      <c r="K3802" s="3" t="n">
        <f aca="false">COUNTIFS($B$2:$B$4077,B3802,$C$2:$C$4077,C3802,$I$2:$I$4077,I3802)</f>
        <v>1</v>
      </c>
      <c r="L3802" s="3" t="n">
        <f aca="false">IF(COUNTIFS($B$2:B3802,B3802,$C$2:C3802,C3802,$I$2:I3802,I3802)=1,1,0)</f>
        <v>1</v>
      </c>
      <c r="M3802" s="3" t="n">
        <f aca="false">IF(K3802&gt;=Parametri!$B$1,1,0)</f>
        <v>0</v>
      </c>
      <c r="N3802" s="3" t="n">
        <f aca="false">L3802*M3802</f>
        <v>0</v>
      </c>
    </row>
    <row r="3803" customFormat="false" ht="15" hidden="false" customHeight="false" outlineLevel="0" collapsed="false">
      <c r="A3803" s="0" t="s">
        <v>5567</v>
      </c>
      <c r="B3803" s="0" t="s">
        <v>79</v>
      </c>
      <c r="C3803" s="0" t="s">
        <v>1096</v>
      </c>
      <c r="D3803" s="0" t="s">
        <v>77</v>
      </c>
      <c r="E3803" s="2" t="n">
        <v>45326</v>
      </c>
      <c r="F3803" s="3" t="s">
        <v>20</v>
      </c>
      <c r="G3803" s="3" t="s">
        <v>39</v>
      </c>
      <c r="H3803" s="3" t="s">
        <v>48</v>
      </c>
      <c r="I3803" s="3" t="n">
        <f aca="false">YEAR(E3803)</f>
        <v>2024</v>
      </c>
      <c r="J3803" s="3" t="n">
        <f aca="false">MONTH(E3803)</f>
        <v>2</v>
      </c>
      <c r="K3803" s="3" t="n">
        <f aca="false">COUNTIFS($B$2:$B$4077,B3803,$C$2:$C$4077,C3803,$I$2:$I$4077,I3803)</f>
        <v>1</v>
      </c>
      <c r="L3803" s="3" t="n">
        <f aca="false">IF(COUNTIFS($B$2:B3803,B3803,$C$2:C3803,C3803,$I$2:I3803,I3803)=1,1,0)</f>
        <v>1</v>
      </c>
      <c r="M3803" s="3" t="n">
        <f aca="false">IF(K3803&gt;=Parametri!$B$1,1,0)</f>
        <v>0</v>
      </c>
      <c r="N3803" s="3" t="n">
        <f aca="false">L3803*M3803</f>
        <v>0</v>
      </c>
    </row>
    <row r="3804" customFormat="false" ht="15" hidden="false" customHeight="false" outlineLevel="0" collapsed="false">
      <c r="A3804" s="0" t="s">
        <v>5568</v>
      </c>
      <c r="B3804" s="0" t="s">
        <v>124</v>
      </c>
      <c r="C3804" s="0" t="s">
        <v>1330</v>
      </c>
      <c r="D3804" s="0" t="s">
        <v>63</v>
      </c>
      <c r="E3804" s="2" t="n">
        <v>45391</v>
      </c>
      <c r="F3804" s="3" t="s">
        <v>27</v>
      </c>
      <c r="G3804" s="3" t="s">
        <v>28</v>
      </c>
      <c r="H3804" s="3" t="s">
        <v>29</v>
      </c>
      <c r="I3804" s="3" t="n">
        <f aca="false">YEAR(E3804)</f>
        <v>2024</v>
      </c>
      <c r="J3804" s="3" t="n">
        <f aca="false">MONTH(E3804)</f>
        <v>4</v>
      </c>
      <c r="K3804" s="3" t="n">
        <f aca="false">COUNTIFS($B$2:$B$4077,B3804,$C$2:$C$4077,C3804,$I$2:$I$4077,I3804)</f>
        <v>2</v>
      </c>
      <c r="L3804" s="3" t="n">
        <f aca="false">IF(COUNTIFS($B$2:B3804,B3804,$C$2:C3804,C3804,$I$2:I3804,I3804)=1,1,0)</f>
        <v>0</v>
      </c>
      <c r="M3804" s="3" t="n">
        <f aca="false">IF(K3804&gt;=Parametri!$B$1,1,0)</f>
        <v>1</v>
      </c>
      <c r="N3804" s="3" t="n">
        <f aca="false">L3804*M3804</f>
        <v>0</v>
      </c>
    </row>
    <row r="3805" customFormat="false" ht="15" hidden="false" customHeight="false" outlineLevel="0" collapsed="false">
      <c r="A3805" s="0" t="s">
        <v>5569</v>
      </c>
      <c r="B3805" s="0" t="s">
        <v>46</v>
      </c>
      <c r="C3805" s="0" t="s">
        <v>5570</v>
      </c>
      <c r="D3805" s="0" t="s">
        <v>38</v>
      </c>
      <c r="E3805" s="2" t="n">
        <v>45736</v>
      </c>
      <c r="F3805" s="3" t="s">
        <v>20</v>
      </c>
      <c r="G3805" s="3" t="s">
        <v>72</v>
      </c>
      <c r="H3805" s="3" t="s">
        <v>22</v>
      </c>
      <c r="I3805" s="3" t="n">
        <f aca="false">YEAR(E3805)</f>
        <v>2025</v>
      </c>
      <c r="J3805" s="3" t="n">
        <f aca="false">MONTH(E3805)</f>
        <v>3</v>
      </c>
      <c r="K3805" s="3" t="n">
        <f aca="false">COUNTIFS($B$2:$B$4077,B3805,$C$2:$C$4077,C3805,$I$2:$I$4077,I3805)</f>
        <v>1</v>
      </c>
      <c r="L3805" s="3" t="n">
        <f aca="false">IF(COUNTIFS($B$2:B3805,B3805,$C$2:C3805,C3805,$I$2:I3805,I3805)=1,1,0)</f>
        <v>1</v>
      </c>
      <c r="M3805" s="3" t="n">
        <f aca="false">IF(K3805&gt;=Parametri!$B$1,1,0)</f>
        <v>0</v>
      </c>
      <c r="N3805" s="3" t="n">
        <f aca="false">L3805*M3805</f>
        <v>0</v>
      </c>
    </row>
    <row r="3806" customFormat="false" ht="15" hidden="false" customHeight="false" outlineLevel="0" collapsed="false">
      <c r="A3806" s="0" t="s">
        <v>5571</v>
      </c>
      <c r="B3806" s="0" t="s">
        <v>17</v>
      </c>
      <c r="C3806" s="0" t="s">
        <v>3694</v>
      </c>
      <c r="D3806" s="0" t="s">
        <v>26</v>
      </c>
      <c r="E3806" s="2" t="n">
        <v>45833</v>
      </c>
      <c r="F3806" s="3" t="s">
        <v>27</v>
      </c>
      <c r="G3806" s="3" t="s">
        <v>21</v>
      </c>
      <c r="H3806" s="3" t="s">
        <v>29</v>
      </c>
      <c r="I3806" s="3" t="n">
        <f aca="false">YEAR(E3806)</f>
        <v>2025</v>
      </c>
      <c r="J3806" s="3" t="n">
        <f aca="false">MONTH(E3806)</f>
        <v>6</v>
      </c>
      <c r="K3806" s="3" t="n">
        <f aca="false">COUNTIFS($B$2:$B$4077,B3806,$C$2:$C$4077,C3806,$I$2:$I$4077,I3806)</f>
        <v>2</v>
      </c>
      <c r="L3806" s="3" t="n">
        <f aca="false">IF(COUNTIFS($B$2:B3806,B3806,$C$2:C3806,C3806,$I$2:I3806,I3806)=1,1,0)</f>
        <v>0</v>
      </c>
      <c r="M3806" s="3" t="n">
        <f aca="false">IF(K3806&gt;=Parametri!$B$1,1,0)</f>
        <v>1</v>
      </c>
      <c r="N3806" s="3" t="n">
        <f aca="false">L3806*M3806</f>
        <v>0</v>
      </c>
    </row>
    <row r="3807" customFormat="false" ht="15" hidden="false" customHeight="false" outlineLevel="0" collapsed="false">
      <c r="A3807" s="0" t="s">
        <v>5572</v>
      </c>
      <c r="B3807" s="0" t="s">
        <v>57</v>
      </c>
      <c r="C3807" s="0" t="s">
        <v>3906</v>
      </c>
      <c r="D3807" s="0" t="s">
        <v>26</v>
      </c>
      <c r="E3807" s="2" t="n">
        <v>46008</v>
      </c>
      <c r="F3807" s="3" t="s">
        <v>20</v>
      </c>
      <c r="G3807" s="3" t="s">
        <v>39</v>
      </c>
      <c r="H3807" s="3" t="s">
        <v>44</v>
      </c>
      <c r="I3807" s="3" t="n">
        <f aca="false">YEAR(E3807)</f>
        <v>2025</v>
      </c>
      <c r="J3807" s="3" t="n">
        <f aca="false">MONTH(E3807)</f>
        <v>12</v>
      </c>
      <c r="K3807" s="3" t="n">
        <f aca="false">COUNTIFS($B$2:$B$4077,B3807,$C$2:$C$4077,C3807,$I$2:$I$4077,I3807)</f>
        <v>1</v>
      </c>
      <c r="L3807" s="3" t="n">
        <f aca="false">IF(COUNTIFS($B$2:B3807,B3807,$C$2:C3807,C3807,$I$2:I3807,I3807)=1,1,0)</f>
        <v>1</v>
      </c>
      <c r="M3807" s="3" t="n">
        <f aca="false">IF(K3807&gt;=Parametri!$B$1,1,0)</f>
        <v>0</v>
      </c>
      <c r="N3807" s="3" t="n">
        <f aca="false">L3807*M3807</f>
        <v>0</v>
      </c>
    </row>
    <row r="3808" customFormat="false" ht="15" hidden="false" customHeight="false" outlineLevel="0" collapsed="false">
      <c r="A3808" s="0" t="s">
        <v>5573</v>
      </c>
      <c r="B3808" s="0" t="s">
        <v>31</v>
      </c>
      <c r="C3808" s="0" t="s">
        <v>4021</v>
      </c>
      <c r="D3808" s="0" t="s">
        <v>33</v>
      </c>
      <c r="E3808" s="2" t="n">
        <v>45483</v>
      </c>
      <c r="F3808" s="3" t="s">
        <v>27</v>
      </c>
      <c r="G3808" s="3" t="s">
        <v>21</v>
      </c>
      <c r="H3808" s="3" t="s">
        <v>22</v>
      </c>
      <c r="I3808" s="3" t="n">
        <f aca="false">YEAR(E3808)</f>
        <v>2024</v>
      </c>
      <c r="J3808" s="3" t="n">
        <f aca="false">MONTH(E3808)</f>
        <v>7</v>
      </c>
      <c r="K3808" s="3" t="n">
        <f aca="false">COUNTIFS($B$2:$B$4077,B3808,$C$2:$C$4077,C3808,$I$2:$I$4077,I3808)</f>
        <v>1</v>
      </c>
      <c r="L3808" s="3" t="n">
        <f aca="false">IF(COUNTIFS($B$2:B3808,B3808,$C$2:C3808,C3808,$I$2:I3808,I3808)=1,1,0)</f>
        <v>1</v>
      </c>
      <c r="M3808" s="3" t="n">
        <f aca="false">IF(K3808&gt;=Parametri!$B$1,1,0)</f>
        <v>0</v>
      </c>
      <c r="N3808" s="3" t="n">
        <f aca="false">L3808*M3808</f>
        <v>0</v>
      </c>
    </row>
    <row r="3809" customFormat="false" ht="15" hidden="false" customHeight="false" outlineLevel="0" collapsed="false">
      <c r="A3809" s="0" t="s">
        <v>5574</v>
      </c>
      <c r="B3809" s="0" t="s">
        <v>79</v>
      </c>
      <c r="C3809" s="0" t="s">
        <v>4045</v>
      </c>
      <c r="D3809" s="0" t="s">
        <v>33</v>
      </c>
      <c r="E3809" s="2" t="n">
        <v>45846</v>
      </c>
      <c r="F3809" s="3" t="s">
        <v>20</v>
      </c>
      <c r="G3809" s="3" t="s">
        <v>55</v>
      </c>
      <c r="H3809" s="3" t="s">
        <v>44</v>
      </c>
      <c r="I3809" s="3" t="n">
        <f aca="false">YEAR(E3809)</f>
        <v>2025</v>
      </c>
      <c r="J3809" s="3" t="n">
        <f aca="false">MONTH(E3809)</f>
        <v>7</v>
      </c>
      <c r="K3809" s="3" t="n">
        <f aca="false">COUNTIFS($B$2:$B$4077,B3809,$C$2:$C$4077,C3809,$I$2:$I$4077,I3809)</f>
        <v>2</v>
      </c>
      <c r="L3809" s="3" t="n">
        <f aca="false">IF(COUNTIFS($B$2:B3809,B3809,$C$2:C3809,C3809,$I$2:I3809,I3809)=1,1,0)</f>
        <v>1</v>
      </c>
      <c r="M3809" s="3" t="n">
        <f aca="false">IF(K3809&gt;=Parametri!$B$1,1,0)</f>
        <v>1</v>
      </c>
      <c r="N3809" s="3" t="n">
        <f aca="false">L3809*M3809</f>
        <v>1</v>
      </c>
    </row>
    <row r="3810" customFormat="false" ht="15" hidden="false" customHeight="false" outlineLevel="0" collapsed="false">
      <c r="A3810" s="0" t="s">
        <v>5575</v>
      </c>
      <c r="B3810" s="0" t="s">
        <v>124</v>
      </c>
      <c r="C3810" s="0" t="s">
        <v>410</v>
      </c>
      <c r="D3810" s="0" t="s">
        <v>54</v>
      </c>
      <c r="E3810" s="2" t="n">
        <v>45898</v>
      </c>
      <c r="F3810" s="3" t="s">
        <v>20</v>
      </c>
      <c r="G3810" s="3" t="s">
        <v>55</v>
      </c>
      <c r="H3810" s="3" t="s">
        <v>48</v>
      </c>
      <c r="I3810" s="3" t="n">
        <f aca="false">YEAR(E3810)</f>
        <v>2025</v>
      </c>
      <c r="J3810" s="3" t="n">
        <f aca="false">MONTH(E3810)</f>
        <v>8</v>
      </c>
      <c r="K3810" s="3" t="n">
        <f aca="false">COUNTIFS($B$2:$B$4077,B3810,$C$2:$C$4077,C3810,$I$2:$I$4077,I3810)</f>
        <v>6</v>
      </c>
      <c r="L3810" s="3" t="n">
        <f aca="false">IF(COUNTIFS($B$2:B3810,B3810,$C$2:C3810,C3810,$I$2:I3810,I3810)=1,1,0)</f>
        <v>0</v>
      </c>
      <c r="M3810" s="3" t="n">
        <f aca="false">IF(K3810&gt;=Parametri!$B$1,1,0)</f>
        <v>1</v>
      </c>
      <c r="N3810" s="3" t="n">
        <f aca="false">L3810*M3810</f>
        <v>0</v>
      </c>
    </row>
    <row r="3811" customFormat="false" ht="15" hidden="false" customHeight="false" outlineLevel="0" collapsed="false">
      <c r="A3811" s="0" t="s">
        <v>5576</v>
      </c>
      <c r="B3811" s="0" t="s">
        <v>17</v>
      </c>
      <c r="C3811" s="0" t="s">
        <v>3008</v>
      </c>
      <c r="D3811" s="0" t="s">
        <v>38</v>
      </c>
      <c r="E3811" s="2" t="n">
        <v>45872</v>
      </c>
      <c r="F3811" s="3" t="s">
        <v>20</v>
      </c>
      <c r="G3811" s="3" t="s">
        <v>55</v>
      </c>
      <c r="H3811" s="3" t="s">
        <v>48</v>
      </c>
      <c r="I3811" s="3" t="n">
        <f aca="false">YEAR(E3811)</f>
        <v>2025</v>
      </c>
      <c r="J3811" s="3" t="n">
        <f aca="false">MONTH(E3811)</f>
        <v>8</v>
      </c>
      <c r="K3811" s="3" t="n">
        <f aca="false">COUNTIFS($B$2:$B$4077,B3811,$C$2:$C$4077,C3811,$I$2:$I$4077,I3811)</f>
        <v>1</v>
      </c>
      <c r="L3811" s="3" t="n">
        <f aca="false">IF(COUNTIFS($B$2:B3811,B3811,$C$2:C3811,C3811,$I$2:I3811,I3811)=1,1,0)</f>
        <v>1</v>
      </c>
      <c r="M3811" s="3" t="n">
        <f aca="false">IF(K3811&gt;=Parametri!$B$1,1,0)</f>
        <v>0</v>
      </c>
      <c r="N3811" s="3" t="n">
        <f aca="false">L3811*M3811</f>
        <v>0</v>
      </c>
    </row>
    <row r="3812" customFormat="false" ht="15" hidden="false" customHeight="false" outlineLevel="0" collapsed="false">
      <c r="A3812" s="0" t="s">
        <v>5577</v>
      </c>
      <c r="B3812" s="0" t="s">
        <v>46</v>
      </c>
      <c r="C3812" s="0" t="s">
        <v>1839</v>
      </c>
      <c r="D3812" s="0" t="s">
        <v>33</v>
      </c>
      <c r="E3812" s="2" t="n">
        <v>46015</v>
      </c>
      <c r="F3812" s="3" t="s">
        <v>34</v>
      </c>
      <c r="G3812" s="3" t="s">
        <v>28</v>
      </c>
      <c r="H3812" s="3" t="s">
        <v>29</v>
      </c>
      <c r="I3812" s="3" t="n">
        <f aca="false">YEAR(E3812)</f>
        <v>2025</v>
      </c>
      <c r="J3812" s="3" t="n">
        <f aca="false">MONTH(E3812)</f>
        <v>12</v>
      </c>
      <c r="K3812" s="3" t="n">
        <f aca="false">COUNTIFS($B$2:$B$4077,B3812,$C$2:$C$4077,C3812,$I$2:$I$4077,I3812)</f>
        <v>2</v>
      </c>
      <c r="L3812" s="3" t="n">
        <f aca="false">IF(COUNTIFS($B$2:B3812,B3812,$C$2:C3812,C3812,$I$2:I3812,I3812)=1,1,0)</f>
        <v>0</v>
      </c>
      <c r="M3812" s="3" t="n">
        <f aca="false">IF(K3812&gt;=Parametri!$B$1,1,0)</f>
        <v>1</v>
      </c>
      <c r="N3812" s="3" t="n">
        <f aca="false">L3812*M3812</f>
        <v>0</v>
      </c>
    </row>
    <row r="3813" customFormat="false" ht="15" hidden="false" customHeight="false" outlineLevel="0" collapsed="false">
      <c r="A3813" s="0" t="s">
        <v>5578</v>
      </c>
      <c r="B3813" s="0" t="s">
        <v>46</v>
      </c>
      <c r="C3813" s="0" t="s">
        <v>1883</v>
      </c>
      <c r="D3813" s="0" t="s">
        <v>54</v>
      </c>
      <c r="E3813" s="2" t="n">
        <v>45746</v>
      </c>
      <c r="F3813" s="3" t="s">
        <v>27</v>
      </c>
      <c r="G3813" s="3" t="s">
        <v>35</v>
      </c>
      <c r="H3813" s="3" t="s">
        <v>22</v>
      </c>
      <c r="I3813" s="3" t="n">
        <f aca="false">YEAR(E3813)</f>
        <v>2025</v>
      </c>
      <c r="J3813" s="3" t="n">
        <f aca="false">MONTH(E3813)</f>
        <v>3</v>
      </c>
      <c r="K3813" s="3" t="n">
        <f aca="false">COUNTIFS($B$2:$B$4077,B3813,$C$2:$C$4077,C3813,$I$2:$I$4077,I3813)</f>
        <v>6</v>
      </c>
      <c r="L3813" s="3" t="n">
        <f aca="false">IF(COUNTIFS($B$2:B3813,B3813,$C$2:C3813,C3813,$I$2:I3813,I3813)=1,1,0)</f>
        <v>0</v>
      </c>
      <c r="M3813" s="3" t="n">
        <f aca="false">IF(K3813&gt;=Parametri!$B$1,1,0)</f>
        <v>1</v>
      </c>
      <c r="N3813" s="3" t="n">
        <f aca="false">L3813*M3813</f>
        <v>0</v>
      </c>
    </row>
    <row r="3814" customFormat="false" ht="15" hidden="false" customHeight="false" outlineLevel="0" collapsed="false">
      <c r="A3814" s="0" t="s">
        <v>5579</v>
      </c>
      <c r="B3814" s="0" t="s">
        <v>17</v>
      </c>
      <c r="C3814" s="0" t="s">
        <v>2026</v>
      </c>
      <c r="D3814" s="0" t="s">
        <v>33</v>
      </c>
      <c r="E3814" s="2" t="n">
        <v>45861</v>
      </c>
      <c r="F3814" s="3" t="s">
        <v>20</v>
      </c>
      <c r="G3814" s="3" t="s">
        <v>35</v>
      </c>
      <c r="H3814" s="3" t="s">
        <v>22</v>
      </c>
      <c r="I3814" s="3" t="n">
        <f aca="false">YEAR(E3814)</f>
        <v>2025</v>
      </c>
      <c r="J3814" s="3" t="n">
        <f aca="false">MONTH(E3814)</f>
        <v>7</v>
      </c>
      <c r="K3814" s="3" t="n">
        <f aca="false">COUNTIFS($B$2:$B$4077,B3814,$C$2:$C$4077,C3814,$I$2:$I$4077,I3814)</f>
        <v>1</v>
      </c>
      <c r="L3814" s="3" t="n">
        <f aca="false">IF(COUNTIFS($B$2:B3814,B3814,$C$2:C3814,C3814,$I$2:I3814,I3814)=1,1,0)</f>
        <v>1</v>
      </c>
      <c r="M3814" s="3" t="n">
        <f aca="false">IF(K3814&gt;=Parametri!$B$1,1,0)</f>
        <v>0</v>
      </c>
      <c r="N3814" s="3" t="n">
        <f aca="false">L3814*M3814</f>
        <v>0</v>
      </c>
    </row>
    <row r="3815" customFormat="false" ht="15" hidden="false" customHeight="false" outlineLevel="0" collapsed="false">
      <c r="A3815" s="0" t="s">
        <v>5580</v>
      </c>
      <c r="B3815" s="0" t="s">
        <v>31</v>
      </c>
      <c r="C3815" s="0" t="s">
        <v>5581</v>
      </c>
      <c r="D3815" s="0" t="s">
        <v>38</v>
      </c>
      <c r="E3815" s="2" t="n">
        <v>45539</v>
      </c>
      <c r="F3815" s="3" t="s">
        <v>20</v>
      </c>
      <c r="G3815" s="3" t="s">
        <v>89</v>
      </c>
      <c r="H3815" s="3" t="s">
        <v>48</v>
      </c>
      <c r="I3815" s="3" t="n">
        <f aca="false">YEAR(E3815)</f>
        <v>2024</v>
      </c>
      <c r="J3815" s="3" t="n">
        <f aca="false">MONTH(E3815)</f>
        <v>9</v>
      </c>
      <c r="K3815" s="3" t="n">
        <f aca="false">COUNTIFS($B$2:$B$4077,B3815,$C$2:$C$4077,C3815,$I$2:$I$4077,I3815)</f>
        <v>1</v>
      </c>
      <c r="L3815" s="3" t="n">
        <f aca="false">IF(COUNTIFS($B$2:B3815,B3815,$C$2:C3815,C3815,$I$2:I3815,I3815)=1,1,0)</f>
        <v>1</v>
      </c>
      <c r="M3815" s="3" t="n">
        <f aca="false">IF(K3815&gt;=Parametri!$B$1,1,0)</f>
        <v>0</v>
      </c>
      <c r="N3815" s="3" t="n">
        <f aca="false">L3815*M3815</f>
        <v>0</v>
      </c>
    </row>
    <row r="3816" customFormat="false" ht="15" hidden="false" customHeight="false" outlineLevel="0" collapsed="false">
      <c r="A3816" s="0" t="s">
        <v>5582</v>
      </c>
      <c r="B3816" s="0" t="s">
        <v>68</v>
      </c>
      <c r="C3816" s="0" t="s">
        <v>2497</v>
      </c>
      <c r="D3816" s="0" t="s">
        <v>26</v>
      </c>
      <c r="E3816" s="2" t="n">
        <v>45554</v>
      </c>
      <c r="F3816" s="3" t="s">
        <v>20</v>
      </c>
      <c r="G3816" s="3" t="s">
        <v>21</v>
      </c>
      <c r="H3816" s="3" t="s">
        <v>29</v>
      </c>
      <c r="I3816" s="3" t="n">
        <f aca="false">YEAR(E3816)</f>
        <v>2024</v>
      </c>
      <c r="J3816" s="3" t="n">
        <f aca="false">MONTH(E3816)</f>
        <v>9</v>
      </c>
      <c r="K3816" s="3" t="n">
        <f aca="false">COUNTIFS($B$2:$B$4077,B3816,$C$2:$C$4077,C3816,$I$2:$I$4077,I3816)</f>
        <v>1</v>
      </c>
      <c r="L3816" s="3" t="n">
        <f aca="false">IF(COUNTIFS($B$2:B3816,B3816,$C$2:C3816,C3816,$I$2:I3816,I3816)=1,1,0)</f>
        <v>1</v>
      </c>
      <c r="M3816" s="3" t="n">
        <f aca="false">IF(K3816&gt;=Parametri!$B$1,1,0)</f>
        <v>0</v>
      </c>
      <c r="N3816" s="3" t="n">
        <f aca="false">L3816*M3816</f>
        <v>0</v>
      </c>
    </row>
    <row r="3817" customFormat="false" ht="15" hidden="false" customHeight="false" outlineLevel="0" collapsed="false">
      <c r="A3817" s="0" t="s">
        <v>5583</v>
      </c>
      <c r="B3817" s="0" t="s">
        <v>50</v>
      </c>
      <c r="C3817" s="0" t="s">
        <v>5584</v>
      </c>
      <c r="D3817" s="0" t="s">
        <v>26</v>
      </c>
      <c r="E3817" s="2" t="n">
        <v>45300</v>
      </c>
      <c r="F3817" s="3" t="s">
        <v>34</v>
      </c>
      <c r="G3817" s="3" t="s">
        <v>89</v>
      </c>
      <c r="H3817" s="3" t="s">
        <v>48</v>
      </c>
      <c r="I3817" s="3" t="n">
        <f aca="false">YEAR(E3817)</f>
        <v>2024</v>
      </c>
      <c r="J3817" s="3" t="n">
        <f aca="false">MONTH(E3817)</f>
        <v>1</v>
      </c>
      <c r="K3817" s="3" t="n">
        <f aca="false">COUNTIFS($B$2:$B$4077,B3817,$C$2:$C$4077,C3817,$I$2:$I$4077,I3817)</f>
        <v>1</v>
      </c>
      <c r="L3817" s="3" t="n">
        <f aca="false">IF(COUNTIFS($B$2:B3817,B3817,$C$2:C3817,C3817,$I$2:I3817,I3817)=1,1,0)</f>
        <v>1</v>
      </c>
      <c r="M3817" s="3" t="n">
        <f aca="false">IF(K3817&gt;=Parametri!$B$1,1,0)</f>
        <v>0</v>
      </c>
      <c r="N3817" s="3" t="n">
        <f aca="false">L3817*M3817</f>
        <v>0</v>
      </c>
    </row>
    <row r="3818" customFormat="false" ht="15" hidden="false" customHeight="false" outlineLevel="0" collapsed="false">
      <c r="A3818" s="0" t="s">
        <v>5585</v>
      </c>
      <c r="B3818" s="0" t="s">
        <v>68</v>
      </c>
      <c r="C3818" s="0" t="s">
        <v>730</v>
      </c>
      <c r="D3818" s="0" t="s">
        <v>63</v>
      </c>
      <c r="E3818" s="2" t="n">
        <v>45583</v>
      </c>
      <c r="F3818" s="3" t="s">
        <v>20</v>
      </c>
      <c r="G3818" s="3" t="s">
        <v>89</v>
      </c>
      <c r="H3818" s="3" t="s">
        <v>44</v>
      </c>
      <c r="I3818" s="3" t="n">
        <f aca="false">YEAR(E3818)</f>
        <v>2024</v>
      </c>
      <c r="J3818" s="3" t="n">
        <f aca="false">MONTH(E3818)</f>
        <v>10</v>
      </c>
      <c r="K3818" s="3" t="n">
        <f aca="false">COUNTIFS($B$2:$B$4077,B3818,$C$2:$C$4077,C3818,$I$2:$I$4077,I3818)</f>
        <v>5</v>
      </c>
      <c r="L3818" s="3" t="n">
        <f aca="false">IF(COUNTIFS($B$2:B3818,B3818,$C$2:C3818,C3818,$I$2:I3818,I3818)=1,1,0)</f>
        <v>0</v>
      </c>
      <c r="M3818" s="3" t="n">
        <f aca="false">IF(K3818&gt;=Parametri!$B$1,1,0)</f>
        <v>1</v>
      </c>
      <c r="N3818" s="3" t="n">
        <f aca="false">L3818*M3818</f>
        <v>0</v>
      </c>
    </row>
    <row r="3819" customFormat="false" ht="15" hidden="false" customHeight="false" outlineLevel="0" collapsed="false">
      <c r="A3819" s="0" t="s">
        <v>5586</v>
      </c>
      <c r="B3819" s="0" t="s">
        <v>57</v>
      </c>
      <c r="C3819" s="0" t="s">
        <v>200</v>
      </c>
      <c r="D3819" s="0" t="s">
        <v>54</v>
      </c>
      <c r="E3819" s="2" t="n">
        <v>45834</v>
      </c>
      <c r="F3819" s="3" t="s">
        <v>27</v>
      </c>
      <c r="G3819" s="3" t="s">
        <v>55</v>
      </c>
      <c r="H3819" s="3" t="s">
        <v>29</v>
      </c>
      <c r="I3819" s="3" t="n">
        <f aca="false">YEAR(E3819)</f>
        <v>2025</v>
      </c>
      <c r="J3819" s="3" t="n">
        <f aca="false">MONTH(E3819)</f>
        <v>6</v>
      </c>
      <c r="K3819" s="3" t="n">
        <f aca="false">COUNTIFS($B$2:$B$4077,B3819,$C$2:$C$4077,C3819,$I$2:$I$4077,I3819)</f>
        <v>1</v>
      </c>
      <c r="L3819" s="3" t="n">
        <f aca="false">IF(COUNTIFS($B$2:B3819,B3819,$C$2:C3819,C3819,$I$2:I3819,I3819)=1,1,0)</f>
        <v>1</v>
      </c>
      <c r="M3819" s="3" t="n">
        <f aca="false">IF(K3819&gt;=Parametri!$B$1,1,0)</f>
        <v>0</v>
      </c>
      <c r="N3819" s="3" t="n">
        <f aca="false">L3819*M3819</f>
        <v>0</v>
      </c>
    </row>
    <row r="3820" customFormat="false" ht="15" hidden="false" customHeight="false" outlineLevel="0" collapsed="false">
      <c r="A3820" s="0" t="s">
        <v>5587</v>
      </c>
      <c r="B3820" s="0" t="s">
        <v>124</v>
      </c>
      <c r="C3820" s="0" t="s">
        <v>196</v>
      </c>
      <c r="D3820" s="0" t="s">
        <v>77</v>
      </c>
      <c r="E3820" s="2" t="n">
        <v>45449</v>
      </c>
      <c r="F3820" s="3" t="s">
        <v>27</v>
      </c>
      <c r="G3820" s="3" t="s">
        <v>43</v>
      </c>
      <c r="H3820" s="3" t="s">
        <v>44</v>
      </c>
      <c r="I3820" s="3" t="n">
        <f aca="false">YEAR(E3820)</f>
        <v>2024</v>
      </c>
      <c r="J3820" s="3" t="n">
        <f aca="false">MONTH(E3820)</f>
        <v>6</v>
      </c>
      <c r="K3820" s="3" t="n">
        <f aca="false">COUNTIFS($B$2:$B$4077,B3820,$C$2:$C$4077,C3820,$I$2:$I$4077,I3820)</f>
        <v>8</v>
      </c>
      <c r="L3820" s="3" t="n">
        <f aca="false">IF(COUNTIFS($B$2:B3820,B3820,$C$2:C3820,C3820,$I$2:I3820,I3820)=1,1,0)</f>
        <v>0</v>
      </c>
      <c r="M3820" s="3" t="n">
        <f aca="false">IF(K3820&gt;=Parametri!$B$1,1,0)</f>
        <v>1</v>
      </c>
      <c r="N3820" s="3" t="n">
        <f aca="false">L3820*M3820</f>
        <v>0</v>
      </c>
    </row>
    <row r="3821" customFormat="false" ht="15" hidden="false" customHeight="false" outlineLevel="0" collapsed="false">
      <c r="A3821" s="0" t="s">
        <v>5588</v>
      </c>
      <c r="B3821" s="0" t="s">
        <v>17</v>
      </c>
      <c r="C3821" s="0" t="s">
        <v>208</v>
      </c>
      <c r="D3821" s="0" t="s">
        <v>33</v>
      </c>
      <c r="E3821" s="2" t="n">
        <v>46189</v>
      </c>
      <c r="F3821" s="3" t="s">
        <v>20</v>
      </c>
      <c r="G3821" s="3" t="s">
        <v>55</v>
      </c>
      <c r="H3821" s="3" t="s">
        <v>29</v>
      </c>
      <c r="I3821" s="3" t="n">
        <f aca="false">YEAR(E3821)</f>
        <v>2026</v>
      </c>
      <c r="J3821" s="3" t="n">
        <f aca="false">MONTH(E3821)</f>
        <v>6</v>
      </c>
      <c r="K3821" s="3" t="n">
        <f aca="false">COUNTIFS($B$2:$B$4077,B3821,$C$2:$C$4077,C3821,$I$2:$I$4077,I3821)</f>
        <v>4</v>
      </c>
      <c r="L3821" s="3" t="n">
        <f aca="false">IF(COUNTIFS($B$2:B3821,B3821,$C$2:C3821,C3821,$I$2:I3821,I3821)=1,1,0)</f>
        <v>0</v>
      </c>
      <c r="M3821" s="3" t="n">
        <f aca="false">IF(K3821&gt;=Parametri!$B$1,1,0)</f>
        <v>1</v>
      </c>
      <c r="N3821" s="3" t="n">
        <f aca="false">L3821*M3821</f>
        <v>0</v>
      </c>
    </row>
    <row r="3822" customFormat="false" ht="15" hidden="false" customHeight="false" outlineLevel="0" collapsed="false">
      <c r="A3822" s="0" t="s">
        <v>5589</v>
      </c>
      <c r="B3822" s="0" t="s">
        <v>124</v>
      </c>
      <c r="C3822" s="0" t="s">
        <v>1040</v>
      </c>
      <c r="D3822" s="0" t="s">
        <v>77</v>
      </c>
      <c r="E3822" s="2" t="n">
        <v>45810</v>
      </c>
      <c r="F3822" s="3" t="s">
        <v>20</v>
      </c>
      <c r="G3822" s="3" t="s">
        <v>21</v>
      </c>
      <c r="H3822" s="3" t="s">
        <v>29</v>
      </c>
      <c r="I3822" s="3" t="n">
        <f aca="false">YEAR(E3822)</f>
        <v>2025</v>
      </c>
      <c r="J3822" s="3" t="n">
        <f aca="false">MONTH(E3822)</f>
        <v>6</v>
      </c>
      <c r="K3822" s="3" t="n">
        <f aca="false">COUNTIFS($B$2:$B$4077,B3822,$C$2:$C$4077,C3822,$I$2:$I$4077,I3822)</f>
        <v>3</v>
      </c>
      <c r="L3822" s="3" t="n">
        <f aca="false">IF(COUNTIFS($B$2:B3822,B3822,$C$2:C3822,C3822,$I$2:I3822,I3822)=1,1,0)</f>
        <v>0</v>
      </c>
      <c r="M3822" s="3" t="n">
        <f aca="false">IF(K3822&gt;=Parametri!$B$1,1,0)</f>
        <v>1</v>
      </c>
      <c r="N3822" s="3" t="n">
        <f aca="false">L3822*M3822</f>
        <v>0</v>
      </c>
    </row>
    <row r="3823" customFormat="false" ht="15" hidden="false" customHeight="false" outlineLevel="0" collapsed="false">
      <c r="A3823" s="0" t="s">
        <v>5590</v>
      </c>
      <c r="B3823" s="0" t="s">
        <v>57</v>
      </c>
      <c r="C3823" s="0" t="s">
        <v>2043</v>
      </c>
      <c r="D3823" s="0" t="s">
        <v>77</v>
      </c>
      <c r="E3823" s="2" t="n">
        <v>45903</v>
      </c>
      <c r="F3823" s="3" t="s">
        <v>34</v>
      </c>
      <c r="G3823" s="3" t="s">
        <v>28</v>
      </c>
      <c r="H3823" s="3" t="s">
        <v>22</v>
      </c>
      <c r="I3823" s="3" t="n">
        <f aca="false">YEAR(E3823)</f>
        <v>2025</v>
      </c>
      <c r="J3823" s="3" t="n">
        <f aca="false">MONTH(E3823)</f>
        <v>9</v>
      </c>
      <c r="K3823" s="3" t="n">
        <f aca="false">COUNTIFS($B$2:$B$4077,B3823,$C$2:$C$4077,C3823,$I$2:$I$4077,I3823)</f>
        <v>4</v>
      </c>
      <c r="L3823" s="3" t="n">
        <f aca="false">IF(COUNTIFS($B$2:B3823,B3823,$C$2:C3823,C3823,$I$2:I3823,I3823)=1,1,0)</f>
        <v>0</v>
      </c>
      <c r="M3823" s="3" t="n">
        <f aca="false">IF(K3823&gt;=Parametri!$B$1,1,0)</f>
        <v>1</v>
      </c>
      <c r="N3823" s="3" t="n">
        <f aca="false">L3823*M3823</f>
        <v>0</v>
      </c>
    </row>
    <row r="3824" customFormat="false" ht="15" hidden="false" customHeight="false" outlineLevel="0" collapsed="false">
      <c r="A3824" s="0" t="s">
        <v>5591</v>
      </c>
      <c r="B3824" s="0" t="s">
        <v>124</v>
      </c>
      <c r="C3824" s="0" t="s">
        <v>1916</v>
      </c>
      <c r="D3824" s="0" t="s">
        <v>63</v>
      </c>
      <c r="E3824" s="2" t="n">
        <v>46244</v>
      </c>
      <c r="F3824" s="3" t="s">
        <v>20</v>
      </c>
      <c r="G3824" s="3" t="s">
        <v>104</v>
      </c>
      <c r="H3824" s="3" t="s">
        <v>29</v>
      </c>
      <c r="I3824" s="3" t="n">
        <f aca="false">YEAR(E3824)</f>
        <v>2026</v>
      </c>
      <c r="J3824" s="3" t="n">
        <f aca="false">MONTH(E3824)</f>
        <v>8</v>
      </c>
      <c r="K3824" s="3" t="n">
        <f aca="false">COUNTIFS($B$2:$B$4077,B3824,$C$2:$C$4077,C3824,$I$2:$I$4077,I3824)</f>
        <v>1</v>
      </c>
      <c r="L3824" s="3" t="n">
        <f aca="false">IF(COUNTIFS($B$2:B3824,B3824,$C$2:C3824,C3824,$I$2:I3824,I3824)=1,1,0)</f>
        <v>1</v>
      </c>
      <c r="M3824" s="3" t="n">
        <f aca="false">IF(K3824&gt;=Parametri!$B$1,1,0)</f>
        <v>0</v>
      </c>
      <c r="N3824" s="3" t="n">
        <f aca="false">L3824*M3824</f>
        <v>0</v>
      </c>
    </row>
    <row r="3825" customFormat="false" ht="15" hidden="false" customHeight="false" outlineLevel="0" collapsed="false">
      <c r="A3825" s="0" t="s">
        <v>5592</v>
      </c>
      <c r="B3825" s="0" t="s">
        <v>17</v>
      </c>
      <c r="C3825" s="0" t="s">
        <v>2667</v>
      </c>
      <c r="D3825" s="0" t="s">
        <v>54</v>
      </c>
      <c r="E3825" s="2" t="n">
        <v>45620</v>
      </c>
      <c r="F3825" s="3" t="s">
        <v>20</v>
      </c>
      <c r="G3825" s="3" t="s">
        <v>43</v>
      </c>
      <c r="H3825" s="3" t="s">
        <v>44</v>
      </c>
      <c r="I3825" s="3" t="n">
        <f aca="false">YEAR(E3825)</f>
        <v>2024</v>
      </c>
      <c r="J3825" s="3" t="n">
        <f aca="false">MONTH(E3825)</f>
        <v>11</v>
      </c>
      <c r="K3825" s="3" t="n">
        <f aca="false">COUNTIFS($B$2:$B$4077,B3825,$C$2:$C$4077,C3825,$I$2:$I$4077,I3825)</f>
        <v>1</v>
      </c>
      <c r="L3825" s="3" t="n">
        <f aca="false">IF(COUNTIFS($B$2:B3825,B3825,$C$2:C3825,C3825,$I$2:I3825,I3825)=1,1,0)</f>
        <v>1</v>
      </c>
      <c r="M3825" s="3" t="n">
        <f aca="false">IF(K3825&gt;=Parametri!$B$1,1,0)</f>
        <v>0</v>
      </c>
      <c r="N3825" s="3" t="n">
        <f aca="false">L3825*M3825</f>
        <v>0</v>
      </c>
    </row>
    <row r="3826" customFormat="false" ht="15" hidden="false" customHeight="false" outlineLevel="0" collapsed="false">
      <c r="A3826" s="0" t="s">
        <v>5593</v>
      </c>
      <c r="B3826" s="0" t="s">
        <v>31</v>
      </c>
      <c r="C3826" s="0" t="s">
        <v>341</v>
      </c>
      <c r="D3826" s="0" t="s">
        <v>26</v>
      </c>
      <c r="E3826" s="2" t="n">
        <v>45436</v>
      </c>
      <c r="F3826" s="3" t="s">
        <v>20</v>
      </c>
      <c r="G3826" s="3" t="s">
        <v>35</v>
      </c>
      <c r="H3826" s="3" t="s">
        <v>44</v>
      </c>
      <c r="I3826" s="3" t="n">
        <f aca="false">YEAR(E3826)</f>
        <v>2024</v>
      </c>
      <c r="J3826" s="3" t="n">
        <f aca="false">MONTH(E3826)</f>
        <v>5</v>
      </c>
      <c r="K3826" s="3" t="n">
        <f aca="false">COUNTIFS($B$2:$B$4077,B3826,$C$2:$C$4077,C3826,$I$2:$I$4077,I3826)</f>
        <v>2</v>
      </c>
      <c r="L3826" s="3" t="n">
        <f aca="false">IF(COUNTIFS($B$2:B3826,B3826,$C$2:C3826,C3826,$I$2:I3826,I3826)=1,1,0)</f>
        <v>0</v>
      </c>
      <c r="M3826" s="3" t="n">
        <f aca="false">IF(K3826&gt;=Parametri!$B$1,1,0)</f>
        <v>1</v>
      </c>
      <c r="N3826" s="3" t="n">
        <f aca="false">L3826*M3826</f>
        <v>0</v>
      </c>
    </row>
    <row r="3827" customFormat="false" ht="15" hidden="false" customHeight="false" outlineLevel="0" collapsed="false">
      <c r="A3827" s="0" t="s">
        <v>5594</v>
      </c>
      <c r="B3827" s="0" t="s">
        <v>50</v>
      </c>
      <c r="C3827" s="0" t="s">
        <v>5595</v>
      </c>
      <c r="D3827" s="0" t="s">
        <v>54</v>
      </c>
      <c r="E3827" s="2" t="n">
        <v>45492</v>
      </c>
      <c r="F3827" s="3" t="s">
        <v>27</v>
      </c>
      <c r="G3827" s="3" t="s">
        <v>55</v>
      </c>
      <c r="H3827" s="3" t="s">
        <v>29</v>
      </c>
      <c r="I3827" s="3" t="n">
        <f aca="false">YEAR(E3827)</f>
        <v>2024</v>
      </c>
      <c r="J3827" s="3" t="n">
        <f aca="false">MONTH(E3827)</f>
        <v>7</v>
      </c>
      <c r="K3827" s="3" t="n">
        <f aca="false">COUNTIFS($B$2:$B$4077,B3827,$C$2:$C$4077,C3827,$I$2:$I$4077,I3827)</f>
        <v>1</v>
      </c>
      <c r="L3827" s="3" t="n">
        <f aca="false">IF(COUNTIFS($B$2:B3827,B3827,$C$2:C3827,C3827,$I$2:I3827,I3827)=1,1,0)</f>
        <v>1</v>
      </c>
      <c r="M3827" s="3" t="n">
        <f aca="false">IF(K3827&gt;=Parametri!$B$1,1,0)</f>
        <v>0</v>
      </c>
      <c r="N3827" s="3" t="n">
        <f aca="false">L3827*M3827</f>
        <v>0</v>
      </c>
    </row>
    <row r="3828" customFormat="false" ht="15" hidden="false" customHeight="false" outlineLevel="0" collapsed="false">
      <c r="A3828" s="0" t="s">
        <v>5596</v>
      </c>
      <c r="B3828" s="0" t="s">
        <v>79</v>
      </c>
      <c r="C3828" s="0" t="s">
        <v>1461</v>
      </c>
      <c r="D3828" s="0" t="s">
        <v>38</v>
      </c>
      <c r="E3828" s="2" t="n">
        <v>45540</v>
      </c>
      <c r="F3828" s="3" t="s">
        <v>20</v>
      </c>
      <c r="G3828" s="3" t="s">
        <v>55</v>
      </c>
      <c r="H3828" s="3" t="s">
        <v>48</v>
      </c>
      <c r="I3828" s="3" t="n">
        <f aca="false">YEAR(E3828)</f>
        <v>2024</v>
      </c>
      <c r="J3828" s="3" t="n">
        <f aca="false">MONTH(E3828)</f>
        <v>9</v>
      </c>
      <c r="K3828" s="3" t="n">
        <f aca="false">COUNTIFS($B$2:$B$4077,B3828,$C$2:$C$4077,C3828,$I$2:$I$4077,I3828)</f>
        <v>2</v>
      </c>
      <c r="L3828" s="3" t="n">
        <f aca="false">IF(COUNTIFS($B$2:B3828,B3828,$C$2:C3828,C3828,$I$2:I3828,I3828)=1,1,0)</f>
        <v>0</v>
      </c>
      <c r="M3828" s="3" t="n">
        <f aca="false">IF(K3828&gt;=Parametri!$B$1,1,0)</f>
        <v>1</v>
      </c>
      <c r="N3828" s="3" t="n">
        <f aca="false">L3828*M3828</f>
        <v>0</v>
      </c>
    </row>
    <row r="3829" customFormat="false" ht="15" hidden="false" customHeight="false" outlineLevel="0" collapsed="false">
      <c r="A3829" s="0" t="s">
        <v>5597</v>
      </c>
      <c r="B3829" s="0" t="s">
        <v>50</v>
      </c>
      <c r="C3829" s="0" t="s">
        <v>4834</v>
      </c>
      <c r="D3829" s="0" t="s">
        <v>38</v>
      </c>
      <c r="E3829" s="2" t="n">
        <v>45484</v>
      </c>
      <c r="F3829" s="3" t="s">
        <v>27</v>
      </c>
      <c r="G3829" s="3" t="s">
        <v>39</v>
      </c>
      <c r="H3829" s="3" t="s">
        <v>22</v>
      </c>
      <c r="I3829" s="3" t="n">
        <f aca="false">YEAR(E3829)</f>
        <v>2024</v>
      </c>
      <c r="J3829" s="3" t="n">
        <f aca="false">MONTH(E3829)</f>
        <v>7</v>
      </c>
      <c r="K3829" s="3" t="n">
        <f aca="false">COUNTIFS($B$2:$B$4077,B3829,$C$2:$C$4077,C3829,$I$2:$I$4077,I3829)</f>
        <v>1</v>
      </c>
      <c r="L3829" s="3" t="n">
        <f aca="false">IF(COUNTIFS($B$2:B3829,B3829,$C$2:C3829,C3829,$I$2:I3829,I3829)=1,1,0)</f>
        <v>1</v>
      </c>
      <c r="M3829" s="3" t="n">
        <f aca="false">IF(K3829&gt;=Parametri!$B$1,1,0)</f>
        <v>0</v>
      </c>
      <c r="N3829" s="3" t="n">
        <f aca="false">L3829*M3829</f>
        <v>0</v>
      </c>
    </row>
    <row r="3830" customFormat="false" ht="15" hidden="false" customHeight="false" outlineLevel="0" collapsed="false">
      <c r="A3830" s="0" t="s">
        <v>5598</v>
      </c>
      <c r="B3830" s="0" t="s">
        <v>50</v>
      </c>
      <c r="C3830" s="0" t="s">
        <v>5599</v>
      </c>
      <c r="D3830" s="0" t="s">
        <v>33</v>
      </c>
      <c r="E3830" s="2" t="n">
        <v>45876</v>
      </c>
      <c r="F3830" s="3" t="s">
        <v>27</v>
      </c>
      <c r="G3830" s="3" t="s">
        <v>89</v>
      </c>
      <c r="H3830" s="3" t="s">
        <v>48</v>
      </c>
      <c r="I3830" s="3" t="n">
        <f aca="false">YEAR(E3830)</f>
        <v>2025</v>
      </c>
      <c r="J3830" s="3" t="n">
        <f aca="false">MONTH(E3830)</f>
        <v>8</v>
      </c>
      <c r="K3830" s="3" t="n">
        <f aca="false">COUNTIFS($B$2:$B$4077,B3830,$C$2:$C$4077,C3830,$I$2:$I$4077,I3830)</f>
        <v>1</v>
      </c>
      <c r="L3830" s="3" t="n">
        <f aca="false">IF(COUNTIFS($B$2:B3830,B3830,$C$2:C3830,C3830,$I$2:I3830,I3830)=1,1,0)</f>
        <v>1</v>
      </c>
      <c r="M3830" s="3" t="n">
        <f aca="false">IF(K3830&gt;=Parametri!$B$1,1,0)</f>
        <v>0</v>
      </c>
      <c r="N3830" s="3" t="n">
        <f aca="false">L3830*M3830</f>
        <v>0</v>
      </c>
    </row>
    <row r="3831" customFormat="false" ht="15" hidden="false" customHeight="false" outlineLevel="0" collapsed="false">
      <c r="A3831" s="0" t="s">
        <v>5600</v>
      </c>
      <c r="B3831" s="0" t="s">
        <v>50</v>
      </c>
      <c r="C3831" s="0" t="s">
        <v>5601</v>
      </c>
      <c r="D3831" s="0" t="s">
        <v>54</v>
      </c>
      <c r="E3831" s="2" t="n">
        <v>45998</v>
      </c>
      <c r="F3831" s="3" t="s">
        <v>34</v>
      </c>
      <c r="G3831" s="3" t="s">
        <v>55</v>
      </c>
      <c r="H3831" s="3" t="s">
        <v>44</v>
      </c>
      <c r="I3831" s="3" t="n">
        <f aca="false">YEAR(E3831)</f>
        <v>2025</v>
      </c>
      <c r="J3831" s="3" t="n">
        <f aca="false">MONTH(E3831)</f>
        <v>12</v>
      </c>
      <c r="K3831" s="3" t="n">
        <f aca="false">COUNTIFS($B$2:$B$4077,B3831,$C$2:$C$4077,C3831,$I$2:$I$4077,I3831)</f>
        <v>1</v>
      </c>
      <c r="L3831" s="3" t="n">
        <f aca="false">IF(COUNTIFS($B$2:B3831,B3831,$C$2:C3831,C3831,$I$2:I3831,I3831)=1,1,0)</f>
        <v>1</v>
      </c>
      <c r="M3831" s="3" t="n">
        <f aca="false">IF(K3831&gt;=Parametri!$B$1,1,0)</f>
        <v>0</v>
      </c>
      <c r="N3831" s="3" t="n">
        <f aca="false">L3831*M3831</f>
        <v>0</v>
      </c>
    </row>
    <row r="3832" customFormat="false" ht="15" hidden="false" customHeight="false" outlineLevel="0" collapsed="false">
      <c r="A3832" s="0" t="s">
        <v>5602</v>
      </c>
      <c r="B3832" s="0" t="s">
        <v>79</v>
      </c>
      <c r="C3832" s="0" t="s">
        <v>2679</v>
      </c>
      <c r="D3832" s="0" t="s">
        <v>38</v>
      </c>
      <c r="E3832" s="2" t="n">
        <v>45311</v>
      </c>
      <c r="F3832" s="3" t="s">
        <v>20</v>
      </c>
      <c r="G3832" s="3" t="s">
        <v>55</v>
      </c>
      <c r="H3832" s="3" t="s">
        <v>29</v>
      </c>
      <c r="I3832" s="3" t="n">
        <f aca="false">YEAR(E3832)</f>
        <v>2024</v>
      </c>
      <c r="J3832" s="3" t="n">
        <f aca="false">MONTH(E3832)</f>
        <v>1</v>
      </c>
      <c r="K3832" s="3" t="n">
        <f aca="false">COUNTIFS($B$2:$B$4077,B3832,$C$2:$C$4077,C3832,$I$2:$I$4077,I3832)</f>
        <v>1</v>
      </c>
      <c r="L3832" s="3" t="n">
        <f aca="false">IF(COUNTIFS($B$2:B3832,B3832,$C$2:C3832,C3832,$I$2:I3832,I3832)=1,1,0)</f>
        <v>1</v>
      </c>
      <c r="M3832" s="3" t="n">
        <f aca="false">IF(K3832&gt;=Parametri!$B$1,1,0)</f>
        <v>0</v>
      </c>
      <c r="N3832" s="3" t="n">
        <f aca="false">L3832*M3832</f>
        <v>0</v>
      </c>
    </row>
    <row r="3833" customFormat="false" ht="15" hidden="false" customHeight="false" outlineLevel="0" collapsed="false">
      <c r="A3833" s="0" t="s">
        <v>5603</v>
      </c>
      <c r="B3833" s="0" t="s">
        <v>41</v>
      </c>
      <c r="C3833" s="0" t="s">
        <v>5604</v>
      </c>
      <c r="D3833" s="0" t="s">
        <v>26</v>
      </c>
      <c r="E3833" s="2" t="n">
        <v>45634</v>
      </c>
      <c r="F3833" s="3" t="s">
        <v>20</v>
      </c>
      <c r="G3833" s="3" t="s">
        <v>43</v>
      </c>
      <c r="H3833" s="3" t="s">
        <v>22</v>
      </c>
      <c r="I3833" s="3" t="n">
        <f aca="false">YEAR(E3833)</f>
        <v>2024</v>
      </c>
      <c r="J3833" s="3" t="n">
        <f aca="false">MONTH(E3833)</f>
        <v>12</v>
      </c>
      <c r="K3833" s="3" t="n">
        <f aca="false">COUNTIFS($B$2:$B$4077,B3833,$C$2:$C$4077,C3833,$I$2:$I$4077,I3833)</f>
        <v>1</v>
      </c>
      <c r="L3833" s="3" t="n">
        <f aca="false">IF(COUNTIFS($B$2:B3833,B3833,$C$2:C3833,C3833,$I$2:I3833,I3833)=1,1,0)</f>
        <v>1</v>
      </c>
      <c r="M3833" s="3" t="n">
        <f aca="false">IF(K3833&gt;=Parametri!$B$1,1,0)</f>
        <v>0</v>
      </c>
      <c r="N3833" s="3" t="n">
        <f aca="false">L3833*M3833</f>
        <v>0</v>
      </c>
    </row>
    <row r="3834" customFormat="false" ht="15" hidden="false" customHeight="false" outlineLevel="0" collapsed="false">
      <c r="A3834" s="0" t="s">
        <v>5605</v>
      </c>
      <c r="B3834" s="0" t="s">
        <v>50</v>
      </c>
      <c r="C3834" s="0" t="s">
        <v>2696</v>
      </c>
      <c r="D3834" s="0" t="s">
        <v>26</v>
      </c>
      <c r="E3834" s="2" t="n">
        <v>46010</v>
      </c>
      <c r="F3834" s="3" t="s">
        <v>20</v>
      </c>
      <c r="G3834" s="3" t="s">
        <v>21</v>
      </c>
      <c r="H3834" s="3" t="s">
        <v>44</v>
      </c>
      <c r="I3834" s="3" t="n">
        <f aca="false">YEAR(E3834)</f>
        <v>2025</v>
      </c>
      <c r="J3834" s="3" t="n">
        <f aca="false">MONTH(E3834)</f>
        <v>12</v>
      </c>
      <c r="K3834" s="3" t="n">
        <f aca="false">COUNTIFS($B$2:$B$4077,B3834,$C$2:$C$4077,C3834,$I$2:$I$4077,I3834)</f>
        <v>1</v>
      </c>
      <c r="L3834" s="3" t="n">
        <f aca="false">IF(COUNTIFS($B$2:B3834,B3834,$C$2:C3834,C3834,$I$2:I3834,I3834)=1,1,0)</f>
        <v>1</v>
      </c>
      <c r="M3834" s="3" t="n">
        <f aca="false">IF(K3834&gt;=Parametri!$B$1,1,0)</f>
        <v>0</v>
      </c>
      <c r="N3834" s="3" t="n">
        <f aca="false">L3834*M3834</f>
        <v>0</v>
      </c>
    </row>
    <row r="3835" customFormat="false" ht="15" hidden="false" customHeight="false" outlineLevel="0" collapsed="false">
      <c r="A3835" s="0" t="s">
        <v>5606</v>
      </c>
      <c r="B3835" s="0" t="s">
        <v>124</v>
      </c>
      <c r="C3835" s="0" t="s">
        <v>1040</v>
      </c>
      <c r="D3835" s="0" t="s">
        <v>54</v>
      </c>
      <c r="E3835" s="2" t="n">
        <v>46048</v>
      </c>
      <c r="F3835" s="3" t="s">
        <v>27</v>
      </c>
      <c r="G3835" s="3" t="s">
        <v>28</v>
      </c>
      <c r="H3835" s="3" t="s">
        <v>44</v>
      </c>
      <c r="I3835" s="3" t="n">
        <f aca="false">YEAR(E3835)</f>
        <v>2026</v>
      </c>
      <c r="J3835" s="3" t="n">
        <f aca="false">MONTH(E3835)</f>
        <v>1</v>
      </c>
      <c r="K3835" s="3" t="n">
        <f aca="false">COUNTIFS($B$2:$B$4077,B3835,$C$2:$C$4077,C3835,$I$2:$I$4077,I3835)</f>
        <v>5</v>
      </c>
      <c r="L3835" s="3" t="n">
        <f aca="false">IF(COUNTIFS($B$2:B3835,B3835,$C$2:C3835,C3835,$I$2:I3835,I3835)=1,1,0)</f>
        <v>0</v>
      </c>
      <c r="M3835" s="3" t="n">
        <f aca="false">IF(K3835&gt;=Parametri!$B$1,1,0)</f>
        <v>1</v>
      </c>
      <c r="N3835" s="3" t="n">
        <f aca="false">L3835*M3835</f>
        <v>0</v>
      </c>
    </row>
    <row r="3836" customFormat="false" ht="15" hidden="false" customHeight="false" outlineLevel="0" collapsed="false">
      <c r="A3836" s="0" t="s">
        <v>5607</v>
      </c>
      <c r="B3836" s="0" t="s">
        <v>17</v>
      </c>
      <c r="C3836" s="0" t="s">
        <v>3749</v>
      </c>
      <c r="D3836" s="0" t="s">
        <v>26</v>
      </c>
      <c r="E3836" s="2" t="n">
        <v>46161</v>
      </c>
      <c r="F3836" s="3" t="s">
        <v>20</v>
      </c>
      <c r="G3836" s="3" t="s">
        <v>104</v>
      </c>
      <c r="H3836" s="3" t="s">
        <v>104</v>
      </c>
      <c r="I3836" s="3" t="n">
        <f aca="false">YEAR(E3836)</f>
        <v>2026</v>
      </c>
      <c r="J3836" s="3" t="n">
        <f aca="false">MONTH(E3836)</f>
        <v>5</v>
      </c>
      <c r="K3836" s="3" t="n">
        <f aca="false">COUNTIFS($B$2:$B$4077,B3836,$C$2:$C$4077,C3836,$I$2:$I$4077,I3836)</f>
        <v>2</v>
      </c>
      <c r="L3836" s="3" t="n">
        <f aca="false">IF(COUNTIFS($B$2:B3836,B3836,$C$2:C3836,C3836,$I$2:I3836,I3836)=1,1,0)</f>
        <v>0</v>
      </c>
      <c r="M3836" s="3" t="n">
        <f aca="false">IF(K3836&gt;=Parametri!$B$1,1,0)</f>
        <v>1</v>
      </c>
      <c r="N3836" s="3" t="n">
        <f aca="false">L3836*M3836</f>
        <v>0</v>
      </c>
    </row>
    <row r="3837" customFormat="false" ht="15" hidden="false" customHeight="false" outlineLevel="0" collapsed="false">
      <c r="A3837" s="0" t="s">
        <v>5608</v>
      </c>
      <c r="B3837" s="0" t="s">
        <v>46</v>
      </c>
      <c r="C3837" s="0" t="s">
        <v>1018</v>
      </c>
      <c r="D3837" s="0" t="s">
        <v>26</v>
      </c>
      <c r="E3837" s="2" t="n">
        <v>46245</v>
      </c>
      <c r="F3837" s="3" t="s">
        <v>20</v>
      </c>
      <c r="G3837" s="3" t="s">
        <v>35</v>
      </c>
      <c r="H3837" s="3" t="s">
        <v>22</v>
      </c>
      <c r="I3837" s="3" t="n">
        <f aca="false">YEAR(E3837)</f>
        <v>2026</v>
      </c>
      <c r="J3837" s="3" t="n">
        <f aca="false">MONTH(E3837)</f>
        <v>8</v>
      </c>
      <c r="K3837" s="3" t="n">
        <f aca="false">COUNTIFS($B$2:$B$4077,B3837,$C$2:$C$4077,C3837,$I$2:$I$4077,I3837)</f>
        <v>1</v>
      </c>
      <c r="L3837" s="3" t="n">
        <f aca="false">IF(COUNTIFS($B$2:B3837,B3837,$C$2:C3837,C3837,$I$2:I3837,I3837)=1,1,0)</f>
        <v>1</v>
      </c>
      <c r="M3837" s="3" t="n">
        <f aca="false">IF(K3837&gt;=Parametri!$B$1,1,0)</f>
        <v>0</v>
      </c>
      <c r="N3837" s="3" t="n">
        <f aca="false">L3837*M3837</f>
        <v>0</v>
      </c>
    </row>
    <row r="3838" customFormat="false" ht="15" hidden="false" customHeight="false" outlineLevel="0" collapsed="false">
      <c r="A3838" s="0" t="s">
        <v>5609</v>
      </c>
      <c r="B3838" s="0" t="s">
        <v>79</v>
      </c>
      <c r="C3838" s="0" t="s">
        <v>1777</v>
      </c>
      <c r="D3838" s="0" t="s">
        <v>19</v>
      </c>
      <c r="E3838" s="2" t="n">
        <v>46208</v>
      </c>
      <c r="F3838" s="3" t="s">
        <v>20</v>
      </c>
      <c r="G3838" s="3" t="s">
        <v>28</v>
      </c>
      <c r="H3838" s="3" t="s">
        <v>22</v>
      </c>
      <c r="I3838" s="3" t="n">
        <f aca="false">YEAR(E3838)</f>
        <v>2026</v>
      </c>
      <c r="J3838" s="3" t="n">
        <f aca="false">MONTH(E3838)</f>
        <v>7</v>
      </c>
      <c r="K3838" s="3" t="n">
        <f aca="false">COUNTIFS($B$2:$B$4077,B3838,$C$2:$C$4077,C3838,$I$2:$I$4077,I3838)</f>
        <v>1</v>
      </c>
      <c r="L3838" s="3" t="n">
        <f aca="false">IF(COUNTIFS($B$2:B3838,B3838,$C$2:C3838,C3838,$I$2:I3838,I3838)=1,1,0)</f>
        <v>1</v>
      </c>
      <c r="M3838" s="3" t="n">
        <f aca="false">IF(K3838&gt;=Parametri!$B$1,1,0)</f>
        <v>0</v>
      </c>
      <c r="N3838" s="3" t="n">
        <f aca="false">L3838*M3838</f>
        <v>0</v>
      </c>
    </row>
    <row r="3839" customFormat="false" ht="15" hidden="false" customHeight="false" outlineLevel="0" collapsed="false">
      <c r="A3839" s="0" t="s">
        <v>5610</v>
      </c>
      <c r="B3839" s="0" t="s">
        <v>68</v>
      </c>
      <c r="C3839" s="0" t="s">
        <v>5611</v>
      </c>
      <c r="D3839" s="0" t="s">
        <v>77</v>
      </c>
      <c r="E3839" s="2" t="n">
        <v>45533</v>
      </c>
      <c r="F3839" s="3" t="s">
        <v>20</v>
      </c>
      <c r="G3839" s="3" t="s">
        <v>89</v>
      </c>
      <c r="H3839" s="3" t="s">
        <v>44</v>
      </c>
      <c r="I3839" s="3" t="n">
        <f aca="false">YEAR(E3839)</f>
        <v>2024</v>
      </c>
      <c r="J3839" s="3" t="n">
        <f aca="false">MONTH(E3839)</f>
        <v>8</v>
      </c>
      <c r="K3839" s="3" t="n">
        <f aca="false">COUNTIFS($B$2:$B$4077,B3839,$C$2:$C$4077,C3839,$I$2:$I$4077,I3839)</f>
        <v>1</v>
      </c>
      <c r="L3839" s="3" t="n">
        <f aca="false">IF(COUNTIFS($B$2:B3839,B3839,$C$2:C3839,C3839,$I$2:I3839,I3839)=1,1,0)</f>
        <v>1</v>
      </c>
      <c r="M3839" s="3" t="n">
        <f aca="false">IF(K3839&gt;=Parametri!$B$1,1,0)</f>
        <v>0</v>
      </c>
      <c r="N3839" s="3" t="n">
        <f aca="false">L3839*M3839</f>
        <v>0</v>
      </c>
    </row>
    <row r="3840" customFormat="false" ht="15" hidden="false" customHeight="false" outlineLevel="0" collapsed="false">
      <c r="A3840" s="0" t="s">
        <v>5612</v>
      </c>
      <c r="B3840" s="0" t="s">
        <v>79</v>
      </c>
      <c r="C3840" s="0" t="s">
        <v>4045</v>
      </c>
      <c r="D3840" s="0" t="s">
        <v>33</v>
      </c>
      <c r="E3840" s="2" t="n">
        <v>45735</v>
      </c>
      <c r="F3840" s="3" t="s">
        <v>20</v>
      </c>
      <c r="G3840" s="3" t="s">
        <v>89</v>
      </c>
      <c r="H3840" s="3" t="s">
        <v>29</v>
      </c>
      <c r="I3840" s="3" t="n">
        <f aca="false">YEAR(E3840)</f>
        <v>2025</v>
      </c>
      <c r="J3840" s="3" t="n">
        <f aca="false">MONTH(E3840)</f>
        <v>3</v>
      </c>
      <c r="K3840" s="3" t="n">
        <f aca="false">COUNTIFS($B$2:$B$4077,B3840,$C$2:$C$4077,C3840,$I$2:$I$4077,I3840)</f>
        <v>2</v>
      </c>
      <c r="L3840" s="3" t="n">
        <f aca="false">IF(COUNTIFS($B$2:B3840,B3840,$C$2:C3840,C3840,$I$2:I3840,I3840)=1,1,0)</f>
        <v>0</v>
      </c>
      <c r="M3840" s="3" t="n">
        <f aca="false">IF(K3840&gt;=Parametri!$B$1,1,0)</f>
        <v>1</v>
      </c>
      <c r="N3840" s="3" t="n">
        <f aca="false">L3840*M3840</f>
        <v>0</v>
      </c>
    </row>
    <row r="3841" customFormat="false" ht="15" hidden="false" customHeight="false" outlineLevel="0" collapsed="false">
      <c r="A3841" s="0" t="s">
        <v>5613</v>
      </c>
      <c r="B3841" s="0" t="s">
        <v>124</v>
      </c>
      <c r="C3841" s="0" t="s">
        <v>235</v>
      </c>
      <c r="D3841" s="0" t="s">
        <v>19</v>
      </c>
      <c r="E3841" s="2" t="n">
        <v>45407</v>
      </c>
      <c r="F3841" s="3" t="s">
        <v>20</v>
      </c>
      <c r="G3841" s="3" t="s">
        <v>35</v>
      </c>
      <c r="H3841" s="3" t="s">
        <v>29</v>
      </c>
      <c r="I3841" s="3" t="n">
        <f aca="false">YEAR(E3841)</f>
        <v>2024</v>
      </c>
      <c r="J3841" s="3" t="n">
        <f aca="false">MONTH(E3841)</f>
        <v>4</v>
      </c>
      <c r="K3841" s="3" t="n">
        <f aca="false">COUNTIFS($B$2:$B$4077,B3841,$C$2:$C$4077,C3841,$I$2:$I$4077,I3841)</f>
        <v>2</v>
      </c>
      <c r="L3841" s="3" t="n">
        <f aca="false">IF(COUNTIFS($B$2:B3841,B3841,$C$2:C3841,C3841,$I$2:I3841,I3841)=1,1,0)</f>
        <v>0</v>
      </c>
      <c r="M3841" s="3" t="n">
        <f aca="false">IF(K3841&gt;=Parametri!$B$1,1,0)</f>
        <v>1</v>
      </c>
      <c r="N3841" s="3" t="n">
        <f aca="false">L3841*M3841</f>
        <v>0</v>
      </c>
    </row>
    <row r="3842" customFormat="false" ht="15" hidden="false" customHeight="false" outlineLevel="0" collapsed="false">
      <c r="A3842" s="0" t="s">
        <v>5614</v>
      </c>
      <c r="B3842" s="0" t="s">
        <v>24</v>
      </c>
      <c r="C3842" s="0" t="s">
        <v>82</v>
      </c>
      <c r="D3842" s="0" t="s">
        <v>38</v>
      </c>
      <c r="E3842" s="2" t="n">
        <v>45387</v>
      </c>
      <c r="F3842" s="3" t="s">
        <v>20</v>
      </c>
      <c r="G3842" s="3" t="s">
        <v>43</v>
      </c>
      <c r="H3842" s="3" t="s">
        <v>22</v>
      </c>
      <c r="I3842" s="3" t="n">
        <f aca="false">YEAR(E3842)</f>
        <v>2024</v>
      </c>
      <c r="J3842" s="3" t="n">
        <f aca="false">MONTH(E3842)</f>
        <v>4</v>
      </c>
      <c r="K3842" s="3" t="n">
        <f aca="false">COUNTIFS($B$2:$B$4077,B3842,$C$2:$C$4077,C3842,$I$2:$I$4077,I3842)</f>
        <v>6</v>
      </c>
      <c r="L3842" s="3" t="n">
        <f aca="false">IF(COUNTIFS($B$2:B3842,B3842,$C$2:C3842,C3842,$I$2:I3842,I3842)=1,1,0)</f>
        <v>0</v>
      </c>
      <c r="M3842" s="3" t="n">
        <f aca="false">IF(K3842&gt;=Parametri!$B$1,1,0)</f>
        <v>1</v>
      </c>
      <c r="N3842" s="3" t="n">
        <f aca="false">L3842*M3842</f>
        <v>0</v>
      </c>
    </row>
    <row r="3843" customFormat="false" ht="15" hidden="false" customHeight="false" outlineLevel="0" collapsed="false">
      <c r="A3843" s="0" t="s">
        <v>5615</v>
      </c>
      <c r="B3843" s="0" t="s">
        <v>31</v>
      </c>
      <c r="C3843" s="0" t="s">
        <v>1679</v>
      </c>
      <c r="D3843" s="0" t="s">
        <v>77</v>
      </c>
      <c r="E3843" s="2" t="n">
        <v>45734</v>
      </c>
      <c r="F3843" s="3" t="s">
        <v>20</v>
      </c>
      <c r="G3843" s="3" t="s">
        <v>35</v>
      </c>
      <c r="H3843" s="3" t="s">
        <v>22</v>
      </c>
      <c r="I3843" s="3" t="n">
        <f aca="false">YEAR(E3843)</f>
        <v>2025</v>
      </c>
      <c r="J3843" s="3" t="n">
        <f aca="false">MONTH(E3843)</f>
        <v>3</v>
      </c>
      <c r="K3843" s="3" t="n">
        <f aca="false">COUNTIFS($B$2:$B$4077,B3843,$C$2:$C$4077,C3843,$I$2:$I$4077,I3843)</f>
        <v>2</v>
      </c>
      <c r="L3843" s="3" t="n">
        <f aca="false">IF(COUNTIFS($B$2:B3843,B3843,$C$2:C3843,C3843,$I$2:I3843,I3843)=1,1,0)</f>
        <v>0</v>
      </c>
      <c r="M3843" s="3" t="n">
        <f aca="false">IF(K3843&gt;=Parametri!$B$1,1,0)</f>
        <v>1</v>
      </c>
      <c r="N3843" s="3" t="n">
        <f aca="false">L3843*M3843</f>
        <v>0</v>
      </c>
    </row>
    <row r="3844" customFormat="false" ht="15" hidden="false" customHeight="false" outlineLevel="0" collapsed="false">
      <c r="A3844" s="0" t="s">
        <v>5616</v>
      </c>
      <c r="B3844" s="0" t="s">
        <v>57</v>
      </c>
      <c r="C3844" s="0" t="s">
        <v>1054</v>
      </c>
      <c r="D3844" s="0" t="s">
        <v>19</v>
      </c>
      <c r="E3844" s="2" t="n">
        <v>46106</v>
      </c>
      <c r="F3844" s="3" t="s">
        <v>20</v>
      </c>
      <c r="G3844" s="3" t="s">
        <v>21</v>
      </c>
      <c r="H3844" s="3" t="s">
        <v>48</v>
      </c>
      <c r="I3844" s="3" t="n">
        <f aca="false">YEAR(E3844)</f>
        <v>2026</v>
      </c>
      <c r="J3844" s="3" t="n">
        <f aca="false">MONTH(E3844)</f>
        <v>3</v>
      </c>
      <c r="K3844" s="3" t="n">
        <f aca="false">COUNTIFS($B$2:$B$4077,B3844,$C$2:$C$4077,C3844,$I$2:$I$4077,I3844)</f>
        <v>2</v>
      </c>
      <c r="L3844" s="3" t="n">
        <f aca="false">IF(COUNTIFS($B$2:B3844,B3844,$C$2:C3844,C3844,$I$2:I3844,I3844)=1,1,0)</f>
        <v>0</v>
      </c>
      <c r="M3844" s="3" t="n">
        <f aca="false">IF(K3844&gt;=Parametri!$B$1,1,0)</f>
        <v>1</v>
      </c>
      <c r="N3844" s="3" t="n">
        <f aca="false">L3844*M3844</f>
        <v>0</v>
      </c>
    </row>
    <row r="3845" customFormat="false" ht="15" hidden="false" customHeight="false" outlineLevel="0" collapsed="false">
      <c r="A3845" s="0" t="s">
        <v>5617</v>
      </c>
      <c r="B3845" s="0" t="s">
        <v>50</v>
      </c>
      <c r="C3845" s="0" t="s">
        <v>5618</v>
      </c>
      <c r="D3845" s="0" t="s">
        <v>54</v>
      </c>
      <c r="E3845" s="2" t="n">
        <v>45807</v>
      </c>
      <c r="F3845" s="3" t="s">
        <v>20</v>
      </c>
      <c r="G3845" s="3" t="s">
        <v>43</v>
      </c>
      <c r="H3845" s="3" t="s">
        <v>48</v>
      </c>
      <c r="I3845" s="3" t="n">
        <f aca="false">YEAR(E3845)</f>
        <v>2025</v>
      </c>
      <c r="J3845" s="3" t="n">
        <f aca="false">MONTH(E3845)</f>
        <v>5</v>
      </c>
      <c r="K3845" s="3" t="n">
        <f aca="false">COUNTIFS($B$2:$B$4077,B3845,$C$2:$C$4077,C3845,$I$2:$I$4077,I3845)</f>
        <v>1</v>
      </c>
      <c r="L3845" s="3" t="n">
        <f aca="false">IF(COUNTIFS($B$2:B3845,B3845,$C$2:C3845,C3845,$I$2:I3845,I3845)=1,1,0)</f>
        <v>1</v>
      </c>
      <c r="M3845" s="3" t="n">
        <f aca="false">IF(K3845&gt;=Parametri!$B$1,1,0)</f>
        <v>0</v>
      </c>
      <c r="N3845" s="3" t="n">
        <f aca="false">L3845*M3845</f>
        <v>0</v>
      </c>
    </row>
    <row r="3846" customFormat="false" ht="15" hidden="false" customHeight="false" outlineLevel="0" collapsed="false">
      <c r="A3846" s="0" t="s">
        <v>5619</v>
      </c>
      <c r="B3846" s="0" t="s">
        <v>46</v>
      </c>
      <c r="C3846" s="0" t="s">
        <v>4776</v>
      </c>
      <c r="D3846" s="0" t="s">
        <v>26</v>
      </c>
      <c r="E3846" s="2" t="n">
        <v>45318</v>
      </c>
      <c r="F3846" s="3" t="s">
        <v>34</v>
      </c>
      <c r="G3846" s="3" t="s">
        <v>28</v>
      </c>
      <c r="H3846" s="3" t="s">
        <v>22</v>
      </c>
      <c r="I3846" s="3" t="n">
        <f aca="false">YEAR(E3846)</f>
        <v>2024</v>
      </c>
      <c r="J3846" s="3" t="n">
        <f aca="false">MONTH(E3846)</f>
        <v>1</v>
      </c>
      <c r="K3846" s="3" t="n">
        <f aca="false">COUNTIFS($B$2:$B$4077,B3846,$C$2:$C$4077,C3846,$I$2:$I$4077,I3846)</f>
        <v>2</v>
      </c>
      <c r="L3846" s="3" t="n">
        <f aca="false">IF(COUNTIFS($B$2:B3846,B3846,$C$2:C3846,C3846,$I$2:I3846,I3846)=1,1,0)</f>
        <v>0</v>
      </c>
      <c r="M3846" s="3" t="n">
        <f aca="false">IF(K3846&gt;=Parametri!$B$1,1,0)</f>
        <v>1</v>
      </c>
      <c r="N3846" s="3" t="n">
        <f aca="false">L3846*M3846</f>
        <v>0</v>
      </c>
    </row>
    <row r="3847" customFormat="false" ht="15" hidden="false" customHeight="false" outlineLevel="0" collapsed="false">
      <c r="A3847" s="0" t="s">
        <v>5620</v>
      </c>
      <c r="B3847" s="0" t="s">
        <v>79</v>
      </c>
      <c r="C3847" s="0" t="s">
        <v>3216</v>
      </c>
      <c r="D3847" s="0" t="s">
        <v>63</v>
      </c>
      <c r="E3847" s="2" t="n">
        <v>45850</v>
      </c>
      <c r="F3847" s="3" t="s">
        <v>27</v>
      </c>
      <c r="G3847" s="3" t="s">
        <v>72</v>
      </c>
      <c r="H3847" s="3" t="s">
        <v>22</v>
      </c>
      <c r="I3847" s="3" t="n">
        <f aca="false">YEAR(E3847)</f>
        <v>2025</v>
      </c>
      <c r="J3847" s="3" t="n">
        <f aca="false">MONTH(E3847)</f>
        <v>7</v>
      </c>
      <c r="K3847" s="3" t="n">
        <f aca="false">COUNTIFS($B$2:$B$4077,B3847,$C$2:$C$4077,C3847,$I$2:$I$4077,I3847)</f>
        <v>2</v>
      </c>
      <c r="L3847" s="3" t="n">
        <f aca="false">IF(COUNTIFS($B$2:B3847,B3847,$C$2:C3847,C3847,$I$2:I3847,I3847)=1,1,0)</f>
        <v>0</v>
      </c>
      <c r="M3847" s="3" t="n">
        <f aca="false">IF(K3847&gt;=Parametri!$B$1,1,0)</f>
        <v>1</v>
      </c>
      <c r="N3847" s="3" t="n">
        <f aca="false">L3847*M3847</f>
        <v>0</v>
      </c>
    </row>
    <row r="3848" customFormat="false" ht="15" hidden="false" customHeight="false" outlineLevel="0" collapsed="false">
      <c r="A3848" s="0" t="s">
        <v>5621</v>
      </c>
      <c r="B3848" s="0" t="s">
        <v>79</v>
      </c>
      <c r="C3848" s="0" t="s">
        <v>883</v>
      </c>
      <c r="D3848" s="0" t="s">
        <v>19</v>
      </c>
      <c r="E3848" s="2" t="n">
        <v>45941</v>
      </c>
      <c r="F3848" s="3" t="s">
        <v>20</v>
      </c>
      <c r="G3848" s="3" t="s">
        <v>43</v>
      </c>
      <c r="H3848" s="3" t="s">
        <v>22</v>
      </c>
      <c r="I3848" s="3" t="n">
        <f aca="false">YEAR(E3848)</f>
        <v>2025</v>
      </c>
      <c r="J3848" s="3" t="n">
        <f aca="false">MONTH(E3848)</f>
        <v>10</v>
      </c>
      <c r="K3848" s="3" t="n">
        <f aca="false">COUNTIFS($B$2:$B$4077,B3848,$C$2:$C$4077,C3848,$I$2:$I$4077,I3848)</f>
        <v>3</v>
      </c>
      <c r="L3848" s="3" t="n">
        <f aca="false">IF(COUNTIFS($B$2:B3848,B3848,$C$2:C3848,C3848,$I$2:I3848,I3848)=1,1,0)</f>
        <v>0</v>
      </c>
      <c r="M3848" s="3" t="n">
        <f aca="false">IF(K3848&gt;=Parametri!$B$1,1,0)</f>
        <v>1</v>
      </c>
      <c r="N3848" s="3" t="n">
        <f aca="false">L3848*M3848</f>
        <v>0</v>
      </c>
    </row>
    <row r="3849" customFormat="false" ht="15" hidden="false" customHeight="false" outlineLevel="0" collapsed="false">
      <c r="A3849" s="0" t="s">
        <v>5622</v>
      </c>
      <c r="B3849" s="0" t="s">
        <v>31</v>
      </c>
      <c r="C3849" s="0" t="s">
        <v>2527</v>
      </c>
      <c r="D3849" s="0" t="s">
        <v>38</v>
      </c>
      <c r="E3849" s="2" t="n">
        <v>45647</v>
      </c>
      <c r="F3849" s="3" t="s">
        <v>20</v>
      </c>
      <c r="G3849" s="3" t="s">
        <v>43</v>
      </c>
      <c r="H3849" s="3" t="s">
        <v>29</v>
      </c>
      <c r="I3849" s="3" t="n">
        <f aca="false">YEAR(E3849)</f>
        <v>2024</v>
      </c>
      <c r="J3849" s="3" t="n">
        <f aca="false">MONTH(E3849)</f>
        <v>12</v>
      </c>
      <c r="K3849" s="3" t="n">
        <f aca="false">COUNTIFS($B$2:$B$4077,B3849,$C$2:$C$4077,C3849,$I$2:$I$4077,I3849)</f>
        <v>2</v>
      </c>
      <c r="L3849" s="3" t="n">
        <f aca="false">IF(COUNTIFS($B$2:B3849,B3849,$C$2:C3849,C3849,$I$2:I3849,I3849)=1,1,0)</f>
        <v>0</v>
      </c>
      <c r="M3849" s="3" t="n">
        <f aca="false">IF(K3849&gt;=Parametri!$B$1,1,0)</f>
        <v>1</v>
      </c>
      <c r="N3849" s="3" t="n">
        <f aca="false">L3849*M3849</f>
        <v>0</v>
      </c>
    </row>
    <row r="3850" customFormat="false" ht="15" hidden="false" customHeight="false" outlineLevel="0" collapsed="false">
      <c r="A3850" s="0" t="s">
        <v>5623</v>
      </c>
      <c r="B3850" s="0" t="s">
        <v>31</v>
      </c>
      <c r="C3850" s="0" t="s">
        <v>5624</v>
      </c>
      <c r="D3850" s="0" t="s">
        <v>66</v>
      </c>
      <c r="E3850" s="2" t="n">
        <v>46017</v>
      </c>
      <c r="F3850" s="3" t="s">
        <v>20</v>
      </c>
      <c r="G3850" s="3" t="s">
        <v>28</v>
      </c>
      <c r="H3850" s="3" t="s">
        <v>44</v>
      </c>
      <c r="I3850" s="3" t="n">
        <f aca="false">YEAR(E3850)</f>
        <v>2025</v>
      </c>
      <c r="J3850" s="3" t="n">
        <f aca="false">MONTH(E3850)</f>
        <v>12</v>
      </c>
      <c r="K3850" s="3" t="n">
        <f aca="false">COUNTIFS($B$2:$B$4077,B3850,$C$2:$C$4077,C3850,$I$2:$I$4077,I3850)</f>
        <v>1</v>
      </c>
      <c r="L3850" s="3" t="n">
        <f aca="false">IF(COUNTIFS($B$2:B3850,B3850,$C$2:C3850,C3850,$I$2:I3850,I3850)=1,1,0)</f>
        <v>1</v>
      </c>
      <c r="M3850" s="3" t="n">
        <f aca="false">IF(K3850&gt;=Parametri!$B$1,1,0)</f>
        <v>0</v>
      </c>
      <c r="N3850" s="3" t="n">
        <f aca="false">L3850*M3850</f>
        <v>0</v>
      </c>
    </row>
    <row r="3851" customFormat="false" ht="15" hidden="false" customHeight="false" outlineLevel="0" collapsed="false">
      <c r="A3851" s="0" t="s">
        <v>5625</v>
      </c>
      <c r="B3851" s="0" t="s">
        <v>31</v>
      </c>
      <c r="C3851" s="0" t="s">
        <v>475</v>
      </c>
      <c r="D3851" s="0" t="s">
        <v>19</v>
      </c>
      <c r="E3851" s="2" t="n">
        <v>45735</v>
      </c>
      <c r="F3851" s="3" t="s">
        <v>20</v>
      </c>
      <c r="G3851" s="3" t="s">
        <v>72</v>
      </c>
      <c r="H3851" s="3" t="s">
        <v>29</v>
      </c>
      <c r="I3851" s="3" t="n">
        <f aca="false">YEAR(E3851)</f>
        <v>2025</v>
      </c>
      <c r="J3851" s="3" t="n">
        <f aca="false">MONTH(E3851)</f>
        <v>3</v>
      </c>
      <c r="K3851" s="3" t="n">
        <f aca="false">COUNTIFS($B$2:$B$4077,B3851,$C$2:$C$4077,C3851,$I$2:$I$4077,I3851)</f>
        <v>3</v>
      </c>
      <c r="L3851" s="3" t="n">
        <f aca="false">IF(COUNTIFS($B$2:B3851,B3851,$C$2:C3851,C3851,$I$2:I3851,I3851)=1,1,0)</f>
        <v>0</v>
      </c>
      <c r="M3851" s="3" t="n">
        <f aca="false">IF(K3851&gt;=Parametri!$B$1,1,0)</f>
        <v>1</v>
      </c>
      <c r="N3851" s="3" t="n">
        <f aca="false">L3851*M3851</f>
        <v>0</v>
      </c>
    </row>
    <row r="3852" customFormat="false" ht="15" hidden="false" customHeight="false" outlineLevel="0" collapsed="false">
      <c r="A3852" s="0" t="s">
        <v>5626</v>
      </c>
      <c r="B3852" s="0" t="s">
        <v>57</v>
      </c>
      <c r="C3852" s="0" t="s">
        <v>1247</v>
      </c>
      <c r="D3852" s="0" t="s">
        <v>66</v>
      </c>
      <c r="E3852" s="2" t="n">
        <v>45644</v>
      </c>
      <c r="F3852" s="3" t="s">
        <v>34</v>
      </c>
      <c r="G3852" s="3" t="s">
        <v>35</v>
      </c>
      <c r="H3852" s="3" t="s">
        <v>48</v>
      </c>
      <c r="I3852" s="3" t="n">
        <f aca="false">YEAR(E3852)</f>
        <v>2024</v>
      </c>
      <c r="J3852" s="3" t="n">
        <f aca="false">MONTH(E3852)</f>
        <v>12</v>
      </c>
      <c r="K3852" s="3" t="n">
        <f aca="false">COUNTIFS($B$2:$B$4077,B3852,$C$2:$C$4077,C3852,$I$2:$I$4077,I3852)</f>
        <v>3</v>
      </c>
      <c r="L3852" s="3" t="n">
        <f aca="false">IF(COUNTIFS($B$2:B3852,B3852,$C$2:C3852,C3852,$I$2:I3852,I3852)=1,1,0)</f>
        <v>0</v>
      </c>
      <c r="M3852" s="3" t="n">
        <f aca="false">IF(K3852&gt;=Parametri!$B$1,1,0)</f>
        <v>1</v>
      </c>
      <c r="N3852" s="3" t="n">
        <f aca="false">L3852*M3852</f>
        <v>0</v>
      </c>
    </row>
    <row r="3853" customFormat="false" ht="15" hidden="false" customHeight="false" outlineLevel="0" collapsed="false">
      <c r="A3853" s="0" t="s">
        <v>5627</v>
      </c>
      <c r="B3853" s="0" t="s">
        <v>79</v>
      </c>
      <c r="C3853" s="0" t="s">
        <v>149</v>
      </c>
      <c r="D3853" s="0" t="s">
        <v>19</v>
      </c>
      <c r="E3853" s="2" t="n">
        <v>46145</v>
      </c>
      <c r="F3853" s="3" t="s">
        <v>27</v>
      </c>
      <c r="G3853" s="3" t="s">
        <v>35</v>
      </c>
      <c r="H3853" s="3" t="s">
        <v>22</v>
      </c>
      <c r="I3853" s="3" t="n">
        <f aca="false">YEAR(E3853)</f>
        <v>2026</v>
      </c>
      <c r="J3853" s="3" t="n">
        <f aca="false">MONTH(E3853)</f>
        <v>5</v>
      </c>
      <c r="K3853" s="3" t="n">
        <f aca="false">COUNTIFS($B$2:$B$4077,B3853,$C$2:$C$4077,C3853,$I$2:$I$4077,I3853)</f>
        <v>2</v>
      </c>
      <c r="L3853" s="3" t="n">
        <f aca="false">IF(COUNTIFS($B$2:B3853,B3853,$C$2:C3853,C3853,$I$2:I3853,I3853)=1,1,0)</f>
        <v>0</v>
      </c>
      <c r="M3853" s="3" t="n">
        <f aca="false">IF(K3853&gt;=Parametri!$B$1,1,0)</f>
        <v>1</v>
      </c>
      <c r="N3853" s="3" t="n">
        <f aca="false">L3853*M3853</f>
        <v>0</v>
      </c>
    </row>
    <row r="3854" customFormat="false" ht="15" hidden="false" customHeight="false" outlineLevel="0" collapsed="false">
      <c r="A3854" s="0" t="s">
        <v>5628</v>
      </c>
      <c r="B3854" s="0" t="s">
        <v>50</v>
      </c>
      <c r="C3854" s="0" t="s">
        <v>3992</v>
      </c>
      <c r="D3854" s="0" t="s">
        <v>19</v>
      </c>
      <c r="E3854" s="2" t="n">
        <v>45975</v>
      </c>
      <c r="F3854" s="3" t="s">
        <v>20</v>
      </c>
      <c r="G3854" s="3" t="s">
        <v>55</v>
      </c>
      <c r="H3854" s="3" t="s">
        <v>22</v>
      </c>
      <c r="I3854" s="3" t="n">
        <f aca="false">YEAR(E3854)</f>
        <v>2025</v>
      </c>
      <c r="J3854" s="3" t="n">
        <f aca="false">MONTH(E3854)</f>
        <v>11</v>
      </c>
      <c r="K3854" s="3" t="n">
        <f aca="false">COUNTIFS($B$2:$B$4077,B3854,$C$2:$C$4077,C3854,$I$2:$I$4077,I3854)</f>
        <v>1</v>
      </c>
      <c r="L3854" s="3" t="n">
        <f aca="false">IF(COUNTIFS($B$2:B3854,B3854,$C$2:C3854,C3854,$I$2:I3854,I3854)=1,1,0)</f>
        <v>1</v>
      </c>
      <c r="M3854" s="3" t="n">
        <f aca="false">IF(K3854&gt;=Parametri!$B$1,1,0)</f>
        <v>0</v>
      </c>
      <c r="N3854" s="3" t="n">
        <f aca="false">L3854*M3854</f>
        <v>0</v>
      </c>
    </row>
    <row r="3855" customFormat="false" ht="15" hidden="false" customHeight="false" outlineLevel="0" collapsed="false">
      <c r="A3855" s="0" t="s">
        <v>5629</v>
      </c>
      <c r="B3855" s="0" t="s">
        <v>31</v>
      </c>
      <c r="C3855" s="0" t="s">
        <v>3338</v>
      </c>
      <c r="D3855" s="0" t="s">
        <v>19</v>
      </c>
      <c r="E3855" s="2" t="n">
        <v>45657</v>
      </c>
      <c r="F3855" s="3" t="s">
        <v>20</v>
      </c>
      <c r="G3855" s="3" t="s">
        <v>104</v>
      </c>
      <c r="H3855" s="3" t="s">
        <v>48</v>
      </c>
      <c r="I3855" s="3" t="n">
        <f aca="false">YEAR(E3855)</f>
        <v>2024</v>
      </c>
      <c r="J3855" s="3" t="n">
        <f aca="false">MONTH(E3855)</f>
        <v>12</v>
      </c>
      <c r="K3855" s="3" t="n">
        <f aca="false">COUNTIFS($B$2:$B$4077,B3855,$C$2:$C$4077,C3855,$I$2:$I$4077,I3855)</f>
        <v>2</v>
      </c>
      <c r="L3855" s="3" t="n">
        <f aca="false">IF(COUNTIFS($B$2:B3855,B3855,$C$2:C3855,C3855,$I$2:I3855,I3855)=1,1,0)</f>
        <v>1</v>
      </c>
      <c r="M3855" s="3" t="n">
        <f aca="false">IF(K3855&gt;=Parametri!$B$1,1,0)</f>
        <v>1</v>
      </c>
      <c r="N3855" s="3" t="n">
        <f aca="false">L3855*M3855</f>
        <v>1</v>
      </c>
    </row>
    <row r="3856" customFormat="false" ht="15" hidden="false" customHeight="false" outlineLevel="0" collapsed="false">
      <c r="A3856" s="0" t="s">
        <v>5630</v>
      </c>
      <c r="B3856" s="0" t="s">
        <v>24</v>
      </c>
      <c r="C3856" s="0" t="s">
        <v>1020</v>
      </c>
      <c r="D3856" s="0" t="s">
        <v>63</v>
      </c>
      <c r="E3856" s="2" t="n">
        <v>45327</v>
      </c>
      <c r="F3856" s="3" t="s">
        <v>27</v>
      </c>
      <c r="G3856" s="3" t="s">
        <v>89</v>
      </c>
      <c r="H3856" s="3" t="s">
        <v>44</v>
      </c>
      <c r="I3856" s="3" t="n">
        <f aca="false">YEAR(E3856)</f>
        <v>2024</v>
      </c>
      <c r="J3856" s="3" t="n">
        <f aca="false">MONTH(E3856)</f>
        <v>2</v>
      </c>
      <c r="K3856" s="3" t="n">
        <f aca="false">COUNTIFS($B$2:$B$4077,B3856,$C$2:$C$4077,C3856,$I$2:$I$4077,I3856)</f>
        <v>3</v>
      </c>
      <c r="L3856" s="3" t="n">
        <f aca="false">IF(COUNTIFS($B$2:B3856,B3856,$C$2:C3856,C3856,$I$2:I3856,I3856)=1,1,0)</f>
        <v>0</v>
      </c>
      <c r="M3856" s="3" t="n">
        <f aca="false">IF(K3856&gt;=Parametri!$B$1,1,0)</f>
        <v>1</v>
      </c>
      <c r="N3856" s="3" t="n">
        <f aca="false">L3856*M3856</f>
        <v>0</v>
      </c>
    </row>
    <row r="3857" customFormat="false" ht="15" hidden="false" customHeight="false" outlineLevel="0" collapsed="false">
      <c r="A3857" s="0" t="s">
        <v>5631</v>
      </c>
      <c r="B3857" s="0" t="s">
        <v>57</v>
      </c>
      <c r="C3857" s="0" t="s">
        <v>288</v>
      </c>
      <c r="D3857" s="0" t="s">
        <v>33</v>
      </c>
      <c r="E3857" s="2" t="n">
        <v>45417</v>
      </c>
      <c r="F3857" s="3" t="s">
        <v>20</v>
      </c>
      <c r="G3857" s="3" t="s">
        <v>104</v>
      </c>
      <c r="H3857" s="3" t="s">
        <v>22</v>
      </c>
      <c r="I3857" s="3" t="n">
        <f aca="false">YEAR(E3857)</f>
        <v>2024</v>
      </c>
      <c r="J3857" s="3" t="n">
        <f aca="false">MONTH(E3857)</f>
        <v>5</v>
      </c>
      <c r="K3857" s="3" t="n">
        <f aca="false">COUNTIFS($B$2:$B$4077,B3857,$C$2:$C$4077,C3857,$I$2:$I$4077,I3857)</f>
        <v>7</v>
      </c>
      <c r="L3857" s="3" t="n">
        <f aca="false">IF(COUNTIFS($B$2:B3857,B3857,$C$2:C3857,C3857,$I$2:I3857,I3857)=1,1,0)</f>
        <v>0</v>
      </c>
      <c r="M3857" s="3" t="n">
        <f aca="false">IF(K3857&gt;=Parametri!$B$1,1,0)</f>
        <v>1</v>
      </c>
      <c r="N3857" s="3" t="n">
        <f aca="false">L3857*M3857</f>
        <v>0</v>
      </c>
    </row>
    <row r="3858" customFormat="false" ht="15" hidden="false" customHeight="false" outlineLevel="0" collapsed="false">
      <c r="A3858" s="0" t="s">
        <v>5632</v>
      </c>
      <c r="B3858" s="0" t="s">
        <v>50</v>
      </c>
      <c r="C3858" s="0" t="s">
        <v>5633</v>
      </c>
      <c r="D3858" s="0" t="s">
        <v>26</v>
      </c>
      <c r="E3858" s="2" t="n">
        <v>45368</v>
      </c>
      <c r="F3858" s="3" t="s">
        <v>27</v>
      </c>
      <c r="G3858" s="3" t="s">
        <v>43</v>
      </c>
      <c r="H3858" s="3" t="s">
        <v>48</v>
      </c>
      <c r="I3858" s="3" t="n">
        <f aca="false">YEAR(E3858)</f>
        <v>2024</v>
      </c>
      <c r="J3858" s="3" t="n">
        <f aca="false">MONTH(E3858)</f>
        <v>3</v>
      </c>
      <c r="K3858" s="3" t="n">
        <f aca="false">COUNTIFS($B$2:$B$4077,B3858,$C$2:$C$4077,C3858,$I$2:$I$4077,I3858)</f>
        <v>1</v>
      </c>
      <c r="L3858" s="3" t="n">
        <f aca="false">IF(COUNTIFS($B$2:B3858,B3858,$C$2:C3858,C3858,$I$2:I3858,I3858)=1,1,0)</f>
        <v>1</v>
      </c>
      <c r="M3858" s="3" t="n">
        <f aca="false">IF(K3858&gt;=Parametri!$B$1,1,0)</f>
        <v>0</v>
      </c>
      <c r="N3858" s="3" t="n">
        <f aca="false">L3858*M3858</f>
        <v>0</v>
      </c>
    </row>
    <row r="3859" customFormat="false" ht="15" hidden="false" customHeight="false" outlineLevel="0" collapsed="false">
      <c r="A3859" s="0" t="s">
        <v>5634</v>
      </c>
      <c r="B3859" s="0" t="s">
        <v>79</v>
      </c>
      <c r="C3859" s="0" t="s">
        <v>471</v>
      </c>
      <c r="D3859" s="0" t="s">
        <v>63</v>
      </c>
      <c r="E3859" s="2" t="n">
        <v>45843</v>
      </c>
      <c r="F3859" s="3" t="s">
        <v>27</v>
      </c>
      <c r="G3859" s="3" t="s">
        <v>55</v>
      </c>
      <c r="H3859" s="3" t="s">
        <v>29</v>
      </c>
      <c r="I3859" s="3" t="n">
        <f aca="false">YEAR(E3859)</f>
        <v>2025</v>
      </c>
      <c r="J3859" s="3" t="n">
        <f aca="false">MONTH(E3859)</f>
        <v>7</v>
      </c>
      <c r="K3859" s="3" t="n">
        <f aca="false">COUNTIFS($B$2:$B$4077,B3859,$C$2:$C$4077,C3859,$I$2:$I$4077,I3859)</f>
        <v>3</v>
      </c>
      <c r="L3859" s="3" t="n">
        <f aca="false">IF(COUNTIFS($B$2:B3859,B3859,$C$2:C3859,C3859,$I$2:I3859,I3859)=1,1,0)</f>
        <v>0</v>
      </c>
      <c r="M3859" s="3" t="n">
        <f aca="false">IF(K3859&gt;=Parametri!$B$1,1,0)</f>
        <v>1</v>
      </c>
      <c r="N3859" s="3" t="n">
        <f aca="false">L3859*M3859</f>
        <v>0</v>
      </c>
    </row>
    <row r="3860" customFormat="false" ht="15" hidden="false" customHeight="false" outlineLevel="0" collapsed="false">
      <c r="A3860" s="0" t="s">
        <v>5635</v>
      </c>
      <c r="B3860" s="0" t="s">
        <v>124</v>
      </c>
      <c r="C3860" s="0" t="s">
        <v>1993</v>
      </c>
      <c r="D3860" s="0" t="s">
        <v>66</v>
      </c>
      <c r="E3860" s="2" t="n">
        <v>46230</v>
      </c>
      <c r="F3860" s="3" t="s">
        <v>20</v>
      </c>
      <c r="G3860" s="3" t="s">
        <v>43</v>
      </c>
      <c r="H3860" s="3" t="s">
        <v>29</v>
      </c>
      <c r="I3860" s="3" t="n">
        <f aca="false">YEAR(E3860)</f>
        <v>2026</v>
      </c>
      <c r="J3860" s="3" t="n">
        <f aca="false">MONTH(E3860)</f>
        <v>7</v>
      </c>
      <c r="K3860" s="3" t="n">
        <f aca="false">COUNTIFS($B$2:$B$4077,B3860,$C$2:$C$4077,C3860,$I$2:$I$4077,I3860)</f>
        <v>2</v>
      </c>
      <c r="L3860" s="3" t="n">
        <f aca="false">IF(COUNTIFS($B$2:B3860,B3860,$C$2:C3860,C3860,$I$2:I3860,I3860)=1,1,0)</f>
        <v>0</v>
      </c>
      <c r="M3860" s="3" t="n">
        <f aca="false">IF(K3860&gt;=Parametri!$B$1,1,0)</f>
        <v>1</v>
      </c>
      <c r="N3860" s="3" t="n">
        <f aca="false">L3860*M3860</f>
        <v>0</v>
      </c>
    </row>
    <row r="3861" customFormat="false" ht="15" hidden="false" customHeight="false" outlineLevel="0" collapsed="false">
      <c r="A3861" s="0" t="s">
        <v>5636</v>
      </c>
      <c r="B3861" s="0" t="s">
        <v>46</v>
      </c>
      <c r="C3861" s="0" t="s">
        <v>5637</v>
      </c>
      <c r="D3861" s="0" t="s">
        <v>33</v>
      </c>
      <c r="E3861" s="2" t="n">
        <v>45852</v>
      </c>
      <c r="F3861" s="3" t="s">
        <v>20</v>
      </c>
      <c r="G3861" s="3" t="s">
        <v>39</v>
      </c>
      <c r="H3861" s="3" t="s">
        <v>48</v>
      </c>
      <c r="I3861" s="3" t="n">
        <f aca="false">YEAR(E3861)</f>
        <v>2025</v>
      </c>
      <c r="J3861" s="3" t="n">
        <f aca="false">MONTH(E3861)</f>
        <v>7</v>
      </c>
      <c r="K3861" s="3" t="n">
        <f aca="false">COUNTIFS($B$2:$B$4077,B3861,$C$2:$C$4077,C3861,$I$2:$I$4077,I3861)</f>
        <v>1</v>
      </c>
      <c r="L3861" s="3" t="n">
        <f aca="false">IF(COUNTIFS($B$2:B3861,B3861,$C$2:C3861,C3861,$I$2:I3861,I3861)=1,1,0)</f>
        <v>1</v>
      </c>
      <c r="M3861" s="3" t="n">
        <f aca="false">IF(K3861&gt;=Parametri!$B$1,1,0)</f>
        <v>0</v>
      </c>
      <c r="N3861" s="3" t="n">
        <f aca="false">L3861*M3861</f>
        <v>0</v>
      </c>
    </row>
    <row r="3862" customFormat="false" ht="15" hidden="false" customHeight="false" outlineLevel="0" collapsed="false">
      <c r="A3862" s="0" t="s">
        <v>5638</v>
      </c>
      <c r="B3862" s="0" t="s">
        <v>68</v>
      </c>
      <c r="C3862" s="0" t="s">
        <v>5639</v>
      </c>
      <c r="D3862" s="0" t="s">
        <v>26</v>
      </c>
      <c r="E3862" s="2" t="n">
        <v>46248</v>
      </c>
      <c r="F3862" s="3" t="s">
        <v>20</v>
      </c>
      <c r="G3862" s="3" t="s">
        <v>55</v>
      </c>
      <c r="H3862" s="3" t="s">
        <v>22</v>
      </c>
      <c r="I3862" s="3" t="n">
        <f aca="false">YEAR(E3862)</f>
        <v>2026</v>
      </c>
      <c r="J3862" s="3" t="n">
        <f aca="false">MONTH(E3862)</f>
        <v>8</v>
      </c>
      <c r="K3862" s="3" t="n">
        <f aca="false">COUNTIFS($B$2:$B$4077,B3862,$C$2:$C$4077,C3862,$I$2:$I$4077,I3862)</f>
        <v>1</v>
      </c>
      <c r="L3862" s="3" t="n">
        <f aca="false">IF(COUNTIFS($B$2:B3862,B3862,$C$2:C3862,C3862,$I$2:I3862,I3862)=1,1,0)</f>
        <v>1</v>
      </c>
      <c r="M3862" s="3" t="n">
        <f aca="false">IF(K3862&gt;=Parametri!$B$1,1,0)</f>
        <v>0</v>
      </c>
      <c r="N3862" s="3" t="n">
        <f aca="false">L3862*M3862</f>
        <v>0</v>
      </c>
    </row>
    <row r="3863" customFormat="false" ht="15" hidden="false" customHeight="false" outlineLevel="0" collapsed="false">
      <c r="A3863" s="0" t="s">
        <v>5640</v>
      </c>
      <c r="B3863" s="0" t="s">
        <v>46</v>
      </c>
      <c r="C3863" s="0" t="s">
        <v>3920</v>
      </c>
      <c r="D3863" s="0" t="s">
        <v>77</v>
      </c>
      <c r="E3863" s="2" t="n">
        <v>45945</v>
      </c>
      <c r="F3863" s="3" t="s">
        <v>34</v>
      </c>
      <c r="G3863" s="3" t="s">
        <v>21</v>
      </c>
      <c r="H3863" s="3" t="s">
        <v>22</v>
      </c>
      <c r="I3863" s="3" t="n">
        <f aca="false">YEAR(E3863)</f>
        <v>2025</v>
      </c>
      <c r="J3863" s="3" t="n">
        <f aca="false">MONTH(E3863)</f>
        <v>10</v>
      </c>
      <c r="K3863" s="3" t="n">
        <f aca="false">COUNTIFS($B$2:$B$4077,B3863,$C$2:$C$4077,C3863,$I$2:$I$4077,I3863)</f>
        <v>1</v>
      </c>
      <c r="L3863" s="3" t="n">
        <f aca="false">IF(COUNTIFS($B$2:B3863,B3863,$C$2:C3863,C3863,$I$2:I3863,I3863)=1,1,0)</f>
        <v>1</v>
      </c>
      <c r="M3863" s="3" t="n">
        <f aca="false">IF(K3863&gt;=Parametri!$B$1,1,0)</f>
        <v>0</v>
      </c>
      <c r="N3863" s="3" t="n">
        <f aca="false">L3863*M3863</f>
        <v>0</v>
      </c>
    </row>
    <row r="3864" customFormat="false" ht="15" hidden="false" customHeight="false" outlineLevel="0" collapsed="false">
      <c r="A3864" s="0" t="s">
        <v>5641</v>
      </c>
      <c r="B3864" s="0" t="s">
        <v>46</v>
      </c>
      <c r="C3864" s="0" t="s">
        <v>1228</v>
      </c>
      <c r="D3864" s="0" t="s">
        <v>26</v>
      </c>
      <c r="E3864" s="2" t="n">
        <v>45431</v>
      </c>
      <c r="F3864" s="3" t="s">
        <v>27</v>
      </c>
      <c r="G3864" s="3" t="s">
        <v>39</v>
      </c>
      <c r="H3864" s="3" t="s">
        <v>22</v>
      </c>
      <c r="I3864" s="3" t="n">
        <f aca="false">YEAR(E3864)</f>
        <v>2024</v>
      </c>
      <c r="J3864" s="3" t="n">
        <f aca="false">MONTH(E3864)</f>
        <v>5</v>
      </c>
      <c r="K3864" s="3" t="n">
        <f aca="false">COUNTIFS($B$2:$B$4077,B3864,$C$2:$C$4077,C3864,$I$2:$I$4077,I3864)</f>
        <v>5</v>
      </c>
      <c r="L3864" s="3" t="n">
        <f aca="false">IF(COUNTIFS($B$2:B3864,B3864,$C$2:C3864,C3864,$I$2:I3864,I3864)=1,1,0)</f>
        <v>0</v>
      </c>
      <c r="M3864" s="3" t="n">
        <f aca="false">IF(K3864&gt;=Parametri!$B$1,1,0)</f>
        <v>1</v>
      </c>
      <c r="N3864" s="3" t="n">
        <f aca="false">L3864*M3864</f>
        <v>0</v>
      </c>
    </row>
    <row r="3865" customFormat="false" ht="15" hidden="false" customHeight="false" outlineLevel="0" collapsed="false">
      <c r="A3865" s="0" t="s">
        <v>5642</v>
      </c>
      <c r="B3865" s="0" t="s">
        <v>68</v>
      </c>
      <c r="C3865" s="0" t="s">
        <v>243</v>
      </c>
      <c r="D3865" s="0" t="s">
        <v>66</v>
      </c>
      <c r="E3865" s="2" t="n">
        <v>45461</v>
      </c>
      <c r="F3865" s="3" t="s">
        <v>20</v>
      </c>
      <c r="G3865" s="3" t="s">
        <v>28</v>
      </c>
      <c r="H3865" s="3" t="s">
        <v>48</v>
      </c>
      <c r="I3865" s="3" t="n">
        <f aca="false">YEAR(E3865)</f>
        <v>2024</v>
      </c>
      <c r="J3865" s="3" t="n">
        <f aca="false">MONTH(E3865)</f>
        <v>6</v>
      </c>
      <c r="K3865" s="3" t="n">
        <f aca="false">COUNTIFS($B$2:$B$4077,B3865,$C$2:$C$4077,C3865,$I$2:$I$4077,I3865)</f>
        <v>4</v>
      </c>
      <c r="L3865" s="3" t="n">
        <f aca="false">IF(COUNTIFS($B$2:B3865,B3865,$C$2:C3865,C3865,$I$2:I3865,I3865)=1,1,0)</f>
        <v>0</v>
      </c>
      <c r="M3865" s="3" t="n">
        <f aca="false">IF(K3865&gt;=Parametri!$B$1,1,0)</f>
        <v>1</v>
      </c>
      <c r="N3865" s="3" t="n">
        <f aca="false">L3865*M3865</f>
        <v>0</v>
      </c>
    </row>
    <row r="3866" customFormat="false" ht="15" hidden="false" customHeight="false" outlineLevel="0" collapsed="false">
      <c r="A3866" s="0" t="s">
        <v>5643</v>
      </c>
      <c r="B3866" s="0" t="s">
        <v>41</v>
      </c>
      <c r="C3866" s="0" t="s">
        <v>3289</v>
      </c>
      <c r="D3866" s="0" t="s">
        <v>19</v>
      </c>
      <c r="E3866" s="2" t="n">
        <v>45763</v>
      </c>
      <c r="F3866" s="3" t="s">
        <v>20</v>
      </c>
      <c r="G3866" s="3" t="s">
        <v>89</v>
      </c>
      <c r="H3866" s="3" t="s">
        <v>48</v>
      </c>
      <c r="I3866" s="3" t="n">
        <f aca="false">YEAR(E3866)</f>
        <v>2025</v>
      </c>
      <c r="J3866" s="3" t="n">
        <f aca="false">MONTH(E3866)</f>
        <v>4</v>
      </c>
      <c r="K3866" s="3" t="n">
        <f aca="false">COUNTIFS($B$2:$B$4077,B3866,$C$2:$C$4077,C3866,$I$2:$I$4077,I3866)</f>
        <v>1</v>
      </c>
      <c r="L3866" s="3" t="n">
        <f aca="false">IF(COUNTIFS($B$2:B3866,B3866,$C$2:C3866,C3866,$I$2:I3866,I3866)=1,1,0)</f>
        <v>1</v>
      </c>
      <c r="M3866" s="3" t="n">
        <f aca="false">IF(K3866&gt;=Parametri!$B$1,1,0)</f>
        <v>0</v>
      </c>
      <c r="N3866" s="3" t="n">
        <f aca="false">L3866*M3866</f>
        <v>0</v>
      </c>
    </row>
    <row r="3867" customFormat="false" ht="15" hidden="false" customHeight="false" outlineLevel="0" collapsed="false">
      <c r="A3867" s="0" t="s">
        <v>5644</v>
      </c>
      <c r="B3867" s="0" t="s">
        <v>46</v>
      </c>
      <c r="C3867" s="0" t="s">
        <v>5645</v>
      </c>
      <c r="D3867" s="0" t="s">
        <v>19</v>
      </c>
      <c r="E3867" s="2" t="n">
        <v>45676</v>
      </c>
      <c r="F3867" s="3" t="s">
        <v>27</v>
      </c>
      <c r="G3867" s="3" t="s">
        <v>72</v>
      </c>
      <c r="H3867" s="3" t="s">
        <v>22</v>
      </c>
      <c r="I3867" s="3" t="n">
        <f aca="false">YEAR(E3867)</f>
        <v>2025</v>
      </c>
      <c r="J3867" s="3" t="n">
        <f aca="false">MONTH(E3867)</f>
        <v>1</v>
      </c>
      <c r="K3867" s="3" t="n">
        <f aca="false">COUNTIFS($B$2:$B$4077,B3867,$C$2:$C$4077,C3867,$I$2:$I$4077,I3867)</f>
        <v>1</v>
      </c>
      <c r="L3867" s="3" t="n">
        <f aca="false">IF(COUNTIFS($B$2:B3867,B3867,$C$2:C3867,C3867,$I$2:I3867,I3867)=1,1,0)</f>
        <v>1</v>
      </c>
      <c r="M3867" s="3" t="n">
        <f aca="false">IF(K3867&gt;=Parametri!$B$1,1,0)</f>
        <v>0</v>
      </c>
      <c r="N3867" s="3" t="n">
        <f aca="false">L3867*M3867</f>
        <v>0</v>
      </c>
    </row>
    <row r="3868" customFormat="false" ht="15" hidden="false" customHeight="false" outlineLevel="0" collapsed="false">
      <c r="A3868" s="0" t="s">
        <v>5646</v>
      </c>
      <c r="B3868" s="0" t="s">
        <v>46</v>
      </c>
      <c r="C3868" s="0" t="s">
        <v>5647</v>
      </c>
      <c r="D3868" s="0" t="s">
        <v>19</v>
      </c>
      <c r="E3868" s="2" t="n">
        <v>45457</v>
      </c>
      <c r="F3868" s="3" t="s">
        <v>27</v>
      </c>
      <c r="G3868" s="3" t="s">
        <v>28</v>
      </c>
      <c r="H3868" s="3" t="s">
        <v>22</v>
      </c>
      <c r="I3868" s="3" t="n">
        <f aca="false">YEAR(E3868)</f>
        <v>2024</v>
      </c>
      <c r="J3868" s="3" t="n">
        <f aca="false">MONTH(E3868)</f>
        <v>6</v>
      </c>
      <c r="K3868" s="3" t="n">
        <f aca="false">COUNTIFS($B$2:$B$4077,B3868,$C$2:$C$4077,C3868,$I$2:$I$4077,I3868)</f>
        <v>1</v>
      </c>
      <c r="L3868" s="3" t="n">
        <f aca="false">IF(COUNTIFS($B$2:B3868,B3868,$C$2:C3868,C3868,$I$2:I3868,I3868)=1,1,0)</f>
        <v>1</v>
      </c>
      <c r="M3868" s="3" t="n">
        <f aca="false">IF(K3868&gt;=Parametri!$B$1,1,0)</f>
        <v>0</v>
      </c>
      <c r="N3868" s="3" t="n">
        <f aca="false">L3868*M3868</f>
        <v>0</v>
      </c>
    </row>
    <row r="3869" customFormat="false" ht="15" hidden="false" customHeight="false" outlineLevel="0" collapsed="false">
      <c r="A3869" s="0" t="s">
        <v>5648</v>
      </c>
      <c r="B3869" s="0" t="s">
        <v>68</v>
      </c>
      <c r="C3869" s="0" t="s">
        <v>2177</v>
      </c>
      <c r="D3869" s="0" t="s">
        <v>19</v>
      </c>
      <c r="E3869" s="2" t="n">
        <v>45344</v>
      </c>
      <c r="F3869" s="3" t="s">
        <v>20</v>
      </c>
      <c r="G3869" s="3" t="s">
        <v>55</v>
      </c>
      <c r="H3869" s="3" t="s">
        <v>48</v>
      </c>
      <c r="I3869" s="3" t="n">
        <f aca="false">YEAR(E3869)</f>
        <v>2024</v>
      </c>
      <c r="J3869" s="3" t="n">
        <f aca="false">MONTH(E3869)</f>
        <v>2</v>
      </c>
      <c r="K3869" s="3" t="n">
        <f aca="false">COUNTIFS($B$2:$B$4077,B3869,$C$2:$C$4077,C3869,$I$2:$I$4077,I3869)</f>
        <v>1</v>
      </c>
      <c r="L3869" s="3" t="n">
        <f aca="false">IF(COUNTIFS($B$2:B3869,B3869,$C$2:C3869,C3869,$I$2:I3869,I3869)=1,1,0)</f>
        <v>1</v>
      </c>
      <c r="M3869" s="3" t="n">
        <f aca="false">IF(K3869&gt;=Parametri!$B$1,1,0)</f>
        <v>0</v>
      </c>
      <c r="N3869" s="3" t="n">
        <f aca="false">L3869*M3869</f>
        <v>0</v>
      </c>
    </row>
    <row r="3870" customFormat="false" ht="15" hidden="false" customHeight="false" outlineLevel="0" collapsed="false">
      <c r="A3870" s="0" t="s">
        <v>5649</v>
      </c>
      <c r="B3870" s="0" t="s">
        <v>24</v>
      </c>
      <c r="C3870" s="0" t="s">
        <v>1302</v>
      </c>
      <c r="D3870" s="0" t="s">
        <v>54</v>
      </c>
      <c r="E3870" s="2" t="n">
        <v>46099</v>
      </c>
      <c r="F3870" s="3" t="s">
        <v>20</v>
      </c>
      <c r="G3870" s="3" t="s">
        <v>55</v>
      </c>
      <c r="H3870" s="3" t="s">
        <v>44</v>
      </c>
      <c r="I3870" s="3" t="n">
        <f aca="false">YEAR(E3870)</f>
        <v>2026</v>
      </c>
      <c r="J3870" s="3" t="n">
        <f aca="false">MONTH(E3870)</f>
        <v>3</v>
      </c>
      <c r="K3870" s="3" t="n">
        <f aca="false">COUNTIFS($B$2:$B$4077,B3870,$C$2:$C$4077,C3870,$I$2:$I$4077,I3870)</f>
        <v>1</v>
      </c>
      <c r="L3870" s="3" t="n">
        <f aca="false">IF(COUNTIFS($B$2:B3870,B3870,$C$2:C3870,C3870,$I$2:I3870,I3870)=1,1,0)</f>
        <v>1</v>
      </c>
      <c r="M3870" s="3" t="n">
        <f aca="false">IF(K3870&gt;=Parametri!$B$1,1,0)</f>
        <v>0</v>
      </c>
      <c r="N3870" s="3" t="n">
        <f aca="false">L3870*M3870</f>
        <v>0</v>
      </c>
    </row>
    <row r="3871" customFormat="false" ht="15" hidden="false" customHeight="false" outlineLevel="0" collapsed="false">
      <c r="A3871" s="0" t="s">
        <v>5650</v>
      </c>
      <c r="B3871" s="0" t="s">
        <v>41</v>
      </c>
      <c r="C3871" s="0" t="s">
        <v>598</v>
      </c>
      <c r="D3871" s="0" t="s">
        <v>19</v>
      </c>
      <c r="E3871" s="2" t="n">
        <v>45425</v>
      </c>
      <c r="F3871" s="3" t="s">
        <v>34</v>
      </c>
      <c r="G3871" s="3" t="s">
        <v>35</v>
      </c>
      <c r="H3871" s="3" t="s">
        <v>22</v>
      </c>
      <c r="I3871" s="3" t="n">
        <f aca="false">YEAR(E3871)</f>
        <v>2024</v>
      </c>
      <c r="J3871" s="3" t="n">
        <f aca="false">MONTH(E3871)</f>
        <v>5</v>
      </c>
      <c r="K3871" s="3" t="n">
        <f aca="false">COUNTIFS($B$2:$B$4077,B3871,$C$2:$C$4077,C3871,$I$2:$I$4077,I3871)</f>
        <v>3</v>
      </c>
      <c r="L3871" s="3" t="n">
        <f aca="false">IF(COUNTIFS($B$2:B3871,B3871,$C$2:C3871,C3871,$I$2:I3871,I3871)=1,1,0)</f>
        <v>0</v>
      </c>
      <c r="M3871" s="3" t="n">
        <f aca="false">IF(K3871&gt;=Parametri!$B$1,1,0)</f>
        <v>1</v>
      </c>
      <c r="N3871" s="3" t="n">
        <f aca="false">L3871*M3871</f>
        <v>0</v>
      </c>
    </row>
    <row r="3872" customFormat="false" ht="15" hidden="false" customHeight="false" outlineLevel="0" collapsed="false">
      <c r="A3872" s="0" t="s">
        <v>5651</v>
      </c>
      <c r="B3872" s="0" t="s">
        <v>24</v>
      </c>
      <c r="C3872" s="0" t="s">
        <v>5529</v>
      </c>
      <c r="D3872" s="0" t="s">
        <v>54</v>
      </c>
      <c r="E3872" s="2" t="n">
        <v>45617</v>
      </c>
      <c r="F3872" s="3" t="s">
        <v>104</v>
      </c>
      <c r="G3872" s="3" t="s">
        <v>104</v>
      </c>
      <c r="H3872" s="3" t="s">
        <v>104</v>
      </c>
      <c r="I3872" s="3" t="n">
        <f aca="false">YEAR(E3872)</f>
        <v>2024</v>
      </c>
      <c r="J3872" s="3" t="n">
        <f aca="false">MONTH(E3872)</f>
        <v>11</v>
      </c>
      <c r="K3872" s="3" t="n">
        <f aca="false">COUNTIFS($B$2:$B$4077,B3872,$C$2:$C$4077,C3872,$I$2:$I$4077,I3872)</f>
        <v>1</v>
      </c>
      <c r="L3872" s="3" t="n">
        <f aca="false">IF(COUNTIFS($B$2:B3872,B3872,$C$2:C3872,C3872,$I$2:I3872,I3872)=1,1,0)</f>
        <v>1</v>
      </c>
      <c r="M3872" s="3" t="n">
        <f aca="false">IF(K3872&gt;=Parametri!$B$1,1,0)</f>
        <v>0</v>
      </c>
      <c r="N3872" s="3" t="n">
        <f aca="false">L3872*M3872</f>
        <v>0</v>
      </c>
    </row>
    <row r="3873" customFormat="false" ht="15" hidden="false" customHeight="false" outlineLevel="0" collapsed="false">
      <c r="A3873" s="0" t="s">
        <v>5652</v>
      </c>
      <c r="B3873" s="0" t="s">
        <v>46</v>
      </c>
      <c r="C3873" s="0" t="s">
        <v>4271</v>
      </c>
      <c r="D3873" s="0" t="s">
        <v>63</v>
      </c>
      <c r="E3873" s="2" t="n">
        <v>45913</v>
      </c>
      <c r="F3873" s="3" t="s">
        <v>20</v>
      </c>
      <c r="G3873" s="3" t="s">
        <v>39</v>
      </c>
      <c r="H3873" s="3" t="s">
        <v>44</v>
      </c>
      <c r="I3873" s="3" t="n">
        <f aca="false">YEAR(E3873)</f>
        <v>2025</v>
      </c>
      <c r="J3873" s="3" t="n">
        <f aca="false">MONTH(E3873)</f>
        <v>9</v>
      </c>
      <c r="K3873" s="3" t="n">
        <f aca="false">COUNTIFS($B$2:$B$4077,B3873,$C$2:$C$4077,C3873,$I$2:$I$4077,I3873)</f>
        <v>1</v>
      </c>
      <c r="L3873" s="3" t="n">
        <f aca="false">IF(COUNTIFS($B$2:B3873,B3873,$C$2:C3873,C3873,$I$2:I3873,I3873)=1,1,0)</f>
        <v>1</v>
      </c>
      <c r="M3873" s="3" t="n">
        <f aca="false">IF(K3873&gt;=Parametri!$B$1,1,0)</f>
        <v>0</v>
      </c>
      <c r="N3873" s="3" t="n">
        <f aca="false">L3873*M3873</f>
        <v>0</v>
      </c>
    </row>
    <row r="3874" customFormat="false" ht="15" hidden="false" customHeight="false" outlineLevel="0" collapsed="false">
      <c r="A3874" s="0" t="s">
        <v>5653</v>
      </c>
      <c r="B3874" s="0" t="s">
        <v>46</v>
      </c>
      <c r="C3874" s="0" t="s">
        <v>2370</v>
      </c>
      <c r="D3874" s="0" t="s">
        <v>66</v>
      </c>
      <c r="E3874" s="2" t="n">
        <v>45482</v>
      </c>
      <c r="F3874" s="3" t="s">
        <v>20</v>
      </c>
      <c r="G3874" s="3" t="s">
        <v>39</v>
      </c>
      <c r="H3874" s="3" t="s">
        <v>22</v>
      </c>
      <c r="I3874" s="3" t="n">
        <f aca="false">YEAR(E3874)</f>
        <v>2024</v>
      </c>
      <c r="J3874" s="3" t="n">
        <f aca="false">MONTH(E3874)</f>
        <v>7</v>
      </c>
      <c r="K3874" s="3" t="n">
        <f aca="false">COUNTIFS($B$2:$B$4077,B3874,$C$2:$C$4077,C3874,$I$2:$I$4077,I3874)</f>
        <v>2</v>
      </c>
      <c r="L3874" s="3" t="n">
        <f aca="false">IF(COUNTIFS($B$2:B3874,B3874,$C$2:C3874,C3874,$I$2:I3874,I3874)=1,1,0)</f>
        <v>0</v>
      </c>
      <c r="M3874" s="3" t="n">
        <f aca="false">IF(K3874&gt;=Parametri!$B$1,1,0)</f>
        <v>1</v>
      </c>
      <c r="N3874" s="3" t="n">
        <f aca="false">L3874*M3874</f>
        <v>0</v>
      </c>
    </row>
    <row r="3875" customFormat="false" ht="15" hidden="false" customHeight="false" outlineLevel="0" collapsed="false">
      <c r="A3875" s="0" t="s">
        <v>5654</v>
      </c>
      <c r="B3875" s="0" t="s">
        <v>31</v>
      </c>
      <c r="C3875" s="0" t="s">
        <v>4340</v>
      </c>
      <c r="D3875" s="0" t="s">
        <v>38</v>
      </c>
      <c r="E3875" s="2" t="n">
        <v>45817</v>
      </c>
      <c r="F3875" s="3" t="s">
        <v>34</v>
      </c>
      <c r="G3875" s="3" t="s">
        <v>43</v>
      </c>
      <c r="H3875" s="3" t="s">
        <v>48</v>
      </c>
      <c r="I3875" s="3" t="n">
        <f aca="false">YEAR(E3875)</f>
        <v>2025</v>
      </c>
      <c r="J3875" s="3" t="n">
        <f aca="false">MONTH(E3875)</f>
        <v>6</v>
      </c>
      <c r="K3875" s="3" t="n">
        <f aca="false">COUNTIFS($B$2:$B$4077,B3875,$C$2:$C$4077,C3875,$I$2:$I$4077,I3875)</f>
        <v>2</v>
      </c>
      <c r="L3875" s="3" t="n">
        <f aca="false">IF(COUNTIFS($B$2:B3875,B3875,$C$2:C3875,C3875,$I$2:I3875,I3875)=1,1,0)</f>
        <v>0</v>
      </c>
      <c r="M3875" s="3" t="n">
        <f aca="false">IF(K3875&gt;=Parametri!$B$1,1,0)</f>
        <v>1</v>
      </c>
      <c r="N3875" s="3" t="n">
        <f aca="false">L3875*M3875</f>
        <v>0</v>
      </c>
    </row>
    <row r="3876" customFormat="false" ht="15" hidden="false" customHeight="false" outlineLevel="0" collapsed="false">
      <c r="A3876" s="0" t="s">
        <v>5655</v>
      </c>
      <c r="B3876" s="0" t="s">
        <v>31</v>
      </c>
      <c r="C3876" s="0" t="s">
        <v>689</v>
      </c>
      <c r="D3876" s="0" t="s">
        <v>66</v>
      </c>
      <c r="E3876" s="2" t="n">
        <v>46034</v>
      </c>
      <c r="F3876" s="3" t="s">
        <v>20</v>
      </c>
      <c r="G3876" s="3" t="s">
        <v>104</v>
      </c>
      <c r="H3876" s="3" t="s">
        <v>48</v>
      </c>
      <c r="I3876" s="3" t="n">
        <f aca="false">YEAR(E3876)</f>
        <v>2026</v>
      </c>
      <c r="J3876" s="3" t="n">
        <f aca="false">MONTH(E3876)</f>
        <v>1</v>
      </c>
      <c r="K3876" s="3" t="n">
        <f aca="false">COUNTIFS($B$2:$B$4077,B3876,$C$2:$C$4077,C3876,$I$2:$I$4077,I3876)</f>
        <v>1</v>
      </c>
      <c r="L3876" s="3" t="n">
        <f aca="false">IF(COUNTIFS($B$2:B3876,B3876,$C$2:C3876,C3876,$I$2:I3876,I3876)=1,1,0)</f>
        <v>1</v>
      </c>
      <c r="M3876" s="3" t="n">
        <f aca="false">IF(K3876&gt;=Parametri!$B$1,1,0)</f>
        <v>0</v>
      </c>
      <c r="N3876" s="3" t="n">
        <f aca="false">L3876*M3876</f>
        <v>0</v>
      </c>
    </row>
    <row r="3877" customFormat="false" ht="15" hidden="false" customHeight="false" outlineLevel="0" collapsed="false">
      <c r="A3877" s="0" t="s">
        <v>5656</v>
      </c>
      <c r="B3877" s="0" t="s">
        <v>31</v>
      </c>
      <c r="C3877" s="0" t="s">
        <v>1868</v>
      </c>
      <c r="D3877" s="0" t="s">
        <v>63</v>
      </c>
      <c r="E3877" s="2" t="n">
        <v>45312</v>
      </c>
      <c r="F3877" s="3" t="s">
        <v>27</v>
      </c>
      <c r="G3877" s="3" t="s">
        <v>72</v>
      </c>
      <c r="H3877" s="3" t="s">
        <v>48</v>
      </c>
      <c r="I3877" s="3" t="n">
        <f aca="false">YEAR(E3877)</f>
        <v>2024</v>
      </c>
      <c r="J3877" s="3" t="n">
        <f aca="false">MONTH(E3877)</f>
        <v>1</v>
      </c>
      <c r="K3877" s="3" t="n">
        <f aca="false">COUNTIFS($B$2:$B$4077,B3877,$C$2:$C$4077,C3877,$I$2:$I$4077,I3877)</f>
        <v>2</v>
      </c>
      <c r="L3877" s="3" t="n">
        <f aca="false">IF(COUNTIFS($B$2:B3877,B3877,$C$2:C3877,C3877,$I$2:I3877,I3877)=1,1,0)</f>
        <v>0</v>
      </c>
      <c r="M3877" s="3" t="n">
        <f aca="false">IF(K3877&gt;=Parametri!$B$1,1,0)</f>
        <v>1</v>
      </c>
      <c r="N3877" s="3" t="n">
        <f aca="false">L3877*M3877</f>
        <v>0</v>
      </c>
    </row>
    <row r="3878" customFormat="false" ht="15" hidden="false" customHeight="false" outlineLevel="0" collapsed="false">
      <c r="A3878" s="0" t="s">
        <v>5657</v>
      </c>
      <c r="B3878" s="0" t="s">
        <v>41</v>
      </c>
      <c r="C3878" s="0" t="s">
        <v>1536</v>
      </c>
      <c r="D3878" s="0" t="s">
        <v>54</v>
      </c>
      <c r="E3878" s="2" t="n">
        <v>45353</v>
      </c>
      <c r="F3878" s="3" t="s">
        <v>20</v>
      </c>
      <c r="G3878" s="3" t="s">
        <v>28</v>
      </c>
      <c r="H3878" s="3" t="s">
        <v>22</v>
      </c>
      <c r="I3878" s="3" t="n">
        <f aca="false">YEAR(E3878)</f>
        <v>2024</v>
      </c>
      <c r="J3878" s="3" t="n">
        <f aca="false">MONTH(E3878)</f>
        <v>3</v>
      </c>
      <c r="K3878" s="3" t="n">
        <f aca="false">COUNTIFS($B$2:$B$4077,B3878,$C$2:$C$4077,C3878,$I$2:$I$4077,I3878)</f>
        <v>2</v>
      </c>
      <c r="L3878" s="3" t="n">
        <f aca="false">IF(COUNTIFS($B$2:B3878,B3878,$C$2:C3878,C3878,$I$2:I3878,I3878)=1,1,0)</f>
        <v>0</v>
      </c>
      <c r="M3878" s="3" t="n">
        <f aca="false">IF(K3878&gt;=Parametri!$B$1,1,0)</f>
        <v>1</v>
      </c>
      <c r="N3878" s="3" t="n">
        <f aca="false">L3878*M3878</f>
        <v>0</v>
      </c>
    </row>
    <row r="3879" customFormat="false" ht="15" hidden="false" customHeight="false" outlineLevel="0" collapsed="false">
      <c r="A3879" s="0" t="s">
        <v>5658</v>
      </c>
      <c r="B3879" s="0" t="s">
        <v>68</v>
      </c>
      <c r="C3879" s="0" t="s">
        <v>563</v>
      </c>
      <c r="D3879" s="0" t="s">
        <v>66</v>
      </c>
      <c r="E3879" s="2" t="n">
        <v>45829</v>
      </c>
      <c r="F3879" s="3" t="s">
        <v>34</v>
      </c>
      <c r="G3879" s="3" t="s">
        <v>21</v>
      </c>
      <c r="H3879" s="3" t="s">
        <v>22</v>
      </c>
      <c r="I3879" s="3" t="n">
        <f aca="false">YEAR(E3879)</f>
        <v>2025</v>
      </c>
      <c r="J3879" s="3" t="n">
        <f aca="false">MONTH(E3879)</f>
        <v>6</v>
      </c>
      <c r="K3879" s="3" t="n">
        <f aca="false">COUNTIFS($B$2:$B$4077,B3879,$C$2:$C$4077,C3879,$I$2:$I$4077,I3879)</f>
        <v>3</v>
      </c>
      <c r="L3879" s="3" t="n">
        <f aca="false">IF(COUNTIFS($B$2:B3879,B3879,$C$2:C3879,C3879,$I$2:I3879,I3879)=1,1,0)</f>
        <v>0</v>
      </c>
      <c r="M3879" s="3" t="n">
        <f aca="false">IF(K3879&gt;=Parametri!$B$1,1,0)</f>
        <v>1</v>
      </c>
      <c r="N3879" s="3" t="n">
        <f aca="false">L3879*M3879</f>
        <v>0</v>
      </c>
    </row>
    <row r="3880" customFormat="false" ht="15" hidden="false" customHeight="false" outlineLevel="0" collapsed="false">
      <c r="A3880" s="0" t="s">
        <v>5659</v>
      </c>
      <c r="B3880" s="0" t="s">
        <v>46</v>
      </c>
      <c r="C3880" s="0" t="s">
        <v>2486</v>
      </c>
      <c r="D3880" s="0" t="s">
        <v>19</v>
      </c>
      <c r="E3880" s="2" t="n">
        <v>46230</v>
      </c>
      <c r="F3880" s="3" t="s">
        <v>20</v>
      </c>
      <c r="G3880" s="3" t="s">
        <v>55</v>
      </c>
      <c r="H3880" s="3" t="s">
        <v>29</v>
      </c>
      <c r="I3880" s="3" t="n">
        <f aca="false">YEAR(E3880)</f>
        <v>2026</v>
      </c>
      <c r="J3880" s="3" t="n">
        <f aca="false">MONTH(E3880)</f>
        <v>7</v>
      </c>
      <c r="K3880" s="3" t="n">
        <f aca="false">COUNTIFS($B$2:$B$4077,B3880,$C$2:$C$4077,C3880,$I$2:$I$4077,I3880)</f>
        <v>1</v>
      </c>
      <c r="L3880" s="3" t="n">
        <f aca="false">IF(COUNTIFS($B$2:B3880,B3880,$C$2:C3880,C3880,$I$2:I3880,I3880)=1,1,0)</f>
        <v>1</v>
      </c>
      <c r="M3880" s="3" t="n">
        <f aca="false">IF(K3880&gt;=Parametri!$B$1,1,0)</f>
        <v>0</v>
      </c>
      <c r="N3880" s="3" t="n">
        <f aca="false">L3880*M3880</f>
        <v>0</v>
      </c>
    </row>
    <row r="3881" customFormat="false" ht="15" hidden="false" customHeight="false" outlineLevel="0" collapsed="false">
      <c r="A3881" s="0" t="s">
        <v>5660</v>
      </c>
      <c r="B3881" s="0" t="s">
        <v>57</v>
      </c>
      <c r="C3881" s="0" t="s">
        <v>3549</v>
      </c>
      <c r="D3881" s="0" t="s">
        <v>66</v>
      </c>
      <c r="E3881" s="2" t="n">
        <v>45836</v>
      </c>
      <c r="F3881" s="3" t="s">
        <v>20</v>
      </c>
      <c r="G3881" s="3" t="s">
        <v>28</v>
      </c>
      <c r="H3881" s="3" t="s">
        <v>48</v>
      </c>
      <c r="I3881" s="3" t="n">
        <f aca="false">YEAR(E3881)</f>
        <v>2025</v>
      </c>
      <c r="J3881" s="3" t="n">
        <f aca="false">MONTH(E3881)</f>
        <v>6</v>
      </c>
      <c r="K3881" s="3" t="n">
        <f aca="false">COUNTIFS($B$2:$B$4077,B3881,$C$2:$C$4077,C3881,$I$2:$I$4077,I3881)</f>
        <v>4</v>
      </c>
      <c r="L3881" s="3" t="n">
        <f aca="false">IF(COUNTIFS($B$2:B3881,B3881,$C$2:C3881,C3881,$I$2:I3881,I3881)=1,1,0)</f>
        <v>0</v>
      </c>
      <c r="M3881" s="3" t="n">
        <f aca="false">IF(K3881&gt;=Parametri!$B$1,1,0)</f>
        <v>1</v>
      </c>
      <c r="N3881" s="3" t="n">
        <f aca="false">L3881*M3881</f>
        <v>0</v>
      </c>
    </row>
    <row r="3882" customFormat="false" ht="15" hidden="false" customHeight="false" outlineLevel="0" collapsed="false">
      <c r="A3882" s="0" t="s">
        <v>5661</v>
      </c>
      <c r="B3882" s="0" t="s">
        <v>50</v>
      </c>
      <c r="C3882" s="0" t="s">
        <v>5662</v>
      </c>
      <c r="D3882" s="0" t="s">
        <v>19</v>
      </c>
      <c r="E3882" s="2" t="n">
        <v>45439</v>
      </c>
      <c r="F3882" s="3" t="s">
        <v>27</v>
      </c>
      <c r="G3882" s="3" t="s">
        <v>89</v>
      </c>
      <c r="H3882" s="3" t="s">
        <v>29</v>
      </c>
      <c r="I3882" s="3" t="n">
        <f aca="false">YEAR(E3882)</f>
        <v>2024</v>
      </c>
      <c r="J3882" s="3" t="n">
        <f aca="false">MONTH(E3882)</f>
        <v>5</v>
      </c>
      <c r="K3882" s="3" t="n">
        <f aca="false">COUNTIFS($B$2:$B$4077,B3882,$C$2:$C$4077,C3882,$I$2:$I$4077,I3882)</f>
        <v>1</v>
      </c>
      <c r="L3882" s="3" t="n">
        <f aca="false">IF(COUNTIFS($B$2:B3882,B3882,$C$2:C3882,C3882,$I$2:I3882,I3882)=1,1,0)</f>
        <v>1</v>
      </c>
      <c r="M3882" s="3" t="n">
        <f aca="false">IF(K3882&gt;=Parametri!$B$1,1,0)</f>
        <v>0</v>
      </c>
      <c r="N3882" s="3" t="n">
        <f aca="false">L3882*M3882</f>
        <v>0</v>
      </c>
    </row>
    <row r="3883" customFormat="false" ht="15" hidden="false" customHeight="false" outlineLevel="0" collapsed="false">
      <c r="A3883" s="0" t="s">
        <v>5663</v>
      </c>
      <c r="B3883" s="0" t="s">
        <v>41</v>
      </c>
      <c r="C3883" s="0" t="s">
        <v>4454</v>
      </c>
      <c r="D3883" s="0" t="s">
        <v>33</v>
      </c>
      <c r="E3883" s="2" t="n">
        <v>45399</v>
      </c>
      <c r="F3883" s="3" t="s">
        <v>20</v>
      </c>
      <c r="G3883" s="3" t="s">
        <v>35</v>
      </c>
      <c r="H3883" s="3" t="s">
        <v>44</v>
      </c>
      <c r="I3883" s="3" t="n">
        <f aca="false">YEAR(E3883)</f>
        <v>2024</v>
      </c>
      <c r="J3883" s="3" t="n">
        <f aca="false">MONTH(E3883)</f>
        <v>4</v>
      </c>
      <c r="K3883" s="3" t="n">
        <f aca="false">COUNTIFS($B$2:$B$4077,B3883,$C$2:$C$4077,C3883,$I$2:$I$4077,I3883)</f>
        <v>1</v>
      </c>
      <c r="L3883" s="3" t="n">
        <f aca="false">IF(COUNTIFS($B$2:B3883,B3883,$C$2:C3883,C3883,$I$2:I3883,I3883)=1,1,0)</f>
        <v>1</v>
      </c>
      <c r="M3883" s="3" t="n">
        <f aca="false">IF(K3883&gt;=Parametri!$B$1,1,0)</f>
        <v>0</v>
      </c>
      <c r="N3883" s="3" t="n">
        <f aca="false">L3883*M3883</f>
        <v>0</v>
      </c>
    </row>
    <row r="3884" customFormat="false" ht="15" hidden="false" customHeight="false" outlineLevel="0" collapsed="false">
      <c r="A3884" s="0" t="s">
        <v>5664</v>
      </c>
      <c r="B3884" s="0" t="s">
        <v>41</v>
      </c>
      <c r="C3884" s="0" t="s">
        <v>1349</v>
      </c>
      <c r="D3884" s="0" t="s">
        <v>77</v>
      </c>
      <c r="E3884" s="2" t="n">
        <v>46234</v>
      </c>
      <c r="F3884" s="3" t="s">
        <v>27</v>
      </c>
      <c r="G3884" s="3" t="s">
        <v>39</v>
      </c>
      <c r="H3884" s="3" t="s">
        <v>29</v>
      </c>
      <c r="I3884" s="3" t="n">
        <f aca="false">YEAR(E3884)</f>
        <v>2026</v>
      </c>
      <c r="J3884" s="3" t="n">
        <f aca="false">MONTH(E3884)</f>
        <v>7</v>
      </c>
      <c r="K3884" s="3" t="n">
        <f aca="false">COUNTIFS($B$2:$B$4077,B3884,$C$2:$C$4077,C3884,$I$2:$I$4077,I3884)</f>
        <v>2</v>
      </c>
      <c r="L3884" s="3" t="n">
        <f aca="false">IF(COUNTIFS($B$2:B3884,B3884,$C$2:C3884,C3884,$I$2:I3884,I3884)=1,1,0)</f>
        <v>0</v>
      </c>
      <c r="M3884" s="3" t="n">
        <f aca="false">IF(K3884&gt;=Parametri!$B$1,1,0)</f>
        <v>1</v>
      </c>
      <c r="N3884" s="3" t="n">
        <f aca="false">L3884*M3884</f>
        <v>0</v>
      </c>
    </row>
    <row r="3885" customFormat="false" ht="15" hidden="false" customHeight="false" outlineLevel="0" collapsed="false">
      <c r="A3885" s="0" t="s">
        <v>5665</v>
      </c>
      <c r="B3885" s="0" t="s">
        <v>41</v>
      </c>
      <c r="C3885" s="0" t="s">
        <v>3240</v>
      </c>
      <c r="D3885" s="0" t="s">
        <v>33</v>
      </c>
      <c r="E3885" s="2" t="n">
        <v>45698</v>
      </c>
      <c r="F3885" s="3" t="s">
        <v>20</v>
      </c>
      <c r="G3885" s="3" t="s">
        <v>43</v>
      </c>
      <c r="H3885" s="3" t="s">
        <v>22</v>
      </c>
      <c r="I3885" s="3" t="n">
        <f aca="false">YEAR(E3885)</f>
        <v>2025</v>
      </c>
      <c r="J3885" s="3" t="n">
        <f aca="false">MONTH(E3885)</f>
        <v>2</v>
      </c>
      <c r="K3885" s="3" t="n">
        <f aca="false">COUNTIFS($B$2:$B$4077,B3885,$C$2:$C$4077,C3885,$I$2:$I$4077,I3885)</f>
        <v>2</v>
      </c>
      <c r="L3885" s="3" t="n">
        <f aca="false">IF(COUNTIFS($B$2:B3885,B3885,$C$2:C3885,C3885,$I$2:I3885,I3885)=1,1,0)</f>
        <v>1</v>
      </c>
      <c r="M3885" s="3" t="n">
        <f aca="false">IF(K3885&gt;=Parametri!$B$1,1,0)</f>
        <v>1</v>
      </c>
      <c r="N3885" s="3" t="n">
        <f aca="false">L3885*M3885</f>
        <v>1</v>
      </c>
    </row>
    <row r="3886" customFormat="false" ht="15" hidden="false" customHeight="false" outlineLevel="0" collapsed="false">
      <c r="A3886" s="0" t="s">
        <v>5666</v>
      </c>
      <c r="B3886" s="0" t="s">
        <v>68</v>
      </c>
      <c r="C3886" s="0" t="s">
        <v>2184</v>
      </c>
      <c r="D3886" s="0" t="s">
        <v>54</v>
      </c>
      <c r="E3886" s="2" t="n">
        <v>46051</v>
      </c>
      <c r="F3886" s="3" t="s">
        <v>20</v>
      </c>
      <c r="G3886" s="3" t="s">
        <v>55</v>
      </c>
      <c r="H3886" s="3" t="s">
        <v>48</v>
      </c>
      <c r="I3886" s="3" t="n">
        <f aca="false">YEAR(E3886)</f>
        <v>2026</v>
      </c>
      <c r="J3886" s="3" t="n">
        <f aca="false">MONTH(E3886)</f>
        <v>1</v>
      </c>
      <c r="K3886" s="3" t="n">
        <f aca="false">COUNTIFS($B$2:$B$4077,B3886,$C$2:$C$4077,C3886,$I$2:$I$4077,I3886)</f>
        <v>1</v>
      </c>
      <c r="L3886" s="3" t="n">
        <f aca="false">IF(COUNTIFS($B$2:B3886,B3886,$C$2:C3886,C3886,$I$2:I3886,I3886)=1,1,0)</f>
        <v>1</v>
      </c>
      <c r="M3886" s="3" t="n">
        <f aca="false">IF(K3886&gt;=Parametri!$B$1,1,0)</f>
        <v>0</v>
      </c>
      <c r="N3886" s="3" t="n">
        <f aca="false">L3886*M3886</f>
        <v>0</v>
      </c>
    </row>
    <row r="3887" customFormat="false" ht="15" hidden="false" customHeight="false" outlineLevel="0" collapsed="false">
      <c r="A3887" s="0" t="s">
        <v>5667</v>
      </c>
      <c r="B3887" s="0" t="s">
        <v>68</v>
      </c>
      <c r="C3887" s="0" t="s">
        <v>1837</v>
      </c>
      <c r="D3887" s="0" t="s">
        <v>63</v>
      </c>
      <c r="E3887" s="2" t="n">
        <v>45804</v>
      </c>
      <c r="F3887" s="3" t="s">
        <v>27</v>
      </c>
      <c r="G3887" s="3" t="s">
        <v>28</v>
      </c>
      <c r="H3887" s="3" t="s">
        <v>48</v>
      </c>
      <c r="I3887" s="3" t="n">
        <f aca="false">YEAR(E3887)</f>
        <v>2025</v>
      </c>
      <c r="J3887" s="3" t="n">
        <f aca="false">MONTH(E3887)</f>
        <v>5</v>
      </c>
      <c r="K3887" s="3" t="n">
        <f aca="false">COUNTIFS($B$2:$B$4077,B3887,$C$2:$C$4077,C3887,$I$2:$I$4077,I3887)</f>
        <v>2</v>
      </c>
      <c r="L3887" s="3" t="n">
        <f aca="false">IF(COUNTIFS($B$2:B3887,B3887,$C$2:C3887,C3887,$I$2:I3887,I3887)=1,1,0)</f>
        <v>0</v>
      </c>
      <c r="M3887" s="3" t="n">
        <f aca="false">IF(K3887&gt;=Parametri!$B$1,1,0)</f>
        <v>1</v>
      </c>
      <c r="N3887" s="3" t="n">
        <f aca="false">L3887*M3887</f>
        <v>0</v>
      </c>
    </row>
    <row r="3888" customFormat="false" ht="15" hidden="false" customHeight="false" outlineLevel="0" collapsed="false">
      <c r="A3888" s="0" t="s">
        <v>5668</v>
      </c>
      <c r="B3888" s="0" t="s">
        <v>46</v>
      </c>
      <c r="C3888" s="0" t="s">
        <v>988</v>
      </c>
      <c r="D3888" s="0" t="s">
        <v>77</v>
      </c>
      <c r="E3888" s="2" t="n">
        <v>45556</v>
      </c>
      <c r="F3888" s="3" t="s">
        <v>34</v>
      </c>
      <c r="G3888" s="3" t="s">
        <v>43</v>
      </c>
      <c r="H3888" s="3" t="s">
        <v>44</v>
      </c>
      <c r="I3888" s="3" t="n">
        <f aca="false">YEAR(E3888)</f>
        <v>2024</v>
      </c>
      <c r="J3888" s="3" t="n">
        <f aca="false">MONTH(E3888)</f>
        <v>9</v>
      </c>
      <c r="K3888" s="3" t="n">
        <f aca="false">COUNTIFS($B$2:$B$4077,B3888,$C$2:$C$4077,C3888,$I$2:$I$4077,I3888)</f>
        <v>1</v>
      </c>
      <c r="L3888" s="3" t="n">
        <f aca="false">IF(COUNTIFS($B$2:B3888,B3888,$C$2:C3888,C3888,$I$2:I3888,I3888)=1,1,0)</f>
        <v>1</v>
      </c>
      <c r="M3888" s="3" t="n">
        <f aca="false">IF(K3888&gt;=Parametri!$B$1,1,0)</f>
        <v>0</v>
      </c>
      <c r="N3888" s="3" t="n">
        <f aca="false">L3888*M3888</f>
        <v>0</v>
      </c>
    </row>
    <row r="3889" customFormat="false" ht="15" hidden="false" customHeight="false" outlineLevel="0" collapsed="false">
      <c r="A3889" s="0" t="s">
        <v>5669</v>
      </c>
      <c r="B3889" s="0" t="s">
        <v>68</v>
      </c>
      <c r="C3889" s="0" t="s">
        <v>4503</v>
      </c>
      <c r="D3889" s="0" t="s">
        <v>38</v>
      </c>
      <c r="E3889" s="2" t="n">
        <v>45507</v>
      </c>
      <c r="F3889" s="3" t="s">
        <v>20</v>
      </c>
      <c r="G3889" s="3" t="s">
        <v>55</v>
      </c>
      <c r="H3889" s="3" t="s">
        <v>22</v>
      </c>
      <c r="I3889" s="3" t="n">
        <f aca="false">YEAR(E3889)</f>
        <v>2024</v>
      </c>
      <c r="J3889" s="3" t="n">
        <f aca="false">MONTH(E3889)</f>
        <v>8</v>
      </c>
      <c r="K3889" s="3" t="n">
        <f aca="false">COUNTIFS($B$2:$B$4077,B3889,$C$2:$C$4077,C3889,$I$2:$I$4077,I3889)</f>
        <v>1</v>
      </c>
      <c r="L3889" s="3" t="n">
        <f aca="false">IF(COUNTIFS($B$2:B3889,B3889,$C$2:C3889,C3889,$I$2:I3889,I3889)=1,1,0)</f>
        <v>1</v>
      </c>
      <c r="M3889" s="3" t="n">
        <f aca="false">IF(K3889&gt;=Parametri!$B$1,1,0)</f>
        <v>0</v>
      </c>
      <c r="N3889" s="3" t="n">
        <f aca="false">L3889*M3889</f>
        <v>0</v>
      </c>
    </row>
    <row r="3890" customFormat="false" ht="15" hidden="false" customHeight="false" outlineLevel="0" collapsed="false">
      <c r="A3890" s="0" t="s">
        <v>5670</v>
      </c>
      <c r="B3890" s="0" t="s">
        <v>124</v>
      </c>
      <c r="C3890" s="0" t="s">
        <v>2872</v>
      </c>
      <c r="D3890" s="0" t="s">
        <v>33</v>
      </c>
      <c r="E3890" s="2" t="n">
        <v>45804</v>
      </c>
      <c r="F3890" s="3" t="s">
        <v>34</v>
      </c>
      <c r="G3890" s="3" t="s">
        <v>21</v>
      </c>
      <c r="H3890" s="3" t="s">
        <v>48</v>
      </c>
      <c r="I3890" s="3" t="n">
        <f aca="false">YEAR(E3890)</f>
        <v>2025</v>
      </c>
      <c r="J3890" s="3" t="n">
        <f aca="false">MONTH(E3890)</f>
        <v>5</v>
      </c>
      <c r="K3890" s="3" t="n">
        <f aca="false">COUNTIFS($B$2:$B$4077,B3890,$C$2:$C$4077,C3890,$I$2:$I$4077,I3890)</f>
        <v>2</v>
      </c>
      <c r="L3890" s="3" t="n">
        <f aca="false">IF(COUNTIFS($B$2:B3890,B3890,$C$2:C3890,C3890,$I$2:I3890,I3890)=1,1,0)</f>
        <v>0</v>
      </c>
      <c r="M3890" s="3" t="n">
        <f aca="false">IF(K3890&gt;=Parametri!$B$1,1,0)</f>
        <v>1</v>
      </c>
      <c r="N3890" s="3" t="n">
        <f aca="false">L3890*M3890</f>
        <v>0</v>
      </c>
    </row>
    <row r="3891" customFormat="false" ht="15" hidden="false" customHeight="false" outlineLevel="0" collapsed="false">
      <c r="A3891" s="0" t="s">
        <v>5671</v>
      </c>
      <c r="B3891" s="0" t="s">
        <v>17</v>
      </c>
      <c r="C3891" s="0" t="s">
        <v>1272</v>
      </c>
      <c r="D3891" s="0" t="s">
        <v>63</v>
      </c>
      <c r="E3891" s="2" t="n">
        <v>46232</v>
      </c>
      <c r="F3891" s="3" t="s">
        <v>20</v>
      </c>
      <c r="G3891" s="3" t="s">
        <v>35</v>
      </c>
      <c r="H3891" s="3" t="s">
        <v>22</v>
      </c>
      <c r="I3891" s="3" t="n">
        <f aca="false">YEAR(E3891)</f>
        <v>2026</v>
      </c>
      <c r="J3891" s="3" t="n">
        <f aca="false">MONTH(E3891)</f>
        <v>7</v>
      </c>
      <c r="K3891" s="3" t="n">
        <f aca="false">COUNTIFS($B$2:$B$4077,B3891,$C$2:$C$4077,C3891,$I$2:$I$4077,I3891)</f>
        <v>3</v>
      </c>
      <c r="L3891" s="3" t="n">
        <f aca="false">IF(COUNTIFS($B$2:B3891,B3891,$C$2:C3891,C3891,$I$2:I3891,I3891)=1,1,0)</f>
        <v>0</v>
      </c>
      <c r="M3891" s="3" t="n">
        <f aca="false">IF(K3891&gt;=Parametri!$B$1,1,0)</f>
        <v>1</v>
      </c>
      <c r="N3891" s="3" t="n">
        <f aca="false">L3891*M3891</f>
        <v>0</v>
      </c>
    </row>
    <row r="3892" customFormat="false" ht="15" hidden="false" customHeight="false" outlineLevel="0" collapsed="false">
      <c r="A3892" s="0" t="s">
        <v>5672</v>
      </c>
      <c r="B3892" s="0" t="s">
        <v>24</v>
      </c>
      <c r="C3892" s="0" t="s">
        <v>1137</v>
      </c>
      <c r="D3892" s="0" t="s">
        <v>38</v>
      </c>
      <c r="E3892" s="2" t="n">
        <v>45993</v>
      </c>
      <c r="F3892" s="3" t="s">
        <v>20</v>
      </c>
      <c r="G3892" s="3" t="s">
        <v>55</v>
      </c>
      <c r="H3892" s="3" t="s">
        <v>22</v>
      </c>
      <c r="I3892" s="3" t="n">
        <f aca="false">YEAR(E3892)</f>
        <v>2025</v>
      </c>
      <c r="J3892" s="3" t="n">
        <f aca="false">MONTH(E3892)</f>
        <v>12</v>
      </c>
      <c r="K3892" s="3" t="n">
        <f aca="false">COUNTIFS($B$2:$B$4077,B3892,$C$2:$C$4077,C3892,$I$2:$I$4077,I3892)</f>
        <v>1</v>
      </c>
      <c r="L3892" s="3" t="n">
        <f aca="false">IF(COUNTIFS($B$2:B3892,B3892,$C$2:C3892,C3892,$I$2:I3892,I3892)=1,1,0)</f>
        <v>1</v>
      </c>
      <c r="M3892" s="3" t="n">
        <f aca="false">IF(K3892&gt;=Parametri!$B$1,1,0)</f>
        <v>0</v>
      </c>
      <c r="N3892" s="3" t="n">
        <f aca="false">L3892*M3892</f>
        <v>0</v>
      </c>
    </row>
    <row r="3893" customFormat="false" ht="15" hidden="false" customHeight="false" outlineLevel="0" collapsed="false">
      <c r="A3893" s="0" t="s">
        <v>5673</v>
      </c>
      <c r="B3893" s="0" t="s">
        <v>57</v>
      </c>
      <c r="C3893" s="0" t="s">
        <v>442</v>
      </c>
      <c r="D3893" s="0" t="s">
        <v>19</v>
      </c>
      <c r="E3893" s="2" t="n">
        <v>45528</v>
      </c>
      <c r="F3893" s="3" t="s">
        <v>20</v>
      </c>
      <c r="G3893" s="3" t="s">
        <v>89</v>
      </c>
      <c r="H3893" s="3" t="s">
        <v>48</v>
      </c>
      <c r="I3893" s="3" t="n">
        <f aca="false">YEAR(E3893)</f>
        <v>2024</v>
      </c>
      <c r="J3893" s="3" t="n">
        <f aca="false">MONTH(E3893)</f>
        <v>8</v>
      </c>
      <c r="K3893" s="3" t="n">
        <f aca="false">COUNTIFS($B$2:$B$4077,B3893,$C$2:$C$4077,C3893,$I$2:$I$4077,I3893)</f>
        <v>2</v>
      </c>
      <c r="L3893" s="3" t="n">
        <f aca="false">IF(COUNTIFS($B$2:B3893,B3893,$C$2:C3893,C3893,$I$2:I3893,I3893)=1,1,0)</f>
        <v>0</v>
      </c>
      <c r="M3893" s="3" t="n">
        <f aca="false">IF(K3893&gt;=Parametri!$B$1,1,0)</f>
        <v>1</v>
      </c>
      <c r="N3893" s="3" t="n">
        <f aca="false">L3893*M3893</f>
        <v>0</v>
      </c>
    </row>
    <row r="3894" customFormat="false" ht="15" hidden="false" customHeight="false" outlineLevel="0" collapsed="false">
      <c r="A3894" s="0" t="s">
        <v>5674</v>
      </c>
      <c r="B3894" s="0" t="s">
        <v>24</v>
      </c>
      <c r="C3894" s="0" t="s">
        <v>5675</v>
      </c>
      <c r="D3894" s="0" t="s">
        <v>33</v>
      </c>
      <c r="E3894" s="2" t="n">
        <v>45368</v>
      </c>
      <c r="F3894" s="3" t="s">
        <v>27</v>
      </c>
      <c r="G3894" s="3" t="s">
        <v>21</v>
      </c>
      <c r="H3894" s="3" t="s">
        <v>44</v>
      </c>
      <c r="I3894" s="3" t="n">
        <f aca="false">YEAR(E3894)</f>
        <v>2024</v>
      </c>
      <c r="J3894" s="3" t="n">
        <f aca="false">MONTH(E3894)</f>
        <v>3</v>
      </c>
      <c r="K3894" s="3" t="n">
        <f aca="false">COUNTIFS($B$2:$B$4077,B3894,$C$2:$C$4077,C3894,$I$2:$I$4077,I3894)</f>
        <v>1</v>
      </c>
      <c r="L3894" s="3" t="n">
        <f aca="false">IF(COUNTIFS($B$2:B3894,B3894,$C$2:C3894,C3894,$I$2:I3894,I3894)=1,1,0)</f>
        <v>1</v>
      </c>
      <c r="M3894" s="3" t="n">
        <f aca="false">IF(K3894&gt;=Parametri!$B$1,1,0)</f>
        <v>0</v>
      </c>
      <c r="N3894" s="3" t="n">
        <f aca="false">L3894*M3894</f>
        <v>0</v>
      </c>
    </row>
    <row r="3895" customFormat="false" ht="15" hidden="false" customHeight="false" outlineLevel="0" collapsed="false">
      <c r="A3895" s="0" t="s">
        <v>5676</v>
      </c>
      <c r="B3895" s="0" t="s">
        <v>24</v>
      </c>
      <c r="C3895" s="0" t="s">
        <v>2507</v>
      </c>
      <c r="D3895" s="0" t="s">
        <v>63</v>
      </c>
      <c r="E3895" s="2" t="n">
        <v>45334</v>
      </c>
      <c r="F3895" s="3" t="s">
        <v>27</v>
      </c>
      <c r="G3895" s="3" t="s">
        <v>28</v>
      </c>
      <c r="H3895" s="3" t="s">
        <v>48</v>
      </c>
      <c r="I3895" s="3" t="n">
        <f aca="false">YEAR(E3895)</f>
        <v>2024</v>
      </c>
      <c r="J3895" s="3" t="n">
        <f aca="false">MONTH(E3895)</f>
        <v>2</v>
      </c>
      <c r="K3895" s="3" t="n">
        <f aca="false">COUNTIFS($B$2:$B$4077,B3895,$C$2:$C$4077,C3895,$I$2:$I$4077,I3895)</f>
        <v>2</v>
      </c>
      <c r="L3895" s="3" t="n">
        <f aca="false">IF(COUNTIFS($B$2:B3895,B3895,$C$2:C3895,C3895,$I$2:I3895,I3895)=1,1,0)</f>
        <v>0</v>
      </c>
      <c r="M3895" s="3" t="n">
        <f aca="false">IF(K3895&gt;=Parametri!$B$1,1,0)</f>
        <v>1</v>
      </c>
      <c r="N3895" s="3" t="n">
        <f aca="false">L3895*M3895</f>
        <v>0</v>
      </c>
    </row>
    <row r="3896" customFormat="false" ht="15" hidden="false" customHeight="false" outlineLevel="0" collapsed="false">
      <c r="A3896" s="0" t="s">
        <v>5677</v>
      </c>
      <c r="B3896" s="0" t="s">
        <v>68</v>
      </c>
      <c r="C3896" s="0" t="s">
        <v>243</v>
      </c>
      <c r="D3896" s="0" t="s">
        <v>33</v>
      </c>
      <c r="E3896" s="2" t="n">
        <v>46202</v>
      </c>
      <c r="F3896" s="3" t="s">
        <v>27</v>
      </c>
      <c r="G3896" s="3" t="s">
        <v>35</v>
      </c>
      <c r="H3896" s="3" t="s">
        <v>22</v>
      </c>
      <c r="I3896" s="3" t="n">
        <f aca="false">YEAR(E3896)</f>
        <v>2026</v>
      </c>
      <c r="J3896" s="3" t="n">
        <f aca="false">MONTH(E3896)</f>
        <v>6</v>
      </c>
      <c r="K3896" s="3" t="n">
        <f aca="false">COUNTIFS($B$2:$B$4077,B3896,$C$2:$C$4077,C3896,$I$2:$I$4077,I3896)</f>
        <v>3</v>
      </c>
      <c r="L3896" s="3" t="n">
        <f aca="false">IF(COUNTIFS($B$2:B3896,B3896,$C$2:C3896,C3896,$I$2:I3896,I3896)=1,1,0)</f>
        <v>0</v>
      </c>
      <c r="M3896" s="3" t="n">
        <f aca="false">IF(K3896&gt;=Parametri!$B$1,1,0)</f>
        <v>1</v>
      </c>
      <c r="N3896" s="3" t="n">
        <f aca="false">L3896*M3896</f>
        <v>0</v>
      </c>
    </row>
    <row r="3897" customFormat="false" ht="15" hidden="false" customHeight="false" outlineLevel="0" collapsed="false">
      <c r="A3897" s="0" t="s">
        <v>5678</v>
      </c>
      <c r="B3897" s="0" t="s">
        <v>50</v>
      </c>
      <c r="C3897" s="0" t="s">
        <v>1066</v>
      </c>
      <c r="D3897" s="0" t="s">
        <v>26</v>
      </c>
      <c r="E3897" s="2" t="n">
        <v>45694</v>
      </c>
      <c r="F3897" s="3" t="s">
        <v>20</v>
      </c>
      <c r="G3897" s="3" t="s">
        <v>28</v>
      </c>
      <c r="H3897" s="3" t="s">
        <v>22</v>
      </c>
      <c r="I3897" s="3" t="n">
        <f aca="false">YEAR(E3897)</f>
        <v>2025</v>
      </c>
      <c r="J3897" s="3" t="n">
        <f aca="false">MONTH(E3897)</f>
        <v>2</v>
      </c>
      <c r="K3897" s="3" t="n">
        <f aca="false">COUNTIFS($B$2:$B$4077,B3897,$C$2:$C$4077,C3897,$I$2:$I$4077,I3897)</f>
        <v>1</v>
      </c>
      <c r="L3897" s="3" t="n">
        <f aca="false">IF(COUNTIFS($B$2:B3897,B3897,$C$2:C3897,C3897,$I$2:I3897,I3897)=1,1,0)</f>
        <v>1</v>
      </c>
      <c r="M3897" s="3" t="n">
        <f aca="false">IF(K3897&gt;=Parametri!$B$1,1,0)</f>
        <v>0</v>
      </c>
      <c r="N3897" s="3" t="n">
        <f aca="false">L3897*M3897</f>
        <v>0</v>
      </c>
    </row>
    <row r="3898" customFormat="false" ht="15" hidden="false" customHeight="false" outlineLevel="0" collapsed="false">
      <c r="A3898" s="0" t="s">
        <v>5679</v>
      </c>
      <c r="B3898" s="0" t="s">
        <v>50</v>
      </c>
      <c r="C3898" s="0" t="s">
        <v>3129</v>
      </c>
      <c r="D3898" s="0" t="s">
        <v>33</v>
      </c>
      <c r="E3898" s="2" t="n">
        <v>46133</v>
      </c>
      <c r="F3898" s="3" t="s">
        <v>34</v>
      </c>
      <c r="G3898" s="3" t="s">
        <v>55</v>
      </c>
      <c r="H3898" s="3" t="s">
        <v>44</v>
      </c>
      <c r="I3898" s="3" t="n">
        <f aca="false">YEAR(E3898)</f>
        <v>2026</v>
      </c>
      <c r="J3898" s="3" t="n">
        <f aca="false">MONTH(E3898)</f>
        <v>4</v>
      </c>
      <c r="K3898" s="3" t="n">
        <f aca="false">COUNTIFS($B$2:$B$4077,B3898,$C$2:$C$4077,C3898,$I$2:$I$4077,I3898)</f>
        <v>1</v>
      </c>
      <c r="L3898" s="3" t="n">
        <f aca="false">IF(COUNTIFS($B$2:B3898,B3898,$C$2:C3898,C3898,$I$2:I3898,I3898)=1,1,0)</f>
        <v>1</v>
      </c>
      <c r="M3898" s="3" t="n">
        <f aca="false">IF(K3898&gt;=Parametri!$B$1,1,0)</f>
        <v>0</v>
      </c>
      <c r="N3898" s="3" t="n">
        <f aca="false">L3898*M3898</f>
        <v>0</v>
      </c>
    </row>
    <row r="3899" customFormat="false" ht="15" hidden="false" customHeight="false" outlineLevel="0" collapsed="false">
      <c r="A3899" s="0" t="s">
        <v>5680</v>
      </c>
      <c r="B3899" s="0" t="s">
        <v>79</v>
      </c>
      <c r="C3899" s="0" t="s">
        <v>4601</v>
      </c>
      <c r="D3899" s="0" t="s">
        <v>19</v>
      </c>
      <c r="E3899" s="2" t="n">
        <v>46059</v>
      </c>
      <c r="F3899" s="3" t="s">
        <v>20</v>
      </c>
      <c r="G3899" s="3" t="s">
        <v>72</v>
      </c>
      <c r="H3899" s="3" t="s">
        <v>48</v>
      </c>
      <c r="I3899" s="3" t="n">
        <f aca="false">YEAR(E3899)</f>
        <v>2026</v>
      </c>
      <c r="J3899" s="3" t="n">
        <f aca="false">MONTH(E3899)</f>
        <v>2</v>
      </c>
      <c r="K3899" s="3" t="n">
        <f aca="false">COUNTIFS($B$2:$B$4077,B3899,$C$2:$C$4077,C3899,$I$2:$I$4077,I3899)</f>
        <v>1</v>
      </c>
      <c r="L3899" s="3" t="n">
        <f aca="false">IF(COUNTIFS($B$2:B3899,B3899,$C$2:C3899,C3899,$I$2:I3899,I3899)=1,1,0)</f>
        <v>1</v>
      </c>
      <c r="M3899" s="3" t="n">
        <f aca="false">IF(K3899&gt;=Parametri!$B$1,1,0)</f>
        <v>0</v>
      </c>
      <c r="N3899" s="3" t="n">
        <f aca="false">L3899*M3899</f>
        <v>0</v>
      </c>
    </row>
    <row r="3900" customFormat="false" ht="15" hidden="false" customHeight="false" outlineLevel="0" collapsed="false">
      <c r="A3900" s="0" t="s">
        <v>5681</v>
      </c>
      <c r="B3900" s="0" t="s">
        <v>68</v>
      </c>
      <c r="C3900" s="0" t="s">
        <v>4800</v>
      </c>
      <c r="D3900" s="0" t="s">
        <v>54</v>
      </c>
      <c r="E3900" s="2" t="n">
        <v>45630</v>
      </c>
      <c r="F3900" s="3" t="s">
        <v>27</v>
      </c>
      <c r="G3900" s="3" t="s">
        <v>72</v>
      </c>
      <c r="H3900" s="3" t="s">
        <v>48</v>
      </c>
      <c r="I3900" s="3" t="n">
        <f aca="false">YEAR(E3900)</f>
        <v>2024</v>
      </c>
      <c r="J3900" s="3" t="n">
        <f aca="false">MONTH(E3900)</f>
        <v>12</v>
      </c>
      <c r="K3900" s="3" t="n">
        <f aca="false">COUNTIFS($B$2:$B$4077,B3900,$C$2:$C$4077,C3900,$I$2:$I$4077,I3900)</f>
        <v>1</v>
      </c>
      <c r="L3900" s="3" t="n">
        <f aca="false">IF(COUNTIFS($B$2:B3900,B3900,$C$2:C3900,C3900,$I$2:I3900,I3900)=1,1,0)</f>
        <v>1</v>
      </c>
      <c r="M3900" s="3" t="n">
        <f aca="false">IF(K3900&gt;=Parametri!$B$1,1,0)</f>
        <v>0</v>
      </c>
      <c r="N3900" s="3" t="n">
        <f aca="false">L3900*M3900</f>
        <v>0</v>
      </c>
    </row>
    <row r="3901" customFormat="false" ht="15" hidden="false" customHeight="false" outlineLevel="0" collapsed="false">
      <c r="A3901" s="0" t="s">
        <v>5682</v>
      </c>
      <c r="B3901" s="0" t="s">
        <v>57</v>
      </c>
      <c r="C3901" s="0" t="s">
        <v>288</v>
      </c>
      <c r="D3901" s="0" t="s">
        <v>33</v>
      </c>
      <c r="E3901" s="2" t="n">
        <v>45584</v>
      </c>
      <c r="F3901" s="3" t="s">
        <v>34</v>
      </c>
      <c r="G3901" s="3" t="s">
        <v>55</v>
      </c>
      <c r="H3901" s="3" t="s">
        <v>44</v>
      </c>
      <c r="I3901" s="3" t="n">
        <f aca="false">YEAR(E3901)</f>
        <v>2024</v>
      </c>
      <c r="J3901" s="3" t="n">
        <f aca="false">MONTH(E3901)</f>
        <v>10</v>
      </c>
      <c r="K3901" s="3" t="n">
        <f aca="false">COUNTIFS($B$2:$B$4077,B3901,$C$2:$C$4077,C3901,$I$2:$I$4077,I3901)</f>
        <v>7</v>
      </c>
      <c r="L3901" s="3" t="n">
        <f aca="false">IF(COUNTIFS($B$2:B3901,B3901,$C$2:C3901,C3901,$I$2:I3901,I3901)=1,1,0)</f>
        <v>0</v>
      </c>
      <c r="M3901" s="3" t="n">
        <f aca="false">IF(K3901&gt;=Parametri!$B$1,1,0)</f>
        <v>1</v>
      </c>
      <c r="N3901" s="3" t="n">
        <f aca="false">L3901*M3901</f>
        <v>0</v>
      </c>
    </row>
    <row r="3902" customFormat="false" ht="15" hidden="false" customHeight="false" outlineLevel="0" collapsed="false">
      <c r="A3902" s="0" t="s">
        <v>5683</v>
      </c>
      <c r="B3902" s="0" t="s">
        <v>46</v>
      </c>
      <c r="C3902" s="0" t="s">
        <v>2707</v>
      </c>
      <c r="D3902" s="0" t="s">
        <v>19</v>
      </c>
      <c r="E3902" s="2" t="n">
        <v>45389</v>
      </c>
      <c r="F3902" s="3" t="s">
        <v>20</v>
      </c>
      <c r="G3902" s="3" t="s">
        <v>43</v>
      </c>
      <c r="H3902" s="3" t="s">
        <v>22</v>
      </c>
      <c r="I3902" s="3" t="n">
        <f aca="false">YEAR(E3902)</f>
        <v>2024</v>
      </c>
      <c r="J3902" s="3" t="n">
        <f aca="false">MONTH(E3902)</f>
        <v>4</v>
      </c>
      <c r="K3902" s="3" t="n">
        <f aca="false">COUNTIFS($B$2:$B$4077,B3902,$C$2:$C$4077,C3902,$I$2:$I$4077,I3902)</f>
        <v>2</v>
      </c>
      <c r="L3902" s="3" t="n">
        <f aca="false">IF(COUNTIFS($B$2:B3902,B3902,$C$2:C3902,C3902,$I$2:I3902,I3902)=1,1,0)</f>
        <v>0</v>
      </c>
      <c r="M3902" s="3" t="n">
        <f aca="false">IF(K3902&gt;=Parametri!$B$1,1,0)</f>
        <v>1</v>
      </c>
      <c r="N3902" s="3" t="n">
        <f aca="false">L3902*M3902</f>
        <v>0</v>
      </c>
    </row>
    <row r="3903" customFormat="false" ht="15" hidden="false" customHeight="false" outlineLevel="0" collapsed="false">
      <c r="A3903" s="0" t="s">
        <v>5684</v>
      </c>
      <c r="B3903" s="0" t="s">
        <v>57</v>
      </c>
      <c r="C3903" s="0" t="s">
        <v>5685</v>
      </c>
      <c r="D3903" s="0" t="s">
        <v>19</v>
      </c>
      <c r="E3903" s="2" t="n">
        <v>45317</v>
      </c>
      <c r="F3903" s="3" t="s">
        <v>27</v>
      </c>
      <c r="G3903" s="3" t="s">
        <v>35</v>
      </c>
      <c r="H3903" s="3" t="s">
        <v>29</v>
      </c>
      <c r="I3903" s="3" t="n">
        <f aca="false">YEAR(E3903)</f>
        <v>2024</v>
      </c>
      <c r="J3903" s="3" t="n">
        <f aca="false">MONTH(E3903)</f>
        <v>1</v>
      </c>
      <c r="K3903" s="3" t="n">
        <f aca="false">COUNTIFS($B$2:$B$4077,B3903,$C$2:$C$4077,C3903,$I$2:$I$4077,I3903)</f>
        <v>1</v>
      </c>
      <c r="L3903" s="3" t="n">
        <f aca="false">IF(COUNTIFS($B$2:B3903,B3903,$C$2:C3903,C3903,$I$2:I3903,I3903)=1,1,0)</f>
        <v>1</v>
      </c>
      <c r="M3903" s="3" t="n">
        <f aca="false">IF(K3903&gt;=Parametri!$B$1,1,0)</f>
        <v>0</v>
      </c>
      <c r="N3903" s="3" t="n">
        <f aca="false">L3903*M3903</f>
        <v>0</v>
      </c>
    </row>
    <row r="3904" customFormat="false" ht="15" hidden="false" customHeight="false" outlineLevel="0" collapsed="false">
      <c r="A3904" s="0" t="s">
        <v>5686</v>
      </c>
      <c r="B3904" s="0" t="s">
        <v>57</v>
      </c>
      <c r="C3904" s="0" t="s">
        <v>583</v>
      </c>
      <c r="D3904" s="0" t="s">
        <v>77</v>
      </c>
      <c r="E3904" s="2" t="n">
        <v>46208</v>
      </c>
      <c r="F3904" s="3" t="s">
        <v>20</v>
      </c>
      <c r="G3904" s="3" t="s">
        <v>39</v>
      </c>
      <c r="H3904" s="3" t="s">
        <v>48</v>
      </c>
      <c r="I3904" s="3" t="n">
        <f aca="false">YEAR(E3904)</f>
        <v>2026</v>
      </c>
      <c r="J3904" s="3" t="n">
        <f aca="false">MONTH(E3904)</f>
        <v>7</v>
      </c>
      <c r="K3904" s="3" t="n">
        <f aca="false">COUNTIFS($B$2:$B$4077,B3904,$C$2:$C$4077,C3904,$I$2:$I$4077,I3904)</f>
        <v>2</v>
      </c>
      <c r="L3904" s="3" t="n">
        <f aca="false">IF(COUNTIFS($B$2:B3904,B3904,$C$2:C3904,C3904,$I$2:I3904,I3904)=1,1,0)</f>
        <v>0</v>
      </c>
      <c r="M3904" s="3" t="n">
        <f aca="false">IF(K3904&gt;=Parametri!$B$1,1,0)</f>
        <v>1</v>
      </c>
      <c r="N3904" s="3" t="n">
        <f aca="false">L3904*M3904</f>
        <v>0</v>
      </c>
    </row>
    <row r="3905" customFormat="false" ht="15" hidden="false" customHeight="false" outlineLevel="0" collapsed="false">
      <c r="A3905" s="0" t="s">
        <v>5687</v>
      </c>
      <c r="B3905" s="0" t="s">
        <v>57</v>
      </c>
      <c r="C3905" s="0" t="s">
        <v>4031</v>
      </c>
      <c r="D3905" s="0" t="s">
        <v>66</v>
      </c>
      <c r="E3905" s="2" t="n">
        <v>45460</v>
      </c>
      <c r="F3905" s="3" t="s">
        <v>20</v>
      </c>
      <c r="G3905" s="3" t="s">
        <v>43</v>
      </c>
      <c r="H3905" s="3" t="s">
        <v>29</v>
      </c>
      <c r="I3905" s="3" t="n">
        <f aca="false">YEAR(E3905)</f>
        <v>2024</v>
      </c>
      <c r="J3905" s="3" t="n">
        <f aca="false">MONTH(E3905)</f>
        <v>6</v>
      </c>
      <c r="K3905" s="3" t="n">
        <f aca="false">COUNTIFS($B$2:$B$4077,B3905,$C$2:$C$4077,C3905,$I$2:$I$4077,I3905)</f>
        <v>1</v>
      </c>
      <c r="L3905" s="3" t="n">
        <f aca="false">IF(COUNTIFS($B$2:B3905,B3905,$C$2:C3905,C3905,$I$2:I3905,I3905)=1,1,0)</f>
        <v>1</v>
      </c>
      <c r="M3905" s="3" t="n">
        <f aca="false">IF(K3905&gt;=Parametri!$B$1,1,0)</f>
        <v>0</v>
      </c>
      <c r="N3905" s="3" t="n">
        <f aca="false">L3905*M3905</f>
        <v>0</v>
      </c>
    </row>
    <row r="3906" customFormat="false" ht="15" hidden="false" customHeight="false" outlineLevel="0" collapsed="false">
      <c r="A3906" s="0" t="s">
        <v>5688</v>
      </c>
      <c r="B3906" s="0" t="s">
        <v>41</v>
      </c>
      <c r="C3906" s="0" t="s">
        <v>1637</v>
      </c>
      <c r="D3906" s="0" t="s">
        <v>38</v>
      </c>
      <c r="E3906" s="2" t="n">
        <v>46243</v>
      </c>
      <c r="F3906" s="3" t="s">
        <v>34</v>
      </c>
      <c r="G3906" s="3" t="s">
        <v>89</v>
      </c>
      <c r="H3906" s="3" t="s">
        <v>48</v>
      </c>
      <c r="I3906" s="3" t="n">
        <f aca="false">YEAR(E3906)</f>
        <v>2026</v>
      </c>
      <c r="J3906" s="3" t="n">
        <f aca="false">MONTH(E3906)</f>
        <v>8</v>
      </c>
      <c r="K3906" s="3" t="n">
        <f aca="false">COUNTIFS($B$2:$B$4077,B3906,$C$2:$C$4077,C3906,$I$2:$I$4077,I3906)</f>
        <v>1</v>
      </c>
      <c r="L3906" s="3" t="n">
        <f aca="false">IF(COUNTIFS($B$2:B3906,B3906,$C$2:C3906,C3906,$I$2:I3906,I3906)=1,1,0)</f>
        <v>1</v>
      </c>
      <c r="M3906" s="3" t="n">
        <f aca="false">IF(K3906&gt;=Parametri!$B$1,1,0)</f>
        <v>0</v>
      </c>
      <c r="N3906" s="3" t="n">
        <f aca="false">L3906*M3906</f>
        <v>0</v>
      </c>
    </row>
    <row r="3907" customFormat="false" ht="15" hidden="false" customHeight="false" outlineLevel="0" collapsed="false">
      <c r="A3907" s="0" t="s">
        <v>5689</v>
      </c>
      <c r="B3907" s="0" t="s">
        <v>50</v>
      </c>
      <c r="C3907" s="0" t="s">
        <v>2926</v>
      </c>
      <c r="D3907" s="0" t="s">
        <v>77</v>
      </c>
      <c r="E3907" s="2" t="n">
        <v>45421</v>
      </c>
      <c r="F3907" s="3" t="s">
        <v>27</v>
      </c>
      <c r="G3907" s="3" t="s">
        <v>39</v>
      </c>
      <c r="H3907" s="3" t="s">
        <v>22</v>
      </c>
      <c r="I3907" s="3" t="n">
        <f aca="false">YEAR(E3907)</f>
        <v>2024</v>
      </c>
      <c r="J3907" s="3" t="n">
        <f aca="false">MONTH(E3907)</f>
        <v>5</v>
      </c>
      <c r="K3907" s="3" t="n">
        <f aca="false">COUNTIFS($B$2:$B$4077,B3907,$C$2:$C$4077,C3907,$I$2:$I$4077,I3907)</f>
        <v>2</v>
      </c>
      <c r="L3907" s="3" t="n">
        <f aca="false">IF(COUNTIFS($B$2:B3907,B3907,$C$2:C3907,C3907,$I$2:I3907,I3907)=1,1,0)</f>
        <v>0</v>
      </c>
      <c r="M3907" s="3" t="n">
        <f aca="false">IF(K3907&gt;=Parametri!$B$1,1,0)</f>
        <v>1</v>
      </c>
      <c r="N3907" s="3" t="n">
        <f aca="false">L3907*M3907</f>
        <v>0</v>
      </c>
    </row>
    <row r="3908" customFormat="false" ht="15" hidden="false" customHeight="false" outlineLevel="0" collapsed="false">
      <c r="A3908" s="0" t="s">
        <v>5690</v>
      </c>
      <c r="B3908" s="0" t="s">
        <v>46</v>
      </c>
      <c r="C3908" s="0" t="s">
        <v>5691</v>
      </c>
      <c r="D3908" s="0" t="s">
        <v>19</v>
      </c>
      <c r="E3908" s="2" t="n">
        <v>45306</v>
      </c>
      <c r="F3908" s="3" t="s">
        <v>20</v>
      </c>
      <c r="G3908" s="3" t="s">
        <v>43</v>
      </c>
      <c r="H3908" s="3" t="s">
        <v>48</v>
      </c>
      <c r="I3908" s="3" t="n">
        <f aca="false">YEAR(E3908)</f>
        <v>2024</v>
      </c>
      <c r="J3908" s="3" t="n">
        <f aca="false">MONTH(E3908)</f>
        <v>1</v>
      </c>
      <c r="K3908" s="3" t="n">
        <f aca="false">COUNTIFS($B$2:$B$4077,B3908,$C$2:$C$4077,C3908,$I$2:$I$4077,I3908)</f>
        <v>1</v>
      </c>
      <c r="L3908" s="3" t="n">
        <f aca="false">IF(COUNTIFS($B$2:B3908,B3908,$C$2:C3908,C3908,$I$2:I3908,I3908)=1,1,0)</f>
        <v>1</v>
      </c>
      <c r="M3908" s="3" t="n">
        <f aca="false">IF(K3908&gt;=Parametri!$B$1,1,0)</f>
        <v>0</v>
      </c>
      <c r="N3908" s="3" t="n">
        <f aca="false">L3908*M3908</f>
        <v>0</v>
      </c>
    </row>
    <row r="3909" customFormat="false" ht="15" hidden="false" customHeight="false" outlineLevel="0" collapsed="false">
      <c r="A3909" s="0" t="s">
        <v>5692</v>
      </c>
      <c r="B3909" s="0" t="s">
        <v>68</v>
      </c>
      <c r="C3909" s="0" t="s">
        <v>321</v>
      </c>
      <c r="D3909" s="0" t="s">
        <v>19</v>
      </c>
      <c r="E3909" s="2" t="n">
        <v>45561</v>
      </c>
      <c r="F3909" s="3" t="s">
        <v>27</v>
      </c>
      <c r="G3909" s="3" t="s">
        <v>43</v>
      </c>
      <c r="H3909" s="3" t="s">
        <v>22</v>
      </c>
      <c r="I3909" s="3" t="n">
        <f aca="false">YEAR(E3909)</f>
        <v>2024</v>
      </c>
      <c r="J3909" s="3" t="n">
        <f aca="false">MONTH(E3909)</f>
        <v>9</v>
      </c>
      <c r="K3909" s="3" t="n">
        <f aca="false">COUNTIFS($B$2:$B$4077,B3909,$C$2:$C$4077,C3909,$I$2:$I$4077,I3909)</f>
        <v>1</v>
      </c>
      <c r="L3909" s="3" t="n">
        <f aca="false">IF(COUNTIFS($B$2:B3909,B3909,$C$2:C3909,C3909,$I$2:I3909,I3909)=1,1,0)</f>
        <v>1</v>
      </c>
      <c r="M3909" s="3" t="n">
        <f aca="false">IF(K3909&gt;=Parametri!$B$1,1,0)</f>
        <v>0</v>
      </c>
      <c r="N3909" s="3" t="n">
        <f aca="false">L3909*M3909</f>
        <v>0</v>
      </c>
    </row>
    <row r="3910" customFormat="false" ht="15" hidden="false" customHeight="false" outlineLevel="0" collapsed="false">
      <c r="A3910" s="0" t="s">
        <v>5693</v>
      </c>
      <c r="B3910" s="0" t="s">
        <v>46</v>
      </c>
      <c r="C3910" s="0" t="s">
        <v>307</v>
      </c>
      <c r="D3910" s="0" t="s">
        <v>19</v>
      </c>
      <c r="E3910" s="2" t="n">
        <v>45383</v>
      </c>
      <c r="F3910" s="3" t="s">
        <v>20</v>
      </c>
      <c r="G3910" s="3" t="s">
        <v>39</v>
      </c>
      <c r="H3910" s="3" t="s">
        <v>44</v>
      </c>
      <c r="I3910" s="3" t="n">
        <f aca="false">YEAR(E3910)</f>
        <v>2024</v>
      </c>
      <c r="J3910" s="3" t="n">
        <f aca="false">MONTH(E3910)</f>
        <v>4</v>
      </c>
      <c r="K3910" s="3" t="n">
        <f aca="false">COUNTIFS($B$2:$B$4077,B3910,$C$2:$C$4077,C3910,$I$2:$I$4077,I3910)</f>
        <v>1</v>
      </c>
      <c r="L3910" s="3" t="n">
        <f aca="false">IF(COUNTIFS($B$2:B3910,B3910,$C$2:C3910,C3910,$I$2:I3910,I3910)=1,1,0)</f>
        <v>1</v>
      </c>
      <c r="M3910" s="3" t="n">
        <f aca="false">IF(K3910&gt;=Parametri!$B$1,1,0)</f>
        <v>0</v>
      </c>
      <c r="N3910" s="3" t="n">
        <f aca="false">L3910*M3910</f>
        <v>0</v>
      </c>
    </row>
    <row r="3911" customFormat="false" ht="15" hidden="false" customHeight="false" outlineLevel="0" collapsed="false">
      <c r="A3911" s="0" t="s">
        <v>5694</v>
      </c>
      <c r="B3911" s="0" t="s">
        <v>31</v>
      </c>
      <c r="C3911" s="0" t="s">
        <v>600</v>
      </c>
      <c r="D3911" s="0" t="s">
        <v>66</v>
      </c>
      <c r="E3911" s="2" t="n">
        <v>45366</v>
      </c>
      <c r="F3911" s="3" t="s">
        <v>20</v>
      </c>
      <c r="G3911" s="3" t="s">
        <v>35</v>
      </c>
      <c r="H3911" s="3" t="s">
        <v>29</v>
      </c>
      <c r="I3911" s="3" t="n">
        <f aca="false">YEAR(E3911)</f>
        <v>2024</v>
      </c>
      <c r="J3911" s="3" t="n">
        <f aca="false">MONTH(E3911)</f>
        <v>3</v>
      </c>
      <c r="K3911" s="3" t="n">
        <f aca="false">COUNTIFS($B$2:$B$4077,B3911,$C$2:$C$4077,C3911,$I$2:$I$4077,I3911)</f>
        <v>2</v>
      </c>
      <c r="L3911" s="3" t="n">
        <f aca="false">IF(COUNTIFS($B$2:B3911,B3911,$C$2:C3911,C3911,$I$2:I3911,I3911)=1,1,0)</f>
        <v>0</v>
      </c>
      <c r="M3911" s="3" t="n">
        <f aca="false">IF(K3911&gt;=Parametri!$B$1,1,0)</f>
        <v>1</v>
      </c>
      <c r="N3911" s="3" t="n">
        <f aca="false">L3911*M3911</f>
        <v>0</v>
      </c>
    </row>
    <row r="3912" customFormat="false" ht="15" hidden="false" customHeight="false" outlineLevel="0" collapsed="false">
      <c r="A3912" s="0" t="s">
        <v>5695</v>
      </c>
      <c r="B3912" s="0" t="s">
        <v>57</v>
      </c>
      <c r="C3912" s="0" t="s">
        <v>3477</v>
      </c>
      <c r="D3912" s="0" t="s">
        <v>77</v>
      </c>
      <c r="E3912" s="2" t="n">
        <v>45708</v>
      </c>
      <c r="F3912" s="3" t="s">
        <v>27</v>
      </c>
      <c r="G3912" s="3" t="s">
        <v>43</v>
      </c>
      <c r="H3912" s="3" t="s">
        <v>44</v>
      </c>
      <c r="I3912" s="3" t="n">
        <f aca="false">YEAR(E3912)</f>
        <v>2025</v>
      </c>
      <c r="J3912" s="3" t="n">
        <f aca="false">MONTH(E3912)</f>
        <v>2</v>
      </c>
      <c r="K3912" s="3" t="n">
        <f aca="false">COUNTIFS($B$2:$B$4077,B3912,$C$2:$C$4077,C3912,$I$2:$I$4077,I3912)</f>
        <v>3</v>
      </c>
      <c r="L3912" s="3" t="n">
        <f aca="false">IF(COUNTIFS($B$2:B3912,B3912,$C$2:C3912,C3912,$I$2:I3912,I3912)=1,1,0)</f>
        <v>0</v>
      </c>
      <c r="M3912" s="3" t="n">
        <f aca="false">IF(K3912&gt;=Parametri!$B$1,1,0)</f>
        <v>1</v>
      </c>
      <c r="N3912" s="3" t="n">
        <f aca="false">L3912*M3912</f>
        <v>0</v>
      </c>
    </row>
    <row r="3913" customFormat="false" ht="15" hidden="false" customHeight="false" outlineLevel="0" collapsed="false">
      <c r="A3913" s="0" t="s">
        <v>5696</v>
      </c>
      <c r="B3913" s="0" t="s">
        <v>46</v>
      </c>
      <c r="C3913" s="0" t="s">
        <v>659</v>
      </c>
      <c r="D3913" s="0" t="s">
        <v>54</v>
      </c>
      <c r="E3913" s="2" t="n">
        <v>45938</v>
      </c>
      <c r="F3913" s="3" t="s">
        <v>20</v>
      </c>
      <c r="G3913" s="3" t="s">
        <v>55</v>
      </c>
      <c r="H3913" s="3" t="s">
        <v>29</v>
      </c>
      <c r="I3913" s="3" t="n">
        <f aca="false">YEAR(E3913)</f>
        <v>2025</v>
      </c>
      <c r="J3913" s="3" t="n">
        <f aca="false">MONTH(E3913)</f>
        <v>10</v>
      </c>
      <c r="K3913" s="3" t="n">
        <f aca="false">COUNTIFS($B$2:$B$4077,B3913,$C$2:$C$4077,C3913,$I$2:$I$4077,I3913)</f>
        <v>2</v>
      </c>
      <c r="L3913" s="3" t="n">
        <f aca="false">IF(COUNTIFS($B$2:B3913,B3913,$C$2:C3913,C3913,$I$2:I3913,I3913)=1,1,0)</f>
        <v>0</v>
      </c>
      <c r="M3913" s="3" t="n">
        <f aca="false">IF(K3913&gt;=Parametri!$B$1,1,0)</f>
        <v>1</v>
      </c>
      <c r="N3913" s="3" t="n">
        <f aca="false">L3913*M3913</f>
        <v>0</v>
      </c>
    </row>
    <row r="3914" customFormat="false" ht="15" hidden="false" customHeight="false" outlineLevel="0" collapsed="false">
      <c r="A3914" s="0" t="s">
        <v>5697</v>
      </c>
      <c r="B3914" s="0" t="s">
        <v>57</v>
      </c>
      <c r="C3914" s="0" t="s">
        <v>1531</v>
      </c>
      <c r="D3914" s="0" t="s">
        <v>77</v>
      </c>
      <c r="E3914" s="2" t="n">
        <v>45761</v>
      </c>
      <c r="F3914" s="3" t="s">
        <v>20</v>
      </c>
      <c r="G3914" s="3" t="s">
        <v>43</v>
      </c>
      <c r="H3914" s="3" t="s">
        <v>48</v>
      </c>
      <c r="I3914" s="3" t="n">
        <f aca="false">YEAR(E3914)</f>
        <v>2025</v>
      </c>
      <c r="J3914" s="3" t="n">
        <f aca="false">MONTH(E3914)</f>
        <v>4</v>
      </c>
      <c r="K3914" s="3" t="n">
        <f aca="false">COUNTIFS($B$2:$B$4077,B3914,$C$2:$C$4077,C3914,$I$2:$I$4077,I3914)</f>
        <v>7</v>
      </c>
      <c r="L3914" s="3" t="n">
        <f aca="false">IF(COUNTIFS($B$2:B3914,B3914,$C$2:C3914,C3914,$I$2:I3914,I3914)=1,1,0)</f>
        <v>0</v>
      </c>
      <c r="M3914" s="3" t="n">
        <f aca="false">IF(K3914&gt;=Parametri!$B$1,1,0)</f>
        <v>1</v>
      </c>
      <c r="N3914" s="3" t="n">
        <f aca="false">L3914*M3914</f>
        <v>0</v>
      </c>
    </row>
    <row r="3915" customFormat="false" ht="15" hidden="false" customHeight="false" outlineLevel="0" collapsed="false">
      <c r="A3915" s="0" t="s">
        <v>5698</v>
      </c>
      <c r="B3915" s="0" t="s">
        <v>17</v>
      </c>
      <c r="C3915" s="0" t="s">
        <v>4821</v>
      </c>
      <c r="D3915" s="0" t="s">
        <v>33</v>
      </c>
      <c r="E3915" s="2" t="n">
        <v>45700</v>
      </c>
      <c r="F3915" s="3" t="s">
        <v>20</v>
      </c>
      <c r="G3915" s="3" t="s">
        <v>21</v>
      </c>
      <c r="H3915" s="3" t="s">
        <v>29</v>
      </c>
      <c r="I3915" s="3" t="n">
        <f aca="false">YEAR(E3915)</f>
        <v>2025</v>
      </c>
      <c r="J3915" s="3" t="n">
        <f aca="false">MONTH(E3915)</f>
        <v>2</v>
      </c>
      <c r="K3915" s="3" t="n">
        <f aca="false">COUNTIFS($B$2:$B$4077,B3915,$C$2:$C$4077,C3915,$I$2:$I$4077,I3915)</f>
        <v>3</v>
      </c>
      <c r="L3915" s="3" t="n">
        <f aca="false">IF(COUNTIFS($B$2:B3915,B3915,$C$2:C3915,C3915,$I$2:I3915,I3915)=1,1,0)</f>
        <v>0</v>
      </c>
      <c r="M3915" s="3" t="n">
        <f aca="false">IF(K3915&gt;=Parametri!$B$1,1,0)</f>
        <v>1</v>
      </c>
      <c r="N3915" s="3" t="n">
        <f aca="false">L3915*M3915</f>
        <v>0</v>
      </c>
    </row>
    <row r="3916" customFormat="false" ht="15" hidden="false" customHeight="false" outlineLevel="0" collapsed="false">
      <c r="A3916" s="0" t="s">
        <v>5699</v>
      </c>
      <c r="B3916" s="0" t="s">
        <v>57</v>
      </c>
      <c r="C3916" s="0" t="s">
        <v>5700</v>
      </c>
      <c r="D3916" s="0" t="s">
        <v>26</v>
      </c>
      <c r="E3916" s="2" t="n">
        <v>45931</v>
      </c>
      <c r="F3916" s="3" t="s">
        <v>20</v>
      </c>
      <c r="G3916" s="3" t="s">
        <v>89</v>
      </c>
      <c r="H3916" s="3" t="s">
        <v>22</v>
      </c>
      <c r="I3916" s="3" t="n">
        <f aca="false">YEAR(E3916)</f>
        <v>2025</v>
      </c>
      <c r="J3916" s="3" t="n">
        <f aca="false">MONTH(E3916)</f>
        <v>10</v>
      </c>
      <c r="K3916" s="3" t="n">
        <f aca="false">COUNTIFS($B$2:$B$4077,B3916,$C$2:$C$4077,C3916,$I$2:$I$4077,I3916)</f>
        <v>1</v>
      </c>
      <c r="L3916" s="3" t="n">
        <f aca="false">IF(COUNTIFS($B$2:B3916,B3916,$C$2:C3916,C3916,$I$2:I3916,I3916)=1,1,0)</f>
        <v>1</v>
      </c>
      <c r="M3916" s="3" t="n">
        <f aca="false">IF(K3916&gt;=Parametri!$B$1,1,0)</f>
        <v>0</v>
      </c>
      <c r="N3916" s="3" t="n">
        <f aca="false">L3916*M3916</f>
        <v>0</v>
      </c>
    </row>
    <row r="3917" customFormat="false" ht="15" hidden="false" customHeight="false" outlineLevel="0" collapsed="false">
      <c r="A3917" s="0" t="s">
        <v>5701</v>
      </c>
      <c r="B3917" s="0" t="s">
        <v>57</v>
      </c>
      <c r="C3917" s="0" t="s">
        <v>2043</v>
      </c>
      <c r="D3917" s="0" t="s">
        <v>33</v>
      </c>
      <c r="E3917" s="2" t="n">
        <v>46009</v>
      </c>
      <c r="F3917" s="3" t="s">
        <v>20</v>
      </c>
      <c r="G3917" s="3" t="s">
        <v>28</v>
      </c>
      <c r="H3917" s="3" t="s">
        <v>44</v>
      </c>
      <c r="I3917" s="3" t="n">
        <f aca="false">YEAR(E3917)</f>
        <v>2025</v>
      </c>
      <c r="J3917" s="3" t="n">
        <f aca="false">MONTH(E3917)</f>
        <v>12</v>
      </c>
      <c r="K3917" s="3" t="n">
        <f aca="false">COUNTIFS($B$2:$B$4077,B3917,$C$2:$C$4077,C3917,$I$2:$I$4077,I3917)</f>
        <v>4</v>
      </c>
      <c r="L3917" s="3" t="n">
        <f aca="false">IF(COUNTIFS($B$2:B3917,B3917,$C$2:C3917,C3917,$I$2:I3917,I3917)=1,1,0)</f>
        <v>0</v>
      </c>
      <c r="M3917" s="3" t="n">
        <f aca="false">IF(K3917&gt;=Parametri!$B$1,1,0)</f>
        <v>1</v>
      </c>
      <c r="N3917" s="3" t="n">
        <f aca="false">L3917*M3917</f>
        <v>0</v>
      </c>
    </row>
    <row r="3918" customFormat="false" ht="15" hidden="false" customHeight="false" outlineLevel="0" collapsed="false">
      <c r="A3918" s="0" t="s">
        <v>5702</v>
      </c>
      <c r="B3918" s="0" t="s">
        <v>50</v>
      </c>
      <c r="C3918" s="0" t="s">
        <v>5703</v>
      </c>
      <c r="D3918" s="0" t="s">
        <v>19</v>
      </c>
      <c r="E3918" s="2" t="n">
        <v>45297</v>
      </c>
      <c r="F3918" s="3" t="s">
        <v>34</v>
      </c>
      <c r="G3918" s="3" t="s">
        <v>28</v>
      </c>
      <c r="H3918" s="3" t="s">
        <v>44</v>
      </c>
      <c r="I3918" s="3" t="n">
        <f aca="false">YEAR(E3918)</f>
        <v>2024</v>
      </c>
      <c r="J3918" s="3" t="n">
        <f aca="false">MONTH(E3918)</f>
        <v>1</v>
      </c>
      <c r="K3918" s="3" t="n">
        <f aca="false">COUNTIFS($B$2:$B$4077,B3918,$C$2:$C$4077,C3918,$I$2:$I$4077,I3918)</f>
        <v>1</v>
      </c>
      <c r="L3918" s="3" t="n">
        <f aca="false">IF(COUNTIFS($B$2:B3918,B3918,$C$2:C3918,C3918,$I$2:I3918,I3918)=1,1,0)</f>
        <v>1</v>
      </c>
      <c r="M3918" s="3" t="n">
        <f aca="false">IF(K3918&gt;=Parametri!$B$1,1,0)</f>
        <v>0</v>
      </c>
      <c r="N3918" s="3" t="n">
        <f aca="false">L3918*M3918</f>
        <v>0</v>
      </c>
    </row>
    <row r="3919" customFormat="false" ht="15" hidden="false" customHeight="false" outlineLevel="0" collapsed="false">
      <c r="A3919" s="0" t="s">
        <v>5704</v>
      </c>
      <c r="B3919" s="0" t="s">
        <v>68</v>
      </c>
      <c r="C3919" s="0" t="s">
        <v>106</v>
      </c>
      <c r="D3919" s="0" t="s">
        <v>66</v>
      </c>
      <c r="E3919" s="2" t="n">
        <v>45339</v>
      </c>
      <c r="F3919" s="3" t="s">
        <v>34</v>
      </c>
      <c r="G3919" s="3" t="s">
        <v>89</v>
      </c>
      <c r="H3919" s="3" t="s">
        <v>44</v>
      </c>
      <c r="I3919" s="3" t="n">
        <f aca="false">YEAR(E3919)</f>
        <v>2024</v>
      </c>
      <c r="J3919" s="3" t="n">
        <f aca="false">MONTH(E3919)</f>
        <v>2</v>
      </c>
      <c r="K3919" s="3" t="n">
        <f aca="false">COUNTIFS($B$2:$B$4077,B3919,$C$2:$C$4077,C3919,$I$2:$I$4077,I3919)</f>
        <v>3</v>
      </c>
      <c r="L3919" s="3" t="n">
        <f aca="false">IF(COUNTIFS($B$2:B3919,B3919,$C$2:C3919,C3919,$I$2:I3919,I3919)=1,1,0)</f>
        <v>0</v>
      </c>
      <c r="M3919" s="3" t="n">
        <f aca="false">IF(K3919&gt;=Parametri!$B$1,1,0)</f>
        <v>1</v>
      </c>
      <c r="N3919" s="3" t="n">
        <f aca="false">L3919*M3919</f>
        <v>0</v>
      </c>
    </row>
    <row r="3920" customFormat="false" ht="15" hidden="false" customHeight="false" outlineLevel="0" collapsed="false">
      <c r="A3920" s="0" t="s">
        <v>5705</v>
      </c>
      <c r="B3920" s="0" t="s">
        <v>79</v>
      </c>
      <c r="C3920" s="0" t="s">
        <v>1110</v>
      </c>
      <c r="D3920" s="0" t="s">
        <v>54</v>
      </c>
      <c r="E3920" s="2" t="n">
        <v>45776</v>
      </c>
      <c r="F3920" s="3" t="s">
        <v>27</v>
      </c>
      <c r="G3920" s="3" t="s">
        <v>28</v>
      </c>
      <c r="H3920" s="3" t="s">
        <v>29</v>
      </c>
      <c r="I3920" s="3" t="n">
        <f aca="false">YEAR(E3920)</f>
        <v>2025</v>
      </c>
      <c r="J3920" s="3" t="n">
        <f aca="false">MONTH(E3920)</f>
        <v>4</v>
      </c>
      <c r="K3920" s="3" t="n">
        <f aca="false">COUNTIFS($B$2:$B$4077,B3920,$C$2:$C$4077,C3920,$I$2:$I$4077,I3920)</f>
        <v>2</v>
      </c>
      <c r="L3920" s="3" t="n">
        <f aca="false">IF(COUNTIFS($B$2:B3920,B3920,$C$2:C3920,C3920,$I$2:I3920,I3920)=1,1,0)</f>
        <v>0</v>
      </c>
      <c r="M3920" s="3" t="n">
        <f aca="false">IF(K3920&gt;=Parametri!$B$1,1,0)</f>
        <v>1</v>
      </c>
      <c r="N3920" s="3" t="n">
        <f aca="false">L3920*M3920</f>
        <v>0</v>
      </c>
    </row>
    <row r="3921" customFormat="false" ht="15" hidden="false" customHeight="false" outlineLevel="0" collapsed="false">
      <c r="A3921" s="0" t="s">
        <v>5706</v>
      </c>
      <c r="B3921" s="0" t="s">
        <v>79</v>
      </c>
      <c r="C3921" s="0" t="s">
        <v>4866</v>
      </c>
      <c r="D3921" s="0" t="s">
        <v>19</v>
      </c>
      <c r="E3921" s="2" t="n">
        <v>46234</v>
      </c>
      <c r="F3921" s="3" t="s">
        <v>20</v>
      </c>
      <c r="G3921" s="3" t="s">
        <v>55</v>
      </c>
      <c r="H3921" s="3" t="s">
        <v>22</v>
      </c>
      <c r="I3921" s="3" t="n">
        <f aca="false">YEAR(E3921)</f>
        <v>2026</v>
      </c>
      <c r="J3921" s="3" t="n">
        <f aca="false">MONTH(E3921)</f>
        <v>7</v>
      </c>
      <c r="K3921" s="3" t="n">
        <f aca="false">COUNTIFS($B$2:$B$4077,B3921,$C$2:$C$4077,C3921,$I$2:$I$4077,I3921)</f>
        <v>2</v>
      </c>
      <c r="L3921" s="3" t="n">
        <f aca="false">IF(COUNTIFS($B$2:B3921,B3921,$C$2:C3921,C3921,$I$2:I3921,I3921)=1,1,0)</f>
        <v>0</v>
      </c>
      <c r="M3921" s="3" t="n">
        <f aca="false">IF(K3921&gt;=Parametri!$B$1,1,0)</f>
        <v>1</v>
      </c>
      <c r="N3921" s="3" t="n">
        <f aca="false">L3921*M3921</f>
        <v>0</v>
      </c>
    </row>
    <row r="3922" customFormat="false" ht="15" hidden="false" customHeight="false" outlineLevel="0" collapsed="false">
      <c r="A3922" s="0" t="s">
        <v>5707</v>
      </c>
      <c r="B3922" s="0" t="s">
        <v>41</v>
      </c>
      <c r="C3922" s="0" t="s">
        <v>1715</v>
      </c>
      <c r="D3922" s="0" t="s">
        <v>26</v>
      </c>
      <c r="E3922" s="2" t="n">
        <v>45686</v>
      </c>
      <c r="F3922" s="3" t="s">
        <v>27</v>
      </c>
      <c r="G3922" s="3" t="s">
        <v>28</v>
      </c>
      <c r="H3922" s="3" t="s">
        <v>48</v>
      </c>
      <c r="I3922" s="3" t="n">
        <f aca="false">YEAR(E3922)</f>
        <v>2025</v>
      </c>
      <c r="J3922" s="3" t="n">
        <f aca="false">MONTH(E3922)</f>
        <v>1</v>
      </c>
      <c r="K3922" s="3" t="n">
        <f aca="false">COUNTIFS($B$2:$B$4077,B3922,$C$2:$C$4077,C3922,$I$2:$I$4077,I3922)</f>
        <v>2</v>
      </c>
      <c r="L3922" s="3" t="n">
        <f aca="false">IF(COUNTIFS($B$2:B3922,B3922,$C$2:C3922,C3922,$I$2:I3922,I3922)=1,1,0)</f>
        <v>0</v>
      </c>
      <c r="M3922" s="3" t="n">
        <f aca="false">IF(K3922&gt;=Parametri!$B$1,1,0)</f>
        <v>1</v>
      </c>
      <c r="N3922" s="3" t="n">
        <f aca="false">L3922*M3922</f>
        <v>0</v>
      </c>
    </row>
    <row r="3923" customFormat="false" ht="15" hidden="false" customHeight="false" outlineLevel="0" collapsed="false">
      <c r="A3923" s="0" t="s">
        <v>5708</v>
      </c>
      <c r="B3923" s="0" t="s">
        <v>124</v>
      </c>
      <c r="C3923" s="0" t="s">
        <v>866</v>
      </c>
      <c r="D3923" s="0" t="s">
        <v>38</v>
      </c>
      <c r="E3923" s="2" t="n">
        <v>45472</v>
      </c>
      <c r="F3923" s="3" t="s">
        <v>20</v>
      </c>
      <c r="G3923" s="3" t="s">
        <v>39</v>
      </c>
      <c r="H3923" s="3" t="s">
        <v>29</v>
      </c>
      <c r="I3923" s="3" t="n">
        <f aca="false">YEAR(E3923)</f>
        <v>2024</v>
      </c>
      <c r="J3923" s="3" t="n">
        <f aca="false">MONTH(E3923)</f>
        <v>6</v>
      </c>
      <c r="K3923" s="3" t="n">
        <f aca="false">COUNTIFS($B$2:$B$4077,B3923,$C$2:$C$4077,C3923,$I$2:$I$4077,I3923)</f>
        <v>2</v>
      </c>
      <c r="L3923" s="3" t="n">
        <f aca="false">IF(COUNTIFS($B$2:B3923,B3923,$C$2:C3923,C3923,$I$2:I3923,I3923)=1,1,0)</f>
        <v>0</v>
      </c>
      <c r="M3923" s="3" t="n">
        <f aca="false">IF(K3923&gt;=Parametri!$B$1,1,0)</f>
        <v>1</v>
      </c>
      <c r="N3923" s="3" t="n">
        <f aca="false">L3923*M3923</f>
        <v>0</v>
      </c>
    </row>
    <row r="3924" customFormat="false" ht="15" hidden="false" customHeight="false" outlineLevel="0" collapsed="false">
      <c r="A3924" s="0" t="s">
        <v>5709</v>
      </c>
      <c r="B3924" s="0" t="s">
        <v>68</v>
      </c>
      <c r="C3924" s="0" t="s">
        <v>5710</v>
      </c>
      <c r="D3924" s="0" t="s">
        <v>54</v>
      </c>
      <c r="E3924" s="2" t="n">
        <v>46259</v>
      </c>
      <c r="F3924" s="3" t="s">
        <v>20</v>
      </c>
      <c r="G3924" s="3" t="s">
        <v>39</v>
      </c>
      <c r="H3924" s="3" t="s">
        <v>22</v>
      </c>
      <c r="I3924" s="3" t="n">
        <f aca="false">YEAR(E3924)</f>
        <v>2026</v>
      </c>
      <c r="J3924" s="3" t="n">
        <f aca="false">MONTH(E3924)</f>
        <v>8</v>
      </c>
      <c r="K3924" s="3" t="n">
        <f aca="false">COUNTIFS($B$2:$B$4077,B3924,$C$2:$C$4077,C3924,$I$2:$I$4077,I3924)</f>
        <v>1</v>
      </c>
      <c r="L3924" s="3" t="n">
        <f aca="false">IF(COUNTIFS($B$2:B3924,B3924,$C$2:C3924,C3924,$I$2:I3924,I3924)=1,1,0)</f>
        <v>1</v>
      </c>
      <c r="M3924" s="3" t="n">
        <f aca="false">IF(K3924&gt;=Parametri!$B$1,1,0)</f>
        <v>0</v>
      </c>
      <c r="N3924" s="3" t="n">
        <f aca="false">L3924*M3924</f>
        <v>0</v>
      </c>
    </row>
    <row r="3925" customFormat="false" ht="15" hidden="false" customHeight="false" outlineLevel="0" collapsed="false">
      <c r="A3925" s="0" t="s">
        <v>5711</v>
      </c>
      <c r="B3925" s="0" t="s">
        <v>46</v>
      </c>
      <c r="C3925" s="0" t="s">
        <v>4319</v>
      </c>
      <c r="D3925" s="0" t="s">
        <v>63</v>
      </c>
      <c r="E3925" s="2" t="n">
        <v>46158</v>
      </c>
      <c r="F3925" s="3" t="s">
        <v>27</v>
      </c>
      <c r="G3925" s="3" t="s">
        <v>43</v>
      </c>
      <c r="H3925" s="3" t="s">
        <v>29</v>
      </c>
      <c r="I3925" s="3" t="n">
        <f aca="false">YEAR(E3925)</f>
        <v>2026</v>
      </c>
      <c r="J3925" s="3" t="n">
        <f aca="false">MONTH(E3925)</f>
        <v>5</v>
      </c>
      <c r="K3925" s="3" t="n">
        <f aca="false">COUNTIFS($B$2:$B$4077,B3925,$C$2:$C$4077,C3925,$I$2:$I$4077,I3925)</f>
        <v>1</v>
      </c>
      <c r="L3925" s="3" t="n">
        <f aca="false">IF(COUNTIFS($B$2:B3925,B3925,$C$2:C3925,C3925,$I$2:I3925,I3925)=1,1,0)</f>
        <v>1</v>
      </c>
      <c r="M3925" s="3" t="n">
        <f aca="false">IF(K3925&gt;=Parametri!$B$1,1,0)</f>
        <v>0</v>
      </c>
      <c r="N3925" s="3" t="n">
        <f aca="false">L3925*M3925</f>
        <v>0</v>
      </c>
    </row>
    <row r="3926" customFormat="false" ht="15" hidden="false" customHeight="false" outlineLevel="0" collapsed="false">
      <c r="A3926" s="0" t="s">
        <v>5712</v>
      </c>
      <c r="B3926" s="0" t="s">
        <v>57</v>
      </c>
      <c r="C3926" s="0" t="s">
        <v>374</v>
      </c>
      <c r="D3926" s="0" t="s">
        <v>38</v>
      </c>
      <c r="E3926" s="2" t="n">
        <v>45690</v>
      </c>
      <c r="F3926" s="3" t="s">
        <v>34</v>
      </c>
      <c r="G3926" s="3" t="s">
        <v>43</v>
      </c>
      <c r="H3926" s="3" t="s">
        <v>44</v>
      </c>
      <c r="I3926" s="3" t="n">
        <f aca="false">YEAR(E3926)</f>
        <v>2025</v>
      </c>
      <c r="J3926" s="3" t="n">
        <f aca="false">MONTH(E3926)</f>
        <v>2</v>
      </c>
      <c r="K3926" s="3" t="n">
        <f aca="false">COUNTIFS($B$2:$B$4077,B3926,$C$2:$C$4077,C3926,$I$2:$I$4077,I3926)</f>
        <v>2</v>
      </c>
      <c r="L3926" s="3" t="n">
        <f aca="false">IF(COUNTIFS($B$2:B3926,B3926,$C$2:C3926,C3926,$I$2:I3926,I3926)=1,1,0)</f>
        <v>0</v>
      </c>
      <c r="M3926" s="3" t="n">
        <f aca="false">IF(K3926&gt;=Parametri!$B$1,1,0)</f>
        <v>1</v>
      </c>
      <c r="N3926" s="3" t="n">
        <f aca="false">L3926*M3926</f>
        <v>0</v>
      </c>
    </row>
    <row r="3927" customFormat="false" ht="15" hidden="false" customHeight="false" outlineLevel="0" collapsed="false">
      <c r="A3927" s="0" t="s">
        <v>5713</v>
      </c>
      <c r="B3927" s="0" t="s">
        <v>17</v>
      </c>
      <c r="C3927" s="0" t="s">
        <v>5714</v>
      </c>
      <c r="D3927" s="0" t="s">
        <v>66</v>
      </c>
      <c r="E3927" s="2" t="n">
        <v>45746</v>
      </c>
      <c r="F3927" s="3" t="s">
        <v>20</v>
      </c>
      <c r="G3927" s="3" t="s">
        <v>28</v>
      </c>
      <c r="H3927" s="3" t="s">
        <v>29</v>
      </c>
      <c r="I3927" s="3" t="n">
        <f aca="false">YEAR(E3927)</f>
        <v>2025</v>
      </c>
      <c r="J3927" s="3" t="n">
        <f aca="false">MONTH(E3927)</f>
        <v>3</v>
      </c>
      <c r="K3927" s="3" t="n">
        <f aca="false">COUNTIFS($B$2:$B$4077,B3927,$C$2:$C$4077,C3927,$I$2:$I$4077,I3927)</f>
        <v>1</v>
      </c>
      <c r="L3927" s="3" t="n">
        <f aca="false">IF(COUNTIFS($B$2:B3927,B3927,$C$2:C3927,C3927,$I$2:I3927,I3927)=1,1,0)</f>
        <v>1</v>
      </c>
      <c r="M3927" s="3" t="n">
        <f aca="false">IF(K3927&gt;=Parametri!$B$1,1,0)</f>
        <v>0</v>
      </c>
      <c r="N3927" s="3" t="n">
        <f aca="false">L3927*M3927</f>
        <v>0</v>
      </c>
    </row>
    <row r="3928" customFormat="false" ht="15" hidden="false" customHeight="false" outlineLevel="0" collapsed="false">
      <c r="A3928" s="0" t="s">
        <v>5715</v>
      </c>
      <c r="B3928" s="0" t="s">
        <v>24</v>
      </c>
      <c r="C3928" s="0" t="s">
        <v>325</v>
      </c>
      <c r="D3928" s="0" t="s">
        <v>54</v>
      </c>
      <c r="E3928" s="2" t="n">
        <v>45563</v>
      </c>
      <c r="F3928" s="3" t="s">
        <v>20</v>
      </c>
      <c r="G3928" s="3" t="s">
        <v>35</v>
      </c>
      <c r="H3928" s="3" t="s">
        <v>22</v>
      </c>
      <c r="I3928" s="3" t="n">
        <f aca="false">YEAR(E3928)</f>
        <v>2024</v>
      </c>
      <c r="J3928" s="3" t="n">
        <f aca="false">MONTH(E3928)</f>
        <v>9</v>
      </c>
      <c r="K3928" s="3" t="n">
        <f aca="false">COUNTIFS($B$2:$B$4077,B3928,$C$2:$C$4077,C3928,$I$2:$I$4077,I3928)</f>
        <v>7</v>
      </c>
      <c r="L3928" s="3" t="n">
        <f aca="false">IF(COUNTIFS($B$2:B3928,B3928,$C$2:C3928,C3928,$I$2:I3928,I3928)=1,1,0)</f>
        <v>0</v>
      </c>
      <c r="M3928" s="3" t="n">
        <f aca="false">IF(K3928&gt;=Parametri!$B$1,1,0)</f>
        <v>1</v>
      </c>
      <c r="N3928" s="3" t="n">
        <f aca="false">L3928*M3928</f>
        <v>0</v>
      </c>
    </row>
    <row r="3929" customFormat="false" ht="15" hidden="false" customHeight="false" outlineLevel="0" collapsed="false">
      <c r="A3929" s="0" t="s">
        <v>5716</v>
      </c>
      <c r="B3929" s="0" t="s">
        <v>46</v>
      </c>
      <c r="C3929" s="0" t="s">
        <v>1512</v>
      </c>
      <c r="D3929" s="0" t="s">
        <v>66</v>
      </c>
      <c r="E3929" s="2" t="n">
        <v>45381</v>
      </c>
      <c r="F3929" s="3" t="s">
        <v>20</v>
      </c>
      <c r="G3929" s="3" t="s">
        <v>35</v>
      </c>
      <c r="H3929" s="3" t="s">
        <v>22</v>
      </c>
      <c r="I3929" s="3" t="n">
        <f aca="false">YEAR(E3929)</f>
        <v>2024</v>
      </c>
      <c r="J3929" s="3" t="n">
        <f aca="false">MONTH(E3929)</f>
        <v>3</v>
      </c>
      <c r="K3929" s="3" t="n">
        <f aca="false">COUNTIFS($B$2:$B$4077,B3929,$C$2:$C$4077,C3929,$I$2:$I$4077,I3929)</f>
        <v>3</v>
      </c>
      <c r="L3929" s="3" t="n">
        <f aca="false">IF(COUNTIFS($B$2:B3929,B3929,$C$2:C3929,C3929,$I$2:I3929,I3929)=1,1,0)</f>
        <v>0</v>
      </c>
      <c r="M3929" s="3" t="n">
        <f aca="false">IF(K3929&gt;=Parametri!$B$1,1,0)</f>
        <v>1</v>
      </c>
      <c r="N3929" s="3" t="n">
        <f aca="false">L3929*M3929</f>
        <v>0</v>
      </c>
    </row>
    <row r="3930" customFormat="false" ht="15" hidden="false" customHeight="false" outlineLevel="0" collapsed="false">
      <c r="A3930" s="0" t="s">
        <v>5717</v>
      </c>
      <c r="B3930" s="0" t="s">
        <v>57</v>
      </c>
      <c r="C3930" s="0" t="s">
        <v>180</v>
      </c>
      <c r="D3930" s="0" t="s">
        <v>77</v>
      </c>
      <c r="E3930" s="2" t="n">
        <v>46139</v>
      </c>
      <c r="F3930" s="3" t="s">
        <v>20</v>
      </c>
      <c r="G3930" s="3" t="s">
        <v>39</v>
      </c>
      <c r="H3930" s="3" t="s">
        <v>44</v>
      </c>
      <c r="I3930" s="3" t="n">
        <f aca="false">YEAR(E3930)</f>
        <v>2026</v>
      </c>
      <c r="J3930" s="3" t="n">
        <f aca="false">MONTH(E3930)</f>
        <v>4</v>
      </c>
      <c r="K3930" s="3" t="n">
        <f aca="false">COUNTIFS($B$2:$B$4077,B3930,$C$2:$C$4077,C3930,$I$2:$I$4077,I3930)</f>
        <v>2</v>
      </c>
      <c r="L3930" s="3" t="n">
        <f aca="false">IF(COUNTIFS($B$2:B3930,B3930,$C$2:C3930,C3930,$I$2:I3930,I3930)=1,1,0)</f>
        <v>0</v>
      </c>
      <c r="M3930" s="3" t="n">
        <f aca="false">IF(K3930&gt;=Parametri!$B$1,1,0)</f>
        <v>1</v>
      </c>
      <c r="N3930" s="3" t="n">
        <f aca="false">L3930*M3930</f>
        <v>0</v>
      </c>
    </row>
    <row r="3931" customFormat="false" ht="15" hidden="false" customHeight="false" outlineLevel="0" collapsed="false">
      <c r="A3931" s="0" t="s">
        <v>5718</v>
      </c>
      <c r="B3931" s="0" t="s">
        <v>50</v>
      </c>
      <c r="C3931" s="0" t="s">
        <v>5719</v>
      </c>
      <c r="D3931" s="0" t="s">
        <v>33</v>
      </c>
      <c r="E3931" s="2" t="n">
        <v>46003</v>
      </c>
      <c r="F3931" s="3" t="s">
        <v>20</v>
      </c>
      <c r="G3931" s="3" t="s">
        <v>55</v>
      </c>
      <c r="H3931" s="3" t="s">
        <v>48</v>
      </c>
      <c r="I3931" s="3" t="n">
        <f aca="false">YEAR(E3931)</f>
        <v>2025</v>
      </c>
      <c r="J3931" s="3" t="n">
        <f aca="false">MONTH(E3931)</f>
        <v>12</v>
      </c>
      <c r="K3931" s="3" t="n">
        <f aca="false">COUNTIFS($B$2:$B$4077,B3931,$C$2:$C$4077,C3931,$I$2:$I$4077,I3931)</f>
        <v>1</v>
      </c>
      <c r="L3931" s="3" t="n">
        <f aca="false">IF(COUNTIFS($B$2:B3931,B3931,$C$2:C3931,C3931,$I$2:I3931,I3931)=1,1,0)</f>
        <v>1</v>
      </c>
      <c r="M3931" s="3" t="n">
        <f aca="false">IF(K3931&gt;=Parametri!$B$1,1,0)</f>
        <v>0</v>
      </c>
      <c r="N3931" s="3" t="n">
        <f aca="false">L3931*M3931</f>
        <v>0</v>
      </c>
    </row>
    <row r="3932" customFormat="false" ht="15" hidden="false" customHeight="false" outlineLevel="0" collapsed="false">
      <c r="A3932" s="0" t="s">
        <v>5720</v>
      </c>
      <c r="B3932" s="0" t="s">
        <v>50</v>
      </c>
      <c r="C3932" s="0" t="s">
        <v>2108</v>
      </c>
      <c r="D3932" s="0" t="s">
        <v>77</v>
      </c>
      <c r="E3932" s="2" t="n">
        <v>45798</v>
      </c>
      <c r="F3932" s="3" t="s">
        <v>34</v>
      </c>
      <c r="G3932" s="3" t="s">
        <v>39</v>
      </c>
      <c r="H3932" s="3" t="s">
        <v>29</v>
      </c>
      <c r="I3932" s="3" t="n">
        <f aca="false">YEAR(E3932)</f>
        <v>2025</v>
      </c>
      <c r="J3932" s="3" t="n">
        <f aca="false">MONTH(E3932)</f>
        <v>5</v>
      </c>
      <c r="K3932" s="3" t="n">
        <f aca="false">COUNTIFS($B$2:$B$4077,B3932,$C$2:$C$4077,C3932,$I$2:$I$4077,I3932)</f>
        <v>1</v>
      </c>
      <c r="L3932" s="3" t="n">
        <f aca="false">IF(COUNTIFS($B$2:B3932,B3932,$C$2:C3932,C3932,$I$2:I3932,I3932)=1,1,0)</f>
        <v>1</v>
      </c>
      <c r="M3932" s="3" t="n">
        <f aca="false">IF(K3932&gt;=Parametri!$B$1,1,0)</f>
        <v>0</v>
      </c>
      <c r="N3932" s="3" t="n">
        <f aca="false">L3932*M3932</f>
        <v>0</v>
      </c>
    </row>
    <row r="3933" customFormat="false" ht="15" hidden="false" customHeight="false" outlineLevel="0" collapsed="false">
      <c r="A3933" s="0" t="s">
        <v>5721</v>
      </c>
      <c r="B3933" s="0" t="s">
        <v>17</v>
      </c>
      <c r="C3933" s="0" t="s">
        <v>5722</v>
      </c>
      <c r="D3933" s="0" t="s">
        <v>77</v>
      </c>
      <c r="E3933" s="2" t="n">
        <v>46181</v>
      </c>
      <c r="F3933" s="3" t="s">
        <v>20</v>
      </c>
      <c r="G3933" s="3" t="s">
        <v>89</v>
      </c>
      <c r="H3933" s="3" t="s">
        <v>48</v>
      </c>
      <c r="I3933" s="3" t="n">
        <f aca="false">YEAR(E3933)</f>
        <v>2026</v>
      </c>
      <c r="J3933" s="3" t="n">
        <f aca="false">MONTH(E3933)</f>
        <v>6</v>
      </c>
      <c r="K3933" s="3" t="n">
        <f aca="false">COUNTIFS($B$2:$B$4077,B3933,$C$2:$C$4077,C3933,$I$2:$I$4077,I3933)</f>
        <v>1</v>
      </c>
      <c r="L3933" s="3" t="n">
        <f aca="false">IF(COUNTIFS($B$2:B3933,B3933,$C$2:C3933,C3933,$I$2:I3933,I3933)=1,1,0)</f>
        <v>1</v>
      </c>
      <c r="M3933" s="3" t="n">
        <f aca="false">IF(K3933&gt;=Parametri!$B$1,1,0)</f>
        <v>0</v>
      </c>
      <c r="N3933" s="3" t="n">
        <f aca="false">L3933*M3933</f>
        <v>0</v>
      </c>
    </row>
    <row r="3934" customFormat="false" ht="15" hidden="false" customHeight="false" outlineLevel="0" collapsed="false">
      <c r="A3934" s="0" t="s">
        <v>5723</v>
      </c>
      <c r="B3934" s="0" t="s">
        <v>124</v>
      </c>
      <c r="C3934" s="0" t="s">
        <v>2402</v>
      </c>
      <c r="D3934" s="0" t="s">
        <v>66</v>
      </c>
      <c r="E3934" s="2" t="n">
        <v>45630</v>
      </c>
      <c r="F3934" s="3" t="s">
        <v>20</v>
      </c>
      <c r="G3934" s="3" t="s">
        <v>43</v>
      </c>
      <c r="H3934" s="3" t="s">
        <v>29</v>
      </c>
      <c r="I3934" s="3" t="n">
        <f aca="false">YEAR(E3934)</f>
        <v>2024</v>
      </c>
      <c r="J3934" s="3" t="n">
        <f aca="false">MONTH(E3934)</f>
        <v>12</v>
      </c>
      <c r="K3934" s="3" t="n">
        <f aca="false">COUNTIFS($B$2:$B$4077,B3934,$C$2:$C$4077,C3934,$I$2:$I$4077,I3934)</f>
        <v>3</v>
      </c>
      <c r="L3934" s="3" t="n">
        <f aca="false">IF(COUNTIFS($B$2:B3934,B3934,$C$2:C3934,C3934,$I$2:I3934,I3934)=1,1,0)</f>
        <v>0</v>
      </c>
      <c r="M3934" s="3" t="n">
        <f aca="false">IF(K3934&gt;=Parametri!$B$1,1,0)</f>
        <v>1</v>
      </c>
      <c r="N3934" s="3" t="n">
        <f aca="false">L3934*M3934</f>
        <v>0</v>
      </c>
    </row>
    <row r="3935" customFormat="false" ht="15" hidden="false" customHeight="false" outlineLevel="0" collapsed="false">
      <c r="A3935" s="0" t="s">
        <v>5724</v>
      </c>
      <c r="B3935" s="0" t="s">
        <v>68</v>
      </c>
      <c r="C3935" s="0" t="s">
        <v>4024</v>
      </c>
      <c r="D3935" s="0" t="s">
        <v>54</v>
      </c>
      <c r="E3935" s="2" t="n">
        <v>45343</v>
      </c>
      <c r="F3935" s="3" t="s">
        <v>20</v>
      </c>
      <c r="G3935" s="3" t="s">
        <v>21</v>
      </c>
      <c r="H3935" s="3" t="s">
        <v>22</v>
      </c>
      <c r="I3935" s="3" t="n">
        <f aca="false">YEAR(E3935)</f>
        <v>2024</v>
      </c>
      <c r="J3935" s="3" t="n">
        <f aca="false">MONTH(E3935)</f>
        <v>2</v>
      </c>
      <c r="K3935" s="3" t="n">
        <f aca="false">COUNTIFS($B$2:$B$4077,B3935,$C$2:$C$4077,C3935,$I$2:$I$4077,I3935)</f>
        <v>1</v>
      </c>
      <c r="L3935" s="3" t="n">
        <f aca="false">IF(COUNTIFS($B$2:B3935,B3935,$C$2:C3935,C3935,$I$2:I3935,I3935)=1,1,0)</f>
        <v>1</v>
      </c>
      <c r="M3935" s="3" t="n">
        <f aca="false">IF(K3935&gt;=Parametri!$B$1,1,0)</f>
        <v>0</v>
      </c>
      <c r="N3935" s="3" t="n">
        <f aca="false">L3935*M3935</f>
        <v>0</v>
      </c>
    </row>
    <row r="3936" customFormat="false" ht="15" hidden="false" customHeight="false" outlineLevel="0" collapsed="false">
      <c r="A3936" s="0" t="s">
        <v>5725</v>
      </c>
      <c r="B3936" s="0" t="s">
        <v>68</v>
      </c>
      <c r="C3936" s="0" t="s">
        <v>3248</v>
      </c>
      <c r="D3936" s="0" t="s">
        <v>33</v>
      </c>
      <c r="E3936" s="2" t="n">
        <v>45839</v>
      </c>
      <c r="F3936" s="3" t="s">
        <v>20</v>
      </c>
      <c r="G3936" s="3" t="s">
        <v>89</v>
      </c>
      <c r="H3936" s="3" t="s">
        <v>29</v>
      </c>
      <c r="I3936" s="3" t="n">
        <f aca="false">YEAR(E3936)</f>
        <v>2025</v>
      </c>
      <c r="J3936" s="3" t="n">
        <f aca="false">MONTH(E3936)</f>
        <v>7</v>
      </c>
      <c r="K3936" s="3" t="n">
        <f aca="false">COUNTIFS($B$2:$B$4077,B3936,$C$2:$C$4077,C3936,$I$2:$I$4077,I3936)</f>
        <v>1</v>
      </c>
      <c r="L3936" s="3" t="n">
        <f aca="false">IF(COUNTIFS($B$2:B3936,B3936,$C$2:C3936,C3936,$I$2:I3936,I3936)=1,1,0)</f>
        <v>1</v>
      </c>
      <c r="M3936" s="3" t="n">
        <f aca="false">IF(K3936&gt;=Parametri!$B$1,1,0)</f>
        <v>0</v>
      </c>
      <c r="N3936" s="3" t="n">
        <f aca="false">L3936*M3936</f>
        <v>0</v>
      </c>
    </row>
    <row r="3937" customFormat="false" ht="15" hidden="false" customHeight="false" outlineLevel="0" collapsed="false">
      <c r="A3937" s="0" t="s">
        <v>5726</v>
      </c>
      <c r="B3937" s="0" t="s">
        <v>24</v>
      </c>
      <c r="C3937" s="0" t="s">
        <v>1477</v>
      </c>
      <c r="D3937" s="0" t="s">
        <v>26</v>
      </c>
      <c r="E3937" s="2" t="n">
        <v>45353</v>
      </c>
      <c r="F3937" s="3" t="s">
        <v>20</v>
      </c>
      <c r="G3937" s="3" t="s">
        <v>21</v>
      </c>
      <c r="H3937" s="3" t="s">
        <v>44</v>
      </c>
      <c r="I3937" s="3" t="n">
        <f aca="false">YEAR(E3937)</f>
        <v>2024</v>
      </c>
      <c r="J3937" s="3" t="n">
        <f aca="false">MONTH(E3937)</f>
        <v>3</v>
      </c>
      <c r="K3937" s="3" t="n">
        <f aca="false">COUNTIFS($B$2:$B$4077,B3937,$C$2:$C$4077,C3937,$I$2:$I$4077,I3937)</f>
        <v>1</v>
      </c>
      <c r="L3937" s="3" t="n">
        <f aca="false">IF(COUNTIFS($B$2:B3937,B3937,$C$2:C3937,C3937,$I$2:I3937,I3937)=1,1,0)</f>
        <v>1</v>
      </c>
      <c r="M3937" s="3" t="n">
        <f aca="false">IF(K3937&gt;=Parametri!$B$1,1,0)</f>
        <v>0</v>
      </c>
      <c r="N3937" s="3" t="n">
        <f aca="false">L3937*M3937</f>
        <v>0</v>
      </c>
    </row>
    <row r="3938" customFormat="false" ht="15" hidden="false" customHeight="false" outlineLevel="0" collapsed="false">
      <c r="A3938" s="0" t="s">
        <v>5727</v>
      </c>
      <c r="B3938" s="0" t="s">
        <v>17</v>
      </c>
      <c r="C3938" s="0" t="s">
        <v>3902</v>
      </c>
      <c r="D3938" s="0" t="s">
        <v>63</v>
      </c>
      <c r="E3938" s="2" t="n">
        <v>46012</v>
      </c>
      <c r="F3938" s="3" t="s">
        <v>27</v>
      </c>
      <c r="G3938" s="3" t="s">
        <v>43</v>
      </c>
      <c r="H3938" s="3" t="s">
        <v>29</v>
      </c>
      <c r="I3938" s="3" t="n">
        <f aca="false">YEAR(E3938)</f>
        <v>2025</v>
      </c>
      <c r="J3938" s="3" t="n">
        <f aca="false">MONTH(E3938)</f>
        <v>12</v>
      </c>
      <c r="K3938" s="3" t="n">
        <f aca="false">COUNTIFS($B$2:$B$4077,B3938,$C$2:$C$4077,C3938,$I$2:$I$4077,I3938)</f>
        <v>3</v>
      </c>
      <c r="L3938" s="3" t="n">
        <f aca="false">IF(COUNTIFS($B$2:B3938,B3938,$C$2:C3938,C3938,$I$2:I3938,I3938)=1,1,0)</f>
        <v>0</v>
      </c>
      <c r="M3938" s="3" t="n">
        <f aca="false">IF(K3938&gt;=Parametri!$B$1,1,0)</f>
        <v>1</v>
      </c>
      <c r="N3938" s="3" t="n">
        <f aca="false">L3938*M3938</f>
        <v>0</v>
      </c>
    </row>
    <row r="3939" customFormat="false" ht="15" hidden="false" customHeight="false" outlineLevel="0" collapsed="false">
      <c r="A3939" s="0" t="s">
        <v>5728</v>
      </c>
      <c r="B3939" s="0" t="s">
        <v>46</v>
      </c>
      <c r="C3939" s="0" t="s">
        <v>3953</v>
      </c>
      <c r="D3939" s="0" t="s">
        <v>63</v>
      </c>
      <c r="E3939" s="2" t="n">
        <v>46206</v>
      </c>
      <c r="F3939" s="3" t="s">
        <v>34</v>
      </c>
      <c r="G3939" s="3" t="s">
        <v>43</v>
      </c>
      <c r="H3939" s="3" t="s">
        <v>44</v>
      </c>
      <c r="I3939" s="3" t="n">
        <f aca="false">YEAR(E3939)</f>
        <v>2026</v>
      </c>
      <c r="J3939" s="3" t="n">
        <f aca="false">MONTH(E3939)</f>
        <v>7</v>
      </c>
      <c r="K3939" s="3" t="n">
        <f aca="false">COUNTIFS($B$2:$B$4077,B3939,$C$2:$C$4077,C3939,$I$2:$I$4077,I3939)</f>
        <v>2</v>
      </c>
      <c r="L3939" s="3" t="n">
        <f aca="false">IF(COUNTIFS($B$2:B3939,B3939,$C$2:C3939,C3939,$I$2:I3939,I3939)=1,1,0)</f>
        <v>0</v>
      </c>
      <c r="M3939" s="3" t="n">
        <f aca="false">IF(K3939&gt;=Parametri!$B$1,1,0)</f>
        <v>1</v>
      </c>
      <c r="N3939" s="3" t="n">
        <f aca="false">L3939*M3939</f>
        <v>0</v>
      </c>
    </row>
    <row r="3940" customFormat="false" ht="15" hidden="false" customHeight="false" outlineLevel="0" collapsed="false">
      <c r="A3940" s="0" t="s">
        <v>5729</v>
      </c>
      <c r="B3940" s="0" t="s">
        <v>124</v>
      </c>
      <c r="C3940" s="0" t="s">
        <v>3320</v>
      </c>
      <c r="D3940" s="0" t="s">
        <v>77</v>
      </c>
      <c r="E3940" s="2" t="n">
        <v>45876</v>
      </c>
      <c r="F3940" s="3" t="s">
        <v>20</v>
      </c>
      <c r="G3940" s="3" t="s">
        <v>21</v>
      </c>
      <c r="H3940" s="3" t="s">
        <v>29</v>
      </c>
      <c r="I3940" s="3" t="n">
        <f aca="false">YEAR(E3940)</f>
        <v>2025</v>
      </c>
      <c r="J3940" s="3" t="n">
        <f aca="false">MONTH(E3940)</f>
        <v>8</v>
      </c>
      <c r="K3940" s="3" t="n">
        <f aca="false">COUNTIFS($B$2:$B$4077,B3940,$C$2:$C$4077,C3940,$I$2:$I$4077,I3940)</f>
        <v>2</v>
      </c>
      <c r="L3940" s="3" t="n">
        <f aca="false">IF(COUNTIFS($B$2:B3940,B3940,$C$2:C3940,C3940,$I$2:I3940,I3940)=1,1,0)</f>
        <v>0</v>
      </c>
      <c r="M3940" s="3" t="n">
        <f aca="false">IF(K3940&gt;=Parametri!$B$1,1,0)</f>
        <v>1</v>
      </c>
      <c r="N3940" s="3" t="n">
        <f aca="false">L3940*M3940</f>
        <v>0</v>
      </c>
    </row>
    <row r="3941" customFormat="false" ht="15" hidden="false" customHeight="false" outlineLevel="0" collapsed="false">
      <c r="A3941" s="0" t="s">
        <v>5730</v>
      </c>
      <c r="B3941" s="0" t="s">
        <v>17</v>
      </c>
      <c r="C3941" s="0" t="s">
        <v>903</v>
      </c>
      <c r="D3941" s="0" t="s">
        <v>77</v>
      </c>
      <c r="E3941" s="2" t="n">
        <v>46227</v>
      </c>
      <c r="F3941" s="3" t="s">
        <v>20</v>
      </c>
      <c r="G3941" s="3" t="s">
        <v>89</v>
      </c>
      <c r="H3941" s="3" t="s">
        <v>22</v>
      </c>
      <c r="I3941" s="3" t="n">
        <f aca="false">YEAR(E3941)</f>
        <v>2026</v>
      </c>
      <c r="J3941" s="3" t="n">
        <f aca="false">MONTH(E3941)</f>
        <v>7</v>
      </c>
      <c r="K3941" s="3" t="n">
        <f aca="false">COUNTIFS($B$2:$B$4077,B3941,$C$2:$C$4077,C3941,$I$2:$I$4077,I3941)</f>
        <v>1</v>
      </c>
      <c r="L3941" s="3" t="n">
        <f aca="false">IF(COUNTIFS($B$2:B3941,B3941,$C$2:C3941,C3941,$I$2:I3941,I3941)=1,1,0)</f>
        <v>1</v>
      </c>
      <c r="M3941" s="3" t="n">
        <f aca="false">IF(K3941&gt;=Parametri!$B$1,1,0)</f>
        <v>0</v>
      </c>
      <c r="N3941" s="3" t="n">
        <f aca="false">L3941*M3941</f>
        <v>0</v>
      </c>
    </row>
    <row r="3942" customFormat="false" ht="15" hidden="false" customHeight="false" outlineLevel="0" collapsed="false">
      <c r="A3942" s="0" t="s">
        <v>5731</v>
      </c>
      <c r="B3942" s="0" t="s">
        <v>17</v>
      </c>
      <c r="C3942" s="0" t="s">
        <v>5732</v>
      </c>
      <c r="D3942" s="0" t="s">
        <v>26</v>
      </c>
      <c r="E3942" s="2" t="n">
        <v>45415</v>
      </c>
      <c r="F3942" s="3" t="s">
        <v>20</v>
      </c>
      <c r="G3942" s="3" t="s">
        <v>39</v>
      </c>
      <c r="H3942" s="3" t="s">
        <v>29</v>
      </c>
      <c r="I3942" s="3" t="n">
        <f aca="false">YEAR(E3942)</f>
        <v>2024</v>
      </c>
      <c r="J3942" s="3" t="n">
        <f aca="false">MONTH(E3942)</f>
        <v>5</v>
      </c>
      <c r="K3942" s="3" t="n">
        <f aca="false">COUNTIFS($B$2:$B$4077,B3942,$C$2:$C$4077,C3942,$I$2:$I$4077,I3942)</f>
        <v>1</v>
      </c>
      <c r="L3942" s="3" t="n">
        <f aca="false">IF(COUNTIFS($B$2:B3942,B3942,$C$2:C3942,C3942,$I$2:I3942,I3942)=1,1,0)</f>
        <v>1</v>
      </c>
      <c r="M3942" s="3" t="n">
        <f aca="false">IF(K3942&gt;=Parametri!$B$1,1,0)</f>
        <v>0</v>
      </c>
      <c r="N3942" s="3" t="n">
        <f aca="false">L3942*M3942</f>
        <v>0</v>
      </c>
    </row>
    <row r="3943" customFormat="false" ht="15" hidden="false" customHeight="false" outlineLevel="0" collapsed="false">
      <c r="A3943" s="0" t="s">
        <v>5733</v>
      </c>
      <c r="B3943" s="0" t="s">
        <v>24</v>
      </c>
      <c r="C3943" s="0" t="s">
        <v>4746</v>
      </c>
      <c r="D3943" s="0" t="s">
        <v>26</v>
      </c>
      <c r="E3943" s="2" t="n">
        <v>46215</v>
      </c>
      <c r="F3943" s="3" t="s">
        <v>27</v>
      </c>
      <c r="G3943" s="3" t="s">
        <v>28</v>
      </c>
      <c r="H3943" s="3" t="s">
        <v>44</v>
      </c>
      <c r="I3943" s="3" t="n">
        <f aca="false">YEAR(E3943)</f>
        <v>2026</v>
      </c>
      <c r="J3943" s="3" t="n">
        <f aca="false">MONTH(E3943)</f>
        <v>7</v>
      </c>
      <c r="K3943" s="3" t="n">
        <f aca="false">COUNTIFS($B$2:$B$4077,B3943,$C$2:$C$4077,C3943,$I$2:$I$4077,I3943)</f>
        <v>1</v>
      </c>
      <c r="L3943" s="3" t="n">
        <f aca="false">IF(COUNTIFS($B$2:B3943,B3943,$C$2:C3943,C3943,$I$2:I3943,I3943)=1,1,0)</f>
        <v>1</v>
      </c>
      <c r="M3943" s="3" t="n">
        <f aca="false">IF(K3943&gt;=Parametri!$B$1,1,0)</f>
        <v>0</v>
      </c>
      <c r="N3943" s="3" t="n">
        <f aca="false">L3943*M3943</f>
        <v>0</v>
      </c>
    </row>
    <row r="3944" customFormat="false" ht="15" hidden="false" customHeight="false" outlineLevel="0" collapsed="false">
      <c r="A3944" s="0" t="s">
        <v>5734</v>
      </c>
      <c r="B3944" s="0" t="s">
        <v>24</v>
      </c>
      <c r="C3944" s="0" t="s">
        <v>5735</v>
      </c>
      <c r="D3944" s="0" t="s">
        <v>19</v>
      </c>
      <c r="E3944" s="2" t="n">
        <v>45681</v>
      </c>
      <c r="F3944" s="3" t="s">
        <v>20</v>
      </c>
      <c r="G3944" s="3" t="s">
        <v>28</v>
      </c>
      <c r="H3944" s="3" t="s">
        <v>44</v>
      </c>
      <c r="I3944" s="3" t="n">
        <f aca="false">YEAR(E3944)</f>
        <v>2025</v>
      </c>
      <c r="J3944" s="3" t="n">
        <f aca="false">MONTH(E3944)</f>
        <v>1</v>
      </c>
      <c r="K3944" s="3" t="n">
        <f aca="false">COUNTIFS($B$2:$B$4077,B3944,$C$2:$C$4077,C3944,$I$2:$I$4077,I3944)</f>
        <v>1</v>
      </c>
      <c r="L3944" s="3" t="n">
        <f aca="false">IF(COUNTIFS($B$2:B3944,B3944,$C$2:C3944,C3944,$I$2:I3944,I3944)=1,1,0)</f>
        <v>1</v>
      </c>
      <c r="M3944" s="3" t="n">
        <f aca="false">IF(K3944&gt;=Parametri!$B$1,1,0)</f>
        <v>0</v>
      </c>
      <c r="N3944" s="3" t="n">
        <f aca="false">L3944*M3944</f>
        <v>0</v>
      </c>
    </row>
    <row r="3945" customFormat="false" ht="15" hidden="false" customHeight="false" outlineLevel="0" collapsed="false">
      <c r="A3945" s="0" t="s">
        <v>5736</v>
      </c>
      <c r="B3945" s="0" t="s">
        <v>41</v>
      </c>
      <c r="C3945" s="0" t="s">
        <v>2079</v>
      </c>
      <c r="D3945" s="0" t="s">
        <v>77</v>
      </c>
      <c r="E3945" s="2" t="n">
        <v>46072</v>
      </c>
      <c r="F3945" s="3" t="s">
        <v>27</v>
      </c>
      <c r="G3945" s="3" t="s">
        <v>43</v>
      </c>
      <c r="H3945" s="3" t="s">
        <v>48</v>
      </c>
      <c r="I3945" s="3" t="n">
        <f aca="false">YEAR(E3945)</f>
        <v>2026</v>
      </c>
      <c r="J3945" s="3" t="n">
        <f aca="false">MONTH(E3945)</f>
        <v>2</v>
      </c>
      <c r="K3945" s="3" t="n">
        <f aca="false">COUNTIFS($B$2:$B$4077,B3945,$C$2:$C$4077,C3945,$I$2:$I$4077,I3945)</f>
        <v>1</v>
      </c>
      <c r="L3945" s="3" t="n">
        <f aca="false">IF(COUNTIFS($B$2:B3945,B3945,$C$2:C3945,C3945,$I$2:I3945,I3945)=1,1,0)</f>
        <v>1</v>
      </c>
      <c r="M3945" s="3" t="n">
        <f aca="false">IF(K3945&gt;=Parametri!$B$1,1,0)</f>
        <v>0</v>
      </c>
      <c r="N3945" s="3" t="n">
        <f aca="false">L3945*M3945</f>
        <v>0</v>
      </c>
    </row>
    <row r="3946" customFormat="false" ht="15" hidden="false" customHeight="false" outlineLevel="0" collapsed="false">
      <c r="A3946" s="0" t="s">
        <v>5737</v>
      </c>
      <c r="B3946" s="0" t="s">
        <v>41</v>
      </c>
      <c r="C3946" s="0" t="s">
        <v>685</v>
      </c>
      <c r="D3946" s="0" t="s">
        <v>66</v>
      </c>
      <c r="E3946" s="2" t="n">
        <v>45500</v>
      </c>
      <c r="F3946" s="3" t="s">
        <v>27</v>
      </c>
      <c r="G3946" s="3" t="s">
        <v>72</v>
      </c>
      <c r="H3946" s="3" t="s">
        <v>22</v>
      </c>
      <c r="I3946" s="3" t="n">
        <f aca="false">YEAR(E3946)</f>
        <v>2024</v>
      </c>
      <c r="J3946" s="3" t="n">
        <f aca="false">MONTH(E3946)</f>
        <v>7</v>
      </c>
      <c r="K3946" s="3" t="n">
        <f aca="false">COUNTIFS($B$2:$B$4077,B3946,$C$2:$C$4077,C3946,$I$2:$I$4077,I3946)</f>
        <v>1</v>
      </c>
      <c r="L3946" s="3" t="n">
        <f aca="false">IF(COUNTIFS($B$2:B3946,B3946,$C$2:C3946,C3946,$I$2:I3946,I3946)=1,1,0)</f>
        <v>1</v>
      </c>
      <c r="M3946" s="3" t="n">
        <f aca="false">IF(K3946&gt;=Parametri!$B$1,1,0)</f>
        <v>0</v>
      </c>
      <c r="N3946" s="3" t="n">
        <f aca="false">L3946*M3946</f>
        <v>0</v>
      </c>
    </row>
    <row r="3947" customFormat="false" ht="15" hidden="false" customHeight="false" outlineLevel="0" collapsed="false">
      <c r="A3947" s="0" t="s">
        <v>5738</v>
      </c>
      <c r="B3947" s="0" t="s">
        <v>50</v>
      </c>
      <c r="C3947" s="0" t="s">
        <v>5563</v>
      </c>
      <c r="D3947" s="0" t="s">
        <v>63</v>
      </c>
      <c r="E3947" s="2" t="n">
        <v>45822</v>
      </c>
      <c r="F3947" s="3" t="s">
        <v>27</v>
      </c>
      <c r="G3947" s="3" t="s">
        <v>28</v>
      </c>
      <c r="H3947" s="3" t="s">
        <v>22</v>
      </c>
      <c r="I3947" s="3" t="n">
        <f aca="false">YEAR(E3947)</f>
        <v>2025</v>
      </c>
      <c r="J3947" s="3" t="n">
        <f aca="false">MONTH(E3947)</f>
        <v>6</v>
      </c>
      <c r="K3947" s="3" t="n">
        <f aca="false">COUNTIFS($B$2:$B$4077,B3947,$C$2:$C$4077,C3947,$I$2:$I$4077,I3947)</f>
        <v>1</v>
      </c>
      <c r="L3947" s="3" t="n">
        <f aca="false">IF(COUNTIFS($B$2:B3947,B3947,$C$2:C3947,C3947,$I$2:I3947,I3947)=1,1,0)</f>
        <v>1</v>
      </c>
      <c r="M3947" s="3" t="n">
        <f aca="false">IF(K3947&gt;=Parametri!$B$1,1,0)</f>
        <v>0</v>
      </c>
      <c r="N3947" s="3" t="n">
        <f aca="false">L3947*M3947</f>
        <v>0</v>
      </c>
    </row>
    <row r="3948" customFormat="false" ht="15" hidden="false" customHeight="false" outlineLevel="0" collapsed="false">
      <c r="A3948" s="0" t="s">
        <v>5739</v>
      </c>
      <c r="B3948" s="0" t="s">
        <v>124</v>
      </c>
      <c r="C3948" s="0" t="s">
        <v>3804</v>
      </c>
      <c r="D3948" s="0" t="s">
        <v>19</v>
      </c>
      <c r="E3948" s="2" t="n">
        <v>46257</v>
      </c>
      <c r="F3948" s="3" t="s">
        <v>20</v>
      </c>
      <c r="G3948" s="3" t="s">
        <v>39</v>
      </c>
      <c r="H3948" s="3" t="s">
        <v>44</v>
      </c>
      <c r="I3948" s="3" t="n">
        <f aca="false">YEAR(E3948)</f>
        <v>2026</v>
      </c>
      <c r="J3948" s="3" t="n">
        <f aca="false">MONTH(E3948)</f>
        <v>8</v>
      </c>
      <c r="K3948" s="3" t="n">
        <f aca="false">COUNTIFS($B$2:$B$4077,B3948,$C$2:$C$4077,C3948,$I$2:$I$4077,I3948)</f>
        <v>1</v>
      </c>
      <c r="L3948" s="3" t="n">
        <f aca="false">IF(COUNTIFS($B$2:B3948,B3948,$C$2:C3948,C3948,$I$2:I3948,I3948)=1,1,0)</f>
        <v>1</v>
      </c>
      <c r="M3948" s="3" t="n">
        <f aca="false">IF(K3948&gt;=Parametri!$B$1,1,0)</f>
        <v>0</v>
      </c>
      <c r="N3948" s="3" t="n">
        <f aca="false">L3948*M3948</f>
        <v>0</v>
      </c>
    </row>
    <row r="3949" customFormat="false" ht="15" hidden="false" customHeight="false" outlineLevel="0" collapsed="false">
      <c r="A3949" s="0" t="s">
        <v>5740</v>
      </c>
      <c r="B3949" s="0" t="s">
        <v>46</v>
      </c>
      <c r="C3949" s="0" t="s">
        <v>5741</v>
      </c>
      <c r="D3949" s="0" t="s">
        <v>33</v>
      </c>
      <c r="E3949" s="2" t="n">
        <v>45470</v>
      </c>
      <c r="F3949" s="3" t="s">
        <v>20</v>
      </c>
      <c r="G3949" s="3" t="s">
        <v>21</v>
      </c>
      <c r="H3949" s="3" t="s">
        <v>44</v>
      </c>
      <c r="I3949" s="3" t="n">
        <f aca="false">YEAR(E3949)</f>
        <v>2024</v>
      </c>
      <c r="J3949" s="3" t="n">
        <f aca="false">MONTH(E3949)</f>
        <v>6</v>
      </c>
      <c r="K3949" s="3" t="n">
        <f aca="false">COUNTIFS($B$2:$B$4077,B3949,$C$2:$C$4077,C3949,$I$2:$I$4077,I3949)</f>
        <v>1</v>
      </c>
      <c r="L3949" s="3" t="n">
        <f aca="false">IF(COUNTIFS($B$2:B3949,B3949,$C$2:C3949,C3949,$I$2:I3949,I3949)=1,1,0)</f>
        <v>1</v>
      </c>
      <c r="M3949" s="3" t="n">
        <f aca="false">IF(K3949&gt;=Parametri!$B$1,1,0)</f>
        <v>0</v>
      </c>
      <c r="N3949" s="3" t="n">
        <f aca="false">L3949*M3949</f>
        <v>0</v>
      </c>
    </row>
    <row r="3950" customFormat="false" ht="15" hidden="false" customHeight="false" outlineLevel="0" collapsed="false">
      <c r="A3950" s="0" t="s">
        <v>5742</v>
      </c>
      <c r="B3950" s="0" t="s">
        <v>79</v>
      </c>
      <c r="C3950" s="0" t="s">
        <v>2095</v>
      </c>
      <c r="D3950" s="0" t="s">
        <v>26</v>
      </c>
      <c r="E3950" s="2" t="n">
        <v>45327</v>
      </c>
      <c r="F3950" s="3" t="s">
        <v>34</v>
      </c>
      <c r="G3950" s="3" t="s">
        <v>89</v>
      </c>
      <c r="H3950" s="3" t="s">
        <v>48</v>
      </c>
      <c r="I3950" s="3" t="n">
        <f aca="false">YEAR(E3950)</f>
        <v>2024</v>
      </c>
      <c r="J3950" s="3" t="n">
        <f aca="false">MONTH(E3950)</f>
        <v>2</v>
      </c>
      <c r="K3950" s="3" t="n">
        <f aca="false">COUNTIFS($B$2:$B$4077,B3950,$C$2:$C$4077,C3950,$I$2:$I$4077,I3950)</f>
        <v>4</v>
      </c>
      <c r="L3950" s="3" t="n">
        <f aca="false">IF(COUNTIFS($B$2:B3950,B3950,$C$2:C3950,C3950,$I$2:I3950,I3950)=1,1,0)</f>
        <v>0</v>
      </c>
      <c r="M3950" s="3" t="n">
        <f aca="false">IF(K3950&gt;=Parametri!$B$1,1,0)</f>
        <v>1</v>
      </c>
      <c r="N3950" s="3" t="n">
        <f aca="false">L3950*M3950</f>
        <v>0</v>
      </c>
    </row>
    <row r="3951" customFormat="false" ht="15" hidden="false" customHeight="false" outlineLevel="0" collapsed="false">
      <c r="A3951" s="0" t="s">
        <v>5743</v>
      </c>
      <c r="B3951" s="0" t="s">
        <v>46</v>
      </c>
      <c r="C3951" s="0" t="s">
        <v>5744</v>
      </c>
      <c r="D3951" s="0" t="s">
        <v>33</v>
      </c>
      <c r="E3951" s="2" t="n">
        <v>46247</v>
      </c>
      <c r="F3951" s="3" t="s">
        <v>20</v>
      </c>
      <c r="G3951" s="3" t="s">
        <v>39</v>
      </c>
      <c r="H3951" s="3" t="s">
        <v>44</v>
      </c>
      <c r="I3951" s="3" t="n">
        <f aca="false">YEAR(E3951)</f>
        <v>2026</v>
      </c>
      <c r="J3951" s="3" t="n">
        <f aca="false">MONTH(E3951)</f>
        <v>8</v>
      </c>
      <c r="K3951" s="3" t="n">
        <f aca="false">COUNTIFS($B$2:$B$4077,B3951,$C$2:$C$4077,C3951,$I$2:$I$4077,I3951)</f>
        <v>1</v>
      </c>
      <c r="L3951" s="3" t="n">
        <f aca="false">IF(COUNTIFS($B$2:B3951,B3951,$C$2:C3951,C3951,$I$2:I3951,I3951)=1,1,0)</f>
        <v>1</v>
      </c>
      <c r="M3951" s="3" t="n">
        <f aca="false">IF(K3951&gt;=Parametri!$B$1,1,0)</f>
        <v>0</v>
      </c>
      <c r="N3951" s="3" t="n">
        <f aca="false">L3951*M3951</f>
        <v>0</v>
      </c>
    </row>
    <row r="3952" customFormat="false" ht="15" hidden="false" customHeight="false" outlineLevel="0" collapsed="false">
      <c r="A3952" s="0" t="s">
        <v>5745</v>
      </c>
      <c r="B3952" s="0" t="s">
        <v>24</v>
      </c>
      <c r="C3952" s="0" t="s">
        <v>204</v>
      </c>
      <c r="D3952" s="0" t="s">
        <v>33</v>
      </c>
      <c r="E3952" s="2" t="n">
        <v>45497</v>
      </c>
      <c r="F3952" s="3" t="s">
        <v>34</v>
      </c>
      <c r="G3952" s="3" t="s">
        <v>43</v>
      </c>
      <c r="H3952" s="3" t="s">
        <v>29</v>
      </c>
      <c r="I3952" s="3" t="n">
        <f aca="false">YEAR(E3952)</f>
        <v>2024</v>
      </c>
      <c r="J3952" s="3" t="n">
        <f aca="false">MONTH(E3952)</f>
        <v>7</v>
      </c>
      <c r="K3952" s="3" t="n">
        <f aca="false">COUNTIFS($B$2:$B$4077,B3952,$C$2:$C$4077,C3952,$I$2:$I$4077,I3952)</f>
        <v>5</v>
      </c>
      <c r="L3952" s="3" t="n">
        <f aca="false">IF(COUNTIFS($B$2:B3952,B3952,$C$2:C3952,C3952,$I$2:I3952,I3952)=1,1,0)</f>
        <v>0</v>
      </c>
      <c r="M3952" s="3" t="n">
        <f aca="false">IF(K3952&gt;=Parametri!$B$1,1,0)</f>
        <v>1</v>
      </c>
      <c r="N3952" s="3" t="n">
        <f aca="false">L3952*M3952</f>
        <v>0</v>
      </c>
    </row>
    <row r="3953" customFormat="false" ht="15" hidden="false" customHeight="false" outlineLevel="0" collapsed="false">
      <c r="A3953" s="0" t="s">
        <v>5746</v>
      </c>
      <c r="B3953" s="0" t="s">
        <v>46</v>
      </c>
      <c r="C3953" s="0" t="s">
        <v>1733</v>
      </c>
      <c r="D3953" s="0" t="s">
        <v>33</v>
      </c>
      <c r="E3953" s="2" t="n">
        <v>45486</v>
      </c>
      <c r="F3953" s="3" t="s">
        <v>27</v>
      </c>
      <c r="G3953" s="3" t="s">
        <v>21</v>
      </c>
      <c r="H3953" s="3" t="s">
        <v>48</v>
      </c>
      <c r="I3953" s="3" t="n">
        <f aca="false">YEAR(E3953)</f>
        <v>2024</v>
      </c>
      <c r="J3953" s="3" t="n">
        <f aca="false">MONTH(E3953)</f>
        <v>7</v>
      </c>
      <c r="K3953" s="3" t="n">
        <f aca="false">COUNTIFS($B$2:$B$4077,B3953,$C$2:$C$4077,C3953,$I$2:$I$4077,I3953)</f>
        <v>1</v>
      </c>
      <c r="L3953" s="3" t="n">
        <f aca="false">IF(COUNTIFS($B$2:B3953,B3953,$C$2:C3953,C3953,$I$2:I3953,I3953)=1,1,0)</f>
        <v>1</v>
      </c>
      <c r="M3953" s="3" t="n">
        <f aca="false">IF(K3953&gt;=Parametri!$B$1,1,0)</f>
        <v>0</v>
      </c>
      <c r="N3953" s="3" t="n">
        <f aca="false">L3953*M3953</f>
        <v>0</v>
      </c>
    </row>
    <row r="3954" customFormat="false" ht="15" hidden="false" customHeight="false" outlineLevel="0" collapsed="false">
      <c r="A3954" s="0" t="s">
        <v>5747</v>
      </c>
      <c r="B3954" s="0" t="s">
        <v>68</v>
      </c>
      <c r="C3954" s="0" t="s">
        <v>5748</v>
      </c>
      <c r="D3954" s="0" t="s">
        <v>19</v>
      </c>
      <c r="E3954" s="2" t="n">
        <v>46128</v>
      </c>
      <c r="F3954" s="3" t="s">
        <v>104</v>
      </c>
      <c r="G3954" s="3" t="s">
        <v>104</v>
      </c>
      <c r="H3954" s="3" t="s">
        <v>104</v>
      </c>
      <c r="I3954" s="3" t="n">
        <f aca="false">YEAR(E3954)</f>
        <v>2026</v>
      </c>
      <c r="J3954" s="3" t="n">
        <f aca="false">MONTH(E3954)</f>
        <v>4</v>
      </c>
      <c r="K3954" s="3" t="n">
        <f aca="false">COUNTIFS($B$2:$B$4077,B3954,$C$2:$C$4077,C3954,$I$2:$I$4077,I3954)</f>
        <v>1</v>
      </c>
      <c r="L3954" s="3" t="n">
        <f aca="false">IF(COUNTIFS($B$2:B3954,B3954,$C$2:C3954,C3954,$I$2:I3954,I3954)=1,1,0)</f>
        <v>1</v>
      </c>
      <c r="M3954" s="3" t="n">
        <f aca="false">IF(K3954&gt;=Parametri!$B$1,1,0)</f>
        <v>0</v>
      </c>
      <c r="N3954" s="3" t="n">
        <f aca="false">L3954*M3954</f>
        <v>0</v>
      </c>
    </row>
    <row r="3955" customFormat="false" ht="15" hidden="false" customHeight="false" outlineLevel="0" collapsed="false">
      <c r="A3955" s="0" t="s">
        <v>5749</v>
      </c>
      <c r="B3955" s="0" t="s">
        <v>50</v>
      </c>
      <c r="C3955" s="0" t="s">
        <v>5750</v>
      </c>
      <c r="D3955" s="0" t="s">
        <v>19</v>
      </c>
      <c r="E3955" s="2" t="n">
        <v>45729</v>
      </c>
      <c r="F3955" s="3" t="s">
        <v>20</v>
      </c>
      <c r="G3955" s="3" t="s">
        <v>72</v>
      </c>
      <c r="H3955" s="3" t="s">
        <v>29</v>
      </c>
      <c r="I3955" s="3" t="n">
        <f aca="false">YEAR(E3955)</f>
        <v>2025</v>
      </c>
      <c r="J3955" s="3" t="n">
        <f aca="false">MONTH(E3955)</f>
        <v>3</v>
      </c>
      <c r="K3955" s="3" t="n">
        <f aca="false">COUNTIFS($B$2:$B$4077,B3955,$C$2:$C$4077,C3955,$I$2:$I$4077,I3955)</f>
        <v>1</v>
      </c>
      <c r="L3955" s="3" t="n">
        <f aca="false">IF(COUNTIFS($B$2:B3955,B3955,$C$2:C3955,C3955,$I$2:I3955,I3955)=1,1,0)</f>
        <v>1</v>
      </c>
      <c r="M3955" s="3" t="n">
        <f aca="false">IF(K3955&gt;=Parametri!$B$1,1,0)</f>
        <v>0</v>
      </c>
      <c r="N3955" s="3" t="n">
        <f aca="false">L3955*M3955</f>
        <v>0</v>
      </c>
    </row>
    <row r="3956" customFormat="false" ht="15" hidden="false" customHeight="false" outlineLevel="0" collapsed="false">
      <c r="A3956" s="0" t="s">
        <v>5751</v>
      </c>
      <c r="B3956" s="0" t="s">
        <v>31</v>
      </c>
      <c r="C3956" s="0" t="s">
        <v>1486</v>
      </c>
      <c r="D3956" s="0" t="s">
        <v>19</v>
      </c>
      <c r="E3956" s="2" t="n">
        <v>45594</v>
      </c>
      <c r="F3956" s="3" t="s">
        <v>27</v>
      </c>
      <c r="G3956" s="3" t="s">
        <v>43</v>
      </c>
      <c r="H3956" s="3" t="s">
        <v>44</v>
      </c>
      <c r="I3956" s="3" t="n">
        <f aca="false">YEAR(E3956)</f>
        <v>2024</v>
      </c>
      <c r="J3956" s="3" t="n">
        <f aca="false">MONTH(E3956)</f>
        <v>10</v>
      </c>
      <c r="K3956" s="3" t="n">
        <f aca="false">COUNTIFS($B$2:$B$4077,B3956,$C$2:$C$4077,C3956,$I$2:$I$4077,I3956)</f>
        <v>3</v>
      </c>
      <c r="L3956" s="3" t="n">
        <f aca="false">IF(COUNTIFS($B$2:B3956,B3956,$C$2:C3956,C3956,$I$2:I3956,I3956)=1,1,0)</f>
        <v>0</v>
      </c>
      <c r="M3956" s="3" t="n">
        <f aca="false">IF(K3956&gt;=Parametri!$B$1,1,0)</f>
        <v>1</v>
      </c>
      <c r="N3956" s="3" t="n">
        <f aca="false">L3956*M3956</f>
        <v>0</v>
      </c>
    </row>
    <row r="3957" customFormat="false" ht="15" hidden="false" customHeight="false" outlineLevel="0" collapsed="false">
      <c r="A3957" s="0" t="s">
        <v>5752</v>
      </c>
      <c r="B3957" s="0" t="s">
        <v>79</v>
      </c>
      <c r="C3957" s="0" t="s">
        <v>1521</v>
      </c>
      <c r="D3957" s="0" t="s">
        <v>63</v>
      </c>
      <c r="E3957" s="2" t="n">
        <v>46217</v>
      </c>
      <c r="F3957" s="3" t="s">
        <v>20</v>
      </c>
      <c r="G3957" s="3" t="s">
        <v>72</v>
      </c>
      <c r="H3957" s="3" t="s">
        <v>22</v>
      </c>
      <c r="I3957" s="3" t="n">
        <f aca="false">YEAR(E3957)</f>
        <v>2026</v>
      </c>
      <c r="J3957" s="3" t="n">
        <f aca="false">MONTH(E3957)</f>
        <v>7</v>
      </c>
      <c r="K3957" s="3" t="n">
        <f aca="false">COUNTIFS($B$2:$B$4077,B3957,$C$2:$C$4077,C3957,$I$2:$I$4077,I3957)</f>
        <v>2</v>
      </c>
      <c r="L3957" s="3" t="n">
        <f aca="false">IF(COUNTIFS($B$2:B3957,B3957,$C$2:C3957,C3957,$I$2:I3957,I3957)=1,1,0)</f>
        <v>0</v>
      </c>
      <c r="M3957" s="3" t="n">
        <f aca="false">IF(K3957&gt;=Parametri!$B$1,1,0)</f>
        <v>1</v>
      </c>
      <c r="N3957" s="3" t="n">
        <f aca="false">L3957*M3957</f>
        <v>0</v>
      </c>
    </row>
    <row r="3958" customFormat="false" ht="15" hidden="false" customHeight="false" outlineLevel="0" collapsed="false">
      <c r="A3958" s="0" t="s">
        <v>5753</v>
      </c>
      <c r="B3958" s="0" t="s">
        <v>57</v>
      </c>
      <c r="C3958" s="0" t="s">
        <v>5754</v>
      </c>
      <c r="D3958" s="0" t="s">
        <v>54</v>
      </c>
      <c r="E3958" s="2" t="n">
        <v>45815</v>
      </c>
      <c r="F3958" s="3" t="s">
        <v>20</v>
      </c>
      <c r="G3958" s="3" t="s">
        <v>55</v>
      </c>
      <c r="H3958" s="3" t="s">
        <v>44</v>
      </c>
      <c r="I3958" s="3" t="n">
        <f aca="false">YEAR(E3958)</f>
        <v>2025</v>
      </c>
      <c r="J3958" s="3" t="n">
        <f aca="false">MONTH(E3958)</f>
        <v>6</v>
      </c>
      <c r="K3958" s="3" t="n">
        <f aca="false">COUNTIFS($B$2:$B$4077,B3958,$C$2:$C$4077,C3958,$I$2:$I$4077,I3958)</f>
        <v>1</v>
      </c>
      <c r="L3958" s="3" t="n">
        <f aca="false">IF(COUNTIFS($B$2:B3958,B3958,$C$2:C3958,C3958,$I$2:I3958,I3958)=1,1,0)</f>
        <v>1</v>
      </c>
      <c r="M3958" s="3" t="n">
        <f aca="false">IF(K3958&gt;=Parametri!$B$1,1,0)</f>
        <v>0</v>
      </c>
      <c r="N3958" s="3" t="n">
        <f aca="false">L3958*M3958</f>
        <v>0</v>
      </c>
    </row>
    <row r="3959" customFormat="false" ht="15" hidden="false" customHeight="false" outlineLevel="0" collapsed="false">
      <c r="A3959" s="0" t="s">
        <v>5755</v>
      </c>
      <c r="B3959" s="0" t="s">
        <v>31</v>
      </c>
      <c r="C3959" s="0" t="s">
        <v>778</v>
      </c>
      <c r="D3959" s="0" t="s">
        <v>54</v>
      </c>
      <c r="E3959" s="2" t="n">
        <v>45389</v>
      </c>
      <c r="F3959" s="3" t="s">
        <v>34</v>
      </c>
      <c r="G3959" s="3" t="s">
        <v>89</v>
      </c>
      <c r="H3959" s="3" t="s">
        <v>48</v>
      </c>
      <c r="I3959" s="3" t="n">
        <f aca="false">YEAR(E3959)</f>
        <v>2024</v>
      </c>
      <c r="J3959" s="3" t="n">
        <f aca="false">MONTH(E3959)</f>
        <v>4</v>
      </c>
      <c r="K3959" s="3" t="n">
        <f aca="false">COUNTIFS($B$2:$B$4077,B3959,$C$2:$C$4077,C3959,$I$2:$I$4077,I3959)</f>
        <v>5</v>
      </c>
      <c r="L3959" s="3" t="n">
        <f aca="false">IF(COUNTIFS($B$2:B3959,B3959,$C$2:C3959,C3959,$I$2:I3959,I3959)=1,1,0)</f>
        <v>0</v>
      </c>
      <c r="M3959" s="3" t="n">
        <f aca="false">IF(K3959&gt;=Parametri!$B$1,1,0)</f>
        <v>1</v>
      </c>
      <c r="N3959" s="3" t="n">
        <f aca="false">L3959*M3959</f>
        <v>0</v>
      </c>
    </row>
    <row r="3960" customFormat="false" ht="15" hidden="false" customHeight="false" outlineLevel="0" collapsed="false">
      <c r="A3960" s="0" t="s">
        <v>5756</v>
      </c>
      <c r="B3960" s="0" t="s">
        <v>46</v>
      </c>
      <c r="C3960" s="0" t="s">
        <v>5757</v>
      </c>
      <c r="D3960" s="0" t="s">
        <v>33</v>
      </c>
      <c r="E3960" s="2" t="n">
        <v>45633</v>
      </c>
      <c r="F3960" s="3" t="s">
        <v>20</v>
      </c>
      <c r="G3960" s="3" t="s">
        <v>21</v>
      </c>
      <c r="H3960" s="3" t="s">
        <v>48</v>
      </c>
      <c r="I3960" s="3" t="n">
        <f aca="false">YEAR(E3960)</f>
        <v>2024</v>
      </c>
      <c r="J3960" s="3" t="n">
        <f aca="false">MONTH(E3960)</f>
        <v>12</v>
      </c>
      <c r="K3960" s="3" t="n">
        <f aca="false">COUNTIFS($B$2:$B$4077,B3960,$C$2:$C$4077,C3960,$I$2:$I$4077,I3960)</f>
        <v>1</v>
      </c>
      <c r="L3960" s="3" t="n">
        <f aca="false">IF(COUNTIFS($B$2:B3960,B3960,$C$2:C3960,C3960,$I$2:I3960,I3960)=1,1,0)</f>
        <v>1</v>
      </c>
      <c r="M3960" s="3" t="n">
        <f aca="false">IF(K3960&gt;=Parametri!$B$1,1,0)</f>
        <v>0</v>
      </c>
      <c r="N3960" s="3" t="n">
        <f aca="false">L3960*M3960</f>
        <v>0</v>
      </c>
    </row>
    <row r="3961" customFormat="false" ht="15" hidden="false" customHeight="false" outlineLevel="0" collapsed="false">
      <c r="A3961" s="0" t="s">
        <v>5758</v>
      </c>
      <c r="B3961" s="0" t="s">
        <v>68</v>
      </c>
      <c r="C3961" s="0" t="s">
        <v>5317</v>
      </c>
      <c r="D3961" s="0" t="s">
        <v>33</v>
      </c>
      <c r="E3961" s="2" t="n">
        <v>45563</v>
      </c>
      <c r="F3961" s="3" t="s">
        <v>34</v>
      </c>
      <c r="G3961" s="3" t="s">
        <v>35</v>
      </c>
      <c r="H3961" s="3" t="s">
        <v>22</v>
      </c>
      <c r="I3961" s="3" t="n">
        <f aca="false">YEAR(E3961)</f>
        <v>2024</v>
      </c>
      <c r="J3961" s="3" t="n">
        <f aca="false">MONTH(E3961)</f>
        <v>9</v>
      </c>
      <c r="K3961" s="3" t="n">
        <f aca="false">COUNTIFS($B$2:$B$4077,B3961,$C$2:$C$4077,C3961,$I$2:$I$4077,I3961)</f>
        <v>1</v>
      </c>
      <c r="L3961" s="3" t="n">
        <f aca="false">IF(COUNTIFS($B$2:B3961,B3961,$C$2:C3961,C3961,$I$2:I3961,I3961)=1,1,0)</f>
        <v>1</v>
      </c>
      <c r="M3961" s="3" t="n">
        <f aca="false">IF(K3961&gt;=Parametri!$B$1,1,0)</f>
        <v>0</v>
      </c>
      <c r="N3961" s="3" t="n">
        <f aca="false">L3961*M3961</f>
        <v>0</v>
      </c>
    </row>
    <row r="3962" customFormat="false" ht="15" hidden="false" customHeight="false" outlineLevel="0" collapsed="false">
      <c r="A3962" s="0" t="s">
        <v>5759</v>
      </c>
      <c r="B3962" s="0" t="s">
        <v>31</v>
      </c>
      <c r="C3962" s="0" t="s">
        <v>1123</v>
      </c>
      <c r="D3962" s="0" t="s">
        <v>66</v>
      </c>
      <c r="E3962" s="2" t="n">
        <v>46146</v>
      </c>
      <c r="F3962" s="3" t="s">
        <v>20</v>
      </c>
      <c r="G3962" s="3" t="s">
        <v>43</v>
      </c>
      <c r="H3962" s="3" t="s">
        <v>44</v>
      </c>
      <c r="I3962" s="3" t="n">
        <f aca="false">YEAR(E3962)</f>
        <v>2026</v>
      </c>
      <c r="J3962" s="3" t="n">
        <f aca="false">MONTH(E3962)</f>
        <v>5</v>
      </c>
      <c r="K3962" s="3" t="n">
        <f aca="false">COUNTIFS($B$2:$B$4077,B3962,$C$2:$C$4077,C3962,$I$2:$I$4077,I3962)</f>
        <v>1</v>
      </c>
      <c r="L3962" s="3" t="n">
        <f aca="false">IF(COUNTIFS($B$2:B3962,B3962,$C$2:C3962,C3962,$I$2:I3962,I3962)=1,1,0)</f>
        <v>1</v>
      </c>
      <c r="M3962" s="3" t="n">
        <f aca="false">IF(K3962&gt;=Parametri!$B$1,1,0)</f>
        <v>0</v>
      </c>
      <c r="N3962" s="3" t="n">
        <f aca="false">L3962*M3962</f>
        <v>0</v>
      </c>
    </row>
    <row r="3963" customFormat="false" ht="15" hidden="false" customHeight="false" outlineLevel="0" collapsed="false">
      <c r="A3963" s="0" t="s">
        <v>5760</v>
      </c>
      <c r="B3963" s="0" t="s">
        <v>50</v>
      </c>
      <c r="C3963" s="0" t="s">
        <v>1218</v>
      </c>
      <c r="D3963" s="0" t="s">
        <v>33</v>
      </c>
      <c r="E3963" s="2" t="n">
        <v>45701</v>
      </c>
      <c r="F3963" s="3" t="s">
        <v>20</v>
      </c>
      <c r="G3963" s="3" t="s">
        <v>72</v>
      </c>
      <c r="H3963" s="3" t="s">
        <v>48</v>
      </c>
      <c r="I3963" s="3" t="n">
        <f aca="false">YEAR(E3963)</f>
        <v>2025</v>
      </c>
      <c r="J3963" s="3" t="n">
        <f aca="false">MONTH(E3963)</f>
        <v>2</v>
      </c>
      <c r="K3963" s="3" t="n">
        <f aca="false">COUNTIFS($B$2:$B$4077,B3963,$C$2:$C$4077,C3963,$I$2:$I$4077,I3963)</f>
        <v>4</v>
      </c>
      <c r="L3963" s="3" t="n">
        <f aca="false">IF(COUNTIFS($B$2:B3963,B3963,$C$2:C3963,C3963,$I$2:I3963,I3963)=1,1,0)</f>
        <v>0</v>
      </c>
      <c r="M3963" s="3" t="n">
        <f aca="false">IF(K3963&gt;=Parametri!$B$1,1,0)</f>
        <v>1</v>
      </c>
      <c r="N3963" s="3" t="n">
        <f aca="false">L3963*M3963</f>
        <v>0</v>
      </c>
    </row>
    <row r="3964" customFormat="false" ht="15" hidden="false" customHeight="false" outlineLevel="0" collapsed="false">
      <c r="A3964" s="0" t="s">
        <v>5761</v>
      </c>
      <c r="B3964" s="0" t="s">
        <v>50</v>
      </c>
      <c r="C3964" s="0" t="s">
        <v>1066</v>
      </c>
      <c r="D3964" s="0" t="s">
        <v>19</v>
      </c>
      <c r="E3964" s="2" t="n">
        <v>45606</v>
      </c>
      <c r="F3964" s="3" t="s">
        <v>34</v>
      </c>
      <c r="G3964" s="3" t="s">
        <v>21</v>
      </c>
      <c r="H3964" s="3" t="s">
        <v>29</v>
      </c>
      <c r="I3964" s="3" t="n">
        <f aca="false">YEAR(E3964)</f>
        <v>2024</v>
      </c>
      <c r="J3964" s="3" t="n">
        <f aca="false">MONTH(E3964)</f>
        <v>11</v>
      </c>
      <c r="K3964" s="3" t="n">
        <f aca="false">COUNTIFS($B$2:$B$4077,B3964,$C$2:$C$4077,C3964,$I$2:$I$4077,I3964)</f>
        <v>1</v>
      </c>
      <c r="L3964" s="3" t="n">
        <f aca="false">IF(COUNTIFS($B$2:B3964,B3964,$C$2:C3964,C3964,$I$2:I3964,I3964)=1,1,0)</f>
        <v>1</v>
      </c>
      <c r="M3964" s="3" t="n">
        <f aca="false">IF(K3964&gt;=Parametri!$B$1,1,0)</f>
        <v>0</v>
      </c>
      <c r="N3964" s="3" t="n">
        <f aca="false">L3964*M3964</f>
        <v>0</v>
      </c>
    </row>
    <row r="3965" customFormat="false" ht="15" hidden="false" customHeight="false" outlineLevel="0" collapsed="false">
      <c r="A3965" s="0" t="s">
        <v>5762</v>
      </c>
      <c r="B3965" s="0" t="s">
        <v>17</v>
      </c>
      <c r="C3965" s="0" t="s">
        <v>406</v>
      </c>
      <c r="D3965" s="0" t="s">
        <v>26</v>
      </c>
      <c r="E3965" s="2" t="n">
        <v>45790</v>
      </c>
      <c r="F3965" s="3" t="s">
        <v>20</v>
      </c>
      <c r="G3965" s="3" t="s">
        <v>35</v>
      </c>
      <c r="H3965" s="3" t="s">
        <v>48</v>
      </c>
      <c r="I3965" s="3" t="n">
        <f aca="false">YEAR(E3965)</f>
        <v>2025</v>
      </c>
      <c r="J3965" s="3" t="n">
        <f aca="false">MONTH(E3965)</f>
        <v>5</v>
      </c>
      <c r="K3965" s="3" t="n">
        <f aca="false">COUNTIFS($B$2:$B$4077,B3965,$C$2:$C$4077,C3965,$I$2:$I$4077,I3965)</f>
        <v>4</v>
      </c>
      <c r="L3965" s="3" t="n">
        <f aca="false">IF(COUNTIFS($B$2:B3965,B3965,$C$2:C3965,C3965,$I$2:I3965,I3965)=1,1,0)</f>
        <v>0</v>
      </c>
      <c r="M3965" s="3" t="n">
        <f aca="false">IF(K3965&gt;=Parametri!$B$1,1,0)</f>
        <v>1</v>
      </c>
      <c r="N3965" s="3" t="n">
        <f aca="false">L3965*M3965</f>
        <v>0</v>
      </c>
    </row>
    <row r="3966" customFormat="false" ht="15" hidden="false" customHeight="false" outlineLevel="0" collapsed="false">
      <c r="A3966" s="0" t="s">
        <v>5763</v>
      </c>
      <c r="B3966" s="0" t="s">
        <v>46</v>
      </c>
      <c r="C3966" s="0" t="s">
        <v>5764</v>
      </c>
      <c r="D3966" s="0" t="s">
        <v>19</v>
      </c>
      <c r="E3966" s="2" t="n">
        <v>46120</v>
      </c>
      <c r="F3966" s="3" t="s">
        <v>20</v>
      </c>
      <c r="G3966" s="3" t="s">
        <v>39</v>
      </c>
      <c r="H3966" s="3" t="s">
        <v>29</v>
      </c>
      <c r="I3966" s="3" t="n">
        <f aca="false">YEAR(E3966)</f>
        <v>2026</v>
      </c>
      <c r="J3966" s="3" t="n">
        <f aca="false">MONTH(E3966)</f>
        <v>4</v>
      </c>
      <c r="K3966" s="3" t="n">
        <f aca="false">COUNTIFS($B$2:$B$4077,B3966,$C$2:$C$4077,C3966,$I$2:$I$4077,I3966)</f>
        <v>1</v>
      </c>
      <c r="L3966" s="3" t="n">
        <f aca="false">IF(COUNTIFS($B$2:B3966,B3966,$C$2:C3966,C3966,$I$2:I3966,I3966)=1,1,0)</f>
        <v>1</v>
      </c>
      <c r="M3966" s="3" t="n">
        <f aca="false">IF(K3966&gt;=Parametri!$B$1,1,0)</f>
        <v>0</v>
      </c>
      <c r="N3966" s="3" t="n">
        <f aca="false">L3966*M3966</f>
        <v>0</v>
      </c>
    </row>
    <row r="3967" customFormat="false" ht="15" hidden="false" customHeight="false" outlineLevel="0" collapsed="false">
      <c r="A3967" s="0" t="s">
        <v>5765</v>
      </c>
      <c r="B3967" s="0" t="s">
        <v>46</v>
      </c>
      <c r="C3967" s="0" t="s">
        <v>5766</v>
      </c>
      <c r="D3967" s="0" t="s">
        <v>26</v>
      </c>
      <c r="E3967" s="2" t="n">
        <v>45423</v>
      </c>
      <c r="F3967" s="3" t="s">
        <v>20</v>
      </c>
      <c r="G3967" s="3" t="s">
        <v>55</v>
      </c>
      <c r="H3967" s="3" t="s">
        <v>48</v>
      </c>
      <c r="I3967" s="3" t="n">
        <f aca="false">YEAR(E3967)</f>
        <v>2024</v>
      </c>
      <c r="J3967" s="3" t="n">
        <f aca="false">MONTH(E3967)</f>
        <v>5</v>
      </c>
      <c r="K3967" s="3" t="n">
        <f aca="false">COUNTIFS($B$2:$B$4077,B3967,$C$2:$C$4077,C3967,$I$2:$I$4077,I3967)</f>
        <v>1</v>
      </c>
      <c r="L3967" s="3" t="n">
        <f aca="false">IF(COUNTIFS($B$2:B3967,B3967,$C$2:C3967,C3967,$I$2:I3967,I3967)=1,1,0)</f>
        <v>1</v>
      </c>
      <c r="M3967" s="3" t="n">
        <f aca="false">IF(K3967&gt;=Parametri!$B$1,1,0)</f>
        <v>0</v>
      </c>
      <c r="N3967" s="3" t="n">
        <f aca="false">L3967*M3967</f>
        <v>0</v>
      </c>
    </row>
    <row r="3968" customFormat="false" ht="15" hidden="false" customHeight="false" outlineLevel="0" collapsed="false">
      <c r="A3968" s="0" t="s">
        <v>5767</v>
      </c>
      <c r="B3968" s="0" t="s">
        <v>17</v>
      </c>
      <c r="C3968" s="0" t="s">
        <v>5768</v>
      </c>
      <c r="D3968" s="0" t="s">
        <v>38</v>
      </c>
      <c r="E3968" s="2" t="n">
        <v>46073</v>
      </c>
      <c r="F3968" s="3" t="s">
        <v>20</v>
      </c>
      <c r="G3968" s="3" t="s">
        <v>55</v>
      </c>
      <c r="H3968" s="3" t="s">
        <v>29</v>
      </c>
      <c r="I3968" s="3" t="n">
        <f aca="false">YEAR(E3968)</f>
        <v>2026</v>
      </c>
      <c r="J3968" s="3" t="n">
        <f aca="false">MONTH(E3968)</f>
        <v>2</v>
      </c>
      <c r="K3968" s="3" t="n">
        <f aca="false">COUNTIFS($B$2:$B$4077,B3968,$C$2:$C$4077,C3968,$I$2:$I$4077,I3968)</f>
        <v>1</v>
      </c>
      <c r="L3968" s="3" t="n">
        <f aca="false">IF(COUNTIFS($B$2:B3968,B3968,$C$2:C3968,C3968,$I$2:I3968,I3968)=1,1,0)</f>
        <v>1</v>
      </c>
      <c r="M3968" s="3" t="n">
        <f aca="false">IF(K3968&gt;=Parametri!$B$1,1,0)</f>
        <v>0</v>
      </c>
      <c r="N3968" s="3" t="n">
        <f aca="false">L3968*M3968</f>
        <v>0</v>
      </c>
    </row>
    <row r="3969" customFormat="false" ht="15" hidden="false" customHeight="false" outlineLevel="0" collapsed="false">
      <c r="A3969" s="0" t="s">
        <v>5769</v>
      </c>
      <c r="B3969" s="0" t="s">
        <v>46</v>
      </c>
      <c r="C3969" s="0" t="s">
        <v>4873</v>
      </c>
      <c r="D3969" s="0" t="s">
        <v>38</v>
      </c>
      <c r="E3969" s="2" t="n">
        <v>45632</v>
      </c>
      <c r="F3969" s="3" t="s">
        <v>27</v>
      </c>
      <c r="G3969" s="3" t="s">
        <v>55</v>
      </c>
      <c r="H3969" s="3" t="s">
        <v>22</v>
      </c>
      <c r="I3969" s="3" t="n">
        <f aca="false">YEAR(E3969)</f>
        <v>2024</v>
      </c>
      <c r="J3969" s="3" t="n">
        <f aca="false">MONTH(E3969)</f>
        <v>12</v>
      </c>
      <c r="K3969" s="3" t="n">
        <f aca="false">COUNTIFS($B$2:$B$4077,B3969,$C$2:$C$4077,C3969,$I$2:$I$4077,I3969)</f>
        <v>1</v>
      </c>
      <c r="L3969" s="3" t="n">
        <f aca="false">IF(COUNTIFS($B$2:B3969,B3969,$C$2:C3969,C3969,$I$2:I3969,I3969)=1,1,0)</f>
        <v>1</v>
      </c>
      <c r="M3969" s="3" t="n">
        <f aca="false">IF(K3969&gt;=Parametri!$B$1,1,0)</f>
        <v>0</v>
      </c>
      <c r="N3969" s="3" t="n">
        <f aca="false">L3969*M3969</f>
        <v>0</v>
      </c>
    </row>
    <row r="3970" customFormat="false" ht="15" hidden="false" customHeight="false" outlineLevel="0" collapsed="false">
      <c r="A3970" s="0" t="s">
        <v>5770</v>
      </c>
      <c r="B3970" s="0" t="s">
        <v>79</v>
      </c>
      <c r="C3970" s="0" t="s">
        <v>830</v>
      </c>
      <c r="D3970" s="0" t="s">
        <v>54</v>
      </c>
      <c r="E3970" s="2" t="n">
        <v>45522</v>
      </c>
      <c r="F3970" s="3" t="s">
        <v>34</v>
      </c>
      <c r="G3970" s="3" t="s">
        <v>35</v>
      </c>
      <c r="H3970" s="3" t="s">
        <v>22</v>
      </c>
      <c r="I3970" s="3" t="n">
        <f aca="false">YEAR(E3970)</f>
        <v>2024</v>
      </c>
      <c r="J3970" s="3" t="n">
        <f aca="false">MONTH(E3970)</f>
        <v>8</v>
      </c>
      <c r="K3970" s="3" t="n">
        <f aca="false">COUNTIFS($B$2:$B$4077,B3970,$C$2:$C$4077,C3970,$I$2:$I$4077,I3970)</f>
        <v>2</v>
      </c>
      <c r="L3970" s="3" t="n">
        <f aca="false">IF(COUNTIFS($B$2:B3970,B3970,$C$2:C3970,C3970,$I$2:I3970,I3970)=1,1,0)</f>
        <v>0</v>
      </c>
      <c r="M3970" s="3" t="n">
        <f aca="false">IF(K3970&gt;=Parametri!$B$1,1,0)</f>
        <v>1</v>
      </c>
      <c r="N3970" s="3" t="n">
        <f aca="false">L3970*M3970</f>
        <v>0</v>
      </c>
    </row>
    <row r="3971" customFormat="false" ht="15" hidden="false" customHeight="false" outlineLevel="0" collapsed="false">
      <c r="A3971" s="0" t="s">
        <v>5771</v>
      </c>
      <c r="B3971" s="0" t="s">
        <v>57</v>
      </c>
      <c r="C3971" s="0" t="s">
        <v>133</v>
      </c>
      <c r="D3971" s="0" t="s">
        <v>54</v>
      </c>
      <c r="E3971" s="2" t="n">
        <v>45436</v>
      </c>
      <c r="F3971" s="3" t="s">
        <v>20</v>
      </c>
      <c r="G3971" s="3" t="s">
        <v>43</v>
      </c>
      <c r="H3971" s="3" t="s">
        <v>48</v>
      </c>
      <c r="I3971" s="3" t="n">
        <f aca="false">YEAR(E3971)</f>
        <v>2024</v>
      </c>
      <c r="J3971" s="3" t="n">
        <f aca="false">MONTH(E3971)</f>
        <v>5</v>
      </c>
      <c r="K3971" s="3" t="n">
        <f aca="false">COUNTIFS($B$2:$B$4077,B3971,$C$2:$C$4077,C3971,$I$2:$I$4077,I3971)</f>
        <v>1</v>
      </c>
      <c r="L3971" s="3" t="n">
        <f aca="false">IF(COUNTIFS($B$2:B3971,B3971,$C$2:C3971,C3971,$I$2:I3971,I3971)=1,1,0)</f>
        <v>1</v>
      </c>
      <c r="M3971" s="3" t="n">
        <f aca="false">IF(K3971&gt;=Parametri!$B$1,1,0)</f>
        <v>0</v>
      </c>
      <c r="N3971" s="3" t="n">
        <f aca="false">L3971*M3971</f>
        <v>0</v>
      </c>
    </row>
    <row r="3972" customFormat="false" ht="15" hidden="false" customHeight="false" outlineLevel="0" collapsed="false">
      <c r="A3972" s="0" t="s">
        <v>5772</v>
      </c>
      <c r="B3972" s="0" t="s">
        <v>24</v>
      </c>
      <c r="C3972" s="0" t="s">
        <v>4207</v>
      </c>
      <c r="D3972" s="0" t="s">
        <v>26</v>
      </c>
      <c r="E3972" s="2" t="n">
        <v>45721</v>
      </c>
      <c r="F3972" s="3" t="s">
        <v>20</v>
      </c>
      <c r="G3972" s="3" t="s">
        <v>55</v>
      </c>
      <c r="H3972" s="3" t="s">
        <v>48</v>
      </c>
      <c r="I3972" s="3" t="n">
        <f aca="false">YEAR(E3972)</f>
        <v>2025</v>
      </c>
      <c r="J3972" s="3" t="n">
        <f aca="false">MONTH(E3972)</f>
        <v>3</v>
      </c>
      <c r="K3972" s="3" t="n">
        <f aca="false">COUNTIFS($B$2:$B$4077,B3972,$C$2:$C$4077,C3972,$I$2:$I$4077,I3972)</f>
        <v>3</v>
      </c>
      <c r="L3972" s="3" t="n">
        <f aca="false">IF(COUNTIFS($B$2:B3972,B3972,$C$2:C3972,C3972,$I$2:I3972,I3972)=1,1,0)</f>
        <v>0</v>
      </c>
      <c r="M3972" s="3" t="n">
        <f aca="false">IF(K3972&gt;=Parametri!$B$1,1,0)</f>
        <v>1</v>
      </c>
      <c r="N3972" s="3" t="n">
        <f aca="false">L3972*M3972</f>
        <v>0</v>
      </c>
    </row>
    <row r="3973" customFormat="false" ht="15" hidden="false" customHeight="false" outlineLevel="0" collapsed="false">
      <c r="A3973" s="0" t="s">
        <v>5773</v>
      </c>
      <c r="B3973" s="0" t="s">
        <v>79</v>
      </c>
      <c r="C3973" s="0" t="s">
        <v>190</v>
      </c>
      <c r="D3973" s="0" t="s">
        <v>19</v>
      </c>
      <c r="E3973" s="2" t="n">
        <v>45770</v>
      </c>
      <c r="F3973" s="3" t="s">
        <v>27</v>
      </c>
      <c r="G3973" s="3" t="s">
        <v>21</v>
      </c>
      <c r="H3973" s="3" t="s">
        <v>48</v>
      </c>
      <c r="I3973" s="3" t="n">
        <f aca="false">YEAR(E3973)</f>
        <v>2025</v>
      </c>
      <c r="J3973" s="3" t="n">
        <f aca="false">MONTH(E3973)</f>
        <v>4</v>
      </c>
      <c r="K3973" s="3" t="n">
        <f aca="false">COUNTIFS($B$2:$B$4077,B3973,$C$2:$C$4077,C3973,$I$2:$I$4077,I3973)</f>
        <v>2</v>
      </c>
      <c r="L3973" s="3" t="n">
        <f aca="false">IF(COUNTIFS($B$2:B3973,B3973,$C$2:C3973,C3973,$I$2:I3973,I3973)=1,1,0)</f>
        <v>0</v>
      </c>
      <c r="M3973" s="3" t="n">
        <f aca="false">IF(K3973&gt;=Parametri!$B$1,1,0)</f>
        <v>1</v>
      </c>
      <c r="N3973" s="3" t="n">
        <f aca="false">L3973*M3973</f>
        <v>0</v>
      </c>
    </row>
    <row r="3974" customFormat="false" ht="15" hidden="false" customHeight="false" outlineLevel="0" collapsed="false">
      <c r="A3974" s="0" t="s">
        <v>5774</v>
      </c>
      <c r="B3974" s="0" t="s">
        <v>124</v>
      </c>
      <c r="C3974" s="0" t="s">
        <v>806</v>
      </c>
      <c r="D3974" s="0" t="s">
        <v>33</v>
      </c>
      <c r="E3974" s="2" t="n">
        <v>46229</v>
      </c>
      <c r="F3974" s="3" t="s">
        <v>20</v>
      </c>
      <c r="G3974" s="3" t="s">
        <v>21</v>
      </c>
      <c r="H3974" s="3" t="s">
        <v>44</v>
      </c>
      <c r="I3974" s="3" t="n">
        <f aca="false">YEAR(E3974)</f>
        <v>2026</v>
      </c>
      <c r="J3974" s="3" t="n">
        <f aca="false">MONTH(E3974)</f>
        <v>7</v>
      </c>
      <c r="K3974" s="3" t="n">
        <f aca="false">COUNTIFS($B$2:$B$4077,B3974,$C$2:$C$4077,C3974,$I$2:$I$4077,I3974)</f>
        <v>4</v>
      </c>
      <c r="L3974" s="3" t="n">
        <f aca="false">IF(COUNTIFS($B$2:B3974,B3974,$C$2:C3974,C3974,$I$2:I3974,I3974)=1,1,0)</f>
        <v>0</v>
      </c>
      <c r="M3974" s="3" t="n">
        <f aca="false">IF(K3974&gt;=Parametri!$B$1,1,0)</f>
        <v>1</v>
      </c>
      <c r="N3974" s="3" t="n">
        <f aca="false">L3974*M3974</f>
        <v>0</v>
      </c>
    </row>
    <row r="3975" customFormat="false" ht="15" hidden="false" customHeight="false" outlineLevel="0" collapsed="false">
      <c r="A3975" s="0" t="s">
        <v>5775</v>
      </c>
      <c r="B3975" s="0" t="s">
        <v>57</v>
      </c>
      <c r="C3975" s="0" t="s">
        <v>964</v>
      </c>
      <c r="D3975" s="0" t="s">
        <v>77</v>
      </c>
      <c r="E3975" s="2" t="n">
        <v>45864</v>
      </c>
      <c r="F3975" s="3" t="s">
        <v>20</v>
      </c>
      <c r="G3975" s="3" t="s">
        <v>55</v>
      </c>
      <c r="H3975" s="3" t="s">
        <v>48</v>
      </c>
      <c r="I3975" s="3" t="n">
        <f aca="false">YEAR(E3975)</f>
        <v>2025</v>
      </c>
      <c r="J3975" s="3" t="n">
        <f aca="false">MONTH(E3975)</f>
        <v>7</v>
      </c>
      <c r="K3975" s="3" t="n">
        <f aca="false">COUNTIFS($B$2:$B$4077,B3975,$C$2:$C$4077,C3975,$I$2:$I$4077,I3975)</f>
        <v>1</v>
      </c>
      <c r="L3975" s="3" t="n">
        <f aca="false">IF(COUNTIFS($B$2:B3975,B3975,$C$2:C3975,C3975,$I$2:I3975,I3975)=1,1,0)</f>
        <v>1</v>
      </c>
      <c r="M3975" s="3" t="n">
        <f aca="false">IF(K3975&gt;=Parametri!$B$1,1,0)</f>
        <v>0</v>
      </c>
      <c r="N3975" s="3" t="n">
        <f aca="false">L3975*M3975</f>
        <v>0</v>
      </c>
    </row>
    <row r="3976" customFormat="false" ht="15" hidden="false" customHeight="false" outlineLevel="0" collapsed="false">
      <c r="A3976" s="0" t="s">
        <v>5776</v>
      </c>
      <c r="B3976" s="0" t="s">
        <v>17</v>
      </c>
      <c r="C3976" s="0" t="s">
        <v>1940</v>
      </c>
      <c r="D3976" s="0" t="s">
        <v>54</v>
      </c>
      <c r="E3976" s="2" t="n">
        <v>45384</v>
      </c>
      <c r="F3976" s="3" t="s">
        <v>20</v>
      </c>
      <c r="G3976" s="3" t="s">
        <v>35</v>
      </c>
      <c r="H3976" s="3" t="s">
        <v>44</v>
      </c>
      <c r="I3976" s="3" t="n">
        <f aca="false">YEAR(E3976)</f>
        <v>2024</v>
      </c>
      <c r="J3976" s="3" t="n">
        <f aca="false">MONTH(E3976)</f>
        <v>4</v>
      </c>
      <c r="K3976" s="3" t="n">
        <f aca="false">COUNTIFS($B$2:$B$4077,B3976,$C$2:$C$4077,C3976,$I$2:$I$4077,I3976)</f>
        <v>1</v>
      </c>
      <c r="L3976" s="3" t="n">
        <f aca="false">IF(COUNTIFS($B$2:B3976,B3976,$C$2:C3976,C3976,$I$2:I3976,I3976)=1,1,0)</f>
        <v>1</v>
      </c>
      <c r="M3976" s="3" t="n">
        <f aca="false">IF(K3976&gt;=Parametri!$B$1,1,0)</f>
        <v>0</v>
      </c>
      <c r="N3976" s="3" t="n">
        <f aca="false">L3976*M3976</f>
        <v>0</v>
      </c>
    </row>
    <row r="3977" customFormat="false" ht="15" hidden="false" customHeight="false" outlineLevel="0" collapsed="false">
      <c r="A3977" s="0" t="s">
        <v>5777</v>
      </c>
      <c r="B3977" s="0" t="s">
        <v>24</v>
      </c>
      <c r="C3977" s="0" t="s">
        <v>271</v>
      </c>
      <c r="D3977" s="0" t="s">
        <v>33</v>
      </c>
      <c r="E3977" s="2" t="n">
        <v>45947</v>
      </c>
      <c r="F3977" s="3" t="s">
        <v>20</v>
      </c>
      <c r="G3977" s="3" t="s">
        <v>28</v>
      </c>
      <c r="H3977" s="3" t="s">
        <v>22</v>
      </c>
      <c r="I3977" s="3" t="n">
        <f aca="false">YEAR(E3977)</f>
        <v>2025</v>
      </c>
      <c r="J3977" s="3" t="n">
        <f aca="false">MONTH(E3977)</f>
        <v>10</v>
      </c>
      <c r="K3977" s="3" t="n">
        <f aca="false">COUNTIFS($B$2:$B$4077,B3977,$C$2:$C$4077,C3977,$I$2:$I$4077,I3977)</f>
        <v>3</v>
      </c>
      <c r="L3977" s="3" t="n">
        <f aca="false">IF(COUNTIFS($B$2:B3977,B3977,$C$2:C3977,C3977,$I$2:I3977,I3977)=1,1,0)</f>
        <v>0</v>
      </c>
      <c r="M3977" s="3" t="n">
        <f aca="false">IF(K3977&gt;=Parametri!$B$1,1,0)</f>
        <v>1</v>
      </c>
      <c r="N3977" s="3" t="n">
        <f aca="false">L3977*M3977</f>
        <v>0</v>
      </c>
    </row>
    <row r="3978" customFormat="false" ht="15" hidden="false" customHeight="false" outlineLevel="0" collapsed="false">
      <c r="A3978" s="0" t="s">
        <v>5778</v>
      </c>
      <c r="B3978" s="0" t="s">
        <v>46</v>
      </c>
      <c r="C3978" s="0" t="s">
        <v>5779</v>
      </c>
      <c r="D3978" s="0" t="s">
        <v>66</v>
      </c>
      <c r="E3978" s="2" t="n">
        <v>45397</v>
      </c>
      <c r="F3978" s="3" t="s">
        <v>27</v>
      </c>
      <c r="G3978" s="3" t="s">
        <v>21</v>
      </c>
      <c r="H3978" s="3" t="s">
        <v>29</v>
      </c>
      <c r="I3978" s="3" t="n">
        <f aca="false">YEAR(E3978)</f>
        <v>2024</v>
      </c>
      <c r="J3978" s="3" t="n">
        <f aca="false">MONTH(E3978)</f>
        <v>4</v>
      </c>
      <c r="K3978" s="3" t="n">
        <f aca="false">COUNTIFS($B$2:$B$4077,B3978,$C$2:$C$4077,C3978,$I$2:$I$4077,I3978)</f>
        <v>1</v>
      </c>
      <c r="L3978" s="3" t="n">
        <f aca="false">IF(COUNTIFS($B$2:B3978,B3978,$C$2:C3978,C3978,$I$2:I3978,I3978)=1,1,0)</f>
        <v>1</v>
      </c>
      <c r="M3978" s="3" t="n">
        <f aca="false">IF(K3978&gt;=Parametri!$B$1,1,0)</f>
        <v>0</v>
      </c>
      <c r="N3978" s="3" t="n">
        <f aca="false">L3978*M3978</f>
        <v>0</v>
      </c>
    </row>
    <row r="3979" customFormat="false" ht="15" hidden="false" customHeight="false" outlineLevel="0" collapsed="false">
      <c r="A3979" s="0" t="s">
        <v>5780</v>
      </c>
      <c r="B3979" s="0" t="s">
        <v>24</v>
      </c>
      <c r="C3979" s="0" t="s">
        <v>204</v>
      </c>
      <c r="D3979" s="0" t="s">
        <v>38</v>
      </c>
      <c r="E3979" s="2" t="n">
        <v>45560</v>
      </c>
      <c r="F3979" s="3" t="s">
        <v>20</v>
      </c>
      <c r="G3979" s="3" t="s">
        <v>35</v>
      </c>
      <c r="H3979" s="3" t="s">
        <v>48</v>
      </c>
      <c r="I3979" s="3" t="n">
        <f aca="false">YEAR(E3979)</f>
        <v>2024</v>
      </c>
      <c r="J3979" s="3" t="n">
        <f aca="false">MONTH(E3979)</f>
        <v>9</v>
      </c>
      <c r="K3979" s="3" t="n">
        <f aca="false">COUNTIFS($B$2:$B$4077,B3979,$C$2:$C$4077,C3979,$I$2:$I$4077,I3979)</f>
        <v>5</v>
      </c>
      <c r="L3979" s="3" t="n">
        <f aca="false">IF(COUNTIFS($B$2:B3979,B3979,$C$2:C3979,C3979,$I$2:I3979,I3979)=1,1,0)</f>
        <v>0</v>
      </c>
      <c r="M3979" s="3" t="n">
        <f aca="false">IF(K3979&gt;=Parametri!$B$1,1,0)</f>
        <v>1</v>
      </c>
      <c r="N3979" s="3" t="n">
        <f aca="false">L3979*M3979</f>
        <v>0</v>
      </c>
    </row>
    <row r="3980" customFormat="false" ht="15" hidden="false" customHeight="false" outlineLevel="0" collapsed="false">
      <c r="A3980" s="0" t="s">
        <v>5781</v>
      </c>
      <c r="B3980" s="0" t="s">
        <v>68</v>
      </c>
      <c r="C3980" s="0" t="s">
        <v>730</v>
      </c>
      <c r="D3980" s="0" t="s">
        <v>33</v>
      </c>
      <c r="E3980" s="2" t="n">
        <v>45674</v>
      </c>
      <c r="F3980" s="3" t="s">
        <v>20</v>
      </c>
      <c r="G3980" s="3" t="s">
        <v>28</v>
      </c>
      <c r="H3980" s="3" t="s">
        <v>48</v>
      </c>
      <c r="I3980" s="3" t="n">
        <f aca="false">YEAR(E3980)</f>
        <v>2025</v>
      </c>
      <c r="J3980" s="3" t="n">
        <f aca="false">MONTH(E3980)</f>
        <v>1</v>
      </c>
      <c r="K3980" s="3" t="n">
        <f aca="false">COUNTIFS($B$2:$B$4077,B3980,$C$2:$C$4077,C3980,$I$2:$I$4077,I3980)</f>
        <v>4</v>
      </c>
      <c r="L3980" s="3" t="n">
        <f aca="false">IF(COUNTIFS($B$2:B3980,B3980,$C$2:C3980,C3980,$I$2:I3980,I3980)=1,1,0)</f>
        <v>0</v>
      </c>
      <c r="M3980" s="3" t="n">
        <f aca="false">IF(K3980&gt;=Parametri!$B$1,1,0)</f>
        <v>1</v>
      </c>
      <c r="N3980" s="3" t="n">
        <f aca="false">L3980*M3980</f>
        <v>0</v>
      </c>
    </row>
    <row r="3981" customFormat="false" ht="15" hidden="false" customHeight="false" outlineLevel="0" collapsed="false">
      <c r="A3981" s="0" t="s">
        <v>5782</v>
      </c>
      <c r="B3981" s="0" t="s">
        <v>50</v>
      </c>
      <c r="C3981" s="0" t="s">
        <v>4544</v>
      </c>
      <c r="D3981" s="0" t="s">
        <v>63</v>
      </c>
      <c r="E3981" s="2" t="n">
        <v>45340</v>
      </c>
      <c r="F3981" s="3" t="s">
        <v>20</v>
      </c>
      <c r="G3981" s="3" t="s">
        <v>21</v>
      </c>
      <c r="H3981" s="3" t="s">
        <v>44</v>
      </c>
      <c r="I3981" s="3" t="n">
        <f aca="false">YEAR(E3981)</f>
        <v>2024</v>
      </c>
      <c r="J3981" s="3" t="n">
        <f aca="false">MONTH(E3981)</f>
        <v>2</v>
      </c>
      <c r="K3981" s="3" t="n">
        <f aca="false">COUNTIFS($B$2:$B$4077,B3981,$C$2:$C$4077,C3981,$I$2:$I$4077,I3981)</f>
        <v>2</v>
      </c>
      <c r="L3981" s="3" t="n">
        <f aca="false">IF(COUNTIFS($B$2:B3981,B3981,$C$2:C3981,C3981,$I$2:I3981,I3981)=1,1,0)</f>
        <v>0</v>
      </c>
      <c r="M3981" s="3" t="n">
        <f aca="false">IF(K3981&gt;=Parametri!$B$1,1,0)</f>
        <v>1</v>
      </c>
      <c r="N3981" s="3" t="n">
        <f aca="false">L3981*M3981</f>
        <v>0</v>
      </c>
    </row>
    <row r="3982" customFormat="false" ht="15" hidden="false" customHeight="false" outlineLevel="0" collapsed="false">
      <c r="A3982" s="0" t="s">
        <v>5783</v>
      </c>
      <c r="B3982" s="0" t="s">
        <v>24</v>
      </c>
      <c r="C3982" s="0" t="s">
        <v>5529</v>
      </c>
      <c r="D3982" s="0" t="s">
        <v>38</v>
      </c>
      <c r="E3982" s="2" t="n">
        <v>46093</v>
      </c>
      <c r="F3982" s="3" t="s">
        <v>20</v>
      </c>
      <c r="G3982" s="3" t="s">
        <v>89</v>
      </c>
      <c r="H3982" s="3" t="s">
        <v>44</v>
      </c>
      <c r="I3982" s="3" t="n">
        <f aca="false">YEAR(E3982)</f>
        <v>2026</v>
      </c>
      <c r="J3982" s="3" t="n">
        <f aca="false">MONTH(E3982)</f>
        <v>3</v>
      </c>
      <c r="K3982" s="3" t="n">
        <f aca="false">COUNTIFS($B$2:$B$4077,B3982,$C$2:$C$4077,C3982,$I$2:$I$4077,I3982)</f>
        <v>1</v>
      </c>
      <c r="L3982" s="3" t="n">
        <f aca="false">IF(COUNTIFS($B$2:B3982,B3982,$C$2:C3982,C3982,$I$2:I3982,I3982)=1,1,0)</f>
        <v>1</v>
      </c>
      <c r="M3982" s="3" t="n">
        <f aca="false">IF(K3982&gt;=Parametri!$B$1,1,0)</f>
        <v>0</v>
      </c>
      <c r="N3982" s="3" t="n">
        <f aca="false">L3982*M3982</f>
        <v>0</v>
      </c>
    </row>
    <row r="3983" customFormat="false" ht="15" hidden="false" customHeight="false" outlineLevel="0" collapsed="false">
      <c r="A3983" s="0" t="s">
        <v>5784</v>
      </c>
      <c r="B3983" s="0" t="s">
        <v>124</v>
      </c>
      <c r="C3983" s="0" t="s">
        <v>5785</v>
      </c>
      <c r="D3983" s="0" t="s">
        <v>19</v>
      </c>
      <c r="E3983" s="2" t="n">
        <v>46017</v>
      </c>
      <c r="F3983" s="3" t="s">
        <v>20</v>
      </c>
      <c r="G3983" s="3" t="s">
        <v>35</v>
      </c>
      <c r="H3983" s="3" t="s">
        <v>22</v>
      </c>
      <c r="I3983" s="3" t="n">
        <f aca="false">YEAR(E3983)</f>
        <v>2025</v>
      </c>
      <c r="J3983" s="3" t="n">
        <f aca="false">MONTH(E3983)</f>
        <v>12</v>
      </c>
      <c r="K3983" s="3" t="n">
        <f aca="false">COUNTIFS($B$2:$B$4077,B3983,$C$2:$C$4077,C3983,$I$2:$I$4077,I3983)</f>
        <v>1</v>
      </c>
      <c r="L3983" s="3" t="n">
        <f aca="false">IF(COUNTIFS($B$2:B3983,B3983,$C$2:C3983,C3983,$I$2:I3983,I3983)=1,1,0)</f>
        <v>1</v>
      </c>
      <c r="M3983" s="3" t="n">
        <f aca="false">IF(K3983&gt;=Parametri!$B$1,1,0)</f>
        <v>0</v>
      </c>
      <c r="N3983" s="3" t="n">
        <f aca="false">L3983*M3983</f>
        <v>0</v>
      </c>
    </row>
    <row r="3984" customFormat="false" ht="15" hidden="false" customHeight="false" outlineLevel="0" collapsed="false">
      <c r="A3984" s="0" t="s">
        <v>5786</v>
      </c>
      <c r="B3984" s="0" t="s">
        <v>31</v>
      </c>
      <c r="C3984" s="0" t="s">
        <v>539</v>
      </c>
      <c r="D3984" s="0" t="s">
        <v>19</v>
      </c>
      <c r="E3984" s="2" t="n">
        <v>46017</v>
      </c>
      <c r="F3984" s="3" t="s">
        <v>34</v>
      </c>
      <c r="G3984" s="3" t="s">
        <v>21</v>
      </c>
      <c r="H3984" s="3" t="s">
        <v>22</v>
      </c>
      <c r="I3984" s="3" t="n">
        <f aca="false">YEAR(E3984)</f>
        <v>2025</v>
      </c>
      <c r="J3984" s="3" t="n">
        <f aca="false">MONTH(E3984)</f>
        <v>12</v>
      </c>
      <c r="K3984" s="3" t="n">
        <f aca="false">COUNTIFS($B$2:$B$4077,B3984,$C$2:$C$4077,C3984,$I$2:$I$4077,I3984)</f>
        <v>3</v>
      </c>
      <c r="L3984" s="3" t="n">
        <f aca="false">IF(COUNTIFS($B$2:B3984,B3984,$C$2:C3984,C3984,$I$2:I3984,I3984)=1,1,0)</f>
        <v>0</v>
      </c>
      <c r="M3984" s="3" t="n">
        <f aca="false">IF(K3984&gt;=Parametri!$B$1,1,0)</f>
        <v>1</v>
      </c>
      <c r="N3984" s="3" t="n">
        <f aca="false">L3984*M3984</f>
        <v>0</v>
      </c>
    </row>
    <row r="3985" customFormat="false" ht="15" hidden="false" customHeight="false" outlineLevel="0" collapsed="false">
      <c r="A3985" s="0" t="s">
        <v>5787</v>
      </c>
      <c r="B3985" s="0" t="s">
        <v>50</v>
      </c>
      <c r="C3985" s="0" t="s">
        <v>3112</v>
      </c>
      <c r="D3985" s="0" t="s">
        <v>19</v>
      </c>
      <c r="E3985" s="2" t="n">
        <v>45948</v>
      </c>
      <c r="F3985" s="3" t="s">
        <v>20</v>
      </c>
      <c r="G3985" s="3" t="s">
        <v>89</v>
      </c>
      <c r="H3985" s="3" t="s">
        <v>29</v>
      </c>
      <c r="I3985" s="3" t="n">
        <f aca="false">YEAR(E3985)</f>
        <v>2025</v>
      </c>
      <c r="J3985" s="3" t="n">
        <f aca="false">MONTH(E3985)</f>
        <v>10</v>
      </c>
      <c r="K3985" s="3" t="n">
        <f aca="false">COUNTIFS($B$2:$B$4077,B3985,$C$2:$C$4077,C3985,$I$2:$I$4077,I3985)</f>
        <v>1</v>
      </c>
      <c r="L3985" s="3" t="n">
        <f aca="false">IF(COUNTIFS($B$2:B3985,B3985,$C$2:C3985,C3985,$I$2:I3985,I3985)=1,1,0)</f>
        <v>1</v>
      </c>
      <c r="M3985" s="3" t="n">
        <f aca="false">IF(K3985&gt;=Parametri!$B$1,1,0)</f>
        <v>0</v>
      </c>
      <c r="N3985" s="3" t="n">
        <f aca="false">L3985*M3985</f>
        <v>0</v>
      </c>
    </row>
    <row r="3986" customFormat="false" ht="15" hidden="false" customHeight="false" outlineLevel="0" collapsed="false">
      <c r="A3986" s="0" t="s">
        <v>5788</v>
      </c>
      <c r="B3986" s="0" t="s">
        <v>46</v>
      </c>
      <c r="C3986" s="0" t="s">
        <v>3423</v>
      </c>
      <c r="D3986" s="0" t="s">
        <v>77</v>
      </c>
      <c r="E3986" s="2" t="n">
        <v>46068</v>
      </c>
      <c r="F3986" s="3" t="s">
        <v>20</v>
      </c>
      <c r="G3986" s="3" t="s">
        <v>55</v>
      </c>
      <c r="H3986" s="3" t="s">
        <v>48</v>
      </c>
      <c r="I3986" s="3" t="n">
        <f aca="false">YEAR(E3986)</f>
        <v>2026</v>
      </c>
      <c r="J3986" s="3" t="n">
        <f aca="false">MONTH(E3986)</f>
        <v>2</v>
      </c>
      <c r="K3986" s="3" t="n">
        <f aca="false">COUNTIFS($B$2:$B$4077,B3986,$C$2:$C$4077,C3986,$I$2:$I$4077,I3986)</f>
        <v>2</v>
      </c>
      <c r="L3986" s="3" t="n">
        <f aca="false">IF(COUNTIFS($B$2:B3986,B3986,$C$2:C3986,C3986,$I$2:I3986,I3986)=1,1,0)</f>
        <v>0</v>
      </c>
      <c r="M3986" s="3" t="n">
        <f aca="false">IF(K3986&gt;=Parametri!$B$1,1,0)</f>
        <v>1</v>
      </c>
      <c r="N3986" s="3" t="n">
        <f aca="false">L3986*M3986</f>
        <v>0</v>
      </c>
    </row>
    <row r="3987" customFormat="false" ht="15" hidden="false" customHeight="false" outlineLevel="0" collapsed="false">
      <c r="A3987" s="0" t="s">
        <v>5789</v>
      </c>
      <c r="B3987" s="0" t="s">
        <v>50</v>
      </c>
      <c r="C3987" s="0" t="s">
        <v>533</v>
      </c>
      <c r="D3987" s="0" t="s">
        <v>38</v>
      </c>
      <c r="E3987" s="2" t="n">
        <v>45817</v>
      </c>
      <c r="F3987" s="3" t="s">
        <v>20</v>
      </c>
      <c r="G3987" s="3" t="s">
        <v>39</v>
      </c>
      <c r="H3987" s="3" t="s">
        <v>29</v>
      </c>
      <c r="I3987" s="3" t="n">
        <f aca="false">YEAR(E3987)</f>
        <v>2025</v>
      </c>
      <c r="J3987" s="3" t="n">
        <f aca="false">MONTH(E3987)</f>
        <v>6</v>
      </c>
      <c r="K3987" s="3" t="n">
        <f aca="false">COUNTIFS($B$2:$B$4077,B3987,$C$2:$C$4077,C3987,$I$2:$I$4077,I3987)</f>
        <v>7</v>
      </c>
      <c r="L3987" s="3" t="n">
        <f aca="false">IF(COUNTIFS($B$2:B3987,B3987,$C$2:C3987,C3987,$I$2:I3987,I3987)=1,1,0)</f>
        <v>0</v>
      </c>
      <c r="M3987" s="3" t="n">
        <f aca="false">IF(K3987&gt;=Parametri!$B$1,1,0)</f>
        <v>1</v>
      </c>
      <c r="N3987" s="3" t="n">
        <f aca="false">L3987*M3987</f>
        <v>0</v>
      </c>
    </row>
    <row r="3988" customFormat="false" ht="15" hidden="false" customHeight="false" outlineLevel="0" collapsed="false">
      <c r="A3988" s="0" t="s">
        <v>5790</v>
      </c>
      <c r="B3988" s="0" t="s">
        <v>57</v>
      </c>
      <c r="C3988" s="0" t="s">
        <v>3477</v>
      </c>
      <c r="D3988" s="0" t="s">
        <v>66</v>
      </c>
      <c r="E3988" s="2" t="n">
        <v>45907</v>
      </c>
      <c r="F3988" s="3" t="s">
        <v>20</v>
      </c>
      <c r="G3988" s="3" t="s">
        <v>89</v>
      </c>
      <c r="H3988" s="3" t="s">
        <v>44</v>
      </c>
      <c r="I3988" s="3" t="n">
        <f aca="false">YEAR(E3988)</f>
        <v>2025</v>
      </c>
      <c r="J3988" s="3" t="n">
        <f aca="false">MONTH(E3988)</f>
        <v>9</v>
      </c>
      <c r="K3988" s="3" t="n">
        <f aca="false">COUNTIFS($B$2:$B$4077,B3988,$C$2:$C$4077,C3988,$I$2:$I$4077,I3988)</f>
        <v>3</v>
      </c>
      <c r="L3988" s="3" t="n">
        <f aca="false">IF(COUNTIFS($B$2:B3988,B3988,$C$2:C3988,C3988,$I$2:I3988,I3988)=1,1,0)</f>
        <v>0</v>
      </c>
      <c r="M3988" s="3" t="n">
        <f aca="false">IF(K3988&gt;=Parametri!$B$1,1,0)</f>
        <v>1</v>
      </c>
      <c r="N3988" s="3" t="n">
        <f aca="false">L3988*M3988</f>
        <v>0</v>
      </c>
    </row>
    <row r="3989" customFormat="false" ht="15" hidden="false" customHeight="false" outlineLevel="0" collapsed="false">
      <c r="A3989" s="0" t="s">
        <v>5791</v>
      </c>
      <c r="B3989" s="0" t="s">
        <v>68</v>
      </c>
      <c r="C3989" s="0" t="s">
        <v>5792</v>
      </c>
      <c r="D3989" s="0" t="s">
        <v>66</v>
      </c>
      <c r="E3989" s="2" t="n">
        <v>45331</v>
      </c>
      <c r="F3989" s="3" t="s">
        <v>20</v>
      </c>
      <c r="G3989" s="3" t="s">
        <v>21</v>
      </c>
      <c r="H3989" s="3" t="s">
        <v>48</v>
      </c>
      <c r="I3989" s="3" t="n">
        <f aca="false">YEAR(E3989)</f>
        <v>2024</v>
      </c>
      <c r="J3989" s="3" t="n">
        <f aca="false">MONTH(E3989)</f>
        <v>2</v>
      </c>
      <c r="K3989" s="3" t="n">
        <f aca="false">COUNTIFS($B$2:$B$4077,B3989,$C$2:$C$4077,C3989,$I$2:$I$4077,I3989)</f>
        <v>1</v>
      </c>
      <c r="L3989" s="3" t="n">
        <f aca="false">IF(COUNTIFS($B$2:B3989,B3989,$C$2:C3989,C3989,$I$2:I3989,I3989)=1,1,0)</f>
        <v>1</v>
      </c>
      <c r="M3989" s="3" t="n">
        <f aca="false">IF(K3989&gt;=Parametri!$B$1,1,0)</f>
        <v>0</v>
      </c>
      <c r="N3989" s="3" t="n">
        <f aca="false">L3989*M3989</f>
        <v>0</v>
      </c>
    </row>
    <row r="3990" customFormat="false" ht="15" hidden="false" customHeight="false" outlineLevel="0" collapsed="false">
      <c r="A3990" s="0" t="s">
        <v>5793</v>
      </c>
      <c r="B3990" s="0" t="s">
        <v>46</v>
      </c>
      <c r="C3990" s="0" t="s">
        <v>1996</v>
      </c>
      <c r="D3990" s="0" t="s">
        <v>19</v>
      </c>
      <c r="E3990" s="2" t="n">
        <v>45308</v>
      </c>
      <c r="F3990" s="3" t="s">
        <v>20</v>
      </c>
      <c r="G3990" s="3" t="s">
        <v>39</v>
      </c>
      <c r="H3990" s="3" t="s">
        <v>22</v>
      </c>
      <c r="I3990" s="3" t="n">
        <f aca="false">YEAR(E3990)</f>
        <v>2024</v>
      </c>
      <c r="J3990" s="3" t="n">
        <f aca="false">MONTH(E3990)</f>
        <v>1</v>
      </c>
      <c r="K3990" s="3" t="n">
        <f aca="false">COUNTIFS($B$2:$B$4077,B3990,$C$2:$C$4077,C3990,$I$2:$I$4077,I3990)</f>
        <v>1</v>
      </c>
      <c r="L3990" s="3" t="n">
        <f aca="false">IF(COUNTIFS($B$2:B3990,B3990,$C$2:C3990,C3990,$I$2:I3990,I3990)=1,1,0)</f>
        <v>1</v>
      </c>
      <c r="M3990" s="3" t="n">
        <f aca="false">IF(K3990&gt;=Parametri!$B$1,1,0)</f>
        <v>0</v>
      </c>
      <c r="N3990" s="3" t="n">
        <f aca="false">L3990*M3990</f>
        <v>0</v>
      </c>
    </row>
    <row r="3991" customFormat="false" ht="15" hidden="false" customHeight="false" outlineLevel="0" collapsed="false">
      <c r="A3991" s="0" t="s">
        <v>5794</v>
      </c>
      <c r="B3991" s="0" t="s">
        <v>17</v>
      </c>
      <c r="C3991" s="0" t="s">
        <v>2478</v>
      </c>
      <c r="D3991" s="0" t="s">
        <v>19</v>
      </c>
      <c r="E3991" s="2" t="n">
        <v>45362</v>
      </c>
      <c r="F3991" s="3" t="s">
        <v>34</v>
      </c>
      <c r="G3991" s="3" t="s">
        <v>28</v>
      </c>
      <c r="H3991" s="3" t="s">
        <v>22</v>
      </c>
      <c r="I3991" s="3" t="n">
        <f aca="false">YEAR(E3991)</f>
        <v>2024</v>
      </c>
      <c r="J3991" s="3" t="n">
        <f aca="false">MONTH(E3991)</f>
        <v>3</v>
      </c>
      <c r="K3991" s="3" t="n">
        <f aca="false">COUNTIFS($B$2:$B$4077,B3991,$C$2:$C$4077,C3991,$I$2:$I$4077,I3991)</f>
        <v>3</v>
      </c>
      <c r="L3991" s="3" t="n">
        <f aca="false">IF(COUNTIFS($B$2:B3991,B3991,$C$2:C3991,C3991,$I$2:I3991,I3991)=1,1,0)</f>
        <v>0</v>
      </c>
      <c r="M3991" s="3" t="n">
        <f aca="false">IF(K3991&gt;=Parametri!$B$1,1,0)</f>
        <v>1</v>
      </c>
      <c r="N3991" s="3" t="n">
        <f aca="false">L3991*M3991</f>
        <v>0</v>
      </c>
    </row>
    <row r="3992" customFormat="false" ht="15" hidden="false" customHeight="false" outlineLevel="0" collapsed="false">
      <c r="A3992" s="0" t="s">
        <v>5795</v>
      </c>
      <c r="B3992" s="0" t="s">
        <v>57</v>
      </c>
      <c r="C3992" s="0" t="s">
        <v>4786</v>
      </c>
      <c r="D3992" s="0" t="s">
        <v>63</v>
      </c>
      <c r="E3992" s="2" t="n">
        <v>45756</v>
      </c>
      <c r="F3992" s="3" t="s">
        <v>27</v>
      </c>
      <c r="G3992" s="3" t="s">
        <v>55</v>
      </c>
      <c r="H3992" s="3" t="s">
        <v>48</v>
      </c>
      <c r="I3992" s="3" t="n">
        <f aca="false">YEAR(E3992)</f>
        <v>2025</v>
      </c>
      <c r="J3992" s="3" t="n">
        <f aca="false">MONTH(E3992)</f>
        <v>4</v>
      </c>
      <c r="K3992" s="3" t="n">
        <f aca="false">COUNTIFS($B$2:$B$4077,B3992,$C$2:$C$4077,C3992,$I$2:$I$4077,I3992)</f>
        <v>2</v>
      </c>
      <c r="L3992" s="3" t="n">
        <f aca="false">IF(COUNTIFS($B$2:B3992,B3992,$C$2:C3992,C3992,$I$2:I3992,I3992)=1,1,0)</f>
        <v>0</v>
      </c>
      <c r="M3992" s="3" t="n">
        <f aca="false">IF(K3992&gt;=Parametri!$B$1,1,0)</f>
        <v>1</v>
      </c>
      <c r="N3992" s="3" t="n">
        <f aca="false">L3992*M3992</f>
        <v>0</v>
      </c>
    </row>
    <row r="3993" customFormat="false" ht="15" hidden="false" customHeight="false" outlineLevel="0" collapsed="false">
      <c r="A3993" s="0" t="s">
        <v>5796</v>
      </c>
      <c r="B3993" s="0" t="s">
        <v>17</v>
      </c>
      <c r="C3993" s="0" t="s">
        <v>1003</v>
      </c>
      <c r="D3993" s="0" t="s">
        <v>38</v>
      </c>
      <c r="E3993" s="2" t="n">
        <v>45396</v>
      </c>
      <c r="F3993" s="3" t="s">
        <v>34</v>
      </c>
      <c r="G3993" s="3" t="s">
        <v>28</v>
      </c>
      <c r="H3993" s="3" t="s">
        <v>22</v>
      </c>
      <c r="I3993" s="3" t="n">
        <f aca="false">YEAR(E3993)</f>
        <v>2024</v>
      </c>
      <c r="J3993" s="3" t="n">
        <f aca="false">MONTH(E3993)</f>
        <v>4</v>
      </c>
      <c r="K3993" s="3" t="n">
        <f aca="false">COUNTIFS($B$2:$B$4077,B3993,$C$2:$C$4077,C3993,$I$2:$I$4077,I3993)</f>
        <v>3</v>
      </c>
      <c r="L3993" s="3" t="n">
        <f aca="false">IF(COUNTIFS($B$2:B3993,B3993,$C$2:C3993,C3993,$I$2:I3993,I3993)=1,1,0)</f>
        <v>0</v>
      </c>
      <c r="M3993" s="3" t="n">
        <f aca="false">IF(K3993&gt;=Parametri!$B$1,1,0)</f>
        <v>1</v>
      </c>
      <c r="N3993" s="3" t="n">
        <f aca="false">L3993*M3993</f>
        <v>0</v>
      </c>
    </row>
    <row r="3994" customFormat="false" ht="15" hidden="false" customHeight="false" outlineLevel="0" collapsed="false">
      <c r="A3994" s="0" t="s">
        <v>5797</v>
      </c>
      <c r="B3994" s="0" t="s">
        <v>31</v>
      </c>
      <c r="C3994" s="0" t="s">
        <v>5798</v>
      </c>
      <c r="D3994" s="0" t="s">
        <v>26</v>
      </c>
      <c r="E3994" s="2" t="n">
        <v>45840</v>
      </c>
      <c r="F3994" s="3" t="s">
        <v>27</v>
      </c>
      <c r="G3994" s="3" t="s">
        <v>55</v>
      </c>
      <c r="H3994" s="3" t="s">
        <v>22</v>
      </c>
      <c r="I3994" s="3" t="n">
        <f aca="false">YEAR(E3994)</f>
        <v>2025</v>
      </c>
      <c r="J3994" s="3" t="n">
        <f aca="false">MONTH(E3994)</f>
        <v>7</v>
      </c>
      <c r="K3994" s="3" t="n">
        <f aca="false">COUNTIFS($B$2:$B$4077,B3994,$C$2:$C$4077,C3994,$I$2:$I$4077,I3994)</f>
        <v>1</v>
      </c>
      <c r="L3994" s="3" t="n">
        <f aca="false">IF(COUNTIFS($B$2:B3994,B3994,$C$2:C3994,C3994,$I$2:I3994,I3994)=1,1,0)</f>
        <v>1</v>
      </c>
      <c r="M3994" s="3" t="n">
        <f aca="false">IF(K3994&gt;=Parametri!$B$1,1,0)</f>
        <v>0</v>
      </c>
      <c r="N3994" s="3" t="n">
        <f aca="false">L3994*M3994</f>
        <v>0</v>
      </c>
    </row>
    <row r="3995" customFormat="false" ht="15" hidden="false" customHeight="false" outlineLevel="0" collapsed="false">
      <c r="A3995" s="0" t="s">
        <v>5799</v>
      </c>
      <c r="B3995" s="0" t="s">
        <v>24</v>
      </c>
      <c r="C3995" s="0" t="s">
        <v>5800</v>
      </c>
      <c r="D3995" s="0" t="s">
        <v>63</v>
      </c>
      <c r="E3995" s="2" t="n">
        <v>45360</v>
      </c>
      <c r="F3995" s="3" t="s">
        <v>20</v>
      </c>
      <c r="G3995" s="3" t="s">
        <v>89</v>
      </c>
      <c r="H3995" s="3" t="s">
        <v>48</v>
      </c>
      <c r="I3995" s="3" t="n">
        <f aca="false">YEAR(E3995)</f>
        <v>2024</v>
      </c>
      <c r="J3995" s="3" t="n">
        <f aca="false">MONTH(E3995)</f>
        <v>3</v>
      </c>
      <c r="K3995" s="3" t="n">
        <f aca="false">COUNTIFS($B$2:$B$4077,B3995,$C$2:$C$4077,C3995,$I$2:$I$4077,I3995)</f>
        <v>1</v>
      </c>
      <c r="L3995" s="3" t="n">
        <f aca="false">IF(COUNTIFS($B$2:B3995,B3995,$C$2:C3995,C3995,$I$2:I3995,I3995)=1,1,0)</f>
        <v>1</v>
      </c>
      <c r="M3995" s="3" t="n">
        <f aca="false">IF(K3995&gt;=Parametri!$B$1,1,0)</f>
        <v>0</v>
      </c>
      <c r="N3995" s="3" t="n">
        <f aca="false">L3995*M3995</f>
        <v>0</v>
      </c>
    </row>
    <row r="3996" customFormat="false" ht="15" hidden="false" customHeight="false" outlineLevel="0" collapsed="false">
      <c r="A3996" s="0" t="s">
        <v>5801</v>
      </c>
      <c r="B3996" s="0" t="s">
        <v>24</v>
      </c>
      <c r="C3996" s="0" t="s">
        <v>3334</v>
      </c>
      <c r="D3996" s="0" t="s">
        <v>26</v>
      </c>
      <c r="E3996" s="2" t="n">
        <v>45537</v>
      </c>
      <c r="F3996" s="3" t="s">
        <v>27</v>
      </c>
      <c r="G3996" s="3" t="s">
        <v>39</v>
      </c>
      <c r="H3996" s="3" t="s">
        <v>48</v>
      </c>
      <c r="I3996" s="3" t="n">
        <f aca="false">YEAR(E3996)</f>
        <v>2024</v>
      </c>
      <c r="J3996" s="3" t="n">
        <f aca="false">MONTH(E3996)</f>
        <v>9</v>
      </c>
      <c r="K3996" s="3" t="n">
        <f aca="false">COUNTIFS($B$2:$B$4077,B3996,$C$2:$C$4077,C3996,$I$2:$I$4077,I3996)</f>
        <v>1</v>
      </c>
      <c r="L3996" s="3" t="n">
        <f aca="false">IF(COUNTIFS($B$2:B3996,B3996,$C$2:C3996,C3996,$I$2:I3996,I3996)=1,1,0)</f>
        <v>1</v>
      </c>
      <c r="M3996" s="3" t="n">
        <f aca="false">IF(K3996&gt;=Parametri!$B$1,1,0)</f>
        <v>0</v>
      </c>
      <c r="N3996" s="3" t="n">
        <f aca="false">L3996*M3996</f>
        <v>0</v>
      </c>
    </row>
    <row r="3997" customFormat="false" ht="15" hidden="false" customHeight="false" outlineLevel="0" collapsed="false">
      <c r="A3997" s="0" t="s">
        <v>5802</v>
      </c>
      <c r="B3997" s="0" t="s">
        <v>24</v>
      </c>
      <c r="C3997" s="0" t="s">
        <v>1821</v>
      </c>
      <c r="D3997" s="0" t="s">
        <v>38</v>
      </c>
      <c r="E3997" s="2" t="n">
        <v>45697</v>
      </c>
      <c r="F3997" s="3" t="s">
        <v>20</v>
      </c>
      <c r="G3997" s="3" t="s">
        <v>55</v>
      </c>
      <c r="H3997" s="3" t="s">
        <v>44</v>
      </c>
      <c r="I3997" s="3" t="n">
        <f aca="false">YEAR(E3997)</f>
        <v>2025</v>
      </c>
      <c r="J3997" s="3" t="n">
        <f aca="false">MONTH(E3997)</f>
        <v>2</v>
      </c>
      <c r="K3997" s="3" t="n">
        <f aca="false">COUNTIFS($B$2:$B$4077,B3997,$C$2:$C$4077,C3997,$I$2:$I$4077,I3997)</f>
        <v>1</v>
      </c>
      <c r="L3997" s="3" t="n">
        <f aca="false">IF(COUNTIFS($B$2:B3997,B3997,$C$2:C3997,C3997,$I$2:I3997,I3997)=1,1,0)</f>
        <v>1</v>
      </c>
      <c r="M3997" s="3" t="n">
        <f aca="false">IF(K3997&gt;=Parametri!$B$1,1,0)</f>
        <v>0</v>
      </c>
      <c r="N3997" s="3" t="n">
        <f aca="false">L3997*M3997</f>
        <v>0</v>
      </c>
    </row>
    <row r="3998" customFormat="false" ht="15" hidden="false" customHeight="false" outlineLevel="0" collapsed="false">
      <c r="A3998" s="0" t="s">
        <v>5803</v>
      </c>
      <c r="B3998" s="0" t="s">
        <v>41</v>
      </c>
      <c r="C3998" s="0" t="s">
        <v>4077</v>
      </c>
      <c r="D3998" s="0" t="s">
        <v>54</v>
      </c>
      <c r="E3998" s="2" t="n">
        <v>45638</v>
      </c>
      <c r="F3998" s="3" t="s">
        <v>20</v>
      </c>
      <c r="G3998" s="3" t="s">
        <v>28</v>
      </c>
      <c r="H3998" s="3" t="s">
        <v>29</v>
      </c>
      <c r="I3998" s="3" t="n">
        <f aca="false">YEAR(E3998)</f>
        <v>2024</v>
      </c>
      <c r="J3998" s="3" t="n">
        <f aca="false">MONTH(E3998)</f>
        <v>12</v>
      </c>
      <c r="K3998" s="3" t="n">
        <f aca="false">COUNTIFS($B$2:$B$4077,B3998,$C$2:$C$4077,C3998,$I$2:$I$4077,I3998)</f>
        <v>2</v>
      </c>
      <c r="L3998" s="3" t="n">
        <f aca="false">IF(COUNTIFS($B$2:B3998,B3998,$C$2:C3998,C3998,$I$2:I3998,I3998)=1,1,0)</f>
        <v>0</v>
      </c>
      <c r="M3998" s="3" t="n">
        <f aca="false">IF(K3998&gt;=Parametri!$B$1,1,0)</f>
        <v>1</v>
      </c>
      <c r="N3998" s="3" t="n">
        <f aca="false">L3998*M3998</f>
        <v>0</v>
      </c>
    </row>
    <row r="3999" customFormat="false" ht="15" hidden="false" customHeight="false" outlineLevel="0" collapsed="false">
      <c r="A3999" s="0" t="s">
        <v>5804</v>
      </c>
      <c r="B3999" s="0" t="s">
        <v>46</v>
      </c>
      <c r="C3999" s="0" t="s">
        <v>3161</v>
      </c>
      <c r="D3999" s="0" t="s">
        <v>38</v>
      </c>
      <c r="E3999" s="2" t="n">
        <v>45697</v>
      </c>
      <c r="F3999" s="3" t="s">
        <v>20</v>
      </c>
      <c r="G3999" s="3" t="s">
        <v>43</v>
      </c>
      <c r="H3999" s="3" t="s">
        <v>44</v>
      </c>
      <c r="I3999" s="3" t="n">
        <f aca="false">YEAR(E3999)</f>
        <v>2025</v>
      </c>
      <c r="J3999" s="3" t="n">
        <f aca="false">MONTH(E3999)</f>
        <v>2</v>
      </c>
      <c r="K3999" s="3" t="n">
        <f aca="false">COUNTIFS($B$2:$B$4077,B3999,$C$2:$C$4077,C3999,$I$2:$I$4077,I3999)</f>
        <v>2</v>
      </c>
      <c r="L3999" s="3" t="n">
        <f aca="false">IF(COUNTIFS($B$2:B3999,B3999,$C$2:C3999,C3999,$I$2:I3999,I3999)=1,1,0)</f>
        <v>0</v>
      </c>
      <c r="M3999" s="3" t="n">
        <f aca="false">IF(K3999&gt;=Parametri!$B$1,1,0)</f>
        <v>1</v>
      </c>
      <c r="N3999" s="3" t="n">
        <f aca="false">L3999*M3999</f>
        <v>0</v>
      </c>
    </row>
    <row r="4000" customFormat="false" ht="15" hidden="false" customHeight="false" outlineLevel="0" collapsed="false">
      <c r="A4000" s="0" t="s">
        <v>5805</v>
      </c>
      <c r="B4000" s="0" t="s">
        <v>46</v>
      </c>
      <c r="C4000" s="0" t="s">
        <v>1228</v>
      </c>
      <c r="D4000" s="0" t="s">
        <v>26</v>
      </c>
      <c r="E4000" s="2" t="n">
        <v>45763</v>
      </c>
      <c r="F4000" s="3" t="s">
        <v>27</v>
      </c>
      <c r="G4000" s="3" t="s">
        <v>35</v>
      </c>
      <c r="H4000" s="3" t="s">
        <v>29</v>
      </c>
      <c r="I4000" s="3" t="n">
        <f aca="false">YEAR(E4000)</f>
        <v>2025</v>
      </c>
      <c r="J4000" s="3" t="n">
        <f aca="false">MONTH(E4000)</f>
        <v>4</v>
      </c>
      <c r="K4000" s="3" t="n">
        <f aca="false">COUNTIFS($B$2:$B$4077,B4000,$C$2:$C$4077,C4000,$I$2:$I$4077,I4000)</f>
        <v>2</v>
      </c>
      <c r="L4000" s="3" t="n">
        <f aca="false">IF(COUNTIFS($B$2:B4000,B4000,$C$2:C4000,C4000,$I$2:I4000,I4000)=1,1,0)</f>
        <v>0</v>
      </c>
      <c r="M4000" s="3" t="n">
        <f aca="false">IF(K4000&gt;=Parametri!$B$1,1,0)</f>
        <v>1</v>
      </c>
      <c r="N4000" s="3" t="n">
        <f aca="false">L4000*M4000</f>
        <v>0</v>
      </c>
    </row>
    <row r="4001" customFormat="false" ht="15" hidden="false" customHeight="false" outlineLevel="0" collapsed="false">
      <c r="A4001" s="0" t="s">
        <v>5806</v>
      </c>
      <c r="B4001" s="0" t="s">
        <v>31</v>
      </c>
      <c r="C4001" s="0" t="s">
        <v>3338</v>
      </c>
      <c r="D4001" s="0" t="s">
        <v>54</v>
      </c>
      <c r="E4001" s="2" t="n">
        <v>45656</v>
      </c>
      <c r="F4001" s="3" t="s">
        <v>104</v>
      </c>
      <c r="G4001" s="3" t="s">
        <v>104</v>
      </c>
      <c r="H4001" s="3" t="s">
        <v>104</v>
      </c>
      <c r="I4001" s="3" t="n">
        <f aca="false">YEAR(E4001)</f>
        <v>2024</v>
      </c>
      <c r="J4001" s="3" t="n">
        <f aca="false">MONTH(E4001)</f>
        <v>12</v>
      </c>
      <c r="K4001" s="3" t="n">
        <f aca="false">COUNTIFS($B$2:$B$4077,B4001,$C$2:$C$4077,C4001,$I$2:$I$4077,I4001)</f>
        <v>2</v>
      </c>
      <c r="L4001" s="3" t="n">
        <f aca="false">IF(COUNTIFS($B$2:B4001,B4001,$C$2:C4001,C4001,$I$2:I4001,I4001)=1,1,0)</f>
        <v>0</v>
      </c>
      <c r="M4001" s="3" t="n">
        <f aca="false">IF(K4001&gt;=Parametri!$B$1,1,0)</f>
        <v>1</v>
      </c>
      <c r="N4001" s="3" t="n">
        <f aca="false">L4001*M4001</f>
        <v>0</v>
      </c>
    </row>
    <row r="4002" customFormat="false" ht="15" hidden="false" customHeight="false" outlineLevel="0" collapsed="false">
      <c r="A4002" s="0" t="s">
        <v>5807</v>
      </c>
      <c r="B4002" s="0" t="s">
        <v>68</v>
      </c>
      <c r="C4002" s="0" t="s">
        <v>5808</v>
      </c>
      <c r="D4002" s="0" t="s">
        <v>26</v>
      </c>
      <c r="E4002" s="2" t="n">
        <v>46090</v>
      </c>
      <c r="F4002" s="3" t="s">
        <v>20</v>
      </c>
      <c r="G4002" s="3" t="s">
        <v>55</v>
      </c>
      <c r="H4002" s="3" t="s">
        <v>22</v>
      </c>
      <c r="I4002" s="3" t="n">
        <f aca="false">YEAR(E4002)</f>
        <v>2026</v>
      </c>
      <c r="J4002" s="3" t="n">
        <f aca="false">MONTH(E4002)</f>
        <v>3</v>
      </c>
      <c r="K4002" s="3" t="n">
        <f aca="false">COUNTIFS($B$2:$B$4077,B4002,$C$2:$C$4077,C4002,$I$2:$I$4077,I4002)</f>
        <v>1</v>
      </c>
      <c r="L4002" s="3" t="n">
        <f aca="false">IF(COUNTIFS($B$2:B4002,B4002,$C$2:C4002,C4002,$I$2:I4002,I4002)=1,1,0)</f>
        <v>1</v>
      </c>
      <c r="M4002" s="3" t="n">
        <f aca="false">IF(K4002&gt;=Parametri!$B$1,1,0)</f>
        <v>0</v>
      </c>
      <c r="N4002" s="3" t="n">
        <f aca="false">L4002*M4002</f>
        <v>0</v>
      </c>
    </row>
    <row r="4003" customFormat="false" ht="15" hidden="false" customHeight="false" outlineLevel="0" collapsed="false">
      <c r="A4003" s="0" t="s">
        <v>5809</v>
      </c>
      <c r="B4003" s="0" t="s">
        <v>124</v>
      </c>
      <c r="C4003" s="0" t="s">
        <v>1279</v>
      </c>
      <c r="D4003" s="0" t="s">
        <v>63</v>
      </c>
      <c r="E4003" s="2" t="n">
        <v>45819</v>
      </c>
      <c r="F4003" s="3" t="s">
        <v>20</v>
      </c>
      <c r="G4003" s="3" t="s">
        <v>35</v>
      </c>
      <c r="H4003" s="3" t="s">
        <v>48</v>
      </c>
      <c r="I4003" s="3" t="n">
        <f aca="false">YEAR(E4003)</f>
        <v>2025</v>
      </c>
      <c r="J4003" s="3" t="n">
        <f aca="false">MONTH(E4003)</f>
        <v>6</v>
      </c>
      <c r="K4003" s="3" t="n">
        <f aca="false">COUNTIFS($B$2:$B$4077,B4003,$C$2:$C$4077,C4003,$I$2:$I$4077,I4003)</f>
        <v>8</v>
      </c>
      <c r="L4003" s="3" t="n">
        <f aca="false">IF(COUNTIFS($B$2:B4003,B4003,$C$2:C4003,C4003,$I$2:I4003,I4003)=1,1,0)</f>
        <v>0</v>
      </c>
      <c r="M4003" s="3" t="n">
        <f aca="false">IF(K4003&gt;=Parametri!$B$1,1,0)</f>
        <v>1</v>
      </c>
      <c r="N4003" s="3" t="n">
        <f aca="false">L4003*M4003</f>
        <v>0</v>
      </c>
    </row>
    <row r="4004" customFormat="false" ht="15" hidden="false" customHeight="false" outlineLevel="0" collapsed="false">
      <c r="A4004" s="0" t="s">
        <v>5810</v>
      </c>
      <c r="B4004" s="0" t="s">
        <v>124</v>
      </c>
      <c r="C4004" s="0" t="s">
        <v>1497</v>
      </c>
      <c r="D4004" s="0" t="s">
        <v>63</v>
      </c>
      <c r="E4004" s="2" t="n">
        <v>45449</v>
      </c>
      <c r="F4004" s="3" t="s">
        <v>20</v>
      </c>
      <c r="G4004" s="3" t="s">
        <v>55</v>
      </c>
      <c r="H4004" s="3" t="s">
        <v>44</v>
      </c>
      <c r="I4004" s="3" t="n">
        <f aca="false">YEAR(E4004)</f>
        <v>2024</v>
      </c>
      <c r="J4004" s="3" t="n">
        <f aca="false">MONTH(E4004)</f>
        <v>6</v>
      </c>
      <c r="K4004" s="3" t="n">
        <f aca="false">COUNTIFS($B$2:$B$4077,B4004,$C$2:$C$4077,C4004,$I$2:$I$4077,I4004)</f>
        <v>2</v>
      </c>
      <c r="L4004" s="3" t="n">
        <f aca="false">IF(COUNTIFS($B$2:B4004,B4004,$C$2:C4004,C4004,$I$2:I4004,I4004)=1,1,0)</f>
        <v>0</v>
      </c>
      <c r="M4004" s="3" t="n">
        <f aca="false">IF(K4004&gt;=Parametri!$B$1,1,0)</f>
        <v>1</v>
      </c>
      <c r="N4004" s="3" t="n">
        <f aca="false">L4004*M4004</f>
        <v>0</v>
      </c>
    </row>
    <row r="4005" customFormat="false" ht="15" hidden="false" customHeight="false" outlineLevel="0" collapsed="false">
      <c r="A4005" s="0" t="s">
        <v>5811</v>
      </c>
      <c r="B4005" s="0" t="s">
        <v>31</v>
      </c>
      <c r="C4005" s="0" t="s">
        <v>3714</v>
      </c>
      <c r="D4005" s="0" t="s">
        <v>77</v>
      </c>
      <c r="E4005" s="2" t="n">
        <v>45422</v>
      </c>
      <c r="F4005" s="3" t="s">
        <v>20</v>
      </c>
      <c r="G4005" s="3" t="s">
        <v>39</v>
      </c>
      <c r="H4005" s="3" t="s">
        <v>44</v>
      </c>
      <c r="I4005" s="3" t="n">
        <f aca="false">YEAR(E4005)</f>
        <v>2024</v>
      </c>
      <c r="J4005" s="3" t="n">
        <f aca="false">MONTH(E4005)</f>
        <v>5</v>
      </c>
      <c r="K4005" s="3" t="n">
        <f aca="false">COUNTIFS($B$2:$B$4077,B4005,$C$2:$C$4077,C4005,$I$2:$I$4077,I4005)</f>
        <v>1</v>
      </c>
      <c r="L4005" s="3" t="n">
        <f aca="false">IF(COUNTIFS($B$2:B4005,B4005,$C$2:C4005,C4005,$I$2:I4005,I4005)=1,1,0)</f>
        <v>1</v>
      </c>
      <c r="M4005" s="3" t="n">
        <f aca="false">IF(K4005&gt;=Parametri!$B$1,1,0)</f>
        <v>0</v>
      </c>
      <c r="N4005" s="3" t="n">
        <f aca="false">L4005*M4005</f>
        <v>0</v>
      </c>
    </row>
    <row r="4006" customFormat="false" ht="15" hidden="false" customHeight="false" outlineLevel="0" collapsed="false">
      <c r="A4006" s="0" t="s">
        <v>5812</v>
      </c>
      <c r="B4006" s="0" t="s">
        <v>46</v>
      </c>
      <c r="C4006" s="0" t="s">
        <v>3620</v>
      </c>
      <c r="D4006" s="0" t="s">
        <v>26</v>
      </c>
      <c r="E4006" s="2" t="n">
        <v>45783</v>
      </c>
      <c r="F4006" s="3" t="s">
        <v>20</v>
      </c>
      <c r="G4006" s="3" t="s">
        <v>28</v>
      </c>
      <c r="H4006" s="3" t="s">
        <v>29</v>
      </c>
      <c r="I4006" s="3" t="n">
        <f aca="false">YEAR(E4006)</f>
        <v>2025</v>
      </c>
      <c r="J4006" s="3" t="n">
        <f aca="false">MONTH(E4006)</f>
        <v>5</v>
      </c>
      <c r="K4006" s="3" t="n">
        <f aca="false">COUNTIFS($B$2:$B$4077,B4006,$C$2:$C$4077,C4006,$I$2:$I$4077,I4006)</f>
        <v>1</v>
      </c>
      <c r="L4006" s="3" t="n">
        <f aca="false">IF(COUNTIFS($B$2:B4006,B4006,$C$2:C4006,C4006,$I$2:I4006,I4006)=1,1,0)</f>
        <v>1</v>
      </c>
      <c r="M4006" s="3" t="n">
        <f aca="false">IF(K4006&gt;=Parametri!$B$1,1,0)</f>
        <v>0</v>
      </c>
      <c r="N4006" s="3" t="n">
        <f aca="false">L4006*M4006</f>
        <v>0</v>
      </c>
    </row>
    <row r="4007" customFormat="false" ht="15" hidden="false" customHeight="false" outlineLevel="0" collapsed="false">
      <c r="A4007" s="0" t="s">
        <v>5813</v>
      </c>
      <c r="B4007" s="0" t="s">
        <v>41</v>
      </c>
      <c r="C4007" s="0" t="s">
        <v>602</v>
      </c>
      <c r="D4007" s="0" t="s">
        <v>54</v>
      </c>
      <c r="E4007" s="2" t="n">
        <v>45354</v>
      </c>
      <c r="F4007" s="3" t="s">
        <v>20</v>
      </c>
      <c r="G4007" s="3" t="s">
        <v>89</v>
      </c>
      <c r="H4007" s="3" t="s">
        <v>48</v>
      </c>
      <c r="I4007" s="3" t="n">
        <f aca="false">YEAR(E4007)</f>
        <v>2024</v>
      </c>
      <c r="J4007" s="3" t="n">
        <f aca="false">MONTH(E4007)</f>
        <v>3</v>
      </c>
      <c r="K4007" s="3" t="n">
        <f aca="false">COUNTIFS($B$2:$B$4077,B4007,$C$2:$C$4077,C4007,$I$2:$I$4077,I4007)</f>
        <v>1</v>
      </c>
      <c r="L4007" s="3" t="n">
        <f aca="false">IF(COUNTIFS($B$2:B4007,B4007,$C$2:C4007,C4007,$I$2:I4007,I4007)=1,1,0)</f>
        <v>1</v>
      </c>
      <c r="M4007" s="3" t="n">
        <f aca="false">IF(K4007&gt;=Parametri!$B$1,1,0)</f>
        <v>0</v>
      </c>
      <c r="N4007" s="3" t="n">
        <f aca="false">L4007*M4007</f>
        <v>0</v>
      </c>
    </row>
    <row r="4008" customFormat="false" ht="15" hidden="false" customHeight="false" outlineLevel="0" collapsed="false">
      <c r="A4008" s="0" t="s">
        <v>5814</v>
      </c>
      <c r="B4008" s="0" t="s">
        <v>79</v>
      </c>
      <c r="C4008" s="0" t="s">
        <v>4850</v>
      </c>
      <c r="D4008" s="0" t="s">
        <v>66</v>
      </c>
      <c r="E4008" s="2" t="n">
        <v>46087</v>
      </c>
      <c r="F4008" s="3" t="s">
        <v>27</v>
      </c>
      <c r="G4008" s="3" t="s">
        <v>89</v>
      </c>
      <c r="H4008" s="3" t="s">
        <v>22</v>
      </c>
      <c r="I4008" s="3" t="n">
        <f aca="false">YEAR(E4008)</f>
        <v>2026</v>
      </c>
      <c r="J4008" s="3" t="n">
        <f aca="false">MONTH(E4008)</f>
        <v>3</v>
      </c>
      <c r="K4008" s="3" t="n">
        <f aca="false">COUNTIFS($B$2:$B$4077,B4008,$C$2:$C$4077,C4008,$I$2:$I$4077,I4008)</f>
        <v>1</v>
      </c>
      <c r="L4008" s="3" t="n">
        <f aca="false">IF(COUNTIFS($B$2:B4008,B4008,$C$2:C4008,C4008,$I$2:I4008,I4008)=1,1,0)</f>
        <v>1</v>
      </c>
      <c r="M4008" s="3" t="n">
        <f aca="false">IF(K4008&gt;=Parametri!$B$1,1,0)</f>
        <v>0</v>
      </c>
      <c r="N4008" s="3" t="n">
        <f aca="false">L4008*M4008</f>
        <v>0</v>
      </c>
    </row>
    <row r="4009" customFormat="false" ht="15" hidden="false" customHeight="false" outlineLevel="0" collapsed="false">
      <c r="A4009" s="0" t="s">
        <v>5815</v>
      </c>
      <c r="B4009" s="0" t="s">
        <v>57</v>
      </c>
      <c r="C4009" s="0" t="s">
        <v>246</v>
      </c>
      <c r="D4009" s="0" t="s">
        <v>63</v>
      </c>
      <c r="E4009" s="2" t="n">
        <v>46031</v>
      </c>
      <c r="F4009" s="3" t="s">
        <v>27</v>
      </c>
      <c r="G4009" s="3" t="s">
        <v>55</v>
      </c>
      <c r="H4009" s="3" t="s">
        <v>29</v>
      </c>
      <c r="I4009" s="3" t="n">
        <f aca="false">YEAR(E4009)</f>
        <v>2026</v>
      </c>
      <c r="J4009" s="3" t="n">
        <f aca="false">MONTH(E4009)</f>
        <v>1</v>
      </c>
      <c r="K4009" s="3" t="n">
        <f aca="false">COUNTIFS($B$2:$B$4077,B4009,$C$2:$C$4077,C4009,$I$2:$I$4077,I4009)</f>
        <v>2</v>
      </c>
      <c r="L4009" s="3" t="n">
        <f aca="false">IF(COUNTIFS($B$2:B4009,B4009,$C$2:C4009,C4009,$I$2:I4009,I4009)=1,1,0)</f>
        <v>0</v>
      </c>
      <c r="M4009" s="3" t="n">
        <f aca="false">IF(K4009&gt;=Parametri!$B$1,1,0)</f>
        <v>1</v>
      </c>
      <c r="N4009" s="3" t="n">
        <f aca="false">L4009*M4009</f>
        <v>0</v>
      </c>
    </row>
    <row r="4010" customFormat="false" ht="15" hidden="false" customHeight="false" outlineLevel="0" collapsed="false">
      <c r="A4010" s="0" t="s">
        <v>5816</v>
      </c>
      <c r="B4010" s="0" t="s">
        <v>50</v>
      </c>
      <c r="C4010" s="0" t="s">
        <v>942</v>
      </c>
      <c r="D4010" s="0" t="s">
        <v>33</v>
      </c>
      <c r="E4010" s="2" t="n">
        <v>45795</v>
      </c>
      <c r="F4010" s="3" t="s">
        <v>34</v>
      </c>
      <c r="G4010" s="3" t="s">
        <v>72</v>
      </c>
      <c r="H4010" s="3" t="s">
        <v>48</v>
      </c>
      <c r="I4010" s="3" t="n">
        <f aca="false">YEAR(E4010)</f>
        <v>2025</v>
      </c>
      <c r="J4010" s="3" t="n">
        <f aca="false">MONTH(E4010)</f>
        <v>5</v>
      </c>
      <c r="K4010" s="3" t="n">
        <f aca="false">COUNTIFS($B$2:$B$4077,B4010,$C$2:$C$4077,C4010,$I$2:$I$4077,I4010)</f>
        <v>7</v>
      </c>
      <c r="L4010" s="3" t="n">
        <f aca="false">IF(COUNTIFS($B$2:B4010,B4010,$C$2:C4010,C4010,$I$2:I4010,I4010)=1,1,0)</f>
        <v>0</v>
      </c>
      <c r="M4010" s="3" t="n">
        <f aca="false">IF(K4010&gt;=Parametri!$B$1,1,0)</f>
        <v>1</v>
      </c>
      <c r="N4010" s="3" t="n">
        <f aca="false">L4010*M4010</f>
        <v>0</v>
      </c>
    </row>
    <row r="4011" customFormat="false" ht="15" hidden="false" customHeight="false" outlineLevel="0" collapsed="false">
      <c r="A4011" s="0" t="s">
        <v>5817</v>
      </c>
      <c r="B4011" s="0" t="s">
        <v>50</v>
      </c>
      <c r="C4011" s="0" t="s">
        <v>533</v>
      </c>
      <c r="D4011" s="0" t="s">
        <v>63</v>
      </c>
      <c r="E4011" s="2" t="n">
        <v>45827</v>
      </c>
      <c r="F4011" s="3" t="s">
        <v>27</v>
      </c>
      <c r="G4011" s="3" t="s">
        <v>39</v>
      </c>
      <c r="H4011" s="3" t="s">
        <v>29</v>
      </c>
      <c r="I4011" s="3" t="n">
        <f aca="false">YEAR(E4011)</f>
        <v>2025</v>
      </c>
      <c r="J4011" s="3" t="n">
        <f aca="false">MONTH(E4011)</f>
        <v>6</v>
      </c>
      <c r="K4011" s="3" t="n">
        <f aca="false">COUNTIFS($B$2:$B$4077,B4011,$C$2:$C$4077,C4011,$I$2:$I$4077,I4011)</f>
        <v>7</v>
      </c>
      <c r="L4011" s="3" t="n">
        <f aca="false">IF(COUNTIFS($B$2:B4011,B4011,$C$2:C4011,C4011,$I$2:I4011,I4011)=1,1,0)</f>
        <v>0</v>
      </c>
      <c r="M4011" s="3" t="n">
        <f aca="false">IF(K4011&gt;=Parametri!$B$1,1,0)</f>
        <v>1</v>
      </c>
      <c r="N4011" s="3" t="n">
        <f aca="false">L4011*M4011</f>
        <v>0</v>
      </c>
    </row>
    <row r="4012" customFormat="false" ht="15" hidden="false" customHeight="false" outlineLevel="0" collapsed="false">
      <c r="A4012" s="0" t="s">
        <v>5818</v>
      </c>
      <c r="B4012" s="0" t="s">
        <v>46</v>
      </c>
      <c r="C4012" s="0" t="s">
        <v>5819</v>
      </c>
      <c r="D4012" s="0" t="s">
        <v>54</v>
      </c>
      <c r="E4012" s="2" t="n">
        <v>45478</v>
      </c>
      <c r="F4012" s="3" t="s">
        <v>34</v>
      </c>
      <c r="G4012" s="3" t="s">
        <v>39</v>
      </c>
      <c r="H4012" s="3" t="s">
        <v>22</v>
      </c>
      <c r="I4012" s="3" t="n">
        <f aca="false">YEAR(E4012)</f>
        <v>2024</v>
      </c>
      <c r="J4012" s="3" t="n">
        <f aca="false">MONTH(E4012)</f>
        <v>7</v>
      </c>
      <c r="K4012" s="3" t="n">
        <f aca="false">COUNTIFS($B$2:$B$4077,B4012,$C$2:$C$4077,C4012,$I$2:$I$4077,I4012)</f>
        <v>1</v>
      </c>
      <c r="L4012" s="3" t="n">
        <f aca="false">IF(COUNTIFS($B$2:B4012,B4012,$C$2:C4012,C4012,$I$2:I4012,I4012)=1,1,0)</f>
        <v>1</v>
      </c>
      <c r="M4012" s="3" t="n">
        <f aca="false">IF(K4012&gt;=Parametri!$B$1,1,0)</f>
        <v>0</v>
      </c>
      <c r="N4012" s="3" t="n">
        <f aca="false">L4012*M4012</f>
        <v>0</v>
      </c>
    </row>
    <row r="4013" customFormat="false" ht="15" hidden="false" customHeight="false" outlineLevel="0" collapsed="false">
      <c r="A4013" s="0" t="s">
        <v>5820</v>
      </c>
      <c r="B4013" s="0" t="s">
        <v>41</v>
      </c>
      <c r="C4013" s="0" t="s">
        <v>3240</v>
      </c>
      <c r="D4013" s="0" t="s">
        <v>26</v>
      </c>
      <c r="E4013" s="2" t="n">
        <v>46012</v>
      </c>
      <c r="F4013" s="3" t="s">
        <v>20</v>
      </c>
      <c r="G4013" s="3" t="s">
        <v>35</v>
      </c>
      <c r="H4013" s="3" t="s">
        <v>44</v>
      </c>
      <c r="I4013" s="3" t="n">
        <f aca="false">YEAR(E4013)</f>
        <v>2025</v>
      </c>
      <c r="J4013" s="3" t="n">
        <f aca="false">MONTH(E4013)</f>
        <v>12</v>
      </c>
      <c r="K4013" s="3" t="n">
        <f aca="false">COUNTIFS($B$2:$B$4077,B4013,$C$2:$C$4077,C4013,$I$2:$I$4077,I4013)</f>
        <v>2</v>
      </c>
      <c r="L4013" s="3" t="n">
        <f aca="false">IF(COUNTIFS($B$2:B4013,B4013,$C$2:C4013,C4013,$I$2:I4013,I4013)=1,1,0)</f>
        <v>0</v>
      </c>
      <c r="M4013" s="3" t="n">
        <f aca="false">IF(K4013&gt;=Parametri!$B$1,1,0)</f>
        <v>1</v>
      </c>
      <c r="N4013" s="3" t="n">
        <f aca="false">L4013*M4013</f>
        <v>0</v>
      </c>
    </row>
    <row r="4014" customFormat="false" ht="15" hidden="false" customHeight="false" outlineLevel="0" collapsed="false">
      <c r="A4014" s="0" t="s">
        <v>5821</v>
      </c>
      <c r="B4014" s="0" t="s">
        <v>31</v>
      </c>
      <c r="C4014" s="0" t="s">
        <v>613</v>
      </c>
      <c r="D4014" s="0" t="s">
        <v>54</v>
      </c>
      <c r="E4014" s="2" t="n">
        <v>45964</v>
      </c>
      <c r="F4014" s="3" t="s">
        <v>20</v>
      </c>
      <c r="G4014" s="3" t="s">
        <v>28</v>
      </c>
      <c r="H4014" s="3" t="s">
        <v>44</v>
      </c>
      <c r="I4014" s="3" t="n">
        <f aca="false">YEAR(E4014)</f>
        <v>2025</v>
      </c>
      <c r="J4014" s="3" t="n">
        <f aca="false">MONTH(E4014)</f>
        <v>11</v>
      </c>
      <c r="K4014" s="3" t="n">
        <f aca="false">COUNTIFS($B$2:$B$4077,B4014,$C$2:$C$4077,C4014,$I$2:$I$4077,I4014)</f>
        <v>1</v>
      </c>
      <c r="L4014" s="3" t="n">
        <f aca="false">IF(COUNTIFS($B$2:B4014,B4014,$C$2:C4014,C4014,$I$2:I4014,I4014)=1,1,0)</f>
        <v>1</v>
      </c>
      <c r="M4014" s="3" t="n">
        <f aca="false">IF(K4014&gt;=Parametri!$B$1,1,0)</f>
        <v>0</v>
      </c>
      <c r="N4014" s="3" t="n">
        <f aca="false">L4014*M4014</f>
        <v>0</v>
      </c>
    </row>
    <row r="4015" customFormat="false" ht="15" hidden="false" customHeight="false" outlineLevel="0" collapsed="false">
      <c r="A4015" s="0" t="s">
        <v>5822</v>
      </c>
      <c r="B4015" s="0" t="s">
        <v>79</v>
      </c>
      <c r="C4015" s="0" t="s">
        <v>3849</v>
      </c>
      <c r="D4015" s="0" t="s">
        <v>26</v>
      </c>
      <c r="E4015" s="2" t="n">
        <v>46154</v>
      </c>
      <c r="F4015" s="3" t="s">
        <v>34</v>
      </c>
      <c r="G4015" s="3" t="s">
        <v>39</v>
      </c>
      <c r="H4015" s="3" t="s">
        <v>22</v>
      </c>
      <c r="I4015" s="3" t="n">
        <f aca="false">YEAR(E4015)</f>
        <v>2026</v>
      </c>
      <c r="J4015" s="3" t="n">
        <f aca="false">MONTH(E4015)</f>
        <v>5</v>
      </c>
      <c r="K4015" s="3" t="n">
        <f aca="false">COUNTIFS($B$2:$B$4077,B4015,$C$2:$C$4077,C4015,$I$2:$I$4077,I4015)</f>
        <v>2</v>
      </c>
      <c r="L4015" s="3" t="n">
        <f aca="false">IF(COUNTIFS($B$2:B4015,B4015,$C$2:C4015,C4015,$I$2:I4015,I4015)=1,1,0)</f>
        <v>0</v>
      </c>
      <c r="M4015" s="3" t="n">
        <f aca="false">IF(K4015&gt;=Parametri!$B$1,1,0)</f>
        <v>1</v>
      </c>
      <c r="N4015" s="3" t="n">
        <f aca="false">L4015*M4015</f>
        <v>0</v>
      </c>
    </row>
    <row r="4016" customFormat="false" ht="15" hidden="false" customHeight="false" outlineLevel="0" collapsed="false">
      <c r="A4016" s="0" t="s">
        <v>5823</v>
      </c>
      <c r="B4016" s="0" t="s">
        <v>50</v>
      </c>
      <c r="C4016" s="0" t="s">
        <v>172</v>
      </c>
      <c r="D4016" s="0" t="s">
        <v>19</v>
      </c>
      <c r="E4016" s="2" t="n">
        <v>45542</v>
      </c>
      <c r="F4016" s="3" t="s">
        <v>20</v>
      </c>
      <c r="G4016" s="3" t="s">
        <v>89</v>
      </c>
      <c r="H4016" s="3" t="s">
        <v>29</v>
      </c>
      <c r="I4016" s="3" t="n">
        <f aca="false">YEAR(E4016)</f>
        <v>2024</v>
      </c>
      <c r="J4016" s="3" t="n">
        <f aca="false">MONTH(E4016)</f>
        <v>9</v>
      </c>
      <c r="K4016" s="3" t="n">
        <f aca="false">COUNTIFS($B$2:$B$4077,B4016,$C$2:$C$4077,C4016,$I$2:$I$4077,I4016)</f>
        <v>1</v>
      </c>
      <c r="L4016" s="3" t="n">
        <f aca="false">IF(COUNTIFS($B$2:B4016,B4016,$C$2:C4016,C4016,$I$2:I4016,I4016)=1,1,0)</f>
        <v>1</v>
      </c>
      <c r="M4016" s="3" t="n">
        <f aca="false">IF(K4016&gt;=Parametri!$B$1,1,0)</f>
        <v>0</v>
      </c>
      <c r="N4016" s="3" t="n">
        <f aca="false">L4016*M4016</f>
        <v>0</v>
      </c>
    </row>
    <row r="4017" customFormat="false" ht="15" hidden="false" customHeight="false" outlineLevel="0" collapsed="false">
      <c r="A4017" s="0" t="s">
        <v>5824</v>
      </c>
      <c r="B4017" s="0" t="s">
        <v>24</v>
      </c>
      <c r="C4017" s="0" t="s">
        <v>5272</v>
      </c>
      <c r="D4017" s="0" t="s">
        <v>66</v>
      </c>
      <c r="E4017" s="2" t="n">
        <v>45492</v>
      </c>
      <c r="F4017" s="3" t="s">
        <v>34</v>
      </c>
      <c r="G4017" s="3" t="s">
        <v>39</v>
      </c>
      <c r="H4017" s="3" t="s">
        <v>44</v>
      </c>
      <c r="I4017" s="3" t="n">
        <f aca="false">YEAR(E4017)</f>
        <v>2024</v>
      </c>
      <c r="J4017" s="3" t="n">
        <f aca="false">MONTH(E4017)</f>
        <v>7</v>
      </c>
      <c r="K4017" s="3" t="n">
        <f aca="false">COUNTIFS($B$2:$B$4077,B4017,$C$2:$C$4077,C4017,$I$2:$I$4077,I4017)</f>
        <v>2</v>
      </c>
      <c r="L4017" s="3" t="n">
        <f aca="false">IF(COUNTIFS($B$2:B4017,B4017,$C$2:C4017,C4017,$I$2:I4017,I4017)=1,1,0)</f>
        <v>0</v>
      </c>
      <c r="M4017" s="3" t="n">
        <f aca="false">IF(K4017&gt;=Parametri!$B$1,1,0)</f>
        <v>1</v>
      </c>
      <c r="N4017" s="3" t="n">
        <f aca="false">L4017*M4017</f>
        <v>0</v>
      </c>
    </row>
    <row r="4018" customFormat="false" ht="15" hidden="false" customHeight="false" outlineLevel="0" collapsed="false">
      <c r="A4018" s="0" t="s">
        <v>5825</v>
      </c>
      <c r="B4018" s="0" t="s">
        <v>24</v>
      </c>
      <c r="C4018" s="0" t="s">
        <v>1020</v>
      </c>
      <c r="D4018" s="0" t="s">
        <v>63</v>
      </c>
      <c r="E4018" s="2" t="n">
        <v>45480</v>
      </c>
      <c r="F4018" s="3" t="s">
        <v>27</v>
      </c>
      <c r="G4018" s="3" t="s">
        <v>39</v>
      </c>
      <c r="H4018" s="3" t="s">
        <v>44</v>
      </c>
      <c r="I4018" s="3" t="n">
        <f aca="false">YEAR(E4018)</f>
        <v>2024</v>
      </c>
      <c r="J4018" s="3" t="n">
        <f aca="false">MONTH(E4018)</f>
        <v>7</v>
      </c>
      <c r="K4018" s="3" t="n">
        <f aca="false">COUNTIFS($B$2:$B$4077,B4018,$C$2:$C$4077,C4018,$I$2:$I$4077,I4018)</f>
        <v>3</v>
      </c>
      <c r="L4018" s="3" t="n">
        <f aca="false">IF(COUNTIFS($B$2:B4018,B4018,$C$2:C4018,C4018,$I$2:I4018,I4018)=1,1,0)</f>
        <v>0</v>
      </c>
      <c r="M4018" s="3" t="n">
        <f aca="false">IF(K4018&gt;=Parametri!$B$1,1,0)</f>
        <v>1</v>
      </c>
      <c r="N4018" s="3" t="n">
        <f aca="false">L4018*M4018</f>
        <v>0</v>
      </c>
    </row>
    <row r="4019" customFormat="false" ht="15" hidden="false" customHeight="false" outlineLevel="0" collapsed="false">
      <c r="A4019" s="0" t="s">
        <v>5826</v>
      </c>
      <c r="B4019" s="0" t="s">
        <v>124</v>
      </c>
      <c r="C4019" s="0" t="s">
        <v>410</v>
      </c>
      <c r="D4019" s="0" t="s">
        <v>63</v>
      </c>
      <c r="E4019" s="2" t="n">
        <v>45827</v>
      </c>
      <c r="F4019" s="3" t="s">
        <v>20</v>
      </c>
      <c r="G4019" s="3" t="s">
        <v>89</v>
      </c>
      <c r="H4019" s="3" t="s">
        <v>44</v>
      </c>
      <c r="I4019" s="3" t="n">
        <f aca="false">YEAR(E4019)</f>
        <v>2025</v>
      </c>
      <c r="J4019" s="3" t="n">
        <f aca="false">MONTH(E4019)</f>
        <v>6</v>
      </c>
      <c r="K4019" s="3" t="n">
        <f aca="false">COUNTIFS($B$2:$B$4077,B4019,$C$2:$C$4077,C4019,$I$2:$I$4077,I4019)</f>
        <v>6</v>
      </c>
      <c r="L4019" s="3" t="n">
        <f aca="false">IF(COUNTIFS($B$2:B4019,B4019,$C$2:C4019,C4019,$I$2:I4019,I4019)=1,1,0)</f>
        <v>0</v>
      </c>
      <c r="M4019" s="3" t="n">
        <f aca="false">IF(K4019&gt;=Parametri!$B$1,1,0)</f>
        <v>1</v>
      </c>
      <c r="N4019" s="3" t="n">
        <f aca="false">L4019*M4019</f>
        <v>0</v>
      </c>
    </row>
    <row r="4020" customFormat="false" ht="15" hidden="false" customHeight="false" outlineLevel="0" collapsed="false">
      <c r="A4020" s="0" t="s">
        <v>5827</v>
      </c>
      <c r="B4020" s="0" t="s">
        <v>68</v>
      </c>
      <c r="C4020" s="0" t="s">
        <v>106</v>
      </c>
      <c r="D4020" s="0" t="s">
        <v>54</v>
      </c>
      <c r="E4020" s="2" t="n">
        <v>46248</v>
      </c>
      <c r="F4020" s="3" t="s">
        <v>20</v>
      </c>
      <c r="G4020" s="3" t="s">
        <v>43</v>
      </c>
      <c r="H4020" s="3" t="s">
        <v>22</v>
      </c>
      <c r="I4020" s="3" t="n">
        <f aca="false">YEAR(E4020)</f>
        <v>2026</v>
      </c>
      <c r="J4020" s="3" t="n">
        <f aca="false">MONTH(E4020)</f>
        <v>8</v>
      </c>
      <c r="K4020" s="3" t="n">
        <f aca="false">COUNTIFS($B$2:$B$4077,B4020,$C$2:$C$4077,C4020,$I$2:$I$4077,I4020)</f>
        <v>4</v>
      </c>
      <c r="L4020" s="3" t="n">
        <f aca="false">IF(COUNTIFS($B$2:B4020,B4020,$C$2:C4020,C4020,$I$2:I4020,I4020)=1,1,0)</f>
        <v>0</v>
      </c>
      <c r="M4020" s="3" t="n">
        <f aca="false">IF(K4020&gt;=Parametri!$B$1,1,0)</f>
        <v>1</v>
      </c>
      <c r="N4020" s="3" t="n">
        <f aca="false">L4020*M4020</f>
        <v>0</v>
      </c>
    </row>
    <row r="4021" customFormat="false" ht="15" hidden="false" customHeight="false" outlineLevel="0" collapsed="false">
      <c r="A4021" s="0" t="s">
        <v>5828</v>
      </c>
      <c r="B4021" s="0" t="s">
        <v>57</v>
      </c>
      <c r="C4021" s="0" t="s">
        <v>3999</v>
      </c>
      <c r="D4021" s="0" t="s">
        <v>26</v>
      </c>
      <c r="E4021" s="2" t="n">
        <v>45709</v>
      </c>
      <c r="F4021" s="3" t="s">
        <v>20</v>
      </c>
      <c r="G4021" s="3" t="s">
        <v>43</v>
      </c>
      <c r="H4021" s="3" t="s">
        <v>48</v>
      </c>
      <c r="I4021" s="3" t="n">
        <f aca="false">YEAR(E4021)</f>
        <v>2025</v>
      </c>
      <c r="J4021" s="3" t="n">
        <f aca="false">MONTH(E4021)</f>
        <v>2</v>
      </c>
      <c r="K4021" s="3" t="n">
        <f aca="false">COUNTIFS($B$2:$B$4077,B4021,$C$2:$C$4077,C4021,$I$2:$I$4077,I4021)</f>
        <v>4</v>
      </c>
      <c r="L4021" s="3" t="n">
        <f aca="false">IF(COUNTIFS($B$2:B4021,B4021,$C$2:C4021,C4021,$I$2:I4021,I4021)=1,1,0)</f>
        <v>0</v>
      </c>
      <c r="M4021" s="3" t="n">
        <f aca="false">IF(K4021&gt;=Parametri!$B$1,1,0)</f>
        <v>1</v>
      </c>
      <c r="N4021" s="3" t="n">
        <f aca="false">L4021*M4021</f>
        <v>0</v>
      </c>
    </row>
    <row r="4022" customFormat="false" ht="15" hidden="false" customHeight="false" outlineLevel="0" collapsed="false">
      <c r="A4022" s="0" t="s">
        <v>5829</v>
      </c>
      <c r="B4022" s="0" t="s">
        <v>124</v>
      </c>
      <c r="C4022" s="0" t="s">
        <v>1040</v>
      </c>
      <c r="D4022" s="0" t="s">
        <v>54</v>
      </c>
      <c r="E4022" s="2" t="n">
        <v>45530</v>
      </c>
      <c r="F4022" s="3" t="s">
        <v>27</v>
      </c>
      <c r="G4022" s="3" t="s">
        <v>39</v>
      </c>
      <c r="H4022" s="3" t="s">
        <v>22</v>
      </c>
      <c r="I4022" s="3" t="n">
        <f aca="false">YEAR(E4022)</f>
        <v>2024</v>
      </c>
      <c r="J4022" s="3" t="n">
        <f aca="false">MONTH(E4022)</f>
        <v>8</v>
      </c>
      <c r="K4022" s="3" t="n">
        <f aca="false">COUNTIFS($B$2:$B$4077,B4022,$C$2:$C$4077,C4022,$I$2:$I$4077,I4022)</f>
        <v>4</v>
      </c>
      <c r="L4022" s="3" t="n">
        <f aca="false">IF(COUNTIFS($B$2:B4022,B4022,$C$2:C4022,C4022,$I$2:I4022,I4022)=1,1,0)</f>
        <v>0</v>
      </c>
      <c r="M4022" s="3" t="n">
        <f aca="false">IF(K4022&gt;=Parametri!$B$1,1,0)</f>
        <v>1</v>
      </c>
      <c r="N4022" s="3" t="n">
        <f aca="false">L4022*M4022</f>
        <v>0</v>
      </c>
    </row>
    <row r="4023" customFormat="false" ht="15" hidden="false" customHeight="false" outlineLevel="0" collapsed="false">
      <c r="A4023" s="0" t="s">
        <v>5830</v>
      </c>
      <c r="B4023" s="0" t="s">
        <v>50</v>
      </c>
      <c r="C4023" s="0" t="s">
        <v>5831</v>
      </c>
      <c r="D4023" s="0" t="s">
        <v>66</v>
      </c>
      <c r="E4023" s="2" t="n">
        <v>46256</v>
      </c>
      <c r="F4023" s="3" t="s">
        <v>20</v>
      </c>
      <c r="G4023" s="3" t="s">
        <v>89</v>
      </c>
      <c r="H4023" s="3" t="s">
        <v>44</v>
      </c>
      <c r="I4023" s="3" t="n">
        <f aca="false">YEAR(E4023)</f>
        <v>2026</v>
      </c>
      <c r="J4023" s="3" t="n">
        <f aca="false">MONTH(E4023)</f>
        <v>8</v>
      </c>
      <c r="K4023" s="3" t="n">
        <f aca="false">COUNTIFS($B$2:$B$4077,B4023,$C$2:$C$4077,C4023,$I$2:$I$4077,I4023)</f>
        <v>1</v>
      </c>
      <c r="L4023" s="3" t="n">
        <f aca="false">IF(COUNTIFS($B$2:B4023,B4023,$C$2:C4023,C4023,$I$2:I4023,I4023)=1,1,0)</f>
        <v>1</v>
      </c>
      <c r="M4023" s="3" t="n">
        <f aca="false">IF(K4023&gt;=Parametri!$B$1,1,0)</f>
        <v>0</v>
      </c>
      <c r="N4023" s="3" t="n">
        <f aca="false">L4023*M4023</f>
        <v>0</v>
      </c>
    </row>
    <row r="4024" customFormat="false" ht="15" hidden="false" customHeight="false" outlineLevel="0" collapsed="false">
      <c r="A4024" s="0" t="s">
        <v>5832</v>
      </c>
      <c r="B4024" s="0" t="s">
        <v>124</v>
      </c>
      <c r="C4024" s="0" t="s">
        <v>1574</v>
      </c>
      <c r="D4024" s="0" t="s">
        <v>33</v>
      </c>
      <c r="E4024" s="2" t="n">
        <v>45409</v>
      </c>
      <c r="F4024" s="3" t="s">
        <v>20</v>
      </c>
      <c r="G4024" s="3" t="s">
        <v>72</v>
      </c>
      <c r="H4024" s="3" t="s">
        <v>22</v>
      </c>
      <c r="I4024" s="3" t="n">
        <f aca="false">YEAR(E4024)</f>
        <v>2024</v>
      </c>
      <c r="J4024" s="3" t="n">
        <f aca="false">MONTH(E4024)</f>
        <v>4</v>
      </c>
      <c r="K4024" s="3" t="n">
        <f aca="false">COUNTIFS($B$2:$B$4077,B4024,$C$2:$C$4077,C4024,$I$2:$I$4077,I4024)</f>
        <v>4</v>
      </c>
      <c r="L4024" s="3" t="n">
        <f aca="false">IF(COUNTIFS($B$2:B4024,B4024,$C$2:C4024,C4024,$I$2:I4024,I4024)=1,1,0)</f>
        <v>0</v>
      </c>
      <c r="M4024" s="3" t="n">
        <f aca="false">IF(K4024&gt;=Parametri!$B$1,1,0)</f>
        <v>1</v>
      </c>
      <c r="N4024" s="3" t="n">
        <f aca="false">L4024*M4024</f>
        <v>0</v>
      </c>
    </row>
    <row r="4025" customFormat="false" ht="15" hidden="false" customHeight="false" outlineLevel="0" collapsed="false">
      <c r="A4025" s="0" t="s">
        <v>5833</v>
      </c>
      <c r="B4025" s="0" t="s">
        <v>17</v>
      </c>
      <c r="C4025" s="0" t="s">
        <v>2855</v>
      </c>
      <c r="D4025" s="0" t="s">
        <v>19</v>
      </c>
      <c r="E4025" s="2" t="n">
        <v>45894</v>
      </c>
      <c r="F4025" s="3" t="s">
        <v>20</v>
      </c>
      <c r="G4025" s="3" t="s">
        <v>28</v>
      </c>
      <c r="H4025" s="3" t="s">
        <v>29</v>
      </c>
      <c r="I4025" s="3" t="n">
        <f aca="false">YEAR(E4025)</f>
        <v>2025</v>
      </c>
      <c r="J4025" s="3" t="n">
        <f aca="false">MONTH(E4025)</f>
        <v>8</v>
      </c>
      <c r="K4025" s="3" t="n">
        <f aca="false">COUNTIFS($B$2:$B$4077,B4025,$C$2:$C$4077,C4025,$I$2:$I$4077,I4025)</f>
        <v>2</v>
      </c>
      <c r="L4025" s="3" t="n">
        <f aca="false">IF(COUNTIFS($B$2:B4025,B4025,$C$2:C4025,C4025,$I$2:I4025,I4025)=1,1,0)</f>
        <v>0</v>
      </c>
      <c r="M4025" s="3" t="n">
        <f aca="false">IF(K4025&gt;=Parametri!$B$1,1,0)</f>
        <v>1</v>
      </c>
      <c r="N4025" s="3" t="n">
        <f aca="false">L4025*M4025</f>
        <v>0</v>
      </c>
    </row>
    <row r="4026" customFormat="false" ht="15" hidden="false" customHeight="false" outlineLevel="0" collapsed="false">
      <c r="A4026" s="0" t="s">
        <v>5834</v>
      </c>
      <c r="B4026" s="0" t="s">
        <v>24</v>
      </c>
      <c r="C4026" s="0" t="s">
        <v>25</v>
      </c>
      <c r="D4026" s="0" t="s">
        <v>77</v>
      </c>
      <c r="E4026" s="2" t="n">
        <v>45460</v>
      </c>
      <c r="F4026" s="3" t="s">
        <v>20</v>
      </c>
      <c r="G4026" s="3" t="s">
        <v>39</v>
      </c>
      <c r="H4026" s="3" t="s">
        <v>44</v>
      </c>
      <c r="I4026" s="3" t="n">
        <f aca="false">YEAR(E4026)</f>
        <v>2024</v>
      </c>
      <c r="J4026" s="3" t="n">
        <f aca="false">MONTH(E4026)</f>
        <v>6</v>
      </c>
      <c r="K4026" s="3" t="n">
        <f aca="false">COUNTIFS($B$2:$B$4077,B4026,$C$2:$C$4077,C4026,$I$2:$I$4077,I4026)</f>
        <v>5</v>
      </c>
      <c r="L4026" s="3" t="n">
        <f aca="false">IF(COUNTIFS($B$2:B4026,B4026,$C$2:C4026,C4026,$I$2:I4026,I4026)=1,1,0)</f>
        <v>0</v>
      </c>
      <c r="M4026" s="3" t="n">
        <f aca="false">IF(K4026&gt;=Parametri!$B$1,1,0)</f>
        <v>1</v>
      </c>
      <c r="N4026" s="3" t="n">
        <f aca="false">L4026*M4026</f>
        <v>0</v>
      </c>
    </row>
    <row r="4027" customFormat="false" ht="15" hidden="false" customHeight="false" outlineLevel="0" collapsed="false">
      <c r="A4027" s="0" t="s">
        <v>5835</v>
      </c>
      <c r="B4027" s="0" t="s">
        <v>50</v>
      </c>
      <c r="C4027" s="0" t="s">
        <v>4750</v>
      </c>
      <c r="D4027" s="0" t="s">
        <v>19</v>
      </c>
      <c r="E4027" s="2" t="n">
        <v>45748</v>
      </c>
      <c r="F4027" s="3" t="s">
        <v>34</v>
      </c>
      <c r="G4027" s="3" t="s">
        <v>28</v>
      </c>
      <c r="H4027" s="3" t="s">
        <v>44</v>
      </c>
      <c r="I4027" s="3" t="n">
        <f aca="false">YEAR(E4027)</f>
        <v>2025</v>
      </c>
      <c r="J4027" s="3" t="n">
        <f aca="false">MONTH(E4027)</f>
        <v>4</v>
      </c>
      <c r="K4027" s="3" t="n">
        <f aca="false">COUNTIFS($B$2:$B$4077,B4027,$C$2:$C$4077,C4027,$I$2:$I$4077,I4027)</f>
        <v>1</v>
      </c>
      <c r="L4027" s="3" t="n">
        <f aca="false">IF(COUNTIFS($B$2:B4027,B4027,$C$2:C4027,C4027,$I$2:I4027,I4027)=1,1,0)</f>
        <v>1</v>
      </c>
      <c r="M4027" s="3" t="n">
        <f aca="false">IF(K4027&gt;=Parametri!$B$1,1,0)</f>
        <v>0</v>
      </c>
      <c r="N4027" s="3" t="n">
        <f aca="false">L4027*M4027</f>
        <v>0</v>
      </c>
    </row>
    <row r="4028" customFormat="false" ht="15" hidden="false" customHeight="false" outlineLevel="0" collapsed="false">
      <c r="A4028" s="0" t="s">
        <v>5836</v>
      </c>
      <c r="B4028" s="0" t="s">
        <v>57</v>
      </c>
      <c r="C4028" s="0" t="s">
        <v>2688</v>
      </c>
      <c r="D4028" s="0" t="s">
        <v>66</v>
      </c>
      <c r="E4028" s="2" t="n">
        <v>45865</v>
      </c>
      <c r="F4028" s="3" t="s">
        <v>20</v>
      </c>
      <c r="G4028" s="3" t="s">
        <v>28</v>
      </c>
      <c r="H4028" s="3" t="s">
        <v>22</v>
      </c>
      <c r="I4028" s="3" t="n">
        <f aca="false">YEAR(E4028)</f>
        <v>2025</v>
      </c>
      <c r="J4028" s="3" t="n">
        <f aca="false">MONTH(E4028)</f>
        <v>7</v>
      </c>
      <c r="K4028" s="3" t="n">
        <f aca="false">COUNTIFS($B$2:$B$4077,B4028,$C$2:$C$4077,C4028,$I$2:$I$4077,I4028)</f>
        <v>3</v>
      </c>
      <c r="L4028" s="3" t="n">
        <f aca="false">IF(COUNTIFS($B$2:B4028,B4028,$C$2:C4028,C4028,$I$2:I4028,I4028)=1,1,0)</f>
        <v>0</v>
      </c>
      <c r="M4028" s="3" t="n">
        <f aca="false">IF(K4028&gt;=Parametri!$B$1,1,0)</f>
        <v>1</v>
      </c>
      <c r="N4028" s="3" t="n">
        <f aca="false">L4028*M4028</f>
        <v>0</v>
      </c>
    </row>
    <row r="4029" customFormat="false" ht="15" hidden="false" customHeight="false" outlineLevel="0" collapsed="false">
      <c r="A4029" s="0" t="s">
        <v>5837</v>
      </c>
      <c r="B4029" s="0" t="s">
        <v>24</v>
      </c>
      <c r="C4029" s="0" t="s">
        <v>4746</v>
      </c>
      <c r="D4029" s="0" t="s">
        <v>26</v>
      </c>
      <c r="E4029" s="2" t="n">
        <v>45567</v>
      </c>
      <c r="F4029" s="3" t="s">
        <v>20</v>
      </c>
      <c r="G4029" s="3" t="s">
        <v>39</v>
      </c>
      <c r="H4029" s="3" t="s">
        <v>44</v>
      </c>
      <c r="I4029" s="3" t="n">
        <f aca="false">YEAR(E4029)</f>
        <v>2024</v>
      </c>
      <c r="J4029" s="3" t="n">
        <f aca="false">MONTH(E4029)</f>
        <v>10</v>
      </c>
      <c r="K4029" s="3" t="n">
        <f aca="false">COUNTIFS($B$2:$B$4077,B4029,$C$2:$C$4077,C4029,$I$2:$I$4077,I4029)</f>
        <v>2</v>
      </c>
      <c r="L4029" s="3" t="n">
        <f aca="false">IF(COUNTIFS($B$2:B4029,B4029,$C$2:C4029,C4029,$I$2:I4029,I4029)=1,1,0)</f>
        <v>0</v>
      </c>
      <c r="M4029" s="3" t="n">
        <f aca="false">IF(K4029&gt;=Parametri!$B$1,1,0)</f>
        <v>1</v>
      </c>
      <c r="N4029" s="3" t="n">
        <f aca="false">L4029*M4029</f>
        <v>0</v>
      </c>
    </row>
    <row r="4030" customFormat="false" ht="15" hidden="false" customHeight="false" outlineLevel="0" collapsed="false">
      <c r="A4030" s="0" t="s">
        <v>5838</v>
      </c>
      <c r="B4030" s="0" t="s">
        <v>57</v>
      </c>
      <c r="C4030" s="0" t="s">
        <v>583</v>
      </c>
      <c r="D4030" s="0" t="s">
        <v>66</v>
      </c>
      <c r="E4030" s="2" t="n">
        <v>45993</v>
      </c>
      <c r="F4030" s="3" t="s">
        <v>104</v>
      </c>
      <c r="G4030" s="3" t="s">
        <v>104</v>
      </c>
      <c r="H4030" s="3" t="s">
        <v>104</v>
      </c>
      <c r="I4030" s="3" t="n">
        <f aca="false">YEAR(E4030)</f>
        <v>2025</v>
      </c>
      <c r="J4030" s="3" t="n">
        <f aca="false">MONTH(E4030)</f>
        <v>12</v>
      </c>
      <c r="K4030" s="3" t="n">
        <f aca="false">COUNTIFS($B$2:$B$4077,B4030,$C$2:$C$4077,C4030,$I$2:$I$4077,I4030)</f>
        <v>4</v>
      </c>
      <c r="L4030" s="3" t="n">
        <f aca="false">IF(COUNTIFS($B$2:B4030,B4030,$C$2:C4030,C4030,$I$2:I4030,I4030)=1,1,0)</f>
        <v>0</v>
      </c>
      <c r="M4030" s="3" t="n">
        <f aca="false">IF(K4030&gt;=Parametri!$B$1,1,0)</f>
        <v>1</v>
      </c>
      <c r="N4030" s="3" t="n">
        <f aca="false">L4030*M4030</f>
        <v>0</v>
      </c>
    </row>
    <row r="4031" customFormat="false" ht="15" hidden="false" customHeight="false" outlineLevel="0" collapsed="false">
      <c r="A4031" s="0" t="s">
        <v>5839</v>
      </c>
      <c r="B4031" s="0" t="s">
        <v>46</v>
      </c>
      <c r="C4031" s="0" t="s">
        <v>5840</v>
      </c>
      <c r="D4031" s="0" t="s">
        <v>33</v>
      </c>
      <c r="E4031" s="2" t="n">
        <v>45336</v>
      </c>
      <c r="F4031" s="3" t="s">
        <v>20</v>
      </c>
      <c r="G4031" s="3" t="s">
        <v>21</v>
      </c>
      <c r="H4031" s="3" t="s">
        <v>48</v>
      </c>
      <c r="I4031" s="3" t="n">
        <f aca="false">YEAR(E4031)</f>
        <v>2024</v>
      </c>
      <c r="J4031" s="3" t="n">
        <f aca="false">MONTH(E4031)</f>
        <v>2</v>
      </c>
      <c r="K4031" s="3" t="n">
        <f aca="false">COUNTIFS($B$2:$B$4077,B4031,$C$2:$C$4077,C4031,$I$2:$I$4077,I4031)</f>
        <v>1</v>
      </c>
      <c r="L4031" s="3" t="n">
        <f aca="false">IF(COUNTIFS($B$2:B4031,B4031,$C$2:C4031,C4031,$I$2:I4031,I4031)=1,1,0)</f>
        <v>1</v>
      </c>
      <c r="M4031" s="3" t="n">
        <f aca="false">IF(K4031&gt;=Parametri!$B$1,1,0)</f>
        <v>0</v>
      </c>
      <c r="N4031" s="3" t="n">
        <f aca="false">L4031*M4031</f>
        <v>0</v>
      </c>
    </row>
    <row r="4032" customFormat="false" ht="15" hidden="false" customHeight="false" outlineLevel="0" collapsed="false">
      <c r="A4032" s="0" t="s">
        <v>5841</v>
      </c>
      <c r="B4032" s="0" t="s">
        <v>57</v>
      </c>
      <c r="C4032" s="0" t="s">
        <v>2286</v>
      </c>
      <c r="D4032" s="0" t="s">
        <v>19</v>
      </c>
      <c r="E4032" s="2" t="n">
        <v>45443</v>
      </c>
      <c r="F4032" s="3" t="s">
        <v>27</v>
      </c>
      <c r="G4032" s="3" t="s">
        <v>55</v>
      </c>
      <c r="H4032" s="3" t="s">
        <v>44</v>
      </c>
      <c r="I4032" s="3" t="n">
        <f aca="false">YEAR(E4032)</f>
        <v>2024</v>
      </c>
      <c r="J4032" s="3" t="n">
        <f aca="false">MONTH(E4032)</f>
        <v>5</v>
      </c>
      <c r="K4032" s="3" t="n">
        <f aca="false">COUNTIFS($B$2:$B$4077,B4032,$C$2:$C$4077,C4032,$I$2:$I$4077,I4032)</f>
        <v>1</v>
      </c>
      <c r="L4032" s="3" t="n">
        <f aca="false">IF(COUNTIFS($B$2:B4032,B4032,$C$2:C4032,C4032,$I$2:I4032,I4032)=1,1,0)</f>
        <v>1</v>
      </c>
      <c r="M4032" s="3" t="n">
        <f aca="false">IF(K4032&gt;=Parametri!$B$1,1,0)</f>
        <v>0</v>
      </c>
      <c r="N4032" s="3" t="n">
        <f aca="false">L4032*M4032</f>
        <v>0</v>
      </c>
    </row>
    <row r="4033" customFormat="false" ht="15" hidden="false" customHeight="false" outlineLevel="0" collapsed="false">
      <c r="A4033" s="0" t="s">
        <v>5842</v>
      </c>
      <c r="B4033" s="0" t="s">
        <v>79</v>
      </c>
      <c r="C4033" s="0" t="s">
        <v>570</v>
      </c>
      <c r="D4033" s="0" t="s">
        <v>63</v>
      </c>
      <c r="E4033" s="2" t="n">
        <v>45539</v>
      </c>
      <c r="F4033" s="3" t="s">
        <v>27</v>
      </c>
      <c r="G4033" s="3" t="s">
        <v>21</v>
      </c>
      <c r="H4033" s="3" t="s">
        <v>22</v>
      </c>
      <c r="I4033" s="3" t="n">
        <f aca="false">YEAR(E4033)</f>
        <v>2024</v>
      </c>
      <c r="J4033" s="3" t="n">
        <f aca="false">MONTH(E4033)</f>
        <v>9</v>
      </c>
      <c r="K4033" s="3" t="n">
        <f aca="false">COUNTIFS($B$2:$B$4077,B4033,$C$2:$C$4077,C4033,$I$2:$I$4077,I4033)</f>
        <v>2</v>
      </c>
      <c r="L4033" s="3" t="n">
        <f aca="false">IF(COUNTIFS($B$2:B4033,B4033,$C$2:C4033,C4033,$I$2:I4033,I4033)=1,1,0)</f>
        <v>0</v>
      </c>
      <c r="M4033" s="3" t="n">
        <f aca="false">IF(K4033&gt;=Parametri!$B$1,1,0)</f>
        <v>1</v>
      </c>
      <c r="N4033" s="3" t="n">
        <f aca="false">L4033*M4033</f>
        <v>0</v>
      </c>
    </row>
    <row r="4034" customFormat="false" ht="15" hidden="false" customHeight="false" outlineLevel="0" collapsed="false">
      <c r="A4034" s="0" t="s">
        <v>5843</v>
      </c>
      <c r="B4034" s="0" t="s">
        <v>50</v>
      </c>
      <c r="C4034" s="0" t="s">
        <v>5844</v>
      </c>
      <c r="D4034" s="0" t="s">
        <v>38</v>
      </c>
      <c r="E4034" s="2" t="n">
        <v>45545</v>
      </c>
      <c r="F4034" s="3" t="s">
        <v>20</v>
      </c>
      <c r="G4034" s="3" t="s">
        <v>35</v>
      </c>
      <c r="H4034" s="3" t="s">
        <v>22</v>
      </c>
      <c r="I4034" s="3" t="n">
        <f aca="false">YEAR(E4034)</f>
        <v>2024</v>
      </c>
      <c r="J4034" s="3" t="n">
        <f aca="false">MONTH(E4034)</f>
        <v>9</v>
      </c>
      <c r="K4034" s="3" t="n">
        <f aca="false">COUNTIFS($B$2:$B$4077,B4034,$C$2:$C$4077,C4034,$I$2:$I$4077,I4034)</f>
        <v>1</v>
      </c>
      <c r="L4034" s="3" t="n">
        <f aca="false">IF(COUNTIFS($B$2:B4034,B4034,$C$2:C4034,C4034,$I$2:I4034,I4034)=1,1,0)</f>
        <v>1</v>
      </c>
      <c r="M4034" s="3" t="n">
        <f aca="false">IF(K4034&gt;=Parametri!$B$1,1,0)</f>
        <v>0</v>
      </c>
      <c r="N4034" s="3" t="n">
        <f aca="false">L4034*M4034</f>
        <v>0</v>
      </c>
    </row>
    <row r="4035" customFormat="false" ht="15" hidden="false" customHeight="false" outlineLevel="0" collapsed="false">
      <c r="A4035" s="0" t="s">
        <v>5845</v>
      </c>
      <c r="B4035" s="0" t="s">
        <v>124</v>
      </c>
      <c r="C4035" s="0" t="s">
        <v>1040</v>
      </c>
      <c r="D4035" s="0" t="s">
        <v>33</v>
      </c>
      <c r="E4035" s="2" t="n">
        <v>45418</v>
      </c>
      <c r="F4035" s="3" t="s">
        <v>20</v>
      </c>
      <c r="G4035" s="3" t="s">
        <v>35</v>
      </c>
      <c r="H4035" s="3" t="s">
        <v>29</v>
      </c>
      <c r="I4035" s="3" t="n">
        <f aca="false">YEAR(E4035)</f>
        <v>2024</v>
      </c>
      <c r="J4035" s="3" t="n">
        <f aca="false">MONTH(E4035)</f>
        <v>5</v>
      </c>
      <c r="K4035" s="3" t="n">
        <f aca="false">COUNTIFS($B$2:$B$4077,B4035,$C$2:$C$4077,C4035,$I$2:$I$4077,I4035)</f>
        <v>4</v>
      </c>
      <c r="L4035" s="3" t="n">
        <f aca="false">IF(COUNTIFS($B$2:B4035,B4035,$C$2:C4035,C4035,$I$2:I4035,I4035)=1,1,0)</f>
        <v>0</v>
      </c>
      <c r="M4035" s="3" t="n">
        <f aca="false">IF(K4035&gt;=Parametri!$B$1,1,0)</f>
        <v>1</v>
      </c>
      <c r="N4035" s="3" t="n">
        <f aca="false">L4035*M4035</f>
        <v>0</v>
      </c>
    </row>
    <row r="4036" customFormat="false" ht="15" hidden="false" customHeight="false" outlineLevel="0" collapsed="false">
      <c r="A4036" s="0" t="s">
        <v>5846</v>
      </c>
      <c r="B4036" s="0" t="s">
        <v>50</v>
      </c>
      <c r="C4036" s="0" t="s">
        <v>3429</v>
      </c>
      <c r="D4036" s="0" t="s">
        <v>19</v>
      </c>
      <c r="E4036" s="2" t="n">
        <v>45527</v>
      </c>
      <c r="F4036" s="3" t="s">
        <v>20</v>
      </c>
      <c r="G4036" s="3" t="s">
        <v>89</v>
      </c>
      <c r="H4036" s="3" t="s">
        <v>29</v>
      </c>
      <c r="I4036" s="3" t="n">
        <f aca="false">YEAR(E4036)</f>
        <v>2024</v>
      </c>
      <c r="J4036" s="3" t="n">
        <f aca="false">MONTH(E4036)</f>
        <v>8</v>
      </c>
      <c r="K4036" s="3" t="n">
        <f aca="false">COUNTIFS($B$2:$B$4077,B4036,$C$2:$C$4077,C4036,$I$2:$I$4077,I4036)</f>
        <v>2</v>
      </c>
      <c r="L4036" s="3" t="n">
        <f aca="false">IF(COUNTIFS($B$2:B4036,B4036,$C$2:C4036,C4036,$I$2:I4036,I4036)=1,1,0)</f>
        <v>0</v>
      </c>
      <c r="M4036" s="3" t="n">
        <f aca="false">IF(K4036&gt;=Parametri!$B$1,1,0)</f>
        <v>1</v>
      </c>
      <c r="N4036" s="3" t="n">
        <f aca="false">L4036*M4036</f>
        <v>0</v>
      </c>
    </row>
    <row r="4037" customFormat="false" ht="15" hidden="false" customHeight="false" outlineLevel="0" collapsed="false">
      <c r="A4037" s="0" t="s">
        <v>5847</v>
      </c>
      <c r="B4037" s="0" t="s">
        <v>41</v>
      </c>
      <c r="C4037" s="0" t="s">
        <v>493</v>
      </c>
      <c r="D4037" s="0" t="s">
        <v>66</v>
      </c>
      <c r="E4037" s="2" t="n">
        <v>45909</v>
      </c>
      <c r="F4037" s="3" t="s">
        <v>20</v>
      </c>
      <c r="G4037" s="3" t="s">
        <v>35</v>
      </c>
      <c r="H4037" s="3" t="s">
        <v>22</v>
      </c>
      <c r="I4037" s="3" t="n">
        <f aca="false">YEAR(E4037)</f>
        <v>2025</v>
      </c>
      <c r="J4037" s="3" t="n">
        <f aca="false">MONTH(E4037)</f>
        <v>9</v>
      </c>
      <c r="K4037" s="3" t="n">
        <f aca="false">COUNTIFS($B$2:$B$4077,B4037,$C$2:$C$4077,C4037,$I$2:$I$4077,I4037)</f>
        <v>4</v>
      </c>
      <c r="L4037" s="3" t="n">
        <f aca="false">IF(COUNTIFS($B$2:B4037,B4037,$C$2:C4037,C4037,$I$2:I4037,I4037)=1,1,0)</f>
        <v>0</v>
      </c>
      <c r="M4037" s="3" t="n">
        <f aca="false">IF(K4037&gt;=Parametri!$B$1,1,0)</f>
        <v>1</v>
      </c>
      <c r="N4037" s="3" t="n">
        <f aca="false">L4037*M4037</f>
        <v>0</v>
      </c>
    </row>
    <row r="4038" customFormat="false" ht="15" hidden="false" customHeight="false" outlineLevel="0" collapsed="false">
      <c r="A4038" s="0" t="s">
        <v>5848</v>
      </c>
      <c r="B4038" s="0" t="s">
        <v>79</v>
      </c>
      <c r="C4038" s="0" t="s">
        <v>463</v>
      </c>
      <c r="D4038" s="0" t="s">
        <v>26</v>
      </c>
      <c r="E4038" s="2" t="n">
        <v>45978</v>
      </c>
      <c r="F4038" s="3" t="s">
        <v>20</v>
      </c>
      <c r="G4038" s="3" t="s">
        <v>21</v>
      </c>
      <c r="H4038" s="3" t="s">
        <v>48</v>
      </c>
      <c r="I4038" s="3" t="n">
        <f aca="false">YEAR(E4038)</f>
        <v>2025</v>
      </c>
      <c r="J4038" s="3" t="n">
        <f aca="false">MONTH(E4038)</f>
        <v>11</v>
      </c>
      <c r="K4038" s="3" t="n">
        <f aca="false">COUNTIFS($B$2:$B$4077,B4038,$C$2:$C$4077,C4038,$I$2:$I$4077,I4038)</f>
        <v>2</v>
      </c>
      <c r="L4038" s="3" t="n">
        <f aca="false">IF(COUNTIFS($B$2:B4038,B4038,$C$2:C4038,C4038,$I$2:I4038,I4038)=1,1,0)</f>
        <v>0</v>
      </c>
      <c r="M4038" s="3" t="n">
        <f aca="false">IF(K4038&gt;=Parametri!$B$1,1,0)</f>
        <v>1</v>
      </c>
      <c r="N4038" s="3" t="n">
        <f aca="false">L4038*M4038</f>
        <v>0</v>
      </c>
    </row>
    <row r="4039" customFormat="false" ht="15" hidden="false" customHeight="false" outlineLevel="0" collapsed="false">
      <c r="A4039" s="0" t="s">
        <v>5849</v>
      </c>
      <c r="B4039" s="0" t="s">
        <v>41</v>
      </c>
      <c r="C4039" s="0" t="s">
        <v>598</v>
      </c>
      <c r="D4039" s="0" t="s">
        <v>77</v>
      </c>
      <c r="E4039" s="2" t="n">
        <v>46130</v>
      </c>
      <c r="F4039" s="3" t="s">
        <v>20</v>
      </c>
      <c r="G4039" s="3" t="s">
        <v>72</v>
      </c>
      <c r="H4039" s="3" t="s">
        <v>29</v>
      </c>
      <c r="I4039" s="3" t="n">
        <f aca="false">YEAR(E4039)</f>
        <v>2026</v>
      </c>
      <c r="J4039" s="3" t="n">
        <f aca="false">MONTH(E4039)</f>
        <v>4</v>
      </c>
      <c r="K4039" s="3" t="n">
        <f aca="false">COUNTIFS($B$2:$B$4077,B4039,$C$2:$C$4077,C4039,$I$2:$I$4077,I4039)</f>
        <v>4</v>
      </c>
      <c r="L4039" s="3" t="n">
        <f aca="false">IF(COUNTIFS($B$2:B4039,B4039,$C$2:C4039,C4039,$I$2:I4039,I4039)=1,1,0)</f>
        <v>0</v>
      </c>
      <c r="M4039" s="3" t="n">
        <f aca="false">IF(K4039&gt;=Parametri!$B$1,1,0)</f>
        <v>1</v>
      </c>
      <c r="N4039" s="3" t="n">
        <f aca="false">L4039*M4039</f>
        <v>0</v>
      </c>
    </row>
    <row r="4040" customFormat="false" ht="15" hidden="false" customHeight="false" outlineLevel="0" collapsed="false">
      <c r="A4040" s="0" t="s">
        <v>5850</v>
      </c>
      <c r="B4040" s="0" t="s">
        <v>41</v>
      </c>
      <c r="C4040" s="0" t="s">
        <v>343</v>
      </c>
      <c r="D4040" s="0" t="s">
        <v>33</v>
      </c>
      <c r="E4040" s="2" t="n">
        <v>45677</v>
      </c>
      <c r="F4040" s="3" t="s">
        <v>20</v>
      </c>
      <c r="G4040" s="3" t="s">
        <v>35</v>
      </c>
      <c r="H4040" s="3" t="s">
        <v>29</v>
      </c>
      <c r="I4040" s="3" t="n">
        <f aca="false">YEAR(E4040)</f>
        <v>2025</v>
      </c>
      <c r="J4040" s="3" t="n">
        <f aca="false">MONTH(E4040)</f>
        <v>1</v>
      </c>
      <c r="K4040" s="3" t="n">
        <f aca="false">COUNTIFS($B$2:$B$4077,B4040,$C$2:$C$4077,C4040,$I$2:$I$4077,I4040)</f>
        <v>7</v>
      </c>
      <c r="L4040" s="3" t="n">
        <f aca="false">IF(COUNTIFS($B$2:B4040,B4040,$C$2:C4040,C4040,$I$2:I4040,I4040)=1,1,0)</f>
        <v>0</v>
      </c>
      <c r="M4040" s="3" t="n">
        <f aca="false">IF(K4040&gt;=Parametri!$B$1,1,0)</f>
        <v>1</v>
      </c>
      <c r="N4040" s="3" t="n">
        <f aca="false">L4040*M4040</f>
        <v>0</v>
      </c>
    </row>
    <row r="4041" customFormat="false" ht="15" hidden="false" customHeight="false" outlineLevel="0" collapsed="false">
      <c r="A4041" s="0" t="s">
        <v>5851</v>
      </c>
      <c r="B4041" s="0" t="s">
        <v>31</v>
      </c>
      <c r="C4041" s="0" t="s">
        <v>3016</v>
      </c>
      <c r="D4041" s="0" t="s">
        <v>19</v>
      </c>
      <c r="E4041" s="2" t="n">
        <v>45666</v>
      </c>
      <c r="F4041" s="3" t="s">
        <v>20</v>
      </c>
      <c r="G4041" s="3" t="s">
        <v>43</v>
      </c>
      <c r="H4041" s="3" t="s">
        <v>22</v>
      </c>
      <c r="I4041" s="3" t="n">
        <f aca="false">YEAR(E4041)</f>
        <v>2025</v>
      </c>
      <c r="J4041" s="3" t="n">
        <f aca="false">MONTH(E4041)</f>
        <v>1</v>
      </c>
      <c r="K4041" s="3" t="n">
        <f aca="false">COUNTIFS($B$2:$B$4077,B4041,$C$2:$C$4077,C4041,$I$2:$I$4077,I4041)</f>
        <v>2</v>
      </c>
      <c r="L4041" s="3" t="n">
        <f aca="false">IF(COUNTIFS($B$2:B4041,B4041,$C$2:C4041,C4041,$I$2:I4041,I4041)=1,1,0)</f>
        <v>0</v>
      </c>
      <c r="M4041" s="3" t="n">
        <f aca="false">IF(K4041&gt;=Parametri!$B$1,1,0)</f>
        <v>1</v>
      </c>
      <c r="N4041" s="3" t="n">
        <f aca="false">L4041*M4041</f>
        <v>0</v>
      </c>
    </row>
    <row r="4042" customFormat="false" ht="15" hidden="false" customHeight="false" outlineLevel="0" collapsed="false">
      <c r="A4042" s="0" t="s">
        <v>5852</v>
      </c>
      <c r="B4042" s="0" t="s">
        <v>124</v>
      </c>
      <c r="C4042" s="0" t="s">
        <v>5853</v>
      </c>
      <c r="D4042" s="0" t="s">
        <v>26</v>
      </c>
      <c r="E4042" s="2" t="n">
        <v>45598</v>
      </c>
      <c r="F4042" s="3" t="s">
        <v>20</v>
      </c>
      <c r="G4042" s="3" t="s">
        <v>21</v>
      </c>
      <c r="H4042" s="3" t="s">
        <v>29</v>
      </c>
      <c r="I4042" s="3" t="n">
        <f aca="false">YEAR(E4042)</f>
        <v>2024</v>
      </c>
      <c r="J4042" s="3" t="n">
        <f aca="false">MONTH(E4042)</f>
        <v>11</v>
      </c>
      <c r="K4042" s="3" t="n">
        <f aca="false">COUNTIFS($B$2:$B$4077,B4042,$C$2:$C$4077,C4042,$I$2:$I$4077,I4042)</f>
        <v>1</v>
      </c>
      <c r="L4042" s="3" t="n">
        <f aca="false">IF(COUNTIFS($B$2:B4042,B4042,$C$2:C4042,C4042,$I$2:I4042,I4042)=1,1,0)</f>
        <v>1</v>
      </c>
      <c r="M4042" s="3" t="n">
        <f aca="false">IF(K4042&gt;=Parametri!$B$1,1,0)</f>
        <v>0</v>
      </c>
      <c r="N4042" s="3" t="n">
        <f aca="false">L4042*M4042</f>
        <v>0</v>
      </c>
    </row>
    <row r="4043" customFormat="false" ht="15" hidden="false" customHeight="false" outlineLevel="0" collapsed="false">
      <c r="A4043" s="0" t="s">
        <v>5854</v>
      </c>
      <c r="B4043" s="0" t="s">
        <v>31</v>
      </c>
      <c r="C4043" s="0" t="s">
        <v>5128</v>
      </c>
      <c r="D4043" s="0" t="s">
        <v>38</v>
      </c>
      <c r="E4043" s="2" t="n">
        <v>45751</v>
      </c>
      <c r="F4043" s="3" t="s">
        <v>27</v>
      </c>
      <c r="G4043" s="3" t="s">
        <v>89</v>
      </c>
      <c r="H4043" s="3" t="s">
        <v>29</v>
      </c>
      <c r="I4043" s="3" t="n">
        <f aca="false">YEAR(E4043)</f>
        <v>2025</v>
      </c>
      <c r="J4043" s="3" t="n">
        <f aca="false">MONTH(E4043)</f>
        <v>4</v>
      </c>
      <c r="K4043" s="3" t="n">
        <f aca="false">COUNTIFS($B$2:$B$4077,B4043,$C$2:$C$4077,C4043,$I$2:$I$4077,I4043)</f>
        <v>1</v>
      </c>
      <c r="L4043" s="3" t="n">
        <f aca="false">IF(COUNTIFS($B$2:B4043,B4043,$C$2:C4043,C4043,$I$2:I4043,I4043)=1,1,0)</f>
        <v>1</v>
      </c>
      <c r="M4043" s="3" t="n">
        <f aca="false">IF(K4043&gt;=Parametri!$B$1,1,0)</f>
        <v>0</v>
      </c>
      <c r="N4043" s="3" t="n">
        <f aca="false">L4043*M4043</f>
        <v>0</v>
      </c>
    </row>
    <row r="4044" customFormat="false" ht="15" hidden="false" customHeight="false" outlineLevel="0" collapsed="false">
      <c r="A4044" s="0" t="s">
        <v>5855</v>
      </c>
      <c r="B4044" s="0" t="s">
        <v>57</v>
      </c>
      <c r="C4044" s="0" t="s">
        <v>911</v>
      </c>
      <c r="D4044" s="0" t="s">
        <v>54</v>
      </c>
      <c r="E4044" s="2" t="n">
        <v>45415</v>
      </c>
      <c r="F4044" s="3" t="s">
        <v>20</v>
      </c>
      <c r="G4044" s="3" t="s">
        <v>28</v>
      </c>
      <c r="H4044" s="3" t="s">
        <v>44</v>
      </c>
      <c r="I4044" s="3" t="n">
        <f aca="false">YEAR(E4044)</f>
        <v>2024</v>
      </c>
      <c r="J4044" s="3" t="n">
        <f aca="false">MONTH(E4044)</f>
        <v>5</v>
      </c>
      <c r="K4044" s="3" t="n">
        <f aca="false">COUNTIFS($B$2:$B$4077,B4044,$C$2:$C$4077,C4044,$I$2:$I$4077,I4044)</f>
        <v>1</v>
      </c>
      <c r="L4044" s="3" t="n">
        <f aca="false">IF(COUNTIFS($B$2:B4044,B4044,$C$2:C4044,C4044,$I$2:I4044,I4044)=1,1,0)</f>
        <v>1</v>
      </c>
      <c r="M4044" s="3" t="n">
        <f aca="false">IF(K4044&gt;=Parametri!$B$1,1,0)</f>
        <v>0</v>
      </c>
      <c r="N4044" s="3" t="n">
        <f aca="false">L4044*M4044</f>
        <v>0</v>
      </c>
    </row>
    <row r="4045" customFormat="false" ht="15" hidden="false" customHeight="false" outlineLevel="0" collapsed="false">
      <c r="A4045" s="0" t="s">
        <v>5856</v>
      </c>
      <c r="B4045" s="0" t="s">
        <v>79</v>
      </c>
      <c r="C4045" s="0" t="s">
        <v>190</v>
      </c>
      <c r="D4045" s="0" t="s">
        <v>33</v>
      </c>
      <c r="E4045" s="2" t="n">
        <v>46201</v>
      </c>
      <c r="F4045" s="3" t="s">
        <v>34</v>
      </c>
      <c r="G4045" s="3" t="s">
        <v>35</v>
      </c>
      <c r="H4045" s="3" t="s">
        <v>44</v>
      </c>
      <c r="I4045" s="3" t="n">
        <f aca="false">YEAR(E4045)</f>
        <v>2026</v>
      </c>
      <c r="J4045" s="3" t="n">
        <f aca="false">MONTH(E4045)</f>
        <v>6</v>
      </c>
      <c r="K4045" s="3" t="n">
        <f aca="false">COUNTIFS($B$2:$B$4077,B4045,$C$2:$C$4077,C4045,$I$2:$I$4077,I4045)</f>
        <v>3</v>
      </c>
      <c r="L4045" s="3" t="n">
        <f aca="false">IF(COUNTIFS($B$2:B4045,B4045,$C$2:C4045,C4045,$I$2:I4045,I4045)=1,1,0)</f>
        <v>0</v>
      </c>
      <c r="M4045" s="3" t="n">
        <f aca="false">IF(K4045&gt;=Parametri!$B$1,1,0)</f>
        <v>1</v>
      </c>
      <c r="N4045" s="3" t="n">
        <f aca="false">L4045*M4045</f>
        <v>0</v>
      </c>
    </row>
    <row r="4046" customFormat="false" ht="15" hidden="false" customHeight="false" outlineLevel="0" collapsed="false">
      <c r="A4046" s="0" t="s">
        <v>5857</v>
      </c>
      <c r="B4046" s="0" t="s">
        <v>68</v>
      </c>
      <c r="C4046" s="0" t="s">
        <v>840</v>
      </c>
      <c r="D4046" s="0" t="s">
        <v>38</v>
      </c>
      <c r="E4046" s="2" t="n">
        <v>45763</v>
      </c>
      <c r="F4046" s="3" t="s">
        <v>20</v>
      </c>
      <c r="G4046" s="3" t="s">
        <v>72</v>
      </c>
      <c r="H4046" s="3" t="s">
        <v>48</v>
      </c>
      <c r="I4046" s="3" t="n">
        <f aca="false">YEAR(E4046)</f>
        <v>2025</v>
      </c>
      <c r="J4046" s="3" t="n">
        <f aca="false">MONTH(E4046)</f>
        <v>4</v>
      </c>
      <c r="K4046" s="3" t="n">
        <f aca="false">COUNTIFS($B$2:$B$4077,B4046,$C$2:$C$4077,C4046,$I$2:$I$4077,I4046)</f>
        <v>2</v>
      </c>
      <c r="L4046" s="3" t="n">
        <f aca="false">IF(COUNTIFS($B$2:B4046,B4046,$C$2:C4046,C4046,$I$2:I4046,I4046)=1,1,0)</f>
        <v>0</v>
      </c>
      <c r="M4046" s="3" t="n">
        <f aca="false">IF(K4046&gt;=Parametri!$B$1,1,0)</f>
        <v>1</v>
      </c>
      <c r="N4046" s="3" t="n">
        <f aca="false">L4046*M4046</f>
        <v>0</v>
      </c>
    </row>
    <row r="4047" customFormat="false" ht="15" hidden="false" customHeight="false" outlineLevel="0" collapsed="false">
      <c r="A4047" s="0" t="s">
        <v>5858</v>
      </c>
      <c r="B4047" s="0" t="s">
        <v>17</v>
      </c>
      <c r="C4047" s="0" t="s">
        <v>3938</v>
      </c>
      <c r="D4047" s="0" t="s">
        <v>26</v>
      </c>
      <c r="E4047" s="2" t="n">
        <v>45881</v>
      </c>
      <c r="F4047" s="3" t="s">
        <v>20</v>
      </c>
      <c r="G4047" s="3" t="s">
        <v>35</v>
      </c>
      <c r="H4047" s="3" t="s">
        <v>29</v>
      </c>
      <c r="I4047" s="3" t="n">
        <f aca="false">YEAR(E4047)</f>
        <v>2025</v>
      </c>
      <c r="J4047" s="3" t="n">
        <f aca="false">MONTH(E4047)</f>
        <v>8</v>
      </c>
      <c r="K4047" s="3" t="n">
        <f aca="false">COUNTIFS($B$2:$B$4077,B4047,$C$2:$C$4077,C4047,$I$2:$I$4077,I4047)</f>
        <v>1</v>
      </c>
      <c r="L4047" s="3" t="n">
        <f aca="false">IF(COUNTIFS($B$2:B4047,B4047,$C$2:C4047,C4047,$I$2:I4047,I4047)=1,1,0)</f>
        <v>1</v>
      </c>
      <c r="M4047" s="3" t="n">
        <f aca="false">IF(K4047&gt;=Parametri!$B$1,1,0)</f>
        <v>0</v>
      </c>
      <c r="N4047" s="3" t="n">
        <f aca="false">L4047*M4047</f>
        <v>0</v>
      </c>
    </row>
    <row r="4048" customFormat="false" ht="15" hidden="false" customHeight="false" outlineLevel="0" collapsed="false">
      <c r="A4048" s="0" t="s">
        <v>5859</v>
      </c>
      <c r="B4048" s="0" t="s">
        <v>124</v>
      </c>
      <c r="C4048" s="0" t="s">
        <v>929</v>
      </c>
      <c r="D4048" s="0" t="s">
        <v>33</v>
      </c>
      <c r="E4048" s="2" t="n">
        <v>45481</v>
      </c>
      <c r="F4048" s="3" t="s">
        <v>20</v>
      </c>
      <c r="G4048" s="3" t="s">
        <v>55</v>
      </c>
      <c r="H4048" s="3" t="s">
        <v>29</v>
      </c>
      <c r="I4048" s="3" t="n">
        <f aca="false">YEAR(E4048)</f>
        <v>2024</v>
      </c>
      <c r="J4048" s="3" t="n">
        <f aca="false">MONTH(E4048)</f>
        <v>7</v>
      </c>
      <c r="K4048" s="3" t="n">
        <f aca="false">COUNTIFS($B$2:$B$4077,B4048,$C$2:$C$4077,C4048,$I$2:$I$4077,I4048)</f>
        <v>1</v>
      </c>
      <c r="L4048" s="3" t="n">
        <f aca="false">IF(COUNTIFS($B$2:B4048,B4048,$C$2:C4048,C4048,$I$2:I4048,I4048)=1,1,0)</f>
        <v>1</v>
      </c>
      <c r="M4048" s="3" t="n">
        <f aca="false">IF(K4048&gt;=Parametri!$B$1,1,0)</f>
        <v>0</v>
      </c>
      <c r="N4048" s="3" t="n">
        <f aca="false">L4048*M4048</f>
        <v>0</v>
      </c>
    </row>
    <row r="4049" customFormat="false" ht="15" hidden="false" customHeight="false" outlineLevel="0" collapsed="false">
      <c r="A4049" s="0" t="s">
        <v>5860</v>
      </c>
      <c r="B4049" s="0" t="s">
        <v>31</v>
      </c>
      <c r="C4049" s="0" t="s">
        <v>2150</v>
      </c>
      <c r="D4049" s="0" t="s">
        <v>19</v>
      </c>
      <c r="E4049" s="2" t="n">
        <v>45990</v>
      </c>
      <c r="F4049" s="3" t="s">
        <v>34</v>
      </c>
      <c r="G4049" s="3" t="s">
        <v>21</v>
      </c>
      <c r="H4049" s="3" t="s">
        <v>22</v>
      </c>
      <c r="I4049" s="3" t="n">
        <f aca="false">YEAR(E4049)</f>
        <v>2025</v>
      </c>
      <c r="J4049" s="3" t="n">
        <f aca="false">MONTH(E4049)</f>
        <v>11</v>
      </c>
      <c r="K4049" s="3" t="n">
        <f aca="false">COUNTIFS($B$2:$B$4077,B4049,$C$2:$C$4077,C4049,$I$2:$I$4077,I4049)</f>
        <v>1</v>
      </c>
      <c r="L4049" s="3" t="n">
        <f aca="false">IF(COUNTIFS($B$2:B4049,B4049,$C$2:C4049,C4049,$I$2:I4049,I4049)=1,1,0)</f>
        <v>1</v>
      </c>
      <c r="M4049" s="3" t="n">
        <f aca="false">IF(K4049&gt;=Parametri!$B$1,1,0)</f>
        <v>0</v>
      </c>
      <c r="N4049" s="3" t="n">
        <f aca="false">L4049*M4049</f>
        <v>0</v>
      </c>
    </row>
    <row r="4050" customFormat="false" ht="15" hidden="false" customHeight="false" outlineLevel="0" collapsed="false">
      <c r="A4050" s="0" t="s">
        <v>5861</v>
      </c>
      <c r="B4050" s="0" t="s">
        <v>46</v>
      </c>
      <c r="C4050" s="0" t="s">
        <v>4933</v>
      </c>
      <c r="D4050" s="0" t="s">
        <v>77</v>
      </c>
      <c r="E4050" s="2" t="n">
        <v>45405</v>
      </c>
      <c r="F4050" s="3" t="s">
        <v>20</v>
      </c>
      <c r="G4050" s="3" t="s">
        <v>39</v>
      </c>
      <c r="H4050" s="3" t="s">
        <v>22</v>
      </c>
      <c r="I4050" s="3" t="n">
        <f aca="false">YEAR(E4050)</f>
        <v>2024</v>
      </c>
      <c r="J4050" s="3" t="n">
        <f aca="false">MONTH(E4050)</f>
        <v>4</v>
      </c>
      <c r="K4050" s="3" t="n">
        <f aca="false">COUNTIFS($B$2:$B$4077,B4050,$C$2:$C$4077,C4050,$I$2:$I$4077,I4050)</f>
        <v>2</v>
      </c>
      <c r="L4050" s="3" t="n">
        <f aca="false">IF(COUNTIFS($B$2:B4050,B4050,$C$2:C4050,C4050,$I$2:I4050,I4050)=1,1,0)</f>
        <v>0</v>
      </c>
      <c r="M4050" s="3" t="n">
        <f aca="false">IF(K4050&gt;=Parametri!$B$1,1,0)</f>
        <v>1</v>
      </c>
      <c r="N4050" s="3" t="n">
        <f aca="false">L4050*M4050</f>
        <v>0</v>
      </c>
    </row>
    <row r="4051" customFormat="false" ht="15" hidden="false" customHeight="false" outlineLevel="0" collapsed="false">
      <c r="A4051" s="0" t="s">
        <v>5862</v>
      </c>
      <c r="B4051" s="0" t="s">
        <v>68</v>
      </c>
      <c r="C4051" s="0" t="s">
        <v>5408</v>
      </c>
      <c r="D4051" s="0" t="s">
        <v>38</v>
      </c>
      <c r="E4051" s="2" t="n">
        <v>45466</v>
      </c>
      <c r="F4051" s="3" t="s">
        <v>20</v>
      </c>
      <c r="G4051" s="3" t="s">
        <v>35</v>
      </c>
      <c r="H4051" s="3" t="s">
        <v>22</v>
      </c>
      <c r="I4051" s="3" t="n">
        <f aca="false">YEAR(E4051)</f>
        <v>2024</v>
      </c>
      <c r="J4051" s="3" t="n">
        <f aca="false">MONTH(E4051)</f>
        <v>6</v>
      </c>
      <c r="K4051" s="3" t="n">
        <f aca="false">COUNTIFS($B$2:$B$4077,B4051,$C$2:$C$4077,C4051,$I$2:$I$4077,I4051)</f>
        <v>1</v>
      </c>
      <c r="L4051" s="3" t="n">
        <f aca="false">IF(COUNTIFS($B$2:B4051,B4051,$C$2:C4051,C4051,$I$2:I4051,I4051)=1,1,0)</f>
        <v>1</v>
      </c>
      <c r="M4051" s="3" t="n">
        <f aca="false">IF(K4051&gt;=Parametri!$B$1,1,0)</f>
        <v>0</v>
      </c>
      <c r="N4051" s="3" t="n">
        <f aca="false">L4051*M4051</f>
        <v>0</v>
      </c>
    </row>
    <row r="4052" customFormat="false" ht="15" hidden="false" customHeight="false" outlineLevel="0" collapsed="false">
      <c r="A4052" s="0" t="s">
        <v>5863</v>
      </c>
      <c r="B4052" s="0" t="s">
        <v>124</v>
      </c>
      <c r="C4052" s="0" t="s">
        <v>548</v>
      </c>
      <c r="D4052" s="0" t="s">
        <v>33</v>
      </c>
      <c r="E4052" s="2" t="n">
        <v>45531</v>
      </c>
      <c r="F4052" s="3" t="s">
        <v>20</v>
      </c>
      <c r="G4052" s="3" t="s">
        <v>55</v>
      </c>
      <c r="H4052" s="3" t="s">
        <v>48</v>
      </c>
      <c r="I4052" s="3" t="n">
        <f aca="false">YEAR(E4052)</f>
        <v>2024</v>
      </c>
      <c r="J4052" s="3" t="n">
        <f aca="false">MONTH(E4052)</f>
        <v>8</v>
      </c>
      <c r="K4052" s="3" t="n">
        <f aca="false">COUNTIFS($B$2:$B$4077,B4052,$C$2:$C$4077,C4052,$I$2:$I$4077,I4052)</f>
        <v>1</v>
      </c>
      <c r="L4052" s="3" t="n">
        <f aca="false">IF(COUNTIFS($B$2:B4052,B4052,$C$2:C4052,C4052,$I$2:I4052,I4052)=1,1,0)</f>
        <v>1</v>
      </c>
      <c r="M4052" s="3" t="n">
        <f aca="false">IF(K4052&gt;=Parametri!$B$1,1,0)</f>
        <v>0</v>
      </c>
      <c r="N4052" s="3" t="n">
        <f aca="false">L4052*M4052</f>
        <v>0</v>
      </c>
    </row>
    <row r="4053" customFormat="false" ht="15" hidden="false" customHeight="false" outlineLevel="0" collapsed="false">
      <c r="A4053" s="0" t="s">
        <v>5864</v>
      </c>
      <c r="B4053" s="0" t="s">
        <v>124</v>
      </c>
      <c r="C4053" s="0" t="s">
        <v>1795</v>
      </c>
      <c r="D4053" s="0" t="s">
        <v>54</v>
      </c>
      <c r="E4053" s="2" t="n">
        <v>45621</v>
      </c>
      <c r="F4053" s="3" t="s">
        <v>20</v>
      </c>
      <c r="G4053" s="3" t="s">
        <v>28</v>
      </c>
      <c r="H4053" s="3" t="s">
        <v>22</v>
      </c>
      <c r="I4053" s="3" t="n">
        <f aca="false">YEAR(E4053)</f>
        <v>2024</v>
      </c>
      <c r="J4053" s="3" t="n">
        <f aca="false">MONTH(E4053)</f>
        <v>11</v>
      </c>
      <c r="K4053" s="3" t="n">
        <f aca="false">COUNTIFS($B$2:$B$4077,B4053,$C$2:$C$4077,C4053,$I$2:$I$4077,I4053)</f>
        <v>1</v>
      </c>
      <c r="L4053" s="3" t="n">
        <f aca="false">IF(COUNTIFS($B$2:B4053,B4053,$C$2:C4053,C4053,$I$2:I4053,I4053)=1,1,0)</f>
        <v>1</v>
      </c>
      <c r="M4053" s="3" t="n">
        <f aca="false">IF(K4053&gt;=Parametri!$B$1,1,0)</f>
        <v>0</v>
      </c>
      <c r="N4053" s="3" t="n">
        <f aca="false">L4053*M4053</f>
        <v>0</v>
      </c>
    </row>
    <row r="4054" customFormat="false" ht="15" hidden="false" customHeight="false" outlineLevel="0" collapsed="false">
      <c r="A4054" s="0" t="s">
        <v>5865</v>
      </c>
      <c r="B4054" s="0" t="s">
        <v>50</v>
      </c>
      <c r="C4054" s="0" t="s">
        <v>4307</v>
      </c>
      <c r="D4054" s="0" t="s">
        <v>38</v>
      </c>
      <c r="E4054" s="2" t="n">
        <v>45395</v>
      </c>
      <c r="F4054" s="3" t="s">
        <v>20</v>
      </c>
      <c r="G4054" s="3" t="s">
        <v>39</v>
      </c>
      <c r="H4054" s="3" t="s">
        <v>48</v>
      </c>
      <c r="I4054" s="3" t="n">
        <f aca="false">YEAR(E4054)</f>
        <v>2024</v>
      </c>
      <c r="J4054" s="3" t="n">
        <f aca="false">MONTH(E4054)</f>
        <v>4</v>
      </c>
      <c r="K4054" s="3" t="n">
        <f aca="false">COUNTIFS($B$2:$B$4077,B4054,$C$2:$C$4077,C4054,$I$2:$I$4077,I4054)</f>
        <v>1</v>
      </c>
      <c r="L4054" s="3" t="n">
        <f aca="false">IF(COUNTIFS($B$2:B4054,B4054,$C$2:C4054,C4054,$I$2:I4054,I4054)=1,1,0)</f>
        <v>1</v>
      </c>
      <c r="M4054" s="3" t="n">
        <f aca="false">IF(K4054&gt;=Parametri!$B$1,1,0)</f>
        <v>0</v>
      </c>
      <c r="N4054" s="3" t="n">
        <f aca="false">L4054*M4054</f>
        <v>0</v>
      </c>
    </row>
    <row r="4055" customFormat="false" ht="15" hidden="false" customHeight="false" outlineLevel="0" collapsed="false">
      <c r="A4055" s="0" t="s">
        <v>5866</v>
      </c>
      <c r="B4055" s="0" t="s">
        <v>57</v>
      </c>
      <c r="C4055" s="0" t="s">
        <v>5239</v>
      </c>
      <c r="D4055" s="0" t="s">
        <v>33</v>
      </c>
      <c r="E4055" s="2" t="n">
        <v>45325</v>
      </c>
      <c r="F4055" s="3" t="s">
        <v>20</v>
      </c>
      <c r="G4055" s="3" t="s">
        <v>28</v>
      </c>
      <c r="H4055" s="3" t="s">
        <v>29</v>
      </c>
      <c r="I4055" s="3" t="n">
        <f aca="false">YEAR(E4055)</f>
        <v>2024</v>
      </c>
      <c r="J4055" s="3" t="n">
        <f aca="false">MONTH(E4055)</f>
        <v>2</v>
      </c>
      <c r="K4055" s="3" t="n">
        <f aca="false">COUNTIFS($B$2:$B$4077,B4055,$C$2:$C$4077,C4055,$I$2:$I$4077,I4055)</f>
        <v>1</v>
      </c>
      <c r="L4055" s="3" t="n">
        <f aca="false">IF(COUNTIFS($B$2:B4055,B4055,$C$2:C4055,C4055,$I$2:I4055,I4055)=1,1,0)</f>
        <v>1</v>
      </c>
      <c r="M4055" s="3" t="n">
        <f aca="false">IF(K4055&gt;=Parametri!$B$1,1,0)</f>
        <v>0</v>
      </c>
      <c r="N4055" s="3" t="n">
        <f aca="false">L4055*M4055</f>
        <v>0</v>
      </c>
    </row>
    <row r="4056" customFormat="false" ht="15" hidden="false" customHeight="false" outlineLevel="0" collapsed="false">
      <c r="A4056" s="0" t="s">
        <v>5867</v>
      </c>
      <c r="B4056" s="0" t="s">
        <v>50</v>
      </c>
      <c r="C4056" s="0" t="s">
        <v>5868</v>
      </c>
      <c r="D4056" s="0" t="s">
        <v>77</v>
      </c>
      <c r="E4056" s="2" t="n">
        <v>45627</v>
      </c>
      <c r="F4056" s="3" t="s">
        <v>27</v>
      </c>
      <c r="G4056" s="3" t="s">
        <v>55</v>
      </c>
      <c r="H4056" s="3" t="s">
        <v>48</v>
      </c>
      <c r="I4056" s="3" t="n">
        <f aca="false">YEAR(E4056)</f>
        <v>2024</v>
      </c>
      <c r="J4056" s="3" t="n">
        <f aca="false">MONTH(E4056)</f>
        <v>12</v>
      </c>
      <c r="K4056" s="3" t="n">
        <f aca="false">COUNTIFS($B$2:$B$4077,B4056,$C$2:$C$4077,C4056,$I$2:$I$4077,I4056)</f>
        <v>1</v>
      </c>
      <c r="L4056" s="3" t="n">
        <f aca="false">IF(COUNTIFS($B$2:B4056,B4056,$C$2:C4056,C4056,$I$2:I4056,I4056)=1,1,0)</f>
        <v>1</v>
      </c>
      <c r="M4056" s="3" t="n">
        <f aca="false">IF(K4056&gt;=Parametri!$B$1,1,0)</f>
        <v>0</v>
      </c>
      <c r="N4056" s="3" t="n">
        <f aca="false">L4056*M4056</f>
        <v>0</v>
      </c>
    </row>
    <row r="4057" customFormat="false" ht="15" hidden="false" customHeight="false" outlineLevel="0" collapsed="false">
      <c r="A4057" s="0" t="s">
        <v>5869</v>
      </c>
      <c r="B4057" s="0" t="s">
        <v>79</v>
      </c>
      <c r="C4057" s="0" t="s">
        <v>1366</v>
      </c>
      <c r="D4057" s="0" t="s">
        <v>19</v>
      </c>
      <c r="E4057" s="2" t="n">
        <v>45445</v>
      </c>
      <c r="F4057" s="3" t="s">
        <v>20</v>
      </c>
      <c r="G4057" s="3" t="s">
        <v>21</v>
      </c>
      <c r="H4057" s="3" t="s">
        <v>48</v>
      </c>
      <c r="I4057" s="3" t="n">
        <f aca="false">YEAR(E4057)</f>
        <v>2024</v>
      </c>
      <c r="J4057" s="3" t="n">
        <f aca="false">MONTH(E4057)</f>
        <v>6</v>
      </c>
      <c r="K4057" s="3" t="n">
        <f aca="false">COUNTIFS($B$2:$B$4077,B4057,$C$2:$C$4077,C4057,$I$2:$I$4077,I4057)</f>
        <v>3</v>
      </c>
      <c r="L4057" s="3" t="n">
        <f aca="false">IF(COUNTIFS($B$2:B4057,B4057,$C$2:C4057,C4057,$I$2:I4057,I4057)=1,1,0)</f>
        <v>0</v>
      </c>
      <c r="M4057" s="3" t="n">
        <f aca="false">IF(K4057&gt;=Parametri!$B$1,1,0)</f>
        <v>1</v>
      </c>
      <c r="N4057" s="3" t="n">
        <f aca="false">L4057*M4057</f>
        <v>0</v>
      </c>
    </row>
    <row r="4058" customFormat="false" ht="15" hidden="false" customHeight="false" outlineLevel="0" collapsed="false">
      <c r="A4058" s="0" t="s">
        <v>5870</v>
      </c>
      <c r="B4058" s="0" t="s">
        <v>24</v>
      </c>
      <c r="C4058" s="0" t="s">
        <v>1641</v>
      </c>
      <c r="D4058" s="0" t="s">
        <v>26</v>
      </c>
      <c r="E4058" s="2" t="n">
        <v>45702</v>
      </c>
      <c r="F4058" s="3" t="s">
        <v>20</v>
      </c>
      <c r="G4058" s="3" t="s">
        <v>55</v>
      </c>
      <c r="H4058" s="3" t="s">
        <v>29</v>
      </c>
      <c r="I4058" s="3" t="n">
        <f aca="false">YEAR(E4058)</f>
        <v>2025</v>
      </c>
      <c r="J4058" s="3" t="n">
        <f aca="false">MONTH(E4058)</f>
        <v>2</v>
      </c>
      <c r="K4058" s="3" t="n">
        <f aca="false">COUNTIFS($B$2:$B$4077,B4058,$C$2:$C$4077,C4058,$I$2:$I$4077,I4058)</f>
        <v>1</v>
      </c>
      <c r="L4058" s="3" t="n">
        <f aca="false">IF(COUNTIFS($B$2:B4058,B4058,$C$2:C4058,C4058,$I$2:I4058,I4058)=1,1,0)</f>
        <v>1</v>
      </c>
      <c r="M4058" s="3" t="n">
        <f aca="false">IF(K4058&gt;=Parametri!$B$1,1,0)</f>
        <v>0</v>
      </c>
      <c r="N4058" s="3" t="n">
        <f aca="false">L4058*M4058</f>
        <v>0</v>
      </c>
    </row>
    <row r="4059" customFormat="false" ht="15" hidden="false" customHeight="false" outlineLevel="0" collapsed="false">
      <c r="A4059" s="0" t="s">
        <v>5871</v>
      </c>
      <c r="B4059" s="0" t="s">
        <v>31</v>
      </c>
      <c r="C4059" s="0" t="s">
        <v>354</v>
      </c>
      <c r="D4059" s="0" t="s">
        <v>33</v>
      </c>
      <c r="E4059" s="2" t="n">
        <v>45821</v>
      </c>
      <c r="F4059" s="3" t="s">
        <v>34</v>
      </c>
      <c r="G4059" s="3" t="s">
        <v>28</v>
      </c>
      <c r="H4059" s="3" t="s">
        <v>29</v>
      </c>
      <c r="I4059" s="3" t="n">
        <f aca="false">YEAR(E4059)</f>
        <v>2025</v>
      </c>
      <c r="J4059" s="3" t="n">
        <f aca="false">MONTH(E4059)</f>
        <v>6</v>
      </c>
      <c r="K4059" s="3" t="n">
        <f aca="false">COUNTIFS($B$2:$B$4077,B4059,$C$2:$C$4077,C4059,$I$2:$I$4077,I4059)</f>
        <v>1</v>
      </c>
      <c r="L4059" s="3" t="n">
        <f aca="false">IF(COUNTIFS($B$2:B4059,B4059,$C$2:C4059,C4059,$I$2:I4059,I4059)=1,1,0)</f>
        <v>1</v>
      </c>
      <c r="M4059" s="3" t="n">
        <f aca="false">IF(K4059&gt;=Parametri!$B$1,1,0)</f>
        <v>0</v>
      </c>
      <c r="N4059" s="3" t="n">
        <f aca="false">L4059*M4059</f>
        <v>0</v>
      </c>
    </row>
    <row r="4060" customFormat="false" ht="15" hidden="false" customHeight="false" outlineLevel="0" collapsed="false">
      <c r="A4060" s="0" t="s">
        <v>5872</v>
      </c>
      <c r="B4060" s="0" t="s">
        <v>68</v>
      </c>
      <c r="C4060" s="0" t="s">
        <v>5873</v>
      </c>
      <c r="D4060" s="0" t="s">
        <v>19</v>
      </c>
      <c r="E4060" s="2" t="n">
        <v>45324</v>
      </c>
      <c r="F4060" s="3" t="s">
        <v>20</v>
      </c>
      <c r="G4060" s="3" t="s">
        <v>104</v>
      </c>
      <c r="H4060" s="3" t="s">
        <v>104</v>
      </c>
      <c r="I4060" s="3" t="n">
        <f aca="false">YEAR(E4060)</f>
        <v>2024</v>
      </c>
      <c r="J4060" s="3" t="n">
        <f aca="false">MONTH(E4060)</f>
        <v>2</v>
      </c>
      <c r="K4060" s="3" t="n">
        <f aca="false">COUNTIFS($B$2:$B$4077,B4060,$C$2:$C$4077,C4060,$I$2:$I$4077,I4060)</f>
        <v>1</v>
      </c>
      <c r="L4060" s="3" t="n">
        <f aca="false">IF(COUNTIFS($B$2:B4060,B4060,$C$2:C4060,C4060,$I$2:I4060,I4060)=1,1,0)</f>
        <v>1</v>
      </c>
      <c r="M4060" s="3" t="n">
        <f aca="false">IF(K4060&gt;=Parametri!$B$1,1,0)</f>
        <v>0</v>
      </c>
      <c r="N4060" s="3" t="n">
        <f aca="false">L4060*M4060</f>
        <v>0</v>
      </c>
    </row>
    <row r="4061" customFormat="false" ht="15" hidden="false" customHeight="false" outlineLevel="0" collapsed="false">
      <c r="A4061" s="0" t="s">
        <v>5874</v>
      </c>
      <c r="B4061" s="0" t="s">
        <v>50</v>
      </c>
      <c r="C4061" s="0" t="s">
        <v>5875</v>
      </c>
      <c r="D4061" s="0" t="s">
        <v>77</v>
      </c>
      <c r="E4061" s="2" t="n">
        <v>45426</v>
      </c>
      <c r="F4061" s="3" t="s">
        <v>34</v>
      </c>
      <c r="G4061" s="3" t="s">
        <v>28</v>
      </c>
      <c r="H4061" s="3" t="s">
        <v>48</v>
      </c>
      <c r="I4061" s="3" t="n">
        <f aca="false">YEAR(E4061)</f>
        <v>2024</v>
      </c>
      <c r="J4061" s="3" t="n">
        <f aca="false">MONTH(E4061)</f>
        <v>5</v>
      </c>
      <c r="K4061" s="3" t="n">
        <f aca="false">COUNTIFS($B$2:$B$4077,B4061,$C$2:$C$4077,C4061,$I$2:$I$4077,I4061)</f>
        <v>1</v>
      </c>
      <c r="L4061" s="3" t="n">
        <f aca="false">IF(COUNTIFS($B$2:B4061,B4061,$C$2:C4061,C4061,$I$2:I4061,I4061)=1,1,0)</f>
        <v>1</v>
      </c>
      <c r="M4061" s="3" t="n">
        <f aca="false">IF(K4061&gt;=Parametri!$B$1,1,0)</f>
        <v>0</v>
      </c>
      <c r="N4061" s="3" t="n">
        <f aca="false">L4061*M4061</f>
        <v>0</v>
      </c>
    </row>
    <row r="4062" customFormat="false" ht="15" hidden="false" customHeight="false" outlineLevel="0" collapsed="false">
      <c r="A4062" s="0" t="s">
        <v>5876</v>
      </c>
      <c r="B4062" s="0" t="s">
        <v>50</v>
      </c>
      <c r="C4062" s="0" t="s">
        <v>88</v>
      </c>
      <c r="D4062" s="0" t="s">
        <v>33</v>
      </c>
      <c r="E4062" s="2" t="n">
        <v>45760</v>
      </c>
      <c r="F4062" s="3" t="s">
        <v>34</v>
      </c>
      <c r="G4062" s="3" t="s">
        <v>89</v>
      </c>
      <c r="H4062" s="3" t="s">
        <v>22</v>
      </c>
      <c r="I4062" s="3" t="n">
        <f aca="false">YEAR(E4062)</f>
        <v>2025</v>
      </c>
      <c r="J4062" s="3" t="n">
        <f aca="false">MONTH(E4062)</f>
        <v>4</v>
      </c>
      <c r="K4062" s="3" t="n">
        <f aca="false">COUNTIFS($B$2:$B$4077,B4062,$C$2:$C$4077,C4062,$I$2:$I$4077,I4062)</f>
        <v>2</v>
      </c>
      <c r="L4062" s="3" t="n">
        <f aca="false">IF(COUNTIFS($B$2:B4062,B4062,$C$2:C4062,C4062,$I$2:I4062,I4062)=1,1,0)</f>
        <v>0</v>
      </c>
      <c r="M4062" s="3" t="n">
        <f aca="false">IF(K4062&gt;=Parametri!$B$1,1,0)</f>
        <v>1</v>
      </c>
      <c r="N4062" s="3" t="n">
        <f aca="false">L4062*M4062</f>
        <v>0</v>
      </c>
    </row>
    <row r="4063" customFormat="false" ht="15" hidden="false" customHeight="false" outlineLevel="0" collapsed="false">
      <c r="A4063" s="0" t="s">
        <v>5877</v>
      </c>
      <c r="B4063" s="0" t="s">
        <v>79</v>
      </c>
      <c r="C4063" s="0" t="s">
        <v>3376</v>
      </c>
      <c r="D4063" s="0" t="s">
        <v>77</v>
      </c>
      <c r="E4063" s="2" t="n">
        <v>45792</v>
      </c>
      <c r="F4063" s="3" t="s">
        <v>20</v>
      </c>
      <c r="G4063" s="3" t="s">
        <v>21</v>
      </c>
      <c r="H4063" s="3" t="s">
        <v>29</v>
      </c>
      <c r="I4063" s="3" t="n">
        <f aca="false">YEAR(E4063)</f>
        <v>2025</v>
      </c>
      <c r="J4063" s="3" t="n">
        <f aca="false">MONTH(E4063)</f>
        <v>5</v>
      </c>
      <c r="K4063" s="3" t="n">
        <f aca="false">COUNTIFS($B$2:$B$4077,B4063,$C$2:$C$4077,C4063,$I$2:$I$4077,I4063)</f>
        <v>2</v>
      </c>
      <c r="L4063" s="3" t="n">
        <f aca="false">IF(COUNTIFS($B$2:B4063,B4063,$C$2:C4063,C4063,$I$2:I4063,I4063)=1,1,0)</f>
        <v>0</v>
      </c>
      <c r="M4063" s="3" t="n">
        <f aca="false">IF(K4063&gt;=Parametri!$B$1,1,0)</f>
        <v>1</v>
      </c>
      <c r="N4063" s="3" t="n">
        <f aca="false">L4063*M4063</f>
        <v>0</v>
      </c>
    </row>
    <row r="4064" customFormat="false" ht="15" hidden="false" customHeight="false" outlineLevel="0" collapsed="false">
      <c r="A4064" s="0" t="s">
        <v>5878</v>
      </c>
      <c r="B4064" s="0" t="s">
        <v>46</v>
      </c>
      <c r="C4064" s="0" t="s">
        <v>5879</v>
      </c>
      <c r="D4064" s="0" t="s">
        <v>33</v>
      </c>
      <c r="E4064" s="2" t="n">
        <v>46180</v>
      </c>
      <c r="F4064" s="3" t="s">
        <v>20</v>
      </c>
      <c r="G4064" s="3" t="s">
        <v>55</v>
      </c>
      <c r="H4064" s="3" t="s">
        <v>44</v>
      </c>
      <c r="I4064" s="3" t="n">
        <f aca="false">YEAR(E4064)</f>
        <v>2026</v>
      </c>
      <c r="J4064" s="3" t="n">
        <f aca="false">MONTH(E4064)</f>
        <v>6</v>
      </c>
      <c r="K4064" s="3" t="n">
        <f aca="false">COUNTIFS($B$2:$B$4077,B4064,$C$2:$C$4077,C4064,$I$2:$I$4077,I4064)</f>
        <v>1</v>
      </c>
      <c r="L4064" s="3" t="n">
        <f aca="false">IF(COUNTIFS($B$2:B4064,B4064,$C$2:C4064,C4064,$I$2:I4064,I4064)=1,1,0)</f>
        <v>1</v>
      </c>
      <c r="M4064" s="3" t="n">
        <f aca="false">IF(K4064&gt;=Parametri!$B$1,1,0)</f>
        <v>0</v>
      </c>
      <c r="N4064" s="3" t="n">
        <f aca="false">L4064*M4064</f>
        <v>0</v>
      </c>
    </row>
    <row r="4065" customFormat="false" ht="15" hidden="false" customHeight="false" outlineLevel="0" collapsed="false">
      <c r="A4065" s="0" t="s">
        <v>5880</v>
      </c>
      <c r="B4065" s="0" t="s">
        <v>24</v>
      </c>
      <c r="C4065" s="0" t="s">
        <v>1718</v>
      </c>
      <c r="D4065" s="0" t="s">
        <v>77</v>
      </c>
      <c r="E4065" s="2" t="n">
        <v>46255</v>
      </c>
      <c r="F4065" s="3" t="s">
        <v>27</v>
      </c>
      <c r="G4065" s="3" t="s">
        <v>72</v>
      </c>
      <c r="H4065" s="3" t="s">
        <v>44</v>
      </c>
      <c r="I4065" s="3" t="n">
        <f aca="false">YEAR(E4065)</f>
        <v>2026</v>
      </c>
      <c r="J4065" s="3" t="n">
        <f aca="false">MONTH(E4065)</f>
        <v>8</v>
      </c>
      <c r="K4065" s="3" t="n">
        <f aca="false">COUNTIFS($B$2:$B$4077,B4065,$C$2:$C$4077,C4065,$I$2:$I$4077,I4065)</f>
        <v>2</v>
      </c>
      <c r="L4065" s="3" t="n">
        <f aca="false">IF(COUNTIFS($B$2:B4065,B4065,$C$2:C4065,C4065,$I$2:I4065,I4065)=1,1,0)</f>
        <v>0</v>
      </c>
      <c r="M4065" s="3" t="n">
        <f aca="false">IF(K4065&gt;=Parametri!$B$1,1,0)</f>
        <v>1</v>
      </c>
      <c r="N4065" s="3" t="n">
        <f aca="false">L4065*M4065</f>
        <v>0</v>
      </c>
    </row>
    <row r="4066" customFormat="false" ht="15" hidden="false" customHeight="false" outlineLevel="0" collapsed="false">
      <c r="A4066" s="0" t="s">
        <v>5881</v>
      </c>
      <c r="B4066" s="0" t="s">
        <v>31</v>
      </c>
      <c r="C4066" s="0" t="s">
        <v>3419</v>
      </c>
      <c r="D4066" s="0" t="s">
        <v>26</v>
      </c>
      <c r="E4066" s="2" t="n">
        <v>45340</v>
      </c>
      <c r="F4066" s="3" t="s">
        <v>20</v>
      </c>
      <c r="G4066" s="3" t="s">
        <v>21</v>
      </c>
      <c r="H4066" s="3" t="s">
        <v>48</v>
      </c>
      <c r="I4066" s="3" t="n">
        <f aca="false">YEAR(E4066)</f>
        <v>2024</v>
      </c>
      <c r="J4066" s="3" t="n">
        <f aca="false">MONTH(E4066)</f>
        <v>2</v>
      </c>
      <c r="K4066" s="3" t="n">
        <f aca="false">COUNTIFS($B$2:$B$4077,B4066,$C$2:$C$4077,C4066,$I$2:$I$4077,I4066)</f>
        <v>1</v>
      </c>
      <c r="L4066" s="3" t="n">
        <f aca="false">IF(COUNTIFS($B$2:B4066,B4066,$C$2:C4066,C4066,$I$2:I4066,I4066)=1,1,0)</f>
        <v>1</v>
      </c>
      <c r="M4066" s="3" t="n">
        <f aca="false">IF(K4066&gt;=Parametri!$B$1,1,0)</f>
        <v>0</v>
      </c>
      <c r="N4066" s="3" t="n">
        <f aca="false">L4066*M4066</f>
        <v>0</v>
      </c>
    </row>
    <row r="4067" customFormat="false" ht="15" hidden="false" customHeight="false" outlineLevel="0" collapsed="false">
      <c r="A4067" s="0" t="s">
        <v>5882</v>
      </c>
      <c r="B4067" s="0" t="s">
        <v>41</v>
      </c>
      <c r="C4067" s="0" t="s">
        <v>4175</v>
      </c>
      <c r="D4067" s="0" t="s">
        <v>33</v>
      </c>
      <c r="E4067" s="2" t="n">
        <v>45839</v>
      </c>
      <c r="F4067" s="3" t="s">
        <v>20</v>
      </c>
      <c r="G4067" s="3" t="s">
        <v>72</v>
      </c>
      <c r="H4067" s="3" t="s">
        <v>29</v>
      </c>
      <c r="I4067" s="3" t="n">
        <f aca="false">YEAR(E4067)</f>
        <v>2025</v>
      </c>
      <c r="J4067" s="3" t="n">
        <f aca="false">MONTH(E4067)</f>
        <v>7</v>
      </c>
      <c r="K4067" s="3" t="n">
        <f aca="false">COUNTIFS($B$2:$B$4077,B4067,$C$2:$C$4077,C4067,$I$2:$I$4077,I4067)</f>
        <v>1</v>
      </c>
      <c r="L4067" s="3" t="n">
        <f aca="false">IF(COUNTIFS($B$2:B4067,B4067,$C$2:C4067,C4067,$I$2:I4067,I4067)=1,1,0)</f>
        <v>1</v>
      </c>
      <c r="M4067" s="3" t="n">
        <f aca="false">IF(K4067&gt;=Parametri!$B$1,1,0)</f>
        <v>0</v>
      </c>
      <c r="N4067" s="3" t="n">
        <f aca="false">L4067*M4067</f>
        <v>0</v>
      </c>
    </row>
    <row r="4068" customFormat="false" ht="15" hidden="false" customHeight="false" outlineLevel="0" collapsed="false">
      <c r="A4068" s="0" t="s">
        <v>5883</v>
      </c>
      <c r="B4068" s="0" t="s">
        <v>31</v>
      </c>
      <c r="C4068" s="0" t="s">
        <v>5884</v>
      </c>
      <c r="D4068" s="0" t="s">
        <v>19</v>
      </c>
      <c r="E4068" s="2" t="n">
        <v>45404</v>
      </c>
      <c r="F4068" s="3" t="s">
        <v>20</v>
      </c>
      <c r="G4068" s="3" t="s">
        <v>39</v>
      </c>
      <c r="H4068" s="3" t="s">
        <v>44</v>
      </c>
      <c r="I4068" s="3" t="n">
        <f aca="false">YEAR(E4068)</f>
        <v>2024</v>
      </c>
      <c r="J4068" s="3" t="n">
        <f aca="false">MONTH(E4068)</f>
        <v>4</v>
      </c>
      <c r="K4068" s="3" t="n">
        <f aca="false">COUNTIFS($B$2:$B$4077,B4068,$C$2:$C$4077,C4068,$I$2:$I$4077,I4068)</f>
        <v>1</v>
      </c>
      <c r="L4068" s="3" t="n">
        <f aca="false">IF(COUNTIFS($B$2:B4068,B4068,$C$2:C4068,C4068,$I$2:I4068,I4068)=1,1,0)</f>
        <v>1</v>
      </c>
      <c r="M4068" s="3" t="n">
        <f aca="false">IF(K4068&gt;=Parametri!$B$1,1,0)</f>
        <v>0</v>
      </c>
      <c r="N4068" s="3" t="n">
        <f aca="false">L4068*M4068</f>
        <v>0</v>
      </c>
    </row>
    <row r="4069" customFormat="false" ht="15" hidden="false" customHeight="false" outlineLevel="0" collapsed="false">
      <c r="A4069" s="0" t="s">
        <v>5885</v>
      </c>
      <c r="B4069" s="0" t="s">
        <v>41</v>
      </c>
      <c r="C4069" s="0" t="s">
        <v>1308</v>
      </c>
      <c r="D4069" s="0" t="s">
        <v>66</v>
      </c>
      <c r="E4069" s="2" t="n">
        <v>45446</v>
      </c>
      <c r="F4069" s="3" t="s">
        <v>27</v>
      </c>
      <c r="G4069" s="3" t="s">
        <v>72</v>
      </c>
      <c r="H4069" s="3" t="s">
        <v>48</v>
      </c>
      <c r="I4069" s="3" t="n">
        <f aca="false">YEAR(E4069)</f>
        <v>2024</v>
      </c>
      <c r="J4069" s="3" t="n">
        <f aca="false">MONTH(E4069)</f>
        <v>6</v>
      </c>
      <c r="K4069" s="3" t="n">
        <f aca="false">COUNTIFS($B$2:$B$4077,B4069,$C$2:$C$4077,C4069,$I$2:$I$4077,I4069)</f>
        <v>2</v>
      </c>
      <c r="L4069" s="3" t="n">
        <f aca="false">IF(COUNTIFS($B$2:B4069,B4069,$C$2:C4069,C4069,$I$2:I4069,I4069)=1,1,0)</f>
        <v>0</v>
      </c>
      <c r="M4069" s="3" t="n">
        <f aca="false">IF(K4069&gt;=Parametri!$B$1,1,0)</f>
        <v>1</v>
      </c>
      <c r="N4069" s="3" t="n">
        <f aca="false">L4069*M4069</f>
        <v>0</v>
      </c>
    </row>
    <row r="4070" customFormat="false" ht="15" hidden="false" customHeight="false" outlineLevel="0" collapsed="false">
      <c r="A4070" s="0" t="s">
        <v>5886</v>
      </c>
      <c r="B4070" s="0" t="s">
        <v>24</v>
      </c>
      <c r="C4070" s="0" t="s">
        <v>681</v>
      </c>
      <c r="D4070" s="0" t="s">
        <v>63</v>
      </c>
      <c r="E4070" s="2" t="n">
        <v>45547</v>
      </c>
      <c r="F4070" s="3" t="s">
        <v>27</v>
      </c>
      <c r="G4070" s="3" t="s">
        <v>89</v>
      </c>
      <c r="H4070" s="3" t="s">
        <v>29</v>
      </c>
      <c r="I4070" s="3" t="n">
        <f aca="false">YEAR(E4070)</f>
        <v>2024</v>
      </c>
      <c r="J4070" s="3" t="n">
        <f aca="false">MONTH(E4070)</f>
        <v>9</v>
      </c>
      <c r="K4070" s="3" t="n">
        <f aca="false">COUNTIFS($B$2:$B$4077,B4070,$C$2:$C$4077,C4070,$I$2:$I$4077,I4070)</f>
        <v>2</v>
      </c>
      <c r="L4070" s="3" t="n">
        <f aca="false">IF(COUNTIFS($B$2:B4070,B4070,$C$2:C4070,C4070,$I$2:I4070,I4070)=1,1,0)</f>
        <v>0</v>
      </c>
      <c r="M4070" s="3" t="n">
        <f aca="false">IF(K4070&gt;=Parametri!$B$1,1,0)</f>
        <v>1</v>
      </c>
      <c r="N4070" s="3" t="n">
        <f aca="false">L4070*M4070</f>
        <v>0</v>
      </c>
    </row>
    <row r="4071" customFormat="false" ht="15" hidden="false" customHeight="false" outlineLevel="0" collapsed="false">
      <c r="A4071" s="0" t="s">
        <v>5887</v>
      </c>
      <c r="B4071" s="0" t="s">
        <v>57</v>
      </c>
      <c r="C4071" s="0" t="s">
        <v>1267</v>
      </c>
      <c r="D4071" s="0" t="s">
        <v>38</v>
      </c>
      <c r="E4071" s="2" t="n">
        <v>45540</v>
      </c>
      <c r="F4071" s="3" t="s">
        <v>20</v>
      </c>
      <c r="G4071" s="3" t="s">
        <v>104</v>
      </c>
      <c r="H4071" s="3" t="s">
        <v>22</v>
      </c>
      <c r="I4071" s="3" t="n">
        <f aca="false">YEAR(E4071)</f>
        <v>2024</v>
      </c>
      <c r="J4071" s="3" t="n">
        <f aca="false">MONTH(E4071)</f>
        <v>9</v>
      </c>
      <c r="K4071" s="3" t="n">
        <f aca="false">COUNTIFS($B$2:$B$4077,B4071,$C$2:$C$4077,C4071,$I$2:$I$4077,I4071)</f>
        <v>1</v>
      </c>
      <c r="L4071" s="3" t="n">
        <f aca="false">IF(COUNTIFS($B$2:B4071,B4071,$C$2:C4071,C4071,$I$2:I4071,I4071)=1,1,0)</f>
        <v>1</v>
      </c>
      <c r="M4071" s="3" t="n">
        <f aca="false">IF(K4071&gt;=Parametri!$B$1,1,0)</f>
        <v>0</v>
      </c>
      <c r="N4071" s="3" t="n">
        <f aca="false">L4071*M4071</f>
        <v>0</v>
      </c>
    </row>
    <row r="4072" customFormat="false" ht="15" hidden="false" customHeight="false" outlineLevel="0" collapsed="false">
      <c r="A4072" s="0" t="s">
        <v>5888</v>
      </c>
      <c r="B4072" s="0" t="s">
        <v>79</v>
      </c>
      <c r="C4072" s="0" t="s">
        <v>723</v>
      </c>
      <c r="D4072" s="0" t="s">
        <v>66</v>
      </c>
      <c r="E4072" s="2" t="n">
        <v>45506</v>
      </c>
      <c r="F4072" s="3" t="s">
        <v>34</v>
      </c>
      <c r="G4072" s="3" t="s">
        <v>104</v>
      </c>
      <c r="H4072" s="3" t="s">
        <v>44</v>
      </c>
      <c r="I4072" s="3" t="n">
        <f aca="false">YEAR(E4072)</f>
        <v>2024</v>
      </c>
      <c r="J4072" s="3" t="n">
        <f aca="false">MONTH(E4072)</f>
        <v>8</v>
      </c>
      <c r="K4072" s="3" t="n">
        <f aca="false">COUNTIFS($B$2:$B$4077,B4072,$C$2:$C$4077,C4072,$I$2:$I$4077,I4072)</f>
        <v>1</v>
      </c>
      <c r="L4072" s="3" t="n">
        <f aca="false">IF(COUNTIFS($B$2:B4072,B4072,$C$2:C4072,C4072,$I$2:I4072,I4072)=1,1,0)</f>
        <v>1</v>
      </c>
      <c r="M4072" s="3" t="n">
        <f aca="false">IF(K4072&gt;=Parametri!$B$1,1,0)</f>
        <v>0</v>
      </c>
      <c r="N4072" s="3" t="n">
        <f aca="false">L4072*M4072</f>
        <v>0</v>
      </c>
    </row>
    <row r="4073" customFormat="false" ht="15" hidden="false" customHeight="false" outlineLevel="0" collapsed="false">
      <c r="A4073" s="0" t="s">
        <v>5889</v>
      </c>
      <c r="B4073" s="0" t="s">
        <v>124</v>
      </c>
      <c r="C4073" s="0" t="s">
        <v>2155</v>
      </c>
      <c r="D4073" s="0" t="s">
        <v>63</v>
      </c>
      <c r="E4073" s="2" t="n">
        <v>46260</v>
      </c>
      <c r="F4073" s="3" t="s">
        <v>20</v>
      </c>
      <c r="G4073" s="3" t="s">
        <v>55</v>
      </c>
      <c r="H4073" s="3" t="s">
        <v>44</v>
      </c>
      <c r="I4073" s="3" t="n">
        <f aca="false">YEAR(E4073)</f>
        <v>2026</v>
      </c>
      <c r="J4073" s="3" t="n">
        <f aca="false">MONTH(E4073)</f>
        <v>8</v>
      </c>
      <c r="K4073" s="3" t="n">
        <f aca="false">COUNTIFS($B$2:$B$4077,B4073,$C$2:$C$4077,C4073,$I$2:$I$4077,I4073)</f>
        <v>2</v>
      </c>
      <c r="L4073" s="3" t="n">
        <f aca="false">IF(COUNTIFS($B$2:B4073,B4073,$C$2:C4073,C4073,$I$2:I4073,I4073)=1,1,0)</f>
        <v>0</v>
      </c>
      <c r="M4073" s="3" t="n">
        <f aca="false">IF(K4073&gt;=Parametri!$B$1,1,0)</f>
        <v>1</v>
      </c>
      <c r="N4073" s="3" t="n">
        <f aca="false">L4073*M4073</f>
        <v>0</v>
      </c>
    </row>
    <row r="4074" customFormat="false" ht="15" hidden="false" customHeight="false" outlineLevel="0" collapsed="false">
      <c r="A4074" s="0" t="s">
        <v>5890</v>
      </c>
      <c r="B4074" s="0" t="s">
        <v>50</v>
      </c>
      <c r="C4074" s="0" t="s">
        <v>1250</v>
      </c>
      <c r="D4074" s="0" t="s">
        <v>19</v>
      </c>
      <c r="E4074" s="2" t="n">
        <v>45563</v>
      </c>
      <c r="F4074" s="3" t="s">
        <v>20</v>
      </c>
      <c r="G4074" s="3" t="s">
        <v>21</v>
      </c>
      <c r="H4074" s="3" t="s">
        <v>44</v>
      </c>
      <c r="I4074" s="3" t="n">
        <f aca="false">YEAR(E4074)</f>
        <v>2024</v>
      </c>
      <c r="J4074" s="3" t="n">
        <f aca="false">MONTH(E4074)</f>
        <v>9</v>
      </c>
      <c r="K4074" s="3" t="n">
        <f aca="false">COUNTIFS($B$2:$B$4077,B4074,$C$2:$C$4077,C4074,$I$2:$I$4077,I4074)</f>
        <v>2</v>
      </c>
      <c r="L4074" s="3" t="n">
        <f aca="false">IF(COUNTIFS($B$2:B4074,B4074,$C$2:C4074,C4074,$I$2:I4074,I4074)=1,1,0)</f>
        <v>0</v>
      </c>
      <c r="M4074" s="3" t="n">
        <f aca="false">IF(K4074&gt;=Parametri!$B$1,1,0)</f>
        <v>1</v>
      </c>
      <c r="N4074" s="3" t="n">
        <f aca="false">L4074*M4074</f>
        <v>0</v>
      </c>
    </row>
    <row r="4075" customFormat="false" ht="15" hidden="false" customHeight="false" outlineLevel="0" collapsed="false">
      <c r="A4075" s="0" t="s">
        <v>5891</v>
      </c>
      <c r="B4075" s="0" t="s">
        <v>124</v>
      </c>
      <c r="C4075" s="0" t="s">
        <v>1279</v>
      </c>
      <c r="D4075" s="0" t="s">
        <v>63</v>
      </c>
      <c r="E4075" s="2" t="n">
        <v>46243</v>
      </c>
      <c r="F4075" s="3" t="s">
        <v>34</v>
      </c>
      <c r="G4075" s="3" t="s">
        <v>89</v>
      </c>
      <c r="H4075" s="3" t="s">
        <v>22</v>
      </c>
      <c r="I4075" s="3" t="n">
        <f aca="false">YEAR(E4075)</f>
        <v>2026</v>
      </c>
      <c r="J4075" s="3" t="n">
        <f aca="false">MONTH(E4075)</f>
        <v>8</v>
      </c>
      <c r="K4075" s="3" t="n">
        <f aca="false">COUNTIFS($B$2:$B$4077,B4075,$C$2:$C$4077,C4075,$I$2:$I$4077,I4075)</f>
        <v>2</v>
      </c>
      <c r="L4075" s="3" t="n">
        <f aca="false">IF(COUNTIFS($B$2:B4075,B4075,$C$2:C4075,C4075,$I$2:I4075,I4075)=1,1,0)</f>
        <v>0</v>
      </c>
      <c r="M4075" s="3" t="n">
        <f aca="false">IF(K4075&gt;=Parametri!$B$1,1,0)</f>
        <v>1</v>
      </c>
      <c r="N4075" s="3" t="n">
        <f aca="false">L4075*M4075</f>
        <v>0</v>
      </c>
    </row>
    <row r="4076" customFormat="false" ht="15" hidden="false" customHeight="false" outlineLevel="0" collapsed="false">
      <c r="A4076" s="0" t="s">
        <v>5892</v>
      </c>
      <c r="B4076" s="0" t="s">
        <v>17</v>
      </c>
      <c r="C4076" s="0" t="s">
        <v>546</v>
      </c>
      <c r="D4076" s="0" t="s">
        <v>77</v>
      </c>
      <c r="E4076" s="2" t="n">
        <v>45553</v>
      </c>
      <c r="F4076" s="3" t="s">
        <v>27</v>
      </c>
      <c r="G4076" s="3" t="s">
        <v>72</v>
      </c>
      <c r="H4076" s="3" t="s">
        <v>29</v>
      </c>
      <c r="I4076" s="3" t="n">
        <f aca="false">YEAR(E4076)</f>
        <v>2024</v>
      </c>
      <c r="J4076" s="3" t="n">
        <f aca="false">MONTH(E4076)</f>
        <v>9</v>
      </c>
      <c r="K4076" s="3" t="n">
        <f aca="false">COUNTIFS($B$2:$B$4077,B4076,$C$2:$C$4077,C4076,$I$2:$I$4077,I4076)</f>
        <v>2</v>
      </c>
      <c r="L4076" s="3" t="n">
        <f aca="false">IF(COUNTIFS($B$2:B4076,B4076,$C$2:C4076,C4076,$I$2:I4076,I4076)=1,1,0)</f>
        <v>0</v>
      </c>
      <c r="M4076" s="3" t="n">
        <f aca="false">IF(K4076&gt;=Parametri!$B$1,1,0)</f>
        <v>1</v>
      </c>
      <c r="N4076" s="3" t="n">
        <f aca="false">L4076*M4076</f>
        <v>0</v>
      </c>
    </row>
    <row r="4077" customFormat="false" ht="15" hidden="false" customHeight="false" outlineLevel="0" collapsed="false">
      <c r="A4077" s="0" t="s">
        <v>5893</v>
      </c>
      <c r="B4077" s="0" t="s">
        <v>124</v>
      </c>
      <c r="C4077" s="0" t="s">
        <v>1279</v>
      </c>
      <c r="D4077" s="0" t="s">
        <v>19</v>
      </c>
      <c r="E4077" s="2" t="n">
        <v>45612</v>
      </c>
      <c r="F4077" s="3" t="s">
        <v>34</v>
      </c>
      <c r="G4077" s="3" t="s">
        <v>39</v>
      </c>
      <c r="H4077" s="3" t="s">
        <v>29</v>
      </c>
      <c r="I4077" s="3" t="n">
        <f aca="false">YEAR(E4077)</f>
        <v>2024</v>
      </c>
      <c r="J4077" s="3" t="n">
        <f aca="false">MONTH(E4077)</f>
        <v>11</v>
      </c>
      <c r="K4077" s="3" t="n">
        <f aca="false">COUNTIFS($B$2:$B$4077,B4077,$C$2:$C$4077,C4077,$I$2:$I$4077,I4077)</f>
        <v>1</v>
      </c>
      <c r="L4077" s="3" t="n">
        <f aca="false">IF(COUNTIFS($B$2:B4077,B4077,$C$2:C4077,C4077,$I$2:I4077,I4077)=1,1,0)</f>
        <v>1</v>
      </c>
      <c r="M4077" s="3" t="n">
        <f aca="false">IF(K4077&gt;=Parametri!$B$1,1,0)</f>
        <v>0</v>
      </c>
      <c r="N4077" s="3" t="n">
        <f aca="false">L4077*M4077</f>
        <v>0</v>
      </c>
    </row>
  </sheetData>
  <autoFilter ref="A1:N407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71"/>
  </cols>
  <sheetData>
    <row r="1" customFormat="false" ht="15" hidden="false" customHeight="false" outlineLevel="0" collapsed="false">
      <c r="A1" s="1" t="s">
        <v>3</v>
      </c>
      <c r="B1" s="1" t="s">
        <v>5894</v>
      </c>
    </row>
    <row r="2" customFormat="false" ht="15" hidden="false" customHeight="false" outlineLevel="0" collapsed="false">
      <c r="A2" s="0" t="s">
        <v>50</v>
      </c>
      <c r="B2" s="0" t="n">
        <v>320</v>
      </c>
    </row>
    <row r="3" customFormat="false" ht="15" hidden="false" customHeight="false" outlineLevel="0" collapsed="false">
      <c r="A3" s="0" t="s">
        <v>41</v>
      </c>
      <c r="B3" s="0" t="n">
        <v>270</v>
      </c>
    </row>
    <row r="4" customFormat="false" ht="15" hidden="false" customHeight="false" outlineLevel="0" collapsed="false">
      <c r="A4" s="0" t="s">
        <v>24</v>
      </c>
      <c r="B4" s="0" t="n">
        <v>210</v>
      </c>
    </row>
    <row r="5" customFormat="false" ht="15" hidden="false" customHeight="false" outlineLevel="0" collapsed="false">
      <c r="A5" s="0" t="s">
        <v>17</v>
      </c>
      <c r="B5" s="0" t="n">
        <v>160</v>
      </c>
    </row>
    <row r="6" customFormat="false" ht="15" hidden="false" customHeight="false" outlineLevel="0" collapsed="false">
      <c r="A6" s="0" t="s">
        <v>46</v>
      </c>
      <c r="B6" s="0" t="n">
        <v>400</v>
      </c>
    </row>
    <row r="7" customFormat="false" ht="15" hidden="false" customHeight="false" outlineLevel="0" collapsed="false">
      <c r="A7" s="0" t="s">
        <v>57</v>
      </c>
      <c r="B7" s="0" t="n">
        <v>130</v>
      </c>
    </row>
    <row r="8" customFormat="false" ht="15" hidden="false" customHeight="false" outlineLevel="0" collapsed="false">
      <c r="A8" s="0" t="s">
        <v>124</v>
      </c>
      <c r="B8" s="0" t="n">
        <v>180</v>
      </c>
    </row>
    <row r="9" customFormat="false" ht="15" hidden="false" customHeight="false" outlineLevel="0" collapsed="false">
      <c r="A9" s="0" t="s">
        <v>68</v>
      </c>
      <c r="B9" s="0" t="n">
        <v>350</v>
      </c>
    </row>
    <row r="10" customFormat="false" ht="15" hidden="false" customHeight="false" outlineLevel="0" collapsed="false">
      <c r="A10" s="0" t="s">
        <v>31</v>
      </c>
      <c r="B10" s="0" t="n">
        <v>230</v>
      </c>
    </row>
    <row r="11" customFormat="false" ht="15" hidden="false" customHeight="false" outlineLevel="0" collapsed="false">
      <c r="A11" s="0" t="s">
        <v>79</v>
      </c>
      <c r="B11" s="0" t="n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71"/>
  </cols>
  <sheetData>
    <row r="1" customFormat="false" ht="15" hidden="false" customHeight="false" outlineLevel="0" collapsed="false">
      <c r="A1" s="1" t="s">
        <v>3</v>
      </c>
      <c r="B1" s="1" t="s">
        <v>5895</v>
      </c>
      <c r="C1" s="1" t="s">
        <v>5896</v>
      </c>
      <c r="D1" s="1" t="s">
        <v>5897</v>
      </c>
    </row>
    <row r="2" customFormat="false" ht="15" hidden="false" customHeight="false" outlineLevel="0" collapsed="false">
      <c r="A2" s="0" t="s">
        <v>24</v>
      </c>
      <c r="B2" s="0" t="n">
        <f aca="false">COUNTIFS(Base_ODL!$B$2:$B$4077,A2,Base_ODL!$I$2:$I$4077,2024)</f>
        <v>161</v>
      </c>
      <c r="C2" s="0" t="n">
        <f aca="false">COUNTIFS(Base_ODL!$B$2:$B$4077,A2,Base_ODL!$I$2:$I$4077,2025)</f>
        <v>133</v>
      </c>
      <c r="D2" s="0" t="n">
        <f aca="false">COUNTIFS(Base_ODL!$B$2:$B$4077,A2,Base_ODL!$I$2:$I$4077,2026)</f>
        <v>116</v>
      </c>
    </row>
    <row r="3" customFormat="false" ht="15" hidden="false" customHeight="false" outlineLevel="0" collapsed="false">
      <c r="A3" s="0" t="s">
        <v>17</v>
      </c>
      <c r="B3" s="0" t="n">
        <f aca="false">COUNTIFS(Base_ODL!$B$2:$B$4077,A3,Base_ODL!$I$2:$I$4077,2024)</f>
        <v>177</v>
      </c>
      <c r="C3" s="0" t="n">
        <f aca="false">COUNTIFS(Base_ODL!$B$2:$B$4077,A3,Base_ODL!$I$2:$I$4077,2025)</f>
        <v>151</v>
      </c>
      <c r="D3" s="0" t="n">
        <f aca="false">COUNTIFS(Base_ODL!$B$2:$B$4077,A3,Base_ODL!$I$2:$I$4077,2026)</f>
        <v>106</v>
      </c>
    </row>
    <row r="4" customFormat="false" ht="15" hidden="false" customHeight="false" outlineLevel="0" collapsed="false">
      <c r="A4" s="0" t="s">
        <v>68</v>
      </c>
      <c r="B4" s="0" t="n">
        <f aca="false">COUNTIFS(Base_ODL!$B$2:$B$4077,A4,Base_ODL!$I$2:$I$4077,2024)</f>
        <v>145</v>
      </c>
      <c r="C4" s="0" t="n">
        <f aca="false">COUNTIFS(Base_ODL!$B$2:$B$4077,A4,Base_ODL!$I$2:$I$4077,2025)</f>
        <v>162</v>
      </c>
      <c r="D4" s="0" t="n">
        <f aca="false">COUNTIFS(Base_ODL!$B$2:$B$4077,A4,Base_ODL!$I$2:$I$4077,2026)</f>
        <v>109</v>
      </c>
    </row>
    <row r="5" customFormat="false" ht="15" hidden="false" customHeight="false" outlineLevel="0" collapsed="false">
      <c r="A5" s="0" t="s">
        <v>79</v>
      </c>
      <c r="B5" s="0" t="n">
        <f aca="false">COUNTIFS(Base_ODL!$B$2:$B$4077,A5,Base_ODL!$I$2:$I$4077,2024)</f>
        <v>147</v>
      </c>
      <c r="C5" s="0" t="n">
        <f aca="false">COUNTIFS(Base_ODL!$B$2:$B$4077,A5,Base_ODL!$I$2:$I$4077,2025)</f>
        <v>154</v>
      </c>
      <c r="D5" s="0" t="n">
        <f aca="false">COUNTIFS(Base_ODL!$B$2:$B$4077,A5,Base_ODL!$I$2:$I$4077,2026)</f>
        <v>108</v>
      </c>
    </row>
    <row r="6" customFormat="false" ht="15" hidden="false" customHeight="false" outlineLevel="0" collapsed="false">
      <c r="A6" s="0" t="s">
        <v>46</v>
      </c>
      <c r="B6" s="0" t="n">
        <f aca="false">COUNTIFS(Base_ODL!$B$2:$B$4077,A6,Base_ODL!$I$2:$I$4077,2024)</f>
        <v>162</v>
      </c>
      <c r="C6" s="0" t="n">
        <f aca="false">COUNTIFS(Base_ODL!$B$2:$B$4077,A6,Base_ODL!$I$2:$I$4077,2025)</f>
        <v>152</v>
      </c>
      <c r="D6" s="0" t="n">
        <f aca="false">COUNTIFS(Base_ODL!$B$2:$B$4077,A6,Base_ODL!$I$2:$I$4077,2026)</f>
        <v>95</v>
      </c>
    </row>
    <row r="7" customFormat="false" ht="15" hidden="false" customHeight="false" outlineLevel="0" collapsed="false">
      <c r="A7" s="0" t="s">
        <v>124</v>
      </c>
      <c r="B7" s="0" t="n">
        <f aca="false">COUNTIFS(Base_ODL!$B$2:$B$4077,A7,Base_ODL!$I$2:$I$4077,2024)</f>
        <v>163</v>
      </c>
      <c r="C7" s="0" t="n">
        <f aca="false">COUNTIFS(Base_ODL!$B$2:$B$4077,A7,Base_ODL!$I$2:$I$4077,2025)</f>
        <v>156</v>
      </c>
      <c r="D7" s="0" t="n">
        <f aca="false">COUNTIFS(Base_ODL!$B$2:$B$4077,A7,Base_ODL!$I$2:$I$4077,2026)</f>
        <v>118</v>
      </c>
    </row>
    <row r="8" customFormat="false" ht="15" hidden="false" customHeight="false" outlineLevel="0" collapsed="false">
      <c r="A8" s="0" t="s">
        <v>57</v>
      </c>
      <c r="B8" s="0" t="n">
        <f aca="false">COUNTIFS(Base_ODL!$B$2:$B$4077,A8,Base_ODL!$I$2:$I$4077,2024)</f>
        <v>139</v>
      </c>
      <c r="C8" s="0" t="n">
        <f aca="false">COUNTIFS(Base_ODL!$B$2:$B$4077,A8,Base_ODL!$I$2:$I$4077,2025)</f>
        <v>141</v>
      </c>
      <c r="D8" s="0" t="n">
        <f aca="false">COUNTIFS(Base_ODL!$B$2:$B$4077,A8,Base_ODL!$I$2:$I$4077,2026)</f>
        <v>97</v>
      </c>
    </row>
    <row r="9" customFormat="false" ht="15" hidden="false" customHeight="false" outlineLevel="0" collapsed="false">
      <c r="A9" s="0" t="s">
        <v>31</v>
      </c>
      <c r="B9" s="0" t="n">
        <f aca="false">COUNTIFS(Base_ODL!$B$2:$B$4077,A9,Base_ODL!$I$2:$I$4077,2024)</f>
        <v>134</v>
      </c>
      <c r="C9" s="0" t="n">
        <f aca="false">COUNTIFS(Base_ODL!$B$2:$B$4077,A9,Base_ODL!$I$2:$I$4077,2025)</f>
        <v>166</v>
      </c>
      <c r="D9" s="0" t="n">
        <f aca="false">COUNTIFS(Base_ODL!$B$2:$B$4077,A9,Base_ODL!$I$2:$I$4077,2026)</f>
        <v>90</v>
      </c>
    </row>
    <row r="10" customFormat="false" ht="15" hidden="false" customHeight="false" outlineLevel="0" collapsed="false">
      <c r="A10" s="0" t="s">
        <v>50</v>
      </c>
      <c r="B10" s="0" t="n">
        <f aca="false">COUNTIFS(Base_ODL!$B$2:$B$4077,A10,Base_ODL!$I$2:$I$4077,2024)</f>
        <v>148</v>
      </c>
      <c r="C10" s="0" t="n">
        <f aca="false">COUNTIFS(Base_ODL!$B$2:$B$4077,A10,Base_ODL!$I$2:$I$4077,2025)</f>
        <v>149</v>
      </c>
      <c r="D10" s="0" t="n">
        <f aca="false">COUNTIFS(Base_ODL!$B$2:$B$4077,A10,Base_ODL!$I$2:$I$4077,2026)</f>
        <v>92</v>
      </c>
    </row>
    <row r="11" customFormat="false" ht="15" hidden="false" customHeight="false" outlineLevel="0" collapsed="false">
      <c r="A11" s="0" t="s">
        <v>41</v>
      </c>
      <c r="B11" s="0" t="n">
        <f aca="false">COUNTIFS(Base_ODL!$B$2:$B$4077,A11,Base_ODL!$I$2:$I$4077,2024)</f>
        <v>157</v>
      </c>
      <c r="C11" s="0" t="n">
        <f aca="false">COUNTIFS(Base_ODL!$B$2:$B$4077,A11,Base_ODL!$I$2:$I$4077,2025)</f>
        <v>162</v>
      </c>
      <c r="D11" s="0" t="n">
        <f aca="false">COUNTIFS(Base_ODL!$B$2:$B$4077,A11,Base_ODL!$I$2:$I$4077,2026)</f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71"/>
  </cols>
  <sheetData>
    <row r="1" customFormat="false" ht="15" hidden="false" customHeight="false" outlineLevel="0" collapsed="false">
      <c r="A1" s="1" t="s">
        <v>3</v>
      </c>
      <c r="B1" s="1" t="s">
        <v>5894</v>
      </c>
      <c r="C1" s="1" t="s">
        <v>5898</v>
      </c>
      <c r="D1" s="1" t="s">
        <v>5899</v>
      </c>
    </row>
    <row r="2" customFormat="false" ht="15" hidden="false" customHeight="false" outlineLevel="0" collapsed="false">
      <c r="A2" s="0" t="s">
        <v>24</v>
      </c>
      <c r="B2" s="0" t="n">
        <f aca="false">VLOOKUP(A2,Anagrafica_Impianti!$A:$B,2,0)</f>
        <v>210</v>
      </c>
      <c r="C2" s="0" t="n">
        <f aca="false">SUMIFS(Base_ODL!$L$2:$L$4077,Base_ODL!$B$2:$B$4077,A2,Base_ODL!$I$2:$I$4077,2025)</f>
        <v>97</v>
      </c>
      <c r="D2" s="4" t="n">
        <f aca="false">ROUND(C2/B2*100,1)</f>
        <v>46.2</v>
      </c>
    </row>
    <row r="3" customFormat="false" ht="15" hidden="false" customHeight="false" outlineLevel="0" collapsed="false">
      <c r="A3" s="0" t="s">
        <v>17</v>
      </c>
      <c r="B3" s="0" t="n">
        <f aca="false">VLOOKUP(A3,Anagrafica_Impianti!$A:$B,2,0)</f>
        <v>160</v>
      </c>
      <c r="C3" s="0" t="n">
        <f aca="false">SUMIFS(Base_ODL!$L$2:$L$4077,Base_ODL!$B$2:$B$4077,A3,Base_ODL!$I$2:$I$4077,2025)</f>
        <v>97</v>
      </c>
      <c r="D3" s="4" t="n">
        <f aca="false">ROUND(C3/B3*100,1)</f>
        <v>60.6</v>
      </c>
    </row>
    <row r="4" customFormat="false" ht="15" hidden="false" customHeight="false" outlineLevel="0" collapsed="false">
      <c r="A4" s="0" t="s">
        <v>68</v>
      </c>
      <c r="B4" s="0" t="n">
        <f aca="false">VLOOKUP(A4,Anagrafica_Impianti!$A:$B,2,0)</f>
        <v>350</v>
      </c>
      <c r="C4" s="0" t="n">
        <f aca="false">SUMIFS(Base_ODL!$L$2:$L$4077,Base_ODL!$B$2:$B$4077,A4,Base_ODL!$I$2:$I$4077,2025)</f>
        <v>122</v>
      </c>
      <c r="D4" s="4" t="n">
        <f aca="false">ROUND(C4/B4*100,1)</f>
        <v>34.9</v>
      </c>
    </row>
    <row r="5" customFormat="false" ht="15" hidden="false" customHeight="false" outlineLevel="0" collapsed="false">
      <c r="A5" s="0" t="s">
        <v>79</v>
      </c>
      <c r="B5" s="0" t="n">
        <f aca="false">VLOOKUP(A5,Anagrafica_Impianti!$A:$B,2,0)</f>
        <v>110</v>
      </c>
      <c r="C5" s="0" t="n">
        <f aca="false">SUMIFS(Base_ODL!$L$2:$L$4077,Base_ODL!$B$2:$B$4077,A5,Base_ODL!$I$2:$I$4077,2025)</f>
        <v>80</v>
      </c>
      <c r="D5" s="4" t="n">
        <f aca="false">ROUND(C5/B5*100,1)</f>
        <v>72.7</v>
      </c>
    </row>
    <row r="6" customFormat="false" ht="15" hidden="false" customHeight="false" outlineLevel="0" collapsed="false">
      <c r="A6" s="0" t="s">
        <v>46</v>
      </c>
      <c r="B6" s="0" t="n">
        <f aca="false">VLOOKUP(A6,Anagrafica_Impianti!$A:$B,2,0)</f>
        <v>400</v>
      </c>
      <c r="C6" s="0" t="n">
        <f aca="false">SUMIFS(Base_ODL!$L$2:$L$4077,Base_ODL!$B$2:$B$4077,A6,Base_ODL!$I$2:$I$4077,2025)</f>
        <v>122</v>
      </c>
      <c r="D6" s="4" t="n">
        <f aca="false">ROUND(C6/B6*100,1)</f>
        <v>30.5</v>
      </c>
    </row>
    <row r="7" customFormat="false" ht="15" hidden="false" customHeight="false" outlineLevel="0" collapsed="false">
      <c r="A7" s="0" t="s">
        <v>124</v>
      </c>
      <c r="B7" s="0" t="n">
        <f aca="false">VLOOKUP(A7,Anagrafica_Impianti!$A:$B,2,0)</f>
        <v>180</v>
      </c>
      <c r="C7" s="0" t="n">
        <f aca="false">SUMIFS(Base_ODL!$L$2:$L$4077,Base_ODL!$B$2:$B$4077,A7,Base_ODL!$I$2:$I$4077,2025)</f>
        <v>88</v>
      </c>
      <c r="D7" s="4" t="n">
        <f aca="false">ROUND(C7/B7*100,1)</f>
        <v>48.9</v>
      </c>
    </row>
    <row r="8" customFormat="false" ht="15" hidden="false" customHeight="false" outlineLevel="0" collapsed="false">
      <c r="A8" s="0" t="s">
        <v>57</v>
      </c>
      <c r="B8" s="0" t="n">
        <f aca="false">VLOOKUP(A8,Anagrafica_Impianti!$A:$B,2,0)</f>
        <v>130</v>
      </c>
      <c r="C8" s="0" t="n">
        <f aca="false">SUMIFS(Base_ODL!$L$2:$L$4077,Base_ODL!$B$2:$B$4077,A8,Base_ODL!$I$2:$I$4077,2025)</f>
        <v>84</v>
      </c>
      <c r="D8" s="4" t="n">
        <f aca="false">ROUND(C8/B8*100,1)</f>
        <v>64.6</v>
      </c>
    </row>
    <row r="9" customFormat="false" ht="15" hidden="false" customHeight="false" outlineLevel="0" collapsed="false">
      <c r="A9" s="0" t="s">
        <v>31</v>
      </c>
      <c r="B9" s="0" t="n">
        <f aca="false">VLOOKUP(A9,Anagrafica_Impianti!$A:$B,2,0)</f>
        <v>230</v>
      </c>
      <c r="C9" s="0" t="n">
        <f aca="false">SUMIFS(Base_ODL!$L$2:$L$4077,Base_ODL!$B$2:$B$4077,A9,Base_ODL!$I$2:$I$4077,2025)</f>
        <v>111</v>
      </c>
      <c r="D9" s="4" t="n">
        <f aca="false">ROUND(C9/B9*100,1)</f>
        <v>48.3</v>
      </c>
    </row>
    <row r="10" customFormat="false" ht="15" hidden="false" customHeight="false" outlineLevel="0" collapsed="false">
      <c r="A10" s="0" t="s">
        <v>50</v>
      </c>
      <c r="B10" s="0" t="n">
        <f aca="false">VLOOKUP(A10,Anagrafica_Impianti!$A:$B,2,0)</f>
        <v>320</v>
      </c>
      <c r="C10" s="0" t="n">
        <f aca="false">SUMIFS(Base_ODL!$L$2:$L$4077,Base_ODL!$B$2:$B$4077,A10,Base_ODL!$I$2:$I$4077,2025)</f>
        <v>113</v>
      </c>
      <c r="D10" s="4" t="n">
        <f aca="false">ROUND(C10/B10*100,1)</f>
        <v>35.3</v>
      </c>
    </row>
    <row r="11" customFormat="false" ht="15" hidden="false" customHeight="false" outlineLevel="0" collapsed="false">
      <c r="A11" s="0" t="s">
        <v>41</v>
      </c>
      <c r="B11" s="0" t="n">
        <f aca="false">VLOOKUP(A11,Anagrafica_Impianti!$A:$B,2,0)</f>
        <v>270</v>
      </c>
      <c r="C11" s="0" t="n">
        <f aca="false">SUMIFS(Base_ODL!$L$2:$L$4077,Base_ODL!$B$2:$B$4077,A11,Base_ODL!$I$2:$I$4077,2025)</f>
        <v>114</v>
      </c>
      <c r="D11" s="4" t="n">
        <f aca="false">ROUND(C11/B11*100,1)</f>
        <v>42.2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10</v>
      </c>
      <c r="B1" s="1" t="s">
        <v>5900</v>
      </c>
      <c r="C1" s="1" t="s">
        <v>5901</v>
      </c>
      <c r="D1" s="1" t="s">
        <v>5902</v>
      </c>
      <c r="E1" s="1" t="s">
        <v>5903</v>
      </c>
      <c r="F1" s="1" t="s">
        <v>5904</v>
      </c>
      <c r="G1" s="1" t="s">
        <v>5905</v>
      </c>
    </row>
    <row r="2" customFormat="false" ht="15" hidden="false" customHeight="false" outlineLevel="0" collapsed="false">
      <c r="A2" s="0" t="n">
        <v>2024</v>
      </c>
      <c r="B2" s="0" t="n">
        <f aca="false">SUMIFS(Base_ODL!$L$2:$L$4077,Base_ODL!$I$2:$I$4077,A2)</f>
        <v>1030</v>
      </c>
      <c r="C2" s="0" t="n">
        <f aca="false">SUMIFS(Base_ODL!$N$2:$N$4077,Base_ODL!$I$2:$I$4077,A2)</f>
        <v>318</v>
      </c>
      <c r="D2" s="4" t="n">
        <f aca="false">ROUND(C2/B2*100,1)</f>
        <v>30.9</v>
      </c>
      <c r="E2" s="3" t="n">
        <f aca="false">COUNTIFS(Base_ODL!$I$2:$I$4077,A2)</f>
        <v>1533</v>
      </c>
      <c r="F2" s="3" t="n">
        <f aca="false">SUMIFS(Base_ODL!$M$2:$M$4077,Base_ODL!$I$2:$I$4077,A2)</f>
        <v>821</v>
      </c>
      <c r="G2" s="4" t="n">
        <f aca="false">ROUND(F2/E2*100,1)</f>
        <v>53.6</v>
      </c>
    </row>
    <row r="3" customFormat="false" ht="15" hidden="false" customHeight="false" outlineLevel="0" collapsed="false">
      <c r="A3" s="0" t="n">
        <v>2025</v>
      </c>
      <c r="B3" s="0" t="n">
        <f aca="false">SUMIFS(Base_ODL!$L$2:$L$4077,Base_ODL!$I$2:$I$4077,A3)</f>
        <v>1028</v>
      </c>
      <c r="C3" s="0" t="n">
        <f aca="false">SUMIFS(Base_ODL!$N$2:$N$4077,Base_ODL!$I$2:$I$4077,A3)</f>
        <v>295</v>
      </c>
      <c r="D3" s="4" t="n">
        <f aca="false">ROUND(C3/B3*100,1)</f>
        <v>28.7</v>
      </c>
      <c r="E3" s="3" t="n">
        <f aca="false">COUNTIFS(Base_ODL!$I$2:$I$4077,A3)</f>
        <v>1526</v>
      </c>
      <c r="F3" s="3" t="n">
        <f aca="false">SUMIFS(Base_ODL!$M$2:$M$4077,Base_ODL!$I$2:$I$4077,A3)</f>
        <v>793</v>
      </c>
      <c r="G3" s="4" t="n">
        <f aca="false">ROUND(F3/E3*100,1)</f>
        <v>52</v>
      </c>
    </row>
    <row r="4" customFormat="false" ht="15" hidden="false" customHeight="false" outlineLevel="0" collapsed="false">
      <c r="A4" s="0" t="n">
        <v>2026</v>
      </c>
      <c r="B4" s="0" t="n">
        <f aca="false">SUMIFS(Base_ODL!$L$2:$L$4077,Base_ODL!$I$2:$I$4077,A4)</f>
        <v>746</v>
      </c>
      <c r="C4" s="0" t="n">
        <f aca="false">SUMIFS(Base_ODL!$N$2:$N$4077,Base_ODL!$I$2:$I$4077,A4)</f>
        <v>189</v>
      </c>
      <c r="D4" s="4" t="n">
        <f aca="false">ROUND(C4/B4*100,1)</f>
        <v>25.3</v>
      </c>
      <c r="E4" s="3" t="n">
        <f aca="false">COUNTIFS(Base_ODL!$I$2:$I$4077,A4)</f>
        <v>1017</v>
      </c>
      <c r="F4" s="3" t="n">
        <f aca="false">SUMIFS(Base_ODL!$M$2:$M$4077,Base_ODL!$I$2:$I$4077,A4)</f>
        <v>460</v>
      </c>
      <c r="G4" s="4" t="n">
        <f aca="false">ROUND(F4/E4*100,1)</f>
        <v>45.2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2026-09-03T12:05:17Z</dcterms:created>
  <dc:creator/>
  <dc:description/>
  <dc:language>en-US</dc:language>
  <cp:lastModifiedBy/>
  <dcterms:modified xsi:type="dcterms:W3CDTF">2026-09-03T12:05:17Z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